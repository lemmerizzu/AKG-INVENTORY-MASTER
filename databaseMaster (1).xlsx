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Log" sheetId="1" r:id="rId5"/>
    <sheet state="visible" name="inventoryLog" sheetId="2" r:id="rId6"/>
    <sheet state="visible" name="scanLog" sheetId="3" r:id="rId7"/>
    <sheet state="visible" name="customerDetails" sheetId="4" r:id="rId8"/>
    <sheet state="visible" name="customInv" sheetId="5" r:id="rId9"/>
    <sheet state="visible" name="itemCategoryDetails" sheetId="6" r:id="rId10"/>
    <sheet state="visible" name="itemDetails" sheetId="7" r:id="rId11"/>
    <sheet state="visible" name="customerPricelist" sheetId="8" r:id="rId12"/>
    <sheet state="visible" name="customerReportLog" sheetId="9" r:id="rId13"/>
    <sheet state="visible" name="customerPurchOrder" sheetId="10" r:id="rId14"/>
    <sheet state="visible" name="dashboardController" sheetId="11" r:id="rId15"/>
  </sheets>
  <definedNames>
    <definedName name="inventoryLog">inventoryLog!$1:$1999</definedName>
    <definedName hidden="1" localSheetId="0" name="_xlnm._FilterDatabase">documentLog!$A$1:$L$2560</definedName>
    <definedName hidden="1" localSheetId="1" name="_xlnm._FilterDatabase">inventoryLog!$A$1:$AE$3925</definedName>
    <definedName hidden="1" localSheetId="6" name="_xlnm._FilterDatabase">itemDetails!$A$1:$AB$998</definedName>
  </definedNames>
  <calcPr/>
</workbook>
</file>

<file path=xl/sharedStrings.xml><?xml version="1.0" encoding="utf-8"?>
<sst xmlns="http://schemas.openxmlformats.org/spreadsheetml/2006/main" count="67602" uniqueCount="7605">
  <si>
    <t>inventoryId</t>
  </si>
  <si>
    <t>docNumber</t>
  </si>
  <si>
    <t>customerId</t>
  </si>
  <si>
    <t>customerName</t>
  </si>
  <si>
    <t>datetime</t>
  </si>
  <si>
    <t>address</t>
  </si>
  <si>
    <t>mutation</t>
  </si>
  <si>
    <t>customerSign</t>
  </si>
  <si>
    <t>payment</t>
  </si>
  <si>
    <t>revision</t>
  </si>
  <si>
    <t>docValidity</t>
  </si>
  <si>
    <t>inputMode</t>
  </si>
  <si>
    <t>08240001</t>
  </si>
  <si>
    <t>a9fe1bea</t>
  </si>
  <si>
    <t>H. Suheiri</t>
  </si>
  <si>
    <t>Jalan Raya Balongbendo No. 6 RT. 1 / RW. 1 Singkalan, Singkalan, Seduri, Kec. BalongBendo, Kabupaten Sidoarjo, Jawa Timur 61263</t>
  </si>
  <si>
    <t>OUT</t>
  </si>
  <si>
    <t>TF</t>
  </si>
  <si>
    <t>VALID</t>
  </si>
  <si>
    <t>08240002</t>
  </si>
  <si>
    <t>e968afef</t>
  </si>
  <si>
    <t>Bpk. Agus</t>
  </si>
  <si>
    <t>Jl. Parengan 13, Semawut, Balongbendo, Kec. BalongBendo, Kabupaten Sidoarjo, Jawa Timur 61263</t>
  </si>
  <si>
    <t>75bc467e</t>
  </si>
  <si>
    <t>IN</t>
  </si>
  <si>
    <t>08240003</t>
  </si>
  <si>
    <t>70277243</t>
  </si>
  <si>
    <t>08240004</t>
  </si>
  <si>
    <t>f8335a53</t>
  </si>
  <si>
    <t>CV RAGAM JAYA ENGINEERING</t>
  </si>
  <si>
    <t>Jl. Balung wangon, Dadapkuning, Bulurejo, Kec. Benjeng, Kabupaten Gresik, Jawa Timur 61172</t>
  </si>
  <si>
    <t>9a09a5f8</t>
  </si>
  <si>
    <t>510c4110</t>
  </si>
  <si>
    <t>08240007</t>
  </si>
  <si>
    <t>cef243cf</t>
  </si>
  <si>
    <t>Bpk. Supri</t>
  </si>
  <si>
    <t>d45c4466</t>
  </si>
  <si>
    <t>2fb3243c</t>
  </si>
  <si>
    <t>09240008</t>
  </si>
  <si>
    <t>dc7f01b2</t>
  </si>
  <si>
    <t>Tiga Putra</t>
  </si>
  <si>
    <t>09240010</t>
  </si>
  <si>
    <t>2af3134d</t>
  </si>
  <si>
    <t>b777759c</t>
  </si>
  <si>
    <t>09240011</t>
  </si>
  <si>
    <t>e86baf3b</t>
  </si>
  <si>
    <t>PT GEMILANG CIPTA WAWASAN</t>
  </si>
  <si>
    <t>JL TEBET RAYA, 2A, TEBET BARAT, TEBET, KOTA ADM, JAKARTA SELATAN, DKI JAKARTA</t>
  </si>
  <si>
    <t>09240012</t>
  </si>
  <si>
    <t>2d88931c</t>
  </si>
  <si>
    <t>PT Dunia Berkat Marga Mulya</t>
  </si>
  <si>
    <t>JL JABARAN, WATESARI, BALONGBENDO, SIDOARJO, JAWA TIMUR</t>
  </si>
  <si>
    <t>c61daa5f</t>
  </si>
  <si>
    <t>09240014</t>
  </si>
  <si>
    <t>09240015</t>
  </si>
  <si>
    <t>7b9d8eba</t>
  </si>
  <si>
    <t>PT PELANGI INDOKARYA</t>
  </si>
  <si>
    <t>Jl Medokan Semampir Indah Sukokilo No 129 RT. 005 RW. 008 Medokan Semampir Sukokilo Kota Surabaya Jawa Timur 60119</t>
  </si>
  <si>
    <t>8a27a267</t>
  </si>
  <si>
    <t>09240017</t>
  </si>
  <si>
    <t>09240018</t>
  </si>
  <si>
    <t>bd6a36bd</t>
  </si>
  <si>
    <t>ea7e14cc</t>
  </si>
  <si>
    <t>5c00e27f</t>
  </si>
  <si>
    <t>c740ede3</t>
  </si>
  <si>
    <t>230bac34</t>
  </si>
  <si>
    <t>09240021</t>
  </si>
  <si>
    <t>c45a321d</t>
  </si>
  <si>
    <t>ac450d5c</t>
  </si>
  <si>
    <t>5fe56758</t>
  </si>
  <si>
    <t>3e8da047</t>
  </si>
  <si>
    <t>09240022</t>
  </si>
  <si>
    <t>21fc7f4d</t>
  </si>
  <si>
    <t>a6e7928f</t>
  </si>
  <si>
    <t>09240024</t>
  </si>
  <si>
    <t>f01dab70</t>
  </si>
  <si>
    <t>Bpk. Yudi</t>
  </si>
  <si>
    <t>Bandilan, Simogirang, Kec. Prambon, Kabupaten Sidoarjo, Jawa Timur 61264</t>
  </si>
  <si>
    <t>09240025</t>
  </si>
  <si>
    <t>09240026</t>
  </si>
  <si>
    <t>5f37adc5</t>
  </si>
  <si>
    <t>db49df1e</t>
  </si>
  <si>
    <t>09240027</t>
  </si>
  <si>
    <t>2e7ccd53</t>
  </si>
  <si>
    <t>09240028</t>
  </si>
  <si>
    <t>1a143a63</t>
  </si>
  <si>
    <t>09240030</t>
  </si>
  <si>
    <t>038ba28f</t>
  </si>
  <si>
    <t>e62a1fad</t>
  </si>
  <si>
    <t>6cf61922</t>
  </si>
  <si>
    <t>09240032</t>
  </si>
  <si>
    <t>17af2683</t>
  </si>
  <si>
    <t>H. Fatoni</t>
  </si>
  <si>
    <t>Watesari 015/003, Watesari, Balongbendo, Sidoarjo, Jawa Timur</t>
  </si>
  <si>
    <t>10240033</t>
  </si>
  <si>
    <t>43ac06c0</t>
  </si>
  <si>
    <t>59fcc0f1</t>
  </si>
  <si>
    <t>10240034</t>
  </si>
  <si>
    <t>10240035</t>
  </si>
  <si>
    <t>30b1728c</t>
  </si>
  <si>
    <t>936ad183</t>
  </si>
  <si>
    <t>7bbfe6fb</t>
  </si>
  <si>
    <t>10240036</t>
  </si>
  <si>
    <t>f6698f2d</t>
  </si>
  <si>
    <t>10240037</t>
  </si>
  <si>
    <t>1ea6910d</t>
  </si>
  <si>
    <t>10240039</t>
  </si>
  <si>
    <t>297139c6</t>
  </si>
  <si>
    <t>10240041</t>
  </si>
  <si>
    <t>8f5ebaea</t>
  </si>
  <si>
    <t>PT Hua Zong Mesindo</t>
  </si>
  <si>
    <t>Jl. Bypass Krian, Sidotemo, Sidomulyo, Kec. Krian, Kabupaten Sidoarjo, Jawa Timur 61262</t>
  </si>
  <si>
    <t>0356da67</t>
  </si>
  <si>
    <t>10240043</t>
  </si>
  <si>
    <t>37175874</t>
  </si>
  <si>
    <t>PT TERAPAN NILAIOSILASI INDONESIA (TENO)</t>
  </si>
  <si>
    <t>JL Raya Kertajaya Indah 153 / P116, Gebang Putih, Sukokilo, Kota Surabaya, Jawa Timur</t>
  </si>
  <si>
    <t>10240044</t>
  </si>
  <si>
    <t>9e54f654</t>
  </si>
  <si>
    <t>1e8e7bb9</t>
  </si>
  <si>
    <t>16bddcae</t>
  </si>
  <si>
    <t>10240046</t>
  </si>
  <si>
    <t>c2f5a4a7</t>
  </si>
  <si>
    <t>UD Sumber Berlian</t>
  </si>
  <si>
    <t>Ciro Kulon, Bakungtemenggungan, Kec. BalongBendo, Kabupaten Sidoarjo, Jawa Timur 61263</t>
  </si>
  <si>
    <t>10240047</t>
  </si>
  <si>
    <t>72d9a70c</t>
  </si>
  <si>
    <t>PT Beton Prima Indonesia</t>
  </si>
  <si>
    <t>KH. Ahmad Dahlan KM.2 Ds. Sumberwono, Kec. Bangsal, Kab. Mojokerto 61381</t>
  </si>
  <si>
    <t>10240049</t>
  </si>
  <si>
    <t>10240050</t>
  </si>
  <si>
    <t>4ec68cf6</t>
  </si>
  <si>
    <t>CV Sido Mukti Karya</t>
  </si>
  <si>
    <t>Pergudangan Center Point no A3, Kemangsen</t>
  </si>
  <si>
    <t>603d6b75</t>
  </si>
  <si>
    <t>10240051</t>
  </si>
  <si>
    <t>10240054</t>
  </si>
  <si>
    <t>4f00755f</t>
  </si>
  <si>
    <t>55b150db</t>
  </si>
  <si>
    <t>10240055</t>
  </si>
  <si>
    <t>10240056</t>
  </si>
  <si>
    <t>92ae98d6</t>
  </si>
  <si>
    <t>bce70af8</t>
  </si>
  <si>
    <t>98bde844</t>
  </si>
  <si>
    <t>10240057</t>
  </si>
  <si>
    <t>d00e3ed3</t>
  </si>
  <si>
    <t>10240058</t>
  </si>
  <si>
    <t>6ec1a4ba</t>
  </si>
  <si>
    <t>10240059</t>
  </si>
  <si>
    <t>4a01ccb6</t>
  </si>
  <si>
    <t>CV ANUGERAH PERSADA TEKNIK</t>
  </si>
  <si>
    <t>JL. Raya Trosobo, Blok 3/14, Taman Sidoarjo Lingkungan Industri Kecil, Sepanjang, Jawa Timur, 61257</t>
  </si>
  <si>
    <t>10240060</t>
  </si>
  <si>
    <t>d25cd96d</t>
  </si>
  <si>
    <t>2b736a40</t>
  </si>
  <si>
    <t>4324ea39</t>
  </si>
  <si>
    <t>10240061</t>
  </si>
  <si>
    <t>19f7b4a4</t>
  </si>
  <si>
    <t>410240000</t>
  </si>
  <si>
    <t>OTHER</t>
  </si>
  <si>
    <t>4cfb87ea</t>
  </si>
  <si>
    <t>10240062</t>
  </si>
  <si>
    <t>0d3bda49</t>
  </si>
  <si>
    <t>1a1f3544</t>
  </si>
  <si>
    <t>10240064</t>
  </si>
  <si>
    <t>410240001</t>
  </si>
  <si>
    <t>10240066</t>
  </si>
  <si>
    <t>10240068</t>
  </si>
  <si>
    <t>10240069</t>
  </si>
  <si>
    <t>182fb0fe</t>
  </si>
  <si>
    <t>PT Amtech</t>
  </si>
  <si>
    <t>Pergudangan Kencana Trosobo Blok. C27 RT/RW.003/001, Pertapan Maduretno, Kec. Taman, Kabupaten Sidoarjo, Jawa Timur 61257</t>
  </si>
  <si>
    <t>b418f1d7</t>
  </si>
  <si>
    <t>10240070</t>
  </si>
  <si>
    <t>856306cb</t>
  </si>
  <si>
    <t>10240073</t>
  </si>
  <si>
    <t>e973e69b</t>
  </si>
  <si>
    <t>11240074</t>
  </si>
  <si>
    <t>8a6b03a3</t>
  </si>
  <si>
    <t>41ddbd17</t>
  </si>
  <si>
    <t>146e5fae</t>
  </si>
  <si>
    <t>11240075</t>
  </si>
  <si>
    <t>58dae10f</t>
  </si>
  <si>
    <t>11240078</t>
  </si>
  <si>
    <t>1f99a2eb</t>
  </si>
  <si>
    <t>b5c419c9</t>
  </si>
  <si>
    <t>4eb5d8e9</t>
  </si>
  <si>
    <t>ed53fad4</t>
  </si>
  <si>
    <t>11240080</t>
  </si>
  <si>
    <t>3ef66923</t>
  </si>
  <si>
    <t>7a0eb28d</t>
  </si>
  <si>
    <t>11240081</t>
  </si>
  <si>
    <t>d83f4009</t>
  </si>
  <si>
    <t>11240083</t>
  </si>
  <si>
    <t>3754fb94</t>
  </si>
  <si>
    <t>9cfb2031</t>
  </si>
  <si>
    <t>11240085</t>
  </si>
  <si>
    <t>11240087</t>
  </si>
  <si>
    <t>78cb400d</t>
  </si>
  <si>
    <t>f1558ddd</t>
  </si>
  <si>
    <t>11240088</t>
  </si>
  <si>
    <t>11240091</t>
  </si>
  <si>
    <t>e615692d</t>
  </si>
  <si>
    <t>9c62c9ef</t>
  </si>
  <si>
    <t>11240092</t>
  </si>
  <si>
    <t>11240094</t>
  </si>
  <si>
    <t>9e5d6636</t>
  </si>
  <si>
    <t>93d1698e</t>
  </si>
  <si>
    <t>11240095</t>
  </si>
  <si>
    <t>cfecd342</t>
  </si>
  <si>
    <t>11240096</t>
  </si>
  <si>
    <t>6ef77537</t>
  </si>
  <si>
    <t>11240097</t>
  </si>
  <si>
    <t>785e0e07</t>
  </si>
  <si>
    <t>Bpk. Sukirno (Bejo)</t>
  </si>
  <si>
    <t>Krajan I, Wringinanom, Kec. Wringinanom, Kabupaten Gresik, Jawa Timur 61176</t>
  </si>
  <si>
    <t>11240099</t>
  </si>
  <si>
    <t>128db52b</t>
  </si>
  <si>
    <t>f7395418</t>
  </si>
  <si>
    <t>11240102</t>
  </si>
  <si>
    <t>11240104</t>
  </si>
  <si>
    <t>c62c6533</t>
  </si>
  <si>
    <t>98b52ea3</t>
  </si>
  <si>
    <t>11240105</t>
  </si>
  <si>
    <t>411240002</t>
  </si>
  <si>
    <t>647d59bf</t>
  </si>
  <si>
    <t>9b970b56</t>
  </si>
  <si>
    <t>11240109</t>
  </si>
  <si>
    <t>2ed4eef5</t>
  </si>
  <si>
    <t>39a4e81d</t>
  </si>
  <si>
    <t>11240110</t>
  </si>
  <si>
    <t>11240111</t>
  </si>
  <si>
    <t>9049edbc</t>
  </si>
  <si>
    <t>11240113</t>
  </si>
  <si>
    <t>20d40e95</t>
  </si>
  <si>
    <t>11240114</t>
  </si>
  <si>
    <t>11240115</t>
  </si>
  <si>
    <t>b83c098a</t>
  </si>
  <si>
    <t>33454739</t>
  </si>
  <si>
    <t>11240116</t>
  </si>
  <si>
    <t>11240117</t>
  </si>
  <si>
    <t>c633a11d</t>
  </si>
  <si>
    <t>11240120</t>
  </si>
  <si>
    <t>7980caf9</t>
  </si>
  <si>
    <t>11240122</t>
  </si>
  <si>
    <t>cc06dcb8</t>
  </si>
  <si>
    <t>db4cd92c</t>
  </si>
  <si>
    <t>3fec40d7</t>
  </si>
  <si>
    <t>a20b4402</t>
  </si>
  <si>
    <t>8b7cd51a</t>
  </si>
  <si>
    <t>4da51aac</t>
  </si>
  <si>
    <t>a6458662</t>
  </si>
  <si>
    <t>11240123</t>
  </si>
  <si>
    <t>11240125</t>
  </si>
  <si>
    <t>411240003</t>
  </si>
  <si>
    <t>46d3e288</t>
  </si>
  <si>
    <t>11240126</t>
  </si>
  <si>
    <t>11240127</t>
  </si>
  <si>
    <t>11240128</t>
  </si>
  <si>
    <t>2cc2187d</t>
  </si>
  <si>
    <t>7e20b08f</t>
  </si>
  <si>
    <t>11240130</t>
  </si>
  <si>
    <t>411240004</t>
  </si>
  <si>
    <t>11240132</t>
  </si>
  <si>
    <t>1bc7d071</t>
  </si>
  <si>
    <t>7a0ab12f</t>
  </si>
  <si>
    <t>c2993fd8</t>
  </si>
  <si>
    <t>11240133</t>
  </si>
  <si>
    <t>a777edb8</t>
  </si>
  <si>
    <t>4b09798c</t>
  </si>
  <si>
    <t>11240134</t>
  </si>
  <si>
    <t>11240135</t>
  </si>
  <si>
    <t>5df12cec</t>
  </si>
  <si>
    <t>4d366a47</t>
  </si>
  <si>
    <t>11240136</t>
  </si>
  <si>
    <t>f3d45380</t>
  </si>
  <si>
    <t>d65dea2b</t>
  </si>
  <si>
    <t>11240137</t>
  </si>
  <si>
    <t>11240138</t>
  </si>
  <si>
    <t>ca3b550f</t>
  </si>
  <si>
    <t>b4b134c6</t>
  </si>
  <si>
    <t>12240139</t>
  </si>
  <si>
    <t>12240142</t>
  </si>
  <si>
    <t>2a67569a</t>
  </si>
  <si>
    <t>PT REKAYASA CAHAYA CEMERLANG</t>
  </si>
  <si>
    <t>Pergudangan Tritan Taman Blok C No. 39 Jemundo, Taman, Kab. Sidoarjo, Jawa Timur 61257</t>
  </si>
  <si>
    <t>12240143</t>
  </si>
  <si>
    <t>12240145</t>
  </si>
  <si>
    <t>12240146</t>
  </si>
  <si>
    <t>681ade5e</t>
  </si>
  <si>
    <t>c904b1fc</t>
  </si>
  <si>
    <t>63446fed</t>
  </si>
  <si>
    <t>ca93019b</t>
  </si>
  <si>
    <t>e2a1802e</t>
  </si>
  <si>
    <t>12240147</t>
  </si>
  <si>
    <t>2debff3c</t>
  </si>
  <si>
    <t>f6c912b9</t>
  </si>
  <si>
    <t>12240148</t>
  </si>
  <si>
    <t>12240149</t>
  </si>
  <si>
    <t>12240150</t>
  </si>
  <si>
    <t>940abfe1</t>
  </si>
  <si>
    <t>3b5a7e38</t>
  </si>
  <si>
    <t>8821a5ed</t>
  </si>
  <si>
    <t>21b97c84</t>
  </si>
  <si>
    <t>12240151</t>
  </si>
  <si>
    <t>103f3ae7</t>
  </si>
  <si>
    <t>PT ARYANA CAKASANA</t>
  </si>
  <si>
    <t>Jl Raya Tarik No. 45, Wonokupang, Bakalan, Balongbendo</t>
  </si>
  <si>
    <t>12240152</t>
  </si>
  <si>
    <t>5f23ba17</t>
  </si>
  <si>
    <t>Bpk. Joko (Gresik)</t>
  </si>
  <si>
    <t>Tanggungan, Lebaniwaras, Kec. Wringinanom, Kabupaten Gresik, Jawa Timur</t>
  </si>
  <si>
    <t>12240153</t>
  </si>
  <si>
    <t>c388fdec</t>
  </si>
  <si>
    <t>12240154</t>
  </si>
  <si>
    <t>c17bf4af</t>
  </si>
  <si>
    <t>5ac673b0</t>
  </si>
  <si>
    <t>12240155</t>
  </si>
  <si>
    <t>1f005e46</t>
  </si>
  <si>
    <t>12240156</t>
  </si>
  <si>
    <t>8ea74d81</t>
  </si>
  <si>
    <t>Bengkel Adi Putra</t>
  </si>
  <si>
    <t>Bypass Balongbendo</t>
  </si>
  <si>
    <t>12240158</t>
  </si>
  <si>
    <t>80c81a15</t>
  </si>
  <si>
    <t>12240160</t>
  </si>
  <si>
    <t>01158be1</t>
  </si>
  <si>
    <t>GYF</t>
  </si>
  <si>
    <t>Kangkungan, Lengkong, Kec. Mojoanyar, Kabupaten Mojokerto, Jawa Timur</t>
  </si>
  <si>
    <t>12240161</t>
  </si>
  <si>
    <t>1b38f329</t>
  </si>
  <si>
    <t>89216099</t>
  </si>
  <si>
    <t>cadad782</t>
  </si>
  <si>
    <t>a0f763e4</t>
  </si>
  <si>
    <t>d21a743e</t>
  </si>
  <si>
    <t>dc84ecc4</t>
  </si>
  <si>
    <t>12240163</t>
  </si>
  <si>
    <t>83b4e844</t>
  </si>
  <si>
    <t>12240166</t>
  </si>
  <si>
    <t>928eabd1</t>
  </si>
  <si>
    <t>405d1a28</t>
  </si>
  <si>
    <t>af8745e2</t>
  </si>
  <si>
    <t>12240167</t>
  </si>
  <si>
    <t>59dea732</t>
  </si>
  <si>
    <t>12240168</t>
  </si>
  <si>
    <t>4bef3bbf</t>
  </si>
  <si>
    <t>PT Dingsheng Metal Indonesia (Ngoro)</t>
  </si>
  <si>
    <t>Kri Kilan, Watesnegoro, Kec. Ngoro, Kabupaten Mojokerto, Jawa Timur 61385</t>
  </si>
  <si>
    <t>12240169</t>
  </si>
  <si>
    <t>3fec37df</t>
  </si>
  <si>
    <t>PT Jatim Abadi Perkasa Steel</t>
  </si>
  <si>
    <t>Dsn. Bulak Sempuh, Jatirejo, Kab. Mojokerto, Jawa Timur</t>
  </si>
  <si>
    <t>12240170</t>
  </si>
  <si>
    <t>3a48b432</t>
  </si>
  <si>
    <t>Dio</t>
  </si>
  <si>
    <t>1f321d81</t>
  </si>
  <si>
    <t>4d620c45</t>
  </si>
  <si>
    <t>817bd58f</t>
  </si>
  <si>
    <t>6af2d5e9</t>
  </si>
  <si>
    <t>b482711f</t>
  </si>
  <si>
    <t>2f10572d</t>
  </si>
  <si>
    <t>12240171</t>
  </si>
  <si>
    <t>12240172</t>
  </si>
  <si>
    <t>5c82b874</t>
  </si>
  <si>
    <t>12240173</t>
  </si>
  <si>
    <t>12240174</t>
  </si>
  <si>
    <t>12240175</t>
  </si>
  <si>
    <t>556931a6</t>
  </si>
  <si>
    <t>Bpk. Agus (Trowulan)</t>
  </si>
  <si>
    <t>Temborong, Domas, Kec. Trowulan, Kabupaten Mojokerto, Jawa Timur</t>
  </si>
  <si>
    <t>bdc8d89e</t>
  </si>
  <si>
    <t>3920bc7e</t>
  </si>
  <si>
    <t>12240177</t>
  </si>
  <si>
    <t>69d002bb</t>
  </si>
  <si>
    <t>Bengkel Putra Sanjaya (Bpk. Amin)</t>
  </si>
  <si>
    <t>Sidomukti, Kraton, Kec. Krian, Kabupaten Sidoarjo, Jawa Timur 61262</t>
  </si>
  <si>
    <t>12240178</t>
  </si>
  <si>
    <t>125ac596</t>
  </si>
  <si>
    <t>12240180</t>
  </si>
  <si>
    <t>a043d723</t>
  </si>
  <si>
    <t>0b7b5f21</t>
  </si>
  <si>
    <t>12240181</t>
  </si>
  <si>
    <t>12240182</t>
  </si>
  <si>
    <t>5449a0b8</t>
  </si>
  <si>
    <t>Bpk. Supar</t>
  </si>
  <si>
    <t>Ciro Kulon, Bakungtemenggungan, Kec. BalongBendo, Kabupaten Sidoarjo, Jawa Timur</t>
  </si>
  <si>
    <t>231d48f3</t>
  </si>
  <si>
    <t>68bfe6e4</t>
  </si>
  <si>
    <t>12240183</t>
  </si>
  <si>
    <t>12240185</t>
  </si>
  <si>
    <t>12240186</t>
  </si>
  <si>
    <t>12240187</t>
  </si>
  <si>
    <t>06d600f6</t>
  </si>
  <si>
    <t>Ibu Ida</t>
  </si>
  <si>
    <t>Wonoayu rt 1 rw 4, Kec wonoayu, Kab. Sidoarjo</t>
  </si>
  <si>
    <t>COD</t>
  </si>
  <si>
    <t>12240189</t>
  </si>
  <si>
    <t>6b737895</t>
  </si>
  <si>
    <t>Ibu Yanti</t>
  </si>
  <si>
    <t>Klutuk, Kramat Jegu, Kec. Taman, Kabupaten Sidoarjo, Jawa Timur 61257</t>
  </si>
  <si>
    <t>12240190</t>
  </si>
  <si>
    <t>12240192</t>
  </si>
  <si>
    <t>412240006</t>
  </si>
  <si>
    <t>12240193</t>
  </si>
  <si>
    <t>12240194</t>
  </si>
  <si>
    <t>01250195</t>
  </si>
  <si>
    <t>4c0266ef</t>
  </si>
  <si>
    <t>be0d58ab</t>
  </si>
  <si>
    <t>2cfed8a0</t>
  </si>
  <si>
    <t>27df010e</t>
  </si>
  <si>
    <t>52c6cc73</t>
  </si>
  <si>
    <t>9a983ea6</t>
  </si>
  <si>
    <t>94ef72cb</t>
  </si>
  <si>
    <t>af98e8f0</t>
  </si>
  <si>
    <t>300a9e0e</t>
  </si>
  <si>
    <t>6498e8af</t>
  </si>
  <si>
    <t>b8dcd78f</t>
  </si>
  <si>
    <t>3ac84745</t>
  </si>
  <si>
    <t>1c93a136</t>
  </si>
  <si>
    <t>08a39cf1</t>
  </si>
  <si>
    <t>92cf32e7</t>
  </si>
  <si>
    <t>99bde67c</t>
  </si>
  <si>
    <t>fa4e8691</t>
  </si>
  <si>
    <t>01250196</t>
  </si>
  <si>
    <t>01250197</t>
  </si>
  <si>
    <t>0c7c697b</t>
  </si>
  <si>
    <t>01250198</t>
  </si>
  <si>
    <t>8bdd2522</t>
  </si>
  <si>
    <t>dcde37f1</t>
  </si>
  <si>
    <t>494d8771</t>
  </si>
  <si>
    <t>4a626c20</t>
  </si>
  <si>
    <t>01250199</t>
  </si>
  <si>
    <t>01250200</t>
  </si>
  <si>
    <t>10240201</t>
  </si>
  <si>
    <t>#N/A</t>
  </si>
  <si>
    <t>Abah Sochib</t>
  </si>
  <si>
    <t>89d6f7af</t>
  </si>
  <si>
    <t>01250202</t>
  </si>
  <si>
    <t>30bcd5d5</t>
  </si>
  <si>
    <t>1f3a2795</t>
  </si>
  <si>
    <t>01250203</t>
  </si>
  <si>
    <t>7e28b0bb</t>
  </si>
  <si>
    <t>PT Surya Langit Biru</t>
  </si>
  <si>
    <t>Mlirip  Krian, Singkalan, Kec. BalongBendo, Kabupaten Sidoarjo, Jawa Timur 61263</t>
  </si>
  <si>
    <t>01250204</t>
  </si>
  <si>
    <t>01250205</t>
  </si>
  <si>
    <t>01250207</t>
  </si>
  <si>
    <t>01250208</t>
  </si>
  <si>
    <t>01250209</t>
  </si>
  <si>
    <t>01250210</t>
  </si>
  <si>
    <t>36646206</t>
  </si>
  <si>
    <t>3c8749b2</t>
  </si>
  <si>
    <t>3affa471</t>
  </si>
  <si>
    <t>02c40533</t>
  </si>
  <si>
    <t>35fe70ba</t>
  </si>
  <si>
    <t>8051db32</t>
  </si>
  <si>
    <t>1c1a03ff</t>
  </si>
  <si>
    <t>01250212</t>
  </si>
  <si>
    <t>64b0c06f</t>
  </si>
  <si>
    <t>Saiful Fuad</t>
  </si>
  <si>
    <t>f6fcb2a0</t>
  </si>
  <si>
    <t>52af3982</t>
  </si>
  <si>
    <t>89c2a981</t>
  </si>
  <si>
    <t>01250213</t>
  </si>
  <si>
    <t>ce83e171</t>
  </si>
  <si>
    <t>Bpk. Sulaiman</t>
  </si>
  <si>
    <t>Jl. Raya Kramat Temenggung No.43, Kramat, Kramat Temenggung, Kec. Tarik, Kabupaten Sidoarjo, Jawa Timur 61265</t>
  </si>
  <si>
    <t>a9e46bb2</t>
  </si>
  <si>
    <t>ef3ff34b</t>
  </si>
  <si>
    <t>01250214</t>
  </si>
  <si>
    <t>c1536df9</t>
  </si>
  <si>
    <t>5c467d8f</t>
  </si>
  <si>
    <t>1e869b59</t>
  </si>
  <si>
    <t>01250215</t>
  </si>
  <si>
    <t>01250216</t>
  </si>
  <si>
    <t>9a115787</t>
  </si>
  <si>
    <t>01250217</t>
  </si>
  <si>
    <t>01250218</t>
  </si>
  <si>
    <t>01250219</t>
  </si>
  <si>
    <t>9a3c146f</t>
  </si>
  <si>
    <t>21d47fb2</t>
  </si>
  <si>
    <t>40511c62</t>
  </si>
  <si>
    <t>a80efadb</t>
  </si>
  <si>
    <t>33289c80</t>
  </si>
  <si>
    <t>01250220</t>
  </si>
  <si>
    <t>6d2c5f13</t>
  </si>
  <si>
    <t>bf31baba</t>
  </si>
  <si>
    <t>01250221</t>
  </si>
  <si>
    <t>01250222</t>
  </si>
  <si>
    <t>a9d9b665</t>
  </si>
  <si>
    <t>52fd95b3</t>
  </si>
  <si>
    <t>01250223</t>
  </si>
  <si>
    <t>01250224</t>
  </si>
  <si>
    <t>ed2cc96a</t>
  </si>
  <si>
    <t>Bengkel Dian Jaya</t>
  </si>
  <si>
    <t>Gg. 2, Kejagan, Kec. Trowulan, Kabupaten Mojokerto, Jawa Timur 61362</t>
  </si>
  <si>
    <t>01250225</t>
  </si>
  <si>
    <t>668c99c7</t>
  </si>
  <si>
    <t>9f41071c</t>
  </si>
  <si>
    <t>01250226</t>
  </si>
  <si>
    <t>01250227</t>
  </si>
  <si>
    <t>9ec8aec6</t>
  </si>
  <si>
    <t>733cb711</t>
  </si>
  <si>
    <t>3eec7843</t>
  </si>
  <si>
    <t>01250228</t>
  </si>
  <si>
    <t>ac52e1fa</t>
  </si>
  <si>
    <t>Abah Mad</t>
  </si>
  <si>
    <t>Jl. Raya Surabaya  Madiun, Sidotemo, Sidomulyo, Kec. Krian, Kabupaten Sidoarjo, Jawa Timur 61262</t>
  </si>
  <si>
    <t>01250229</t>
  </si>
  <si>
    <t>968acb5d</t>
  </si>
  <si>
    <t>d40f2e1d</t>
  </si>
  <si>
    <t>01250230</t>
  </si>
  <si>
    <t>00e9a395</t>
  </si>
  <si>
    <t>01250231</t>
  </si>
  <si>
    <t>01250232</t>
  </si>
  <si>
    <t>88e6eb63</t>
  </si>
  <si>
    <t>01250233</t>
  </si>
  <si>
    <t>01250234</t>
  </si>
  <si>
    <t>01250235</t>
  </si>
  <si>
    <t>401250007</t>
  </si>
  <si>
    <t>01250236</t>
  </si>
  <si>
    <t>c73c676c</t>
  </si>
  <si>
    <t>41b83bf5</t>
  </si>
  <si>
    <t>9b78553f</t>
  </si>
  <si>
    <t>db1bcf63</t>
  </si>
  <si>
    <t>7c462fa5</t>
  </si>
  <si>
    <t>01250237</t>
  </si>
  <si>
    <t>e8695bad</t>
  </si>
  <si>
    <t>348a4b3e</t>
  </si>
  <si>
    <t>4550b9b2</t>
  </si>
  <si>
    <t>02250238</t>
  </si>
  <si>
    <t>9bc02a51</t>
  </si>
  <si>
    <t>2340917f</t>
  </si>
  <si>
    <t>5ace096d</t>
  </si>
  <si>
    <t>dd28eeb9</t>
  </si>
  <si>
    <t>4aedb87d</t>
  </si>
  <si>
    <t>402250008</t>
  </si>
  <si>
    <t>02250239</t>
  </si>
  <si>
    <t>02250240</t>
  </si>
  <si>
    <t>02250241</t>
  </si>
  <si>
    <t>02250242</t>
  </si>
  <si>
    <t>0d0d89e0</t>
  </si>
  <si>
    <t>26668de2</t>
  </si>
  <si>
    <t>82838f54</t>
  </si>
  <si>
    <t>4d9e96c9</t>
  </si>
  <si>
    <t>ed9804ed</t>
  </si>
  <si>
    <t>c0c6db1f</t>
  </si>
  <si>
    <t>02250243</t>
  </si>
  <si>
    <t>02250245</t>
  </si>
  <si>
    <t>ad83419e</t>
  </si>
  <si>
    <t>4ae6af74</t>
  </si>
  <si>
    <t>02250246</t>
  </si>
  <si>
    <t>71909be0</t>
  </si>
  <si>
    <t>Bpk. Pendik</t>
  </si>
  <si>
    <t>a813ae08</t>
  </si>
  <si>
    <t>02250247</t>
  </si>
  <si>
    <t>02250248</t>
  </si>
  <si>
    <t>3753da25</t>
  </si>
  <si>
    <t>02250249</t>
  </si>
  <si>
    <t>d14d7259</t>
  </si>
  <si>
    <t>bacc95cb</t>
  </si>
  <si>
    <t>02250251</t>
  </si>
  <si>
    <t>402250009</t>
  </si>
  <si>
    <t>c429d1aa</t>
  </si>
  <si>
    <t>1da69cb9</t>
  </si>
  <si>
    <t>464eaa94</t>
  </si>
  <si>
    <t>a6bdfd84</t>
  </si>
  <si>
    <t>511ce463</t>
  </si>
  <si>
    <t>02250252</t>
  </si>
  <si>
    <t>50d896b5</t>
  </si>
  <si>
    <t>7Dec8631</t>
  </si>
  <si>
    <t>02250253</t>
  </si>
  <si>
    <t>02250254</t>
  </si>
  <si>
    <t>eb57e32d</t>
  </si>
  <si>
    <t>d4c40682</t>
  </si>
  <si>
    <t>acb0439f</t>
  </si>
  <si>
    <t>1ca49797</t>
  </si>
  <si>
    <t>dd78776b</t>
  </si>
  <si>
    <t>02250256</t>
  </si>
  <si>
    <t>02250257</t>
  </si>
  <si>
    <t>02250258</t>
  </si>
  <si>
    <t>e4821033</t>
  </si>
  <si>
    <t>96f13925</t>
  </si>
  <si>
    <t>a74b304d</t>
  </si>
  <si>
    <t>767f7e9e</t>
  </si>
  <si>
    <t>748164dd</t>
  </si>
  <si>
    <t>c068d23f</t>
  </si>
  <si>
    <t>5b243fb0</t>
  </si>
  <si>
    <t>425f363e</t>
  </si>
  <si>
    <t>31eb9b83</t>
  </si>
  <si>
    <t>aceba60f</t>
  </si>
  <si>
    <t>e02298ad</t>
  </si>
  <si>
    <t>02250260</t>
  </si>
  <si>
    <t>936516cb</t>
  </si>
  <si>
    <t>d3d65567</t>
  </si>
  <si>
    <t>02250261</t>
  </si>
  <si>
    <t>02250262</t>
  </si>
  <si>
    <t>02250263</t>
  </si>
  <si>
    <t>75243872</t>
  </si>
  <si>
    <t>36e5d5e1</t>
  </si>
  <si>
    <t>c7ef6387</t>
  </si>
  <si>
    <t>02250264</t>
  </si>
  <si>
    <t>124d8ebd</t>
  </si>
  <si>
    <t>02250265</t>
  </si>
  <si>
    <t>da40813f</t>
  </si>
  <si>
    <t>0804ee79</t>
  </si>
  <si>
    <t>369aa432</t>
  </si>
  <si>
    <t>d59cc7a4</t>
  </si>
  <si>
    <t>95ad80cd</t>
  </si>
  <si>
    <t>f7a49adc</t>
  </si>
  <si>
    <t>57fe5cc1</t>
  </si>
  <si>
    <t>842362f0</t>
  </si>
  <si>
    <t>02250270</t>
  </si>
  <si>
    <t>e219c0d3</t>
  </si>
  <si>
    <t>dfaf56c4</t>
  </si>
  <si>
    <t>02250271</t>
  </si>
  <si>
    <t>0225191090</t>
  </si>
  <si>
    <t>Jl. Raya Wringinanom, Tanggungan, Lebaniwaras, Kec. Wringinanom, Kabupaten Gresik, Jawa Timur 61176</t>
  </si>
  <si>
    <t>de93713b</t>
  </si>
  <si>
    <t>309e29c3</t>
  </si>
  <si>
    <t>0b820aa9</t>
  </si>
  <si>
    <t>02250273</t>
  </si>
  <si>
    <t>02250274</t>
  </si>
  <si>
    <t>a255cf34</t>
  </si>
  <si>
    <t>8e5f42db</t>
  </si>
  <si>
    <t>927b548e</t>
  </si>
  <si>
    <t>3c073b87</t>
  </si>
  <si>
    <t>02250275</t>
  </si>
  <si>
    <t>36fda415</t>
  </si>
  <si>
    <t>f0b5026b</t>
  </si>
  <si>
    <t>eb0afca3</t>
  </si>
  <si>
    <t>02250276</t>
  </si>
  <si>
    <t>3981b9ed</t>
  </si>
  <si>
    <t>02250277</t>
  </si>
  <si>
    <t>c9207435</t>
  </si>
  <si>
    <t>71a3396b</t>
  </si>
  <si>
    <t>ab6d2028</t>
  </si>
  <si>
    <t>d696143c</t>
  </si>
  <si>
    <t>02250278</t>
  </si>
  <si>
    <t>8212065b</t>
  </si>
  <si>
    <t>94f734d6</t>
  </si>
  <si>
    <t>81afde86</t>
  </si>
  <si>
    <t>02250281</t>
  </si>
  <si>
    <t>02250282</t>
  </si>
  <si>
    <t>6f26605f</t>
  </si>
  <si>
    <t>3c18d86a</t>
  </si>
  <si>
    <t>0fc65ecf</t>
  </si>
  <si>
    <t>02250283</t>
  </si>
  <si>
    <t>e3272ccd</t>
  </si>
  <si>
    <t>f3aa7e70</t>
  </si>
  <si>
    <t>03250284</t>
  </si>
  <si>
    <t>03250285</t>
  </si>
  <si>
    <t>b70808e6</t>
  </si>
  <si>
    <t>03250287</t>
  </si>
  <si>
    <t>df6bdc5d</t>
  </si>
  <si>
    <t>Bpk. Maruf</t>
  </si>
  <si>
    <t>CC6P+83G, Padangasri, Kec. Jatirejo, Kabupaten Mojokerto, Jawa Timur 61373</t>
  </si>
  <si>
    <t>78e6521b</t>
  </si>
  <si>
    <t>5ca5d713</t>
  </si>
  <si>
    <t>9fe4ced0</t>
  </si>
  <si>
    <t>03250289</t>
  </si>
  <si>
    <t>03250290</t>
  </si>
  <si>
    <t>fd95a754</t>
  </si>
  <si>
    <t>6f4dae45</t>
  </si>
  <si>
    <t>03250293</t>
  </si>
  <si>
    <t>b39071b8</t>
  </si>
  <si>
    <t>497b4279</t>
  </si>
  <si>
    <t>369fdfbe</t>
  </si>
  <si>
    <t>d8e75b96</t>
  </si>
  <si>
    <t>03250294</t>
  </si>
  <si>
    <t>03250295</t>
  </si>
  <si>
    <t>2d9fec6e</t>
  </si>
  <si>
    <t>9b3bf112</t>
  </si>
  <si>
    <t>03250297</t>
  </si>
  <si>
    <t>5cb56cea</t>
  </si>
  <si>
    <t>03250298</t>
  </si>
  <si>
    <t>03250299</t>
  </si>
  <si>
    <t>03250302</t>
  </si>
  <si>
    <t>03250303</t>
  </si>
  <si>
    <t>e76bc39c</t>
  </si>
  <si>
    <t>Bpk. Irul</t>
  </si>
  <si>
    <t>Jl. Mayjen Bambang Yuwono, Ciro Kulon, Bakungtemenggungan, Kec. BalongBendo, Kabupaten Sidoarjo, Jawa Timur 61263</t>
  </si>
  <si>
    <t>c2fd0134</t>
  </si>
  <si>
    <t>01aa3faf</t>
  </si>
  <si>
    <t>03250305</t>
  </si>
  <si>
    <t>d78b2eaf</t>
  </si>
  <si>
    <t>PT Sinar Indogreen Kencana</t>
  </si>
  <si>
    <t>Jl. Raya Ponokawan 8b RT/001 RW/002, Ponokawan, Krian, Sidoarjo</t>
  </si>
  <si>
    <t>77516aed</t>
  </si>
  <si>
    <t>03250307</t>
  </si>
  <si>
    <t>e93f2c03</t>
  </si>
  <si>
    <t>Ibu Siti Barokah</t>
  </si>
  <si>
    <t>03250308</t>
  </si>
  <si>
    <t>649b6cbf</t>
  </si>
  <si>
    <t>03250310</t>
  </si>
  <si>
    <t>a400f262</t>
  </si>
  <si>
    <t>03250311</t>
  </si>
  <si>
    <t>03250312</t>
  </si>
  <si>
    <t>86555015</t>
  </si>
  <si>
    <t>00034b73</t>
  </si>
  <si>
    <t>ad35d820</t>
  </si>
  <si>
    <t>9f3587e4</t>
  </si>
  <si>
    <t>85672760</t>
  </si>
  <si>
    <t>638eadbf</t>
  </si>
  <si>
    <t>03250313</t>
  </si>
  <si>
    <t>03250314</t>
  </si>
  <si>
    <t>03250315</t>
  </si>
  <si>
    <t>03250317</t>
  </si>
  <si>
    <t>0257f267</t>
  </si>
  <si>
    <t>2e0d2246</t>
  </si>
  <si>
    <t>e772d2ec</t>
  </si>
  <si>
    <t>b6e54624</t>
  </si>
  <si>
    <t>403250010</t>
  </si>
  <si>
    <t>24be59b7</t>
  </si>
  <si>
    <t>403250011</t>
  </si>
  <si>
    <t>03250319</t>
  </si>
  <si>
    <t>03250320</t>
  </si>
  <si>
    <t>7f6f348f</t>
  </si>
  <si>
    <t>c10fcfb0</t>
  </si>
  <si>
    <t>5945486c</t>
  </si>
  <si>
    <t>03250321</t>
  </si>
  <si>
    <t>03250322</t>
  </si>
  <si>
    <t>403250012</t>
  </si>
  <si>
    <t>2cf4335d</t>
  </si>
  <si>
    <t>80112b23</t>
  </si>
  <si>
    <t>7e0bb35d</t>
  </si>
  <si>
    <t>94876ad9</t>
  </si>
  <si>
    <t>03250324</t>
  </si>
  <si>
    <t>03250325</t>
  </si>
  <si>
    <t>403250013</t>
  </si>
  <si>
    <t>4248a097</t>
  </si>
  <si>
    <t>fd23d9f1</t>
  </si>
  <si>
    <t>0a5880c1</t>
  </si>
  <si>
    <t>03250326</t>
  </si>
  <si>
    <t>6b02c58b</t>
  </si>
  <si>
    <t>e2ef158d</t>
  </si>
  <si>
    <t>563bf1fe</t>
  </si>
  <si>
    <t>03250327</t>
  </si>
  <si>
    <t>03250328</t>
  </si>
  <si>
    <t>0325201090</t>
  </si>
  <si>
    <t>03250331</t>
  </si>
  <si>
    <t>03250332</t>
  </si>
  <si>
    <t>403250014</t>
  </si>
  <si>
    <t>6d2057e9</t>
  </si>
  <si>
    <t>b157a973</t>
  </si>
  <si>
    <t>20193ded</t>
  </si>
  <si>
    <t>af57a0cd</t>
  </si>
  <si>
    <t>a0fbaab7</t>
  </si>
  <si>
    <t>03250333</t>
  </si>
  <si>
    <t>22078399</t>
  </si>
  <si>
    <t>03250334</t>
  </si>
  <si>
    <t>49ec4723</t>
  </si>
  <si>
    <t>9935724f</t>
  </si>
  <si>
    <t>03250335</t>
  </si>
  <si>
    <t>cb8383eb</t>
  </si>
  <si>
    <t>6549dd9b</t>
  </si>
  <si>
    <t>738f3ed2</t>
  </si>
  <si>
    <t>0cac82e5</t>
  </si>
  <si>
    <t>03250337</t>
  </si>
  <si>
    <t>03250339</t>
  </si>
  <si>
    <t>03250340</t>
  </si>
  <si>
    <t>32f52641</t>
  </si>
  <si>
    <t>03250341</t>
  </si>
  <si>
    <t>ae2fce97</t>
  </si>
  <si>
    <t>03250342</t>
  </si>
  <si>
    <t>a0361dc0</t>
  </si>
  <si>
    <t>61c6eb5f</t>
  </si>
  <si>
    <t>29d571d9</t>
  </si>
  <si>
    <t>03250344</t>
  </si>
  <si>
    <t>03250345</t>
  </si>
  <si>
    <t>a109d5fe</t>
  </si>
  <si>
    <t>97f4a55c</t>
  </si>
  <si>
    <t>03250346</t>
  </si>
  <si>
    <t>03250347</t>
  </si>
  <si>
    <t>slmt76</t>
  </si>
  <si>
    <t>Bpk. Slamet</t>
  </si>
  <si>
    <t>994cb360</t>
  </si>
  <si>
    <t>b6c16cac</t>
  </si>
  <si>
    <t>04250348</t>
  </si>
  <si>
    <t>04250349</t>
  </si>
  <si>
    <t>0ab37351</t>
  </si>
  <si>
    <t>04250352</t>
  </si>
  <si>
    <t>fec6e5d5</t>
  </si>
  <si>
    <t>04250354</t>
  </si>
  <si>
    <t>b790e449</t>
  </si>
  <si>
    <t>04250355</t>
  </si>
  <si>
    <t>b2b5f2c5</t>
  </si>
  <si>
    <t>Bengkel Las Bpk. Ari</t>
  </si>
  <si>
    <t>Sumber Kembar, Wonodadi, Kec. Kutorejo, Kabupaten Mojokerto, Jawa Timur</t>
  </si>
  <si>
    <t>04250356</t>
  </si>
  <si>
    <t>aa2e5e6e</t>
  </si>
  <si>
    <t>04250357</t>
  </si>
  <si>
    <t>04250359</t>
  </si>
  <si>
    <t>acfd43cd</t>
  </si>
  <si>
    <t>fcc48c69</t>
  </si>
  <si>
    <t>04250360</t>
  </si>
  <si>
    <t>04250361</t>
  </si>
  <si>
    <t>04250362</t>
  </si>
  <si>
    <t>04250363</t>
  </si>
  <si>
    <t>609d620d</t>
  </si>
  <si>
    <t>PT Pandu Mulia Bersama</t>
  </si>
  <si>
    <t>Jl. Songgat RT 12 RW 05, Kec. Tarik, Sidoarjo, Jawa Timur</t>
  </si>
  <si>
    <t>e26f42c0</t>
  </si>
  <si>
    <t>42566707</t>
  </si>
  <si>
    <t>04250366</t>
  </si>
  <si>
    <t>anwr</t>
  </si>
  <si>
    <t>Bpk. Anwar</t>
  </si>
  <si>
    <t>e51b8848</t>
  </si>
  <si>
    <t>04250368</t>
  </si>
  <si>
    <t>04250370</t>
  </si>
  <si>
    <t>1e7e8b1c</t>
  </si>
  <si>
    <t>5a9f0cf7</t>
  </si>
  <si>
    <t>ed4307f6</t>
  </si>
  <si>
    <t>Bpk. Andi (Jetis)</t>
  </si>
  <si>
    <t>HFH9+P7 Pelabuhan Kidul, Jetis, Kec. Jetis, Kabupaten Mojokerto, Jawa Timur, Indonesia</t>
  </si>
  <si>
    <t>51b442d9</t>
  </si>
  <si>
    <t>04250372</t>
  </si>
  <si>
    <t>04250373</t>
  </si>
  <si>
    <t>04250374</t>
  </si>
  <si>
    <t>a7ced553</t>
  </si>
  <si>
    <t>9134fe54</t>
  </si>
  <si>
    <t>58b5250e</t>
  </si>
  <si>
    <t>d017ae05</t>
  </si>
  <si>
    <t>04250376</t>
  </si>
  <si>
    <t>04250378</t>
  </si>
  <si>
    <t>3fa935b9</t>
  </si>
  <si>
    <t>ae7a02fb</t>
  </si>
  <si>
    <t>c9922b2e</t>
  </si>
  <si>
    <t>04250379</t>
  </si>
  <si>
    <t>04250380</t>
  </si>
  <si>
    <t>ce84ecbf</t>
  </si>
  <si>
    <t>76dfdf67</t>
  </si>
  <si>
    <t>6ac4b837</t>
  </si>
  <si>
    <t>6fd40df2</t>
  </si>
  <si>
    <t>04250381</t>
  </si>
  <si>
    <t>20a50830</t>
  </si>
  <si>
    <t>04250382</t>
  </si>
  <si>
    <t>04250383</t>
  </si>
  <si>
    <t>b8a9d8db</t>
  </si>
  <si>
    <t>ff61c167</t>
  </si>
  <si>
    <t>a1de3cad</t>
  </si>
  <si>
    <t>04250384</t>
  </si>
  <si>
    <t>404250015</t>
  </si>
  <si>
    <t>04250385</t>
  </si>
  <si>
    <t>e66080ee</t>
  </si>
  <si>
    <t>fab5f382</t>
  </si>
  <si>
    <t>682bc8bf</t>
  </si>
  <si>
    <t>04250386</t>
  </si>
  <si>
    <t>04250387</t>
  </si>
  <si>
    <t>sugiantoro</t>
  </si>
  <si>
    <t>Bpk. Sugiantoro</t>
  </si>
  <si>
    <t>04250389</t>
  </si>
  <si>
    <t>dec95fa7</t>
  </si>
  <si>
    <t>3eb9638a</t>
  </si>
  <si>
    <t>04250390</t>
  </si>
  <si>
    <t>04250391</t>
  </si>
  <si>
    <t>9fd49689</t>
  </si>
  <si>
    <t>759b007d</t>
  </si>
  <si>
    <t>04250393</t>
  </si>
  <si>
    <t>eeeac84b</t>
  </si>
  <si>
    <t>04250394</t>
  </si>
  <si>
    <t>34cf8da6</t>
  </si>
  <si>
    <t>04250395</t>
  </si>
  <si>
    <t>04250396</t>
  </si>
  <si>
    <t>7dc880f2</t>
  </si>
  <si>
    <t>05250397</t>
  </si>
  <si>
    <t>df7e79dd</t>
  </si>
  <si>
    <t>0362ba09</t>
  </si>
  <si>
    <t>6acc359c</t>
  </si>
  <si>
    <t>dea63127</t>
  </si>
  <si>
    <t>b487261e</t>
  </si>
  <si>
    <t>affbcebd</t>
  </si>
  <si>
    <t>bd56ab99</t>
  </si>
  <si>
    <t>05250398</t>
  </si>
  <si>
    <t>05250399</t>
  </si>
  <si>
    <t>Bpk. Rokhim (Kraton)</t>
  </si>
  <si>
    <t>0525211090</t>
  </si>
  <si>
    <t>05250401</t>
  </si>
  <si>
    <t>f36f7ece</t>
  </si>
  <si>
    <t>a2504cb8</t>
  </si>
  <si>
    <t>05250402</t>
  </si>
  <si>
    <t>05250403</t>
  </si>
  <si>
    <t>cb6dcffa</t>
  </si>
  <si>
    <t>af793585</t>
  </si>
  <si>
    <t>05250404</t>
  </si>
  <si>
    <t>17a8e612</t>
  </si>
  <si>
    <t>Flashtech Machinery</t>
  </si>
  <si>
    <t>Pergudangan Point Center blok A no.4, Kemangsen</t>
  </si>
  <si>
    <t>7cba302b</t>
  </si>
  <si>
    <t>63c9393a</t>
  </si>
  <si>
    <t>b20ce46a</t>
  </si>
  <si>
    <t>05250406</t>
  </si>
  <si>
    <t>05250408</t>
  </si>
  <si>
    <t>05250409</t>
  </si>
  <si>
    <t>05250410</t>
  </si>
  <si>
    <t>7528e2c3</t>
  </si>
  <si>
    <t>c8e2df28</t>
  </si>
  <si>
    <t>38e5deb1</t>
  </si>
  <si>
    <t>e96e112e</t>
  </si>
  <si>
    <t>05250411</t>
  </si>
  <si>
    <t>05250413</t>
  </si>
  <si>
    <t>05250414</t>
  </si>
  <si>
    <t>05250415</t>
  </si>
  <si>
    <t>05250416</t>
  </si>
  <si>
    <t>dcdf8b31</t>
  </si>
  <si>
    <t>Bpk. Samsul (Jetis)</t>
  </si>
  <si>
    <t>HFWF+9FG, Sido Wangi, Paringan, Kec. Jetis, Kabupaten Mojokerto, Jawa Timur</t>
  </si>
  <si>
    <t>ac9d01fc</t>
  </si>
  <si>
    <t>94de42ac</t>
  </si>
  <si>
    <t>b66b6981</t>
  </si>
  <si>
    <t>5bc29106</t>
  </si>
  <si>
    <t>66ee3459</t>
  </si>
  <si>
    <t>05250418</t>
  </si>
  <si>
    <t>05250420</t>
  </si>
  <si>
    <t>c032bf7f</t>
  </si>
  <si>
    <t>09fc01fe</t>
  </si>
  <si>
    <t>405250016</t>
  </si>
  <si>
    <t>05250422</t>
  </si>
  <si>
    <t>05250423</t>
  </si>
  <si>
    <t>05250424</t>
  </si>
  <si>
    <t>05250425</t>
  </si>
  <si>
    <t>05250426</t>
  </si>
  <si>
    <t>96967266</t>
  </si>
  <si>
    <t>45fa361f</t>
  </si>
  <si>
    <t>0938b567</t>
  </si>
  <si>
    <t>bed5a83a</t>
  </si>
  <si>
    <t>27c8ded2</t>
  </si>
  <si>
    <t>c33ac43a</t>
  </si>
  <si>
    <t>05250427</t>
  </si>
  <si>
    <t>058bfed4</t>
  </si>
  <si>
    <t>05250428</t>
  </si>
  <si>
    <t>dff43447</t>
  </si>
  <si>
    <t>c94298ba</t>
  </si>
  <si>
    <t>05250429</t>
  </si>
  <si>
    <t>1bf27092</t>
  </si>
  <si>
    <t>Bpk. Ari Budiarto</t>
  </si>
  <si>
    <t>Jl. Raya Balongbendo 232, Bakalan, Bakalan Wringinpitu, Kec. BalongBendo, Kabupaten Sidoarjo, Jawa Timur 61263</t>
  </si>
  <si>
    <t>05250430</t>
  </si>
  <si>
    <t>05250431</t>
  </si>
  <si>
    <t>e811a1c3</t>
  </si>
  <si>
    <t>b5c22543</t>
  </si>
  <si>
    <t>05250432</t>
  </si>
  <si>
    <t>05250433</t>
  </si>
  <si>
    <t>3bcd7fe6</t>
  </si>
  <si>
    <t>Bpk. Alvin (LB Group)</t>
  </si>
  <si>
    <t>MFF9+XHC, Jalan, Tambakrejo, Temuireng, Kec. Dawar Blandong, Kabupaten Mojokerto, Jawa Timur 61354</t>
  </si>
  <si>
    <t>05250434</t>
  </si>
  <si>
    <t>e4ae17cd</t>
  </si>
  <si>
    <t>6f2cab8e</t>
  </si>
  <si>
    <t>d46a2f50</t>
  </si>
  <si>
    <t>05250435</t>
  </si>
  <si>
    <t>ec231cc9</t>
  </si>
  <si>
    <t>Bpk. Kohir (Maintenance Velg)</t>
  </si>
  <si>
    <t>Jl. Lkr. Bypass Krian Timur, Sidogolong, Watugolong, Kec. Krian, Kabupaten Sidoarjo, Jawa Timur 61262</t>
  </si>
  <si>
    <t>05250438</t>
  </si>
  <si>
    <t>05250439</t>
  </si>
  <si>
    <t>05250441</t>
  </si>
  <si>
    <t>4edfe755</t>
  </si>
  <si>
    <t>Bpk. Ibnu</t>
  </si>
  <si>
    <t>HGQF+482 Wonokupang, Sidoarjo, Jawa Timur</t>
  </si>
  <si>
    <t>05250442</t>
  </si>
  <si>
    <t>78ffde66</t>
  </si>
  <si>
    <t>196d5ce4</t>
  </si>
  <si>
    <t>1267c257</t>
  </si>
  <si>
    <t>05250444</t>
  </si>
  <si>
    <t>05250445</t>
  </si>
  <si>
    <t>3b43a135</t>
  </si>
  <si>
    <t>2916e14d</t>
  </si>
  <si>
    <t>69b421ed</t>
  </si>
  <si>
    <t>98ad6957</t>
  </si>
  <si>
    <t>baa28913</t>
  </si>
  <si>
    <t>05250446</t>
  </si>
  <si>
    <t>05250447</t>
  </si>
  <si>
    <t>58384560</t>
  </si>
  <si>
    <t>18e2306f</t>
  </si>
  <si>
    <t>05250448</t>
  </si>
  <si>
    <t>05250450</t>
  </si>
  <si>
    <t>7592be98</t>
  </si>
  <si>
    <t>925e1d47</t>
  </si>
  <si>
    <t>05250452</t>
  </si>
  <si>
    <t>05250453</t>
  </si>
  <si>
    <t>05250454</t>
  </si>
  <si>
    <t>05250455</t>
  </si>
  <si>
    <t>05250456</t>
  </si>
  <si>
    <t>57044fe2</t>
  </si>
  <si>
    <t>dfb9d59a</t>
  </si>
  <si>
    <t>3b7e7cdb</t>
  </si>
  <si>
    <t>05250458</t>
  </si>
  <si>
    <t>05250459</t>
  </si>
  <si>
    <t>dcd473c0</t>
  </si>
  <si>
    <t>05250462</t>
  </si>
  <si>
    <t>4378ab44</t>
  </si>
  <si>
    <t>ebc6fa1b</t>
  </si>
  <si>
    <t>05250463</t>
  </si>
  <si>
    <t>efd28706</t>
  </si>
  <si>
    <t>1a91e671</t>
  </si>
  <si>
    <t>05250465</t>
  </si>
  <si>
    <t>05250468</t>
  </si>
  <si>
    <t>05250469</t>
  </si>
  <si>
    <t>05250470</t>
  </si>
  <si>
    <t>05250471</t>
  </si>
  <si>
    <t>da69e183</t>
  </si>
  <si>
    <t>1ed8a44f</t>
  </si>
  <si>
    <t>85f82373</t>
  </si>
  <si>
    <t>05250473</t>
  </si>
  <si>
    <t>05250477</t>
  </si>
  <si>
    <t>e8268dc7</t>
  </si>
  <si>
    <t>460f0ae6</t>
  </si>
  <si>
    <t>05250478</t>
  </si>
  <si>
    <t>bdb5baf1</t>
  </si>
  <si>
    <t>Bpk. Abdul</t>
  </si>
  <si>
    <t>06250479</t>
  </si>
  <si>
    <t>06250480</t>
  </si>
  <si>
    <t>06250481</t>
  </si>
  <si>
    <t>0411d86e</t>
  </si>
  <si>
    <t>Bpk. Subiantoro (Parengan)</t>
  </si>
  <si>
    <t>Jl. Kraton, Sidomukti, Kraton, Kec. Krian, Kabupaten Sidoarjo, Jawa Timur 61262</t>
  </si>
  <si>
    <t>06250482</t>
  </si>
  <si>
    <t>45d814b4</t>
  </si>
  <si>
    <t>Bpk. Joko (Ponokawan)</t>
  </si>
  <si>
    <t>Ponokawan, Krian</t>
  </si>
  <si>
    <t>06250484</t>
  </si>
  <si>
    <t>06250485</t>
  </si>
  <si>
    <t>f1f5f986</t>
  </si>
  <si>
    <t>c215bfba</t>
  </si>
  <si>
    <t>66b48efd</t>
  </si>
  <si>
    <t>419130b7</t>
  </si>
  <si>
    <t>a8f6093d</t>
  </si>
  <si>
    <t>06250486</t>
  </si>
  <si>
    <t>06250488</t>
  </si>
  <si>
    <t>06250490</t>
  </si>
  <si>
    <t>06250491</t>
  </si>
  <si>
    <t>7a0f7e45</t>
  </si>
  <si>
    <t>75324e8d</t>
  </si>
  <si>
    <t>06250492</t>
  </si>
  <si>
    <t>06250493</t>
  </si>
  <si>
    <t>06250494</t>
  </si>
  <si>
    <t>fcc30418</t>
  </si>
  <si>
    <t>d8417487</t>
  </si>
  <si>
    <t>8c0627b2</t>
  </si>
  <si>
    <t>3ced37c6</t>
  </si>
  <si>
    <t>5d22af18</t>
  </si>
  <si>
    <t>b8129664</t>
  </si>
  <si>
    <t>00c0dbe9</t>
  </si>
  <si>
    <t>06250496</t>
  </si>
  <si>
    <t>d512605e</t>
  </si>
  <si>
    <t>900a2860</t>
  </si>
  <si>
    <t>06250498</t>
  </si>
  <si>
    <t>ba18943f</t>
  </si>
  <si>
    <t>06250499</t>
  </si>
  <si>
    <t>c90c74d6</t>
  </si>
  <si>
    <t>f8d9129b</t>
  </si>
  <si>
    <t>06250501</t>
  </si>
  <si>
    <t>6a1dfde4</t>
  </si>
  <si>
    <t>06250502</t>
  </si>
  <si>
    <t>da48b68f</t>
  </si>
  <si>
    <t>435e9bac</t>
  </si>
  <si>
    <t>06250503</t>
  </si>
  <si>
    <t>06250504</t>
  </si>
  <si>
    <t>cd306d30</t>
  </si>
  <si>
    <t>b8d22ccc</t>
  </si>
  <si>
    <t>06250505</t>
  </si>
  <si>
    <t>e88ec3e4</t>
  </si>
  <si>
    <t>06250506</t>
  </si>
  <si>
    <t>06250507</t>
  </si>
  <si>
    <t>bfe223d7</t>
  </si>
  <si>
    <t>06250509</t>
  </si>
  <si>
    <t>c210f9af</t>
  </si>
  <si>
    <t>06250510</t>
  </si>
  <si>
    <t>06250511</t>
  </si>
  <si>
    <t>06250514</t>
  </si>
  <si>
    <t>bdb5baf0</t>
  </si>
  <si>
    <t>b7d830b6</t>
  </si>
  <si>
    <t>a0bc1a65</t>
  </si>
  <si>
    <t>001b70e0</t>
  </si>
  <si>
    <t>06250516</t>
  </si>
  <si>
    <t>06250517</t>
  </si>
  <si>
    <t>406250017</t>
  </si>
  <si>
    <t>06250518</t>
  </si>
  <si>
    <t>3d4dc704</t>
  </si>
  <si>
    <t>28af2106</t>
  </si>
  <si>
    <t>06250519</t>
  </si>
  <si>
    <t>f5232b43</t>
  </si>
  <si>
    <t>06250520</t>
  </si>
  <si>
    <t>b218b89b</t>
  </si>
  <si>
    <t>PT Harapan Sentosa</t>
  </si>
  <si>
    <t>Seketi, Jl. Purboyo II Selatan, RT.02/RW.02, Seketi, Kec. BalongBendo, Kabupaten Sidoarjo, Jawa Timur 61263</t>
  </si>
  <si>
    <t>06250521</t>
  </si>
  <si>
    <t>5d883971</t>
  </si>
  <si>
    <t>06250522</t>
  </si>
  <si>
    <t>06250525</t>
  </si>
  <si>
    <t>84ebf01d</t>
  </si>
  <si>
    <t>06250527</t>
  </si>
  <si>
    <t>36a785b7</t>
  </si>
  <si>
    <t>75445ff8</t>
  </si>
  <si>
    <t>2668c0e9</t>
  </si>
  <si>
    <t>06250528</t>
  </si>
  <si>
    <t>06250529</t>
  </si>
  <si>
    <t>06250531</t>
  </si>
  <si>
    <t>11594276</t>
  </si>
  <si>
    <t>8b5d31be</t>
  </si>
  <si>
    <t>518e58cc</t>
  </si>
  <si>
    <t>bf8e67f3</t>
  </si>
  <si>
    <t>06250533</t>
  </si>
  <si>
    <t>06250534</t>
  </si>
  <si>
    <t>06250535</t>
  </si>
  <si>
    <t>06250536</t>
  </si>
  <si>
    <t>596bb75d</t>
  </si>
  <si>
    <t>6d0dab5a</t>
  </si>
  <si>
    <t>9a004795</t>
  </si>
  <si>
    <t>06250537</t>
  </si>
  <si>
    <t>d1e4a939</t>
  </si>
  <si>
    <t>06250539</t>
  </si>
  <si>
    <t>06250541</t>
  </si>
  <si>
    <t>06250542</t>
  </si>
  <si>
    <t>c875aed0</t>
  </si>
  <si>
    <t>06250543</t>
  </si>
  <si>
    <t>06250546</t>
  </si>
  <si>
    <t>06250548</t>
  </si>
  <si>
    <t>06250549</t>
  </si>
  <si>
    <t>9483f2cb</t>
  </si>
  <si>
    <t>fd7a3f9f</t>
  </si>
  <si>
    <t>624023cb</t>
  </si>
  <si>
    <t>c70c93ad</t>
  </si>
  <si>
    <t>f45a5cc7</t>
  </si>
  <si>
    <t>07250550</t>
  </si>
  <si>
    <t>07250551</t>
  </si>
  <si>
    <t>07250552</t>
  </si>
  <si>
    <t>68f0d65c</t>
  </si>
  <si>
    <t>f885618d</t>
  </si>
  <si>
    <t>4f4cb182</t>
  </si>
  <si>
    <t>f27f601a</t>
  </si>
  <si>
    <t>07250553</t>
  </si>
  <si>
    <t>07250554</t>
  </si>
  <si>
    <t>c5bcb5a3</t>
  </si>
  <si>
    <t>07250555</t>
  </si>
  <si>
    <t>c2fcb791</t>
  </si>
  <si>
    <t>Jl. Morowudi, Ikerikergeger, Kabupaten Gresik, Jawa Timur</t>
  </si>
  <si>
    <t>cc357c7a</t>
  </si>
  <si>
    <t>07250558</t>
  </si>
  <si>
    <t>07250559</t>
  </si>
  <si>
    <t>472e11d8</t>
  </si>
  <si>
    <t>d3904f91</t>
  </si>
  <si>
    <t>07250561</t>
  </si>
  <si>
    <t>dfas2312</t>
  </si>
  <si>
    <t>Bpk. Fuad (Parengan)</t>
  </si>
  <si>
    <t>4ecbf179</t>
  </si>
  <si>
    <t>554ea978</t>
  </si>
  <si>
    <t>3a734ab4</t>
  </si>
  <si>
    <t>dce33602</t>
  </si>
  <si>
    <t>e542b575</t>
  </si>
  <si>
    <t>f24f4587</t>
  </si>
  <si>
    <t>07250563</t>
  </si>
  <si>
    <t>58fd0494</t>
  </si>
  <si>
    <t>07250565</t>
  </si>
  <si>
    <t>07250566</t>
  </si>
  <si>
    <t>07250567</t>
  </si>
  <si>
    <t>60049fb5</t>
  </si>
  <si>
    <t>6898ff4b</t>
  </si>
  <si>
    <t>2af5fd0d</t>
  </si>
  <si>
    <t>07250569</t>
  </si>
  <si>
    <t>07250570</t>
  </si>
  <si>
    <t>2187d7c1</t>
  </si>
  <si>
    <t>9a9f51ae</t>
  </si>
  <si>
    <t>07250571</t>
  </si>
  <si>
    <t>7d632951</t>
  </si>
  <si>
    <t>07250573</t>
  </si>
  <si>
    <t>917b55ae</t>
  </si>
  <si>
    <t>c3ecc274</t>
  </si>
  <si>
    <t>06ff4f9d</t>
  </si>
  <si>
    <t>2bfe062c</t>
  </si>
  <si>
    <t>07250575</t>
  </si>
  <si>
    <t>8cb52383</t>
  </si>
  <si>
    <t>4a9633a4</t>
  </si>
  <si>
    <t>6eebccb0</t>
  </si>
  <si>
    <t>cb904bf7</t>
  </si>
  <si>
    <t>07250576</t>
  </si>
  <si>
    <t>f7cc9e81</t>
  </si>
  <si>
    <t>bdb5baf2</t>
  </si>
  <si>
    <t>07250577</t>
  </si>
  <si>
    <t>07250579</t>
  </si>
  <si>
    <t>07250580</t>
  </si>
  <si>
    <t>07250581</t>
  </si>
  <si>
    <t>9e31e9f4</t>
  </si>
  <si>
    <t>Bpk. Eko Iswantoro</t>
  </si>
  <si>
    <t>HHWW+8J Kemasan, Kec. Krian, Kabupaten Sidoarjo, Jawa Timur, Indonesia</t>
  </si>
  <si>
    <t>07250582</t>
  </si>
  <si>
    <t>07250583</t>
  </si>
  <si>
    <t>de105572</t>
  </si>
  <si>
    <t>1ff60dd1</t>
  </si>
  <si>
    <t>9ffb08ba</t>
  </si>
  <si>
    <t>a68dcd3f</t>
  </si>
  <si>
    <t>bc35577f</t>
  </si>
  <si>
    <t>a1ad4f02</t>
  </si>
  <si>
    <t>328ccf2a</t>
  </si>
  <si>
    <t>e8a44877</t>
  </si>
  <si>
    <t>07250584</t>
  </si>
  <si>
    <t>db3a787e</t>
  </si>
  <si>
    <t>8f3c6b83</t>
  </si>
  <si>
    <t>2703945b</t>
  </si>
  <si>
    <t>07250585</t>
  </si>
  <si>
    <t>07250586</t>
  </si>
  <si>
    <t>07250588</t>
  </si>
  <si>
    <t>196b24da</t>
  </si>
  <si>
    <t>PT Samudra Cipta Enjineering</t>
  </si>
  <si>
    <t>Pergudangan Center Point Blok C4   Ds. Kemangsen  Balongbendo</t>
  </si>
  <si>
    <t>07250589</t>
  </si>
  <si>
    <t>3a2456c3</t>
  </si>
  <si>
    <t>a98ec2eb</t>
  </si>
  <si>
    <t>849d7a3f</t>
  </si>
  <si>
    <t>a4f29488</t>
  </si>
  <si>
    <t>c1511cfa</t>
  </si>
  <si>
    <t>07250591</t>
  </si>
  <si>
    <t>07250593</t>
  </si>
  <si>
    <t>07250594</t>
  </si>
  <si>
    <t>07250595</t>
  </si>
  <si>
    <t>07250596</t>
  </si>
  <si>
    <t>07250598</t>
  </si>
  <si>
    <t>07250599</t>
  </si>
  <si>
    <t>44d21c3c</t>
  </si>
  <si>
    <t>0cfebda0</t>
  </si>
  <si>
    <t>31059158</t>
  </si>
  <si>
    <t>64627324</t>
  </si>
  <si>
    <t>407250018</t>
  </si>
  <si>
    <t>6e5f3182</t>
  </si>
  <si>
    <t>63af65d8</t>
  </si>
  <si>
    <t>331f20a4</t>
  </si>
  <si>
    <t>07250602</t>
  </si>
  <si>
    <t>eec2e801</t>
  </si>
  <si>
    <t>Mitra Wood Sejahtera</t>
  </si>
  <si>
    <t>Jl.cungkling, Jl. Tanggungan, Nanom Kidul, Lebaniwaras, Kec. Wringinanom, Kabupaten Gresik, Jawa Timur 61176</t>
  </si>
  <si>
    <t>d907a601</t>
  </si>
  <si>
    <t>49f35469</t>
  </si>
  <si>
    <t>07250606</t>
  </si>
  <si>
    <t>6eeee09c</t>
  </si>
  <si>
    <t>3c543d79</t>
  </si>
  <si>
    <t>07250607</t>
  </si>
  <si>
    <t>a343b84d</t>
  </si>
  <si>
    <t>PT Utama Alim Sejahtera</t>
  </si>
  <si>
    <t>JL. PURBOYO, SEKETI, BALONGBENDO, KAB.SIDOARJO, JAWA TIMUR, 61263</t>
  </si>
  <si>
    <t>07250608</t>
  </si>
  <si>
    <t>a012b117</t>
  </si>
  <si>
    <t>07250609</t>
  </si>
  <si>
    <t>70d872ca</t>
  </si>
  <si>
    <t>567d9367</t>
  </si>
  <si>
    <t>e1f2152b</t>
  </si>
  <si>
    <t>407250019</t>
  </si>
  <si>
    <t>07250610</t>
  </si>
  <si>
    <t>57d2874d</t>
  </si>
  <si>
    <t>b1d8be8d</t>
  </si>
  <si>
    <t>07250611</t>
  </si>
  <si>
    <t>07250612</t>
  </si>
  <si>
    <t>07250613</t>
  </si>
  <si>
    <t>07250614</t>
  </si>
  <si>
    <t>dc638d37</t>
  </si>
  <si>
    <t>036fb907</t>
  </si>
  <si>
    <t>8128f000</t>
  </si>
  <si>
    <t>2f918338</t>
  </si>
  <si>
    <t>741474b6</t>
  </si>
  <si>
    <t>07250615</t>
  </si>
  <si>
    <t>09a943c2</t>
  </si>
  <si>
    <t>0e04fedd</t>
  </si>
  <si>
    <t>eaed35ff</t>
  </si>
  <si>
    <t>07250616</t>
  </si>
  <si>
    <t>07250617</t>
  </si>
  <si>
    <t>07250618</t>
  </si>
  <si>
    <t>3e3f2c35</t>
  </si>
  <si>
    <t>1250488</t>
  </si>
  <si>
    <t>08250618</t>
  </si>
  <si>
    <t>0825211076</t>
  </si>
  <si>
    <t>0825371077</t>
  </si>
  <si>
    <t>082531079</t>
  </si>
  <si>
    <t>1250490</t>
  </si>
  <si>
    <t>082561080</t>
  </si>
  <si>
    <t>1250491</t>
  </si>
  <si>
    <t>1250493</t>
  </si>
  <si>
    <t>1250492</t>
  </si>
  <si>
    <t>0825221082</t>
  </si>
  <si>
    <t>082531086</t>
  </si>
  <si>
    <t>1250494</t>
  </si>
  <si>
    <t>0825131087</t>
  </si>
  <si>
    <t>0825211089</t>
  </si>
  <si>
    <t>1250495</t>
  </si>
  <si>
    <t>1250496</t>
  </si>
  <si>
    <t>1250497</t>
  </si>
  <si>
    <t>0825101094</t>
  </si>
  <si>
    <t>1250506</t>
  </si>
  <si>
    <t>1250507</t>
  </si>
  <si>
    <t>0825231094</t>
  </si>
  <si>
    <t>0825221097</t>
  </si>
  <si>
    <t>0825131098</t>
  </si>
  <si>
    <t>0825191099</t>
  </si>
  <si>
    <t>1250503</t>
  </si>
  <si>
    <t>1250505</t>
  </si>
  <si>
    <t>1250504</t>
  </si>
  <si>
    <t>0825231100</t>
  </si>
  <si>
    <t>0825251104</t>
  </si>
  <si>
    <t>1250502</t>
  </si>
  <si>
    <t>1250501</t>
  </si>
  <si>
    <t>4082521054</t>
  </si>
  <si>
    <t>082571105</t>
  </si>
  <si>
    <t>0825141109</t>
  </si>
  <si>
    <t>082511110</t>
  </si>
  <si>
    <t>5e174cd0</t>
  </si>
  <si>
    <t>Maherdi</t>
  </si>
  <si>
    <t>Tarik</t>
  </si>
  <si>
    <t>0825121111</t>
  </si>
  <si>
    <t>1250508</t>
  </si>
  <si>
    <t>1250498</t>
  </si>
  <si>
    <t>1250499</t>
  </si>
  <si>
    <t>082511112</t>
  </si>
  <si>
    <t>bdb5baf3</t>
  </si>
  <si>
    <t>Bypass Krian</t>
  </si>
  <si>
    <t>082571116</t>
  </si>
  <si>
    <t>1250509</t>
  </si>
  <si>
    <t>1250510</t>
  </si>
  <si>
    <t>0825341111</t>
  </si>
  <si>
    <t>1250511</t>
  </si>
  <si>
    <t>082541120</t>
  </si>
  <si>
    <t>0825381122</t>
  </si>
  <si>
    <t>1250512</t>
  </si>
  <si>
    <t>1250513</t>
  </si>
  <si>
    <t>1250485</t>
  </si>
  <si>
    <t>1250402</t>
  </si>
  <si>
    <t>0825151128</t>
  </si>
  <si>
    <t>1250514</t>
  </si>
  <si>
    <t>0825151129</t>
  </si>
  <si>
    <t>1250516</t>
  </si>
  <si>
    <t>1250515</t>
  </si>
  <si>
    <t>0825391131</t>
  </si>
  <si>
    <t>1250517</t>
  </si>
  <si>
    <t>082591134</t>
  </si>
  <si>
    <t>082581137</t>
  </si>
  <si>
    <t>0825101138</t>
  </si>
  <si>
    <t>0825251140</t>
  </si>
  <si>
    <t>1250518</t>
  </si>
  <si>
    <t>0825131141</t>
  </si>
  <si>
    <t>1250530</t>
  </si>
  <si>
    <t>1250519</t>
  </si>
  <si>
    <t>1250520</t>
  </si>
  <si>
    <t>1250521</t>
  </si>
  <si>
    <t>1250522</t>
  </si>
  <si>
    <t>082511143</t>
  </si>
  <si>
    <t>1250523</t>
  </si>
  <si>
    <t>0825181150</t>
  </si>
  <si>
    <t>0825401152</t>
  </si>
  <si>
    <t>1250525</t>
  </si>
  <si>
    <t>1250524</t>
  </si>
  <si>
    <t>0825251153</t>
  </si>
  <si>
    <t>4082511108</t>
  </si>
  <si>
    <t>1250526</t>
  </si>
  <si>
    <t>082551156</t>
  </si>
  <si>
    <t>documentLog_Images/082551156.customerSign.063548.png</t>
  </si>
  <si>
    <t>1250527</t>
  </si>
  <si>
    <t>0825221159</t>
  </si>
  <si>
    <t>0825251161</t>
  </si>
  <si>
    <t>082571162</t>
  </si>
  <si>
    <t>1250475</t>
  </si>
  <si>
    <t>0825151163</t>
  </si>
  <si>
    <t>0825411165</t>
  </si>
  <si>
    <t>1250529</t>
  </si>
  <si>
    <t>082551166</t>
  </si>
  <si>
    <t>1250532</t>
  </si>
  <si>
    <t>0825421168</t>
  </si>
  <si>
    <t>0825161170</t>
  </si>
  <si>
    <t>documentLog_Images/0825161170.customerSign.081031.png</t>
  </si>
  <si>
    <t>1250531</t>
  </si>
  <si>
    <t>1250533</t>
  </si>
  <si>
    <t>082581171</t>
  </si>
  <si>
    <t>082541174</t>
  </si>
  <si>
    <t>082511175</t>
  </si>
  <si>
    <t>f49860e4</t>
  </si>
  <si>
    <t>Mas Nur ( Jetis )</t>
  </si>
  <si>
    <t>HFVF+CCG, JL.Raya Jetis, jetis, Kec. Jetis Kabupaten Mojokerto Jawa Timur 61352</t>
  </si>
  <si>
    <t>1250477</t>
  </si>
  <si>
    <t>1250476</t>
  </si>
  <si>
    <t>0825161176</t>
  </si>
  <si>
    <t>1250534</t>
  </si>
  <si>
    <t>1250536</t>
  </si>
  <si>
    <t>0825431179</t>
  </si>
  <si>
    <t>082591182</t>
  </si>
  <si>
    <t>1250537</t>
  </si>
  <si>
    <t>0825111183</t>
  </si>
  <si>
    <t>1250478</t>
  </si>
  <si>
    <t>1250550</t>
  </si>
  <si>
    <t>1250538</t>
  </si>
  <si>
    <t>1250551</t>
  </si>
  <si>
    <t>0825261185</t>
  </si>
  <si>
    <t>082521190</t>
  </si>
  <si>
    <t>1250552</t>
  </si>
  <si>
    <t>1250539</t>
  </si>
  <si>
    <t>1250540</t>
  </si>
  <si>
    <t>0825441191</t>
  </si>
  <si>
    <t>1250542</t>
  </si>
  <si>
    <t>1250543</t>
  </si>
  <si>
    <t>1250544</t>
  </si>
  <si>
    <t>1250545</t>
  </si>
  <si>
    <t>0825101195</t>
  </si>
  <si>
    <t>082511200</t>
  </si>
  <si>
    <t>56828503</t>
  </si>
  <si>
    <t>Bpk. Widodo (Wringinanom)</t>
  </si>
  <si>
    <t>JG4H+3J Area Sawah/Kebun, Lebaniwaras, Kec. Wringinanom, Kabupaten Gresik, Jawa Timur, Indonesia</t>
  </si>
  <si>
    <t>0925101201</t>
  </si>
  <si>
    <t>4092521157</t>
  </si>
  <si>
    <t>092591202</t>
  </si>
  <si>
    <t>092511204</t>
  </si>
  <si>
    <t>e3268699</t>
  </si>
  <si>
    <t>Bpk Jainul</t>
  </si>
  <si>
    <t>JL.Morowudi, Ikerikergeger, Kabupaten Gresik, Jawa Timur</t>
  </si>
  <si>
    <t>0925261205</t>
  </si>
  <si>
    <t>1250546</t>
  </si>
  <si>
    <t>1250553</t>
  </si>
  <si>
    <t>1250547</t>
  </si>
  <si>
    <t>1250549</t>
  </si>
  <si>
    <t>1250548</t>
  </si>
  <si>
    <t>0925351206</t>
  </si>
  <si>
    <t>0925171212</t>
  </si>
  <si>
    <t>0925451213</t>
  </si>
  <si>
    <t>1250560</t>
  </si>
  <si>
    <t>1250562</t>
  </si>
  <si>
    <t>092561214</t>
  </si>
  <si>
    <t>0925191214</t>
  </si>
  <si>
    <t>0925101219</t>
  </si>
  <si>
    <t>1250554</t>
  </si>
  <si>
    <t>1250563</t>
  </si>
  <si>
    <t>1250564</t>
  </si>
  <si>
    <t>1250566</t>
  </si>
  <si>
    <t>1250567</t>
  </si>
  <si>
    <t>1250565</t>
  </si>
  <si>
    <t>0925171220</t>
  </si>
  <si>
    <t>092521227</t>
  </si>
  <si>
    <t>092521228</t>
  </si>
  <si>
    <t>1250555</t>
  </si>
  <si>
    <t>1250568</t>
  </si>
  <si>
    <t>1250569</t>
  </si>
  <si>
    <t>1250570</t>
  </si>
  <si>
    <t>07250604</t>
  </si>
  <si>
    <t>0925271234</t>
  </si>
  <si>
    <t>0925101235</t>
  </si>
  <si>
    <t>092531236</t>
  </si>
  <si>
    <t>Masjid Parengan</t>
  </si>
  <si>
    <t>0925111237</t>
  </si>
  <si>
    <t>1250556</t>
  </si>
  <si>
    <t>0925181238</t>
  </si>
  <si>
    <t>1250557</t>
  </si>
  <si>
    <t>1250572</t>
  </si>
  <si>
    <t>1250571</t>
  </si>
  <si>
    <t>0925121240</t>
  </si>
  <si>
    <t>0925461244</t>
  </si>
  <si>
    <t>1250573</t>
  </si>
  <si>
    <t>092571245</t>
  </si>
  <si>
    <t>1250574</t>
  </si>
  <si>
    <t>0925361247</t>
  </si>
  <si>
    <t>0925471248</t>
  </si>
  <si>
    <t>0925201249</t>
  </si>
  <si>
    <t>0925121250</t>
  </si>
  <si>
    <t>1250558</t>
  </si>
  <si>
    <t>1250575</t>
  </si>
  <si>
    <t>1250580</t>
  </si>
  <si>
    <t>1250559</t>
  </si>
  <si>
    <t>1250576</t>
  </si>
  <si>
    <t>1250579</t>
  </si>
  <si>
    <t>092541252</t>
  </si>
  <si>
    <t>0925281259</t>
  </si>
  <si>
    <t>092531260</t>
  </si>
  <si>
    <t>092551261</t>
  </si>
  <si>
    <t>1250577</t>
  </si>
  <si>
    <t>1250578</t>
  </si>
  <si>
    <t>092541262</t>
  </si>
  <si>
    <t>0925481265</t>
  </si>
  <si>
    <t>0925181266</t>
  </si>
  <si>
    <t>092541267</t>
  </si>
  <si>
    <t>1250590</t>
  </si>
  <si>
    <t>1250591</t>
  </si>
  <si>
    <t>1250581</t>
  </si>
  <si>
    <t>092511269</t>
  </si>
  <si>
    <t>3a48ba8b</t>
  </si>
  <si>
    <t>Bpk. Kacung</t>
  </si>
  <si>
    <t>Parengan RT. 17 RW 04 Kraton Krian Sidoarjo</t>
  </si>
  <si>
    <t>0925191273</t>
  </si>
  <si>
    <t>1250592</t>
  </si>
  <si>
    <t>0925231274</t>
  </si>
  <si>
    <t>1250593</t>
  </si>
  <si>
    <t>0925491276</t>
  </si>
  <si>
    <t>1250594</t>
  </si>
  <si>
    <t>0925501278</t>
  </si>
  <si>
    <t>1250596</t>
  </si>
  <si>
    <t>1250595</t>
  </si>
  <si>
    <t>0925111280</t>
  </si>
  <si>
    <t>0925201283</t>
  </si>
  <si>
    <t>1250597</t>
  </si>
  <si>
    <t>1250598</t>
  </si>
  <si>
    <t>1250599</t>
  </si>
  <si>
    <t>0925291284</t>
  </si>
  <si>
    <t>092511288</t>
  </si>
  <si>
    <t>1250600</t>
  </si>
  <si>
    <t>0925371289</t>
  </si>
  <si>
    <t>092581291</t>
  </si>
  <si>
    <t>1250601</t>
  </si>
  <si>
    <t>092541297</t>
  </si>
  <si>
    <t>Bpk. Dio</t>
  </si>
  <si>
    <t>Semawut</t>
  </si>
  <si>
    <t>1250583</t>
  </si>
  <si>
    <t>1250582</t>
  </si>
  <si>
    <t>0925261298</t>
  </si>
  <si>
    <t>4092521203</t>
  </si>
  <si>
    <t>0925211301</t>
  </si>
  <si>
    <t>1250585</t>
  </si>
  <si>
    <t>1250584</t>
  </si>
  <si>
    <t>1250609</t>
  </si>
  <si>
    <t>092561303</t>
  </si>
  <si>
    <t>1250607</t>
  </si>
  <si>
    <t>1250608</t>
  </si>
  <si>
    <t>1250606</t>
  </si>
  <si>
    <t>0925511307</t>
  </si>
  <si>
    <t>1250605</t>
  </si>
  <si>
    <t>0925191311</t>
  </si>
  <si>
    <t>0925121313</t>
  </si>
  <si>
    <t>092511314</t>
  </si>
  <si>
    <t>370c84d1</t>
  </si>
  <si>
    <t>PT. Citra Bintang Karya</t>
  </si>
  <si>
    <t>JL. Mayjen Bambang Yuwono No.21, Sirapan, Kemangsen, Kec. Balongbendo, Kabupaten Sidoarjo, Jawa Timur 61262</t>
  </si>
  <si>
    <t>092511315</t>
  </si>
  <si>
    <t>5d599a87</t>
  </si>
  <si>
    <t>Bapak Hasan</t>
  </si>
  <si>
    <t>Wonokupang Balongbendo</t>
  </si>
  <si>
    <t>1250589</t>
  </si>
  <si>
    <t>1250604</t>
  </si>
  <si>
    <t>1250602</t>
  </si>
  <si>
    <t>1250603</t>
  </si>
  <si>
    <t>1250611</t>
  </si>
  <si>
    <t>1250610</t>
  </si>
  <si>
    <t>092521316</t>
  </si>
  <si>
    <t>1250612</t>
  </si>
  <si>
    <t>0925131323</t>
  </si>
  <si>
    <t>0925211323</t>
  </si>
  <si>
    <t>0925521326</t>
  </si>
  <si>
    <t>092591327</t>
  </si>
  <si>
    <t>092521328</t>
  </si>
  <si>
    <t>1250588</t>
  </si>
  <si>
    <t>1250614</t>
  </si>
  <si>
    <t>0925311332</t>
  </si>
  <si>
    <t>0925131333</t>
  </si>
  <si>
    <t>4092521302</t>
  </si>
  <si>
    <t>0925131334</t>
  </si>
  <si>
    <t>1250586</t>
  </si>
  <si>
    <t>1250616</t>
  </si>
  <si>
    <t>1250613</t>
  </si>
  <si>
    <t>1250615</t>
  </si>
  <si>
    <t>1250620</t>
  </si>
  <si>
    <t>092531336</t>
  </si>
  <si>
    <t>1250617</t>
  </si>
  <si>
    <t>092561342</t>
  </si>
  <si>
    <t>0925531344</t>
  </si>
  <si>
    <t>0925271345</t>
  </si>
  <si>
    <t>4092521303</t>
  </si>
  <si>
    <t>1250621</t>
  </si>
  <si>
    <t>1250631</t>
  </si>
  <si>
    <t>1250630</t>
  </si>
  <si>
    <t>1250632</t>
  </si>
  <si>
    <t>0925101346</t>
  </si>
  <si>
    <t>1250633</t>
  </si>
  <si>
    <t>1250640</t>
  </si>
  <si>
    <t>092511352</t>
  </si>
  <si>
    <t>f98b1e81</t>
  </si>
  <si>
    <t>CV. Greenlife Tirta Sentosa</t>
  </si>
  <si>
    <t>Jl. Parengan NO.354 Semawut, Balongbendo, Kec. Krian Sidoarjo, Jawa Timur 61263</t>
  </si>
  <si>
    <t>092541355</t>
  </si>
  <si>
    <t>1250634</t>
  </si>
  <si>
    <t>1250635</t>
  </si>
  <si>
    <t>1250636</t>
  </si>
  <si>
    <t>1250637</t>
  </si>
  <si>
    <t>092511356</t>
  </si>
  <si>
    <t>1d018c98</t>
  </si>
  <si>
    <t>Mbak Angel</t>
  </si>
  <si>
    <t>Penambangan Krajan RT 02 RW 01 Balongbendo</t>
  </si>
  <si>
    <t>0925311361</t>
  </si>
  <si>
    <t>0925111362</t>
  </si>
  <si>
    <t>0925281363</t>
  </si>
  <si>
    <t>0825271364</t>
  </si>
  <si>
    <t>1250622</t>
  </si>
  <si>
    <t>0925541361</t>
  </si>
  <si>
    <t>0925121367</t>
  </si>
  <si>
    <t>1250638</t>
  </si>
  <si>
    <t>1025141368</t>
  </si>
  <si>
    <t>1025141370</t>
  </si>
  <si>
    <t>102511371</t>
  </si>
  <si>
    <t>4c3a2a5f</t>
  </si>
  <si>
    <t>CV Matahari Mitra Sukses</t>
  </si>
  <si>
    <t>Jl. Raya Hj. Fatimah 01, Tarik, Kabupaten Sidoarjo, Jawa Timur 61265, Indonesia</t>
  </si>
  <si>
    <t>1025241372</t>
  </si>
  <si>
    <t>102511373</t>
  </si>
  <si>
    <t>21ff9b6f</t>
  </si>
  <si>
    <t>Bpk. Khoirul Anam</t>
  </si>
  <si>
    <t>Babut RT.01 RW.01 Plemahan Sumobito Jombang Jawa Timur</t>
  </si>
  <si>
    <t>1025201374</t>
  </si>
  <si>
    <t>1250618</t>
  </si>
  <si>
    <t>1250639</t>
  </si>
  <si>
    <t>1250619</t>
  </si>
  <si>
    <t>1250587</t>
  </si>
  <si>
    <t>1250641</t>
  </si>
  <si>
    <t>1250642</t>
  </si>
  <si>
    <t>1250644</t>
  </si>
  <si>
    <t>1250643</t>
  </si>
  <si>
    <t>1025131370</t>
  </si>
  <si>
    <t>102511384</t>
  </si>
  <si>
    <t>4558672e</t>
  </si>
  <si>
    <t>Sumargiono</t>
  </si>
  <si>
    <t>Balongbendo, RT 04 RW 02 Balongbendo, Balongbendo</t>
  </si>
  <si>
    <t>1025221385</t>
  </si>
  <si>
    <t>1025141386</t>
  </si>
  <si>
    <t>1250645</t>
  </si>
  <si>
    <t>102511387</t>
  </si>
  <si>
    <t>b0735da4</t>
  </si>
  <si>
    <t>Bpk. Amer Ciro</t>
  </si>
  <si>
    <t>HFJR+FV8 Bakungtemenggungan, Kabupaten Sidoarjo, Jawa Timur</t>
  </si>
  <si>
    <t>1250646</t>
  </si>
  <si>
    <t>102511389</t>
  </si>
  <si>
    <t>440df1db</t>
  </si>
  <si>
    <t>PT. Mecca Abadi Sejahtera</t>
  </si>
  <si>
    <t>Jl. Raya Sawocangkring, RT.006/RW.002, Sawo, Sawocangkring, Kec. Wonoayu, Kabupaten Sidoarjo, Jawa Timur 61261</t>
  </si>
  <si>
    <t>1250629</t>
  </si>
  <si>
    <t>102521391</t>
  </si>
  <si>
    <t>1250647</t>
  </si>
  <si>
    <t>1025551394</t>
  </si>
  <si>
    <t>1025151395</t>
  </si>
  <si>
    <t>102531397</t>
  </si>
  <si>
    <t>1250648</t>
  </si>
  <si>
    <t>102521398</t>
  </si>
  <si>
    <t>Bpk. Sumargiono</t>
  </si>
  <si>
    <t>1250649</t>
  </si>
  <si>
    <t>1025141400</t>
  </si>
  <si>
    <t>1025121402</t>
  </si>
  <si>
    <t>1025321403</t>
  </si>
  <si>
    <t>1250623</t>
  </si>
  <si>
    <t>1025151404</t>
  </si>
  <si>
    <t>1250624</t>
  </si>
  <si>
    <t>1250651</t>
  </si>
  <si>
    <t>102531406</t>
  </si>
  <si>
    <t>1025561409</t>
  </si>
  <si>
    <t>1025221410</t>
  </si>
  <si>
    <t>1250625</t>
  </si>
  <si>
    <t>1250652</t>
  </si>
  <si>
    <t>102551411</t>
  </si>
  <si>
    <t>1250653</t>
  </si>
  <si>
    <t>1250626</t>
  </si>
  <si>
    <t>1250627</t>
  </si>
  <si>
    <t>4102511347</t>
  </si>
  <si>
    <t>1250654</t>
  </si>
  <si>
    <t>1025231414</t>
  </si>
  <si>
    <t>102571421</t>
  </si>
  <si>
    <t>1025201422</t>
  </si>
  <si>
    <t>1025571423</t>
  </si>
  <si>
    <t>1250628</t>
  </si>
  <si>
    <t>1250660</t>
  </si>
  <si>
    <t>1025151424</t>
  </si>
  <si>
    <t>1250667</t>
  </si>
  <si>
    <t>1250655</t>
  </si>
  <si>
    <t>1250661</t>
  </si>
  <si>
    <t>1025141427</t>
  </si>
  <si>
    <t>102531431</t>
  </si>
  <si>
    <t>102531432</t>
  </si>
  <si>
    <t>1025131433</t>
  </si>
  <si>
    <t>1025281434</t>
  </si>
  <si>
    <t>1250656</t>
  </si>
  <si>
    <t>1250658</t>
  </si>
  <si>
    <t>1250657</t>
  </si>
  <si>
    <t>1250662</t>
  </si>
  <si>
    <t>1250663</t>
  </si>
  <si>
    <t>1025141435</t>
  </si>
  <si>
    <t>1250664</t>
  </si>
  <si>
    <t>102531427</t>
  </si>
  <si>
    <t>1025381443</t>
  </si>
  <si>
    <t>1250659</t>
  </si>
  <si>
    <t>1250670</t>
  </si>
  <si>
    <t>1025211441</t>
  </si>
  <si>
    <t>102521447</t>
  </si>
  <si>
    <t>1250665</t>
  </si>
  <si>
    <t>1250671</t>
  </si>
  <si>
    <t>1025291448</t>
  </si>
  <si>
    <t>1025161451</t>
  </si>
  <si>
    <t>102541444</t>
  </si>
  <si>
    <t>1250673</t>
  </si>
  <si>
    <t>1250672</t>
  </si>
  <si>
    <t>1025101454</t>
  </si>
  <si>
    <t>1250666</t>
  </si>
  <si>
    <t>1025231454</t>
  </si>
  <si>
    <t>1025221459</t>
  </si>
  <si>
    <t>1250676</t>
  </si>
  <si>
    <t>1250674</t>
  </si>
  <si>
    <t>1250675</t>
  </si>
  <si>
    <t>1250677</t>
  </si>
  <si>
    <t>1250668</t>
  </si>
  <si>
    <t>1250678</t>
  </si>
  <si>
    <t>4102511419</t>
  </si>
  <si>
    <t>1025241460</t>
  </si>
  <si>
    <t>102551468</t>
  </si>
  <si>
    <t>1025151469</t>
  </si>
  <si>
    <t>1025581470</t>
  </si>
  <si>
    <t>1025171471</t>
  </si>
  <si>
    <t>1250679</t>
  </si>
  <si>
    <t>1250669</t>
  </si>
  <si>
    <t>1250690</t>
  </si>
  <si>
    <t>1025231472</t>
  </si>
  <si>
    <t>102511476</t>
  </si>
  <si>
    <t>ca4876e2</t>
  </si>
  <si>
    <t>Bengkel Mustika Mojosari</t>
  </si>
  <si>
    <t>Jl. Kusuma Bangsa, Bulanan, Randubango, Kec. Mojosari, Kabupaten Mojokerto, Jawa Timur 61382</t>
  </si>
  <si>
    <t>1025331477</t>
  </si>
  <si>
    <t>102521478</t>
  </si>
  <si>
    <t>1250692</t>
  </si>
  <si>
    <t>1025591479</t>
  </si>
  <si>
    <t>1250691</t>
  </si>
  <si>
    <t>1250680</t>
  </si>
  <si>
    <t>102571481</t>
  </si>
  <si>
    <t>1250681</t>
  </si>
  <si>
    <t>1025241484</t>
  </si>
  <si>
    <t>1025251486</t>
  </si>
  <si>
    <t>1025151487</t>
  </si>
  <si>
    <t>102571488</t>
  </si>
  <si>
    <t>1250697</t>
  </si>
  <si>
    <t>1250694</t>
  </si>
  <si>
    <t>1250695</t>
  </si>
  <si>
    <t>1250696</t>
  </si>
  <si>
    <t>1250698</t>
  </si>
  <si>
    <t>1250682</t>
  </si>
  <si>
    <t>1025161489</t>
  </si>
  <si>
    <t>4102531467</t>
  </si>
  <si>
    <t>1025601496</t>
  </si>
  <si>
    <t>1025341498</t>
  </si>
  <si>
    <t>1250699</t>
  </si>
  <si>
    <t>1250700</t>
  </si>
  <si>
    <t>1025241499</t>
  </si>
  <si>
    <t>1250701</t>
  </si>
  <si>
    <t>1250702</t>
  </si>
  <si>
    <t>1250703</t>
  </si>
  <si>
    <t>1250683</t>
  </si>
  <si>
    <t>1025251502</t>
  </si>
  <si>
    <t>4102521497</t>
  </si>
  <si>
    <t>1250704</t>
  </si>
  <si>
    <t>102521507</t>
  </si>
  <si>
    <t>1025251510</t>
  </si>
  <si>
    <t>1025611511</t>
  </si>
  <si>
    <t>1250684</t>
  </si>
  <si>
    <t>102511512</t>
  </si>
  <si>
    <t>9e5d8274</t>
  </si>
  <si>
    <t>Bpk. Erry ( Lik Trosobo )</t>
  </si>
  <si>
    <t>Trosobo Taman</t>
  </si>
  <si>
    <t>1250705</t>
  </si>
  <si>
    <t>1250706</t>
  </si>
  <si>
    <t>102521514</t>
  </si>
  <si>
    <t>1025261517</t>
  </si>
  <si>
    <t>1250707</t>
  </si>
  <si>
    <t>1250685</t>
  </si>
  <si>
    <t>1250686</t>
  </si>
  <si>
    <t>102511518</t>
  </si>
  <si>
    <t>ba97d58d</t>
  </si>
  <si>
    <t>Bengkel Citra Mojosari</t>
  </si>
  <si>
    <t>Jl. Raden Wijaya, Kemloko, Jotangan, Kec. Mojosari, Kabupaten Mojokerto, Jawa Timur 61382</t>
  </si>
  <si>
    <t>102531522</t>
  </si>
  <si>
    <t>1250708</t>
  </si>
  <si>
    <t>1250687</t>
  </si>
  <si>
    <t>102511523</t>
  </si>
  <si>
    <t>bf8a2c8b</t>
  </si>
  <si>
    <t>Abah Fadholi</t>
  </si>
  <si>
    <t>Sidowaras Kraton Krian Sidoarjo</t>
  </si>
  <si>
    <t>1250688</t>
  </si>
  <si>
    <t>1025271526</t>
  </si>
  <si>
    <t>1025291528</t>
  </si>
  <si>
    <t>1250720</t>
  </si>
  <si>
    <t>1025621529</t>
  </si>
  <si>
    <t>102521530</t>
  </si>
  <si>
    <t>102521532</t>
  </si>
  <si>
    <t>1250710</t>
  </si>
  <si>
    <t>1250709</t>
  </si>
  <si>
    <t>1250721</t>
  </si>
  <si>
    <t>9b941888</t>
  </si>
  <si>
    <t>Mas Devi ( Parengan )</t>
  </si>
  <si>
    <t>Kraton Krian Sidoarjo, ( sebelah tower listrik )</t>
  </si>
  <si>
    <t>1250722</t>
  </si>
  <si>
    <t>1250723</t>
  </si>
  <si>
    <t>1025281533</t>
  </si>
  <si>
    <t>1250725</t>
  </si>
  <si>
    <t>1250724</t>
  </si>
  <si>
    <t>1250713</t>
  </si>
  <si>
    <t>1250712</t>
  </si>
  <si>
    <t>1025181539</t>
  </si>
  <si>
    <t>1025171544</t>
  </si>
  <si>
    <t>4102541508</t>
  </si>
  <si>
    <t>102551545</t>
  </si>
  <si>
    <t>1025631547</t>
  </si>
  <si>
    <t>1025161548</t>
  </si>
  <si>
    <t>1025251549</t>
  </si>
  <si>
    <t>1025301550</t>
  </si>
  <si>
    <t>1250714</t>
  </si>
  <si>
    <t>1250715</t>
  </si>
  <si>
    <t>1250716</t>
  </si>
  <si>
    <t>1250726</t>
  </si>
  <si>
    <t>1250727</t>
  </si>
  <si>
    <t>1025351551</t>
  </si>
  <si>
    <t>1250729</t>
  </si>
  <si>
    <t>1250728</t>
  </si>
  <si>
    <t>1250730</t>
  </si>
  <si>
    <t>1025291557</t>
  </si>
  <si>
    <t>1025311561</t>
  </si>
  <si>
    <t>1250717</t>
  </si>
  <si>
    <t>1250749</t>
  </si>
  <si>
    <t>1250718</t>
  </si>
  <si>
    <t>1025161562</t>
  </si>
  <si>
    <t>102511566</t>
  </si>
  <si>
    <t>86b29f43</t>
  </si>
  <si>
    <t>Bpk. Gaguk</t>
  </si>
  <si>
    <t>Rumah sakit Sidoarjo barat, krian sidoarjo</t>
  </si>
  <si>
    <t>1025641567</t>
  </si>
  <si>
    <t>1025151568</t>
  </si>
  <si>
    <t>1250748</t>
  </si>
  <si>
    <t>1250741</t>
  </si>
  <si>
    <t>1250719</t>
  </si>
  <si>
    <t>1025181569</t>
  </si>
  <si>
    <t>1025301573</t>
  </si>
  <si>
    <t>1025301574</t>
  </si>
  <si>
    <t>1250747</t>
  </si>
  <si>
    <t>1025261569</t>
  </si>
  <si>
    <t>1250732</t>
  </si>
  <si>
    <t>102531575</t>
  </si>
  <si>
    <t>1250733</t>
  </si>
  <si>
    <t>112541580</t>
  </si>
  <si>
    <t>1125261582</t>
  </si>
  <si>
    <t>1125311583</t>
  </si>
  <si>
    <t>112511584</t>
  </si>
  <si>
    <t>faf71ae5</t>
  </si>
  <si>
    <t>Bpk. Sampurna</t>
  </si>
  <si>
    <t>Jl. Bypass Krian KM.30 No.15, Kraton, Kec. Krian, Kabupaten Sidoarjo, Jawa Timur 61262</t>
  </si>
  <si>
    <t>1250746</t>
  </si>
  <si>
    <t>112521585</t>
  </si>
  <si>
    <t>urgent01112025</t>
  </si>
  <si>
    <t>1250734</t>
  </si>
  <si>
    <t>112511587</t>
  </si>
  <si>
    <t>a1508027</t>
  </si>
  <si>
    <t>Agus Budiono</t>
  </si>
  <si>
    <t>Kraton RT.13 RW. 03 Kraton Krian Sidoarjo</t>
  </si>
  <si>
    <t>1125191590</t>
  </si>
  <si>
    <t>1125321591</t>
  </si>
  <si>
    <t>1250745</t>
  </si>
  <si>
    <t>112521587</t>
  </si>
  <si>
    <t>1250737</t>
  </si>
  <si>
    <t>1250735</t>
  </si>
  <si>
    <t>1250736</t>
  </si>
  <si>
    <t>1250738</t>
  </si>
  <si>
    <t>1125651599</t>
  </si>
  <si>
    <t>112561601</t>
  </si>
  <si>
    <t>1125211602</t>
  </si>
  <si>
    <t>112531603</t>
  </si>
  <si>
    <t>112521604</t>
  </si>
  <si>
    <t>1250744</t>
  </si>
  <si>
    <t>1250743</t>
  </si>
  <si>
    <t>1250739</t>
  </si>
  <si>
    <t>1250740</t>
  </si>
  <si>
    <t>112541605</t>
  </si>
  <si>
    <t>1250742</t>
  </si>
  <si>
    <t>1125171610</t>
  </si>
  <si>
    <t>1250760</t>
  </si>
  <si>
    <t>1250757</t>
  </si>
  <si>
    <t>1250758</t>
  </si>
  <si>
    <t>1250761</t>
  </si>
  <si>
    <t>1125331612</t>
  </si>
  <si>
    <t>112551617</t>
  </si>
  <si>
    <t>112531618</t>
  </si>
  <si>
    <t>1250756</t>
  </si>
  <si>
    <t>1125171619</t>
  </si>
  <si>
    <t>1250762</t>
  </si>
  <si>
    <t>112561621</t>
  </si>
  <si>
    <t>112511623</t>
  </si>
  <si>
    <t>f8a982a4</t>
  </si>
  <si>
    <t>Bpk. Nasir</t>
  </si>
  <si>
    <t>JL Raya Pacet, Dsn. Janti Ds. Jatilangkung RT.01 RW. 04. Kabupaten. Mojokerto Pungging, Jawa Timur</t>
  </si>
  <si>
    <t>1250763</t>
  </si>
  <si>
    <t>1250731</t>
  </si>
  <si>
    <t>1250754</t>
  </si>
  <si>
    <t>1250755</t>
  </si>
  <si>
    <t>1125181624</t>
  </si>
  <si>
    <t>1250753</t>
  </si>
  <si>
    <t>1125341631</t>
  </si>
  <si>
    <t>1125661632</t>
  </si>
  <si>
    <t>1125191633</t>
  </si>
  <si>
    <t>1250764</t>
  </si>
  <si>
    <t>1125261634</t>
  </si>
  <si>
    <t>1125181637</t>
  </si>
  <si>
    <t>112511639</t>
  </si>
  <si>
    <t>734c6d17</t>
  </si>
  <si>
    <t>Bapak Ainol Yaqin ( Bpk. Ibnu )</t>
  </si>
  <si>
    <t>Tanggul Wetan, Tanggul, Kec. Wonoayu, Kabupaten Sidoarjo, Jawa Timur</t>
  </si>
  <si>
    <t>112531640</t>
  </si>
  <si>
    <t>112541641</t>
  </si>
  <si>
    <t>1250751</t>
  </si>
  <si>
    <t>1250752</t>
  </si>
  <si>
    <t>1250765</t>
  </si>
  <si>
    <t>1250766</t>
  </si>
  <si>
    <t>1250767</t>
  </si>
  <si>
    <t>1250750</t>
  </si>
  <si>
    <t>1125351642</t>
  </si>
  <si>
    <t>1250768</t>
  </si>
  <si>
    <t>1250820</t>
  </si>
  <si>
    <t>112511649</t>
  </si>
  <si>
    <t>9e66ced9</t>
  </si>
  <si>
    <t>Bapak Angga</t>
  </si>
  <si>
    <t>Jl. Bypass Krian No.2, Tundungan, Sidomojo, Kec. Krian, Kabupaten Sidoarjo, Jawa Timur 61262</t>
  </si>
  <si>
    <t>112541652</t>
  </si>
  <si>
    <t>112521653</t>
  </si>
  <si>
    <t>1250769</t>
  </si>
  <si>
    <t>1125361654</t>
  </si>
  <si>
    <t>112521656</t>
  </si>
  <si>
    <t>1250821</t>
  </si>
  <si>
    <t>1250771</t>
  </si>
  <si>
    <t>1250770</t>
  </si>
  <si>
    <t>1250822</t>
  </si>
  <si>
    <t>112551657</t>
  </si>
  <si>
    <t>4112521546</t>
  </si>
  <si>
    <t>112521662</t>
  </si>
  <si>
    <t>1250772</t>
  </si>
  <si>
    <t>1250823</t>
  </si>
  <si>
    <t>1125191664</t>
  </si>
  <si>
    <t>1250824</t>
  </si>
  <si>
    <t>112581667</t>
  </si>
  <si>
    <t>1125671669</t>
  </si>
  <si>
    <t>1250773</t>
  </si>
  <si>
    <t>1250779</t>
  </si>
  <si>
    <t>1125371670</t>
  </si>
  <si>
    <t>112551673</t>
  </si>
  <si>
    <t>1125201674</t>
  </si>
  <si>
    <t>1250778</t>
  </si>
  <si>
    <t>112531675</t>
  </si>
  <si>
    <t>112561677</t>
  </si>
  <si>
    <t>1250825</t>
  </si>
  <si>
    <t>1250827</t>
  </si>
  <si>
    <t>1250826</t>
  </si>
  <si>
    <t>1250777</t>
  </si>
  <si>
    <t>1250828</t>
  </si>
  <si>
    <t>1125681678</t>
  </si>
  <si>
    <t>112581684</t>
  </si>
  <si>
    <t>1125381685</t>
  </si>
  <si>
    <t>1250776</t>
  </si>
  <si>
    <t>1250829</t>
  </si>
  <si>
    <t>1125191689</t>
  </si>
  <si>
    <t>1250775</t>
  </si>
  <si>
    <t>112571690</t>
  </si>
  <si>
    <t>1250780</t>
  </si>
  <si>
    <t>112521692</t>
  </si>
  <si>
    <t>1125271694</t>
  </si>
  <si>
    <t>112591695</t>
  </si>
  <si>
    <t>112521696</t>
  </si>
  <si>
    <t>1250774</t>
  </si>
  <si>
    <t>1250790</t>
  </si>
  <si>
    <t>1250791</t>
  </si>
  <si>
    <t>112581697</t>
  </si>
  <si>
    <t>1125271701</t>
  </si>
  <si>
    <t>1250781</t>
  </si>
  <si>
    <t>1125281702</t>
  </si>
  <si>
    <t>1250792</t>
  </si>
  <si>
    <t>1250793</t>
  </si>
  <si>
    <t>1250782</t>
  </si>
  <si>
    <t>1125391704</t>
  </si>
  <si>
    <t>112511708</t>
  </si>
  <si>
    <t>58b72e0c</t>
  </si>
  <si>
    <t>UD. Ais Jaya</t>
  </si>
  <si>
    <t>Jl. Bypass Krian, Kraton, Kec. Krian, Kabupaten Sidoarjo, Jawa Timur 61262</t>
  </si>
  <si>
    <t>112541709</t>
  </si>
  <si>
    <t>1125221710</t>
  </si>
  <si>
    <t>1250794</t>
  </si>
  <si>
    <t>1250795</t>
  </si>
  <si>
    <t>1250783</t>
  </si>
  <si>
    <t>112551711</t>
  </si>
  <si>
    <t>1125321715</t>
  </si>
  <si>
    <t>1250797</t>
  </si>
  <si>
    <t>112511711</t>
  </si>
  <si>
    <t>9828dfc5</t>
  </si>
  <si>
    <t>Bpk. David</t>
  </si>
  <si>
    <t>GHF3+R34, Jl. Kartini, Ngingas, Ngimbangan, Kec. Mojosari, Kabupaten Mojokerto, Jawa Timur 61382</t>
  </si>
  <si>
    <t>1250784</t>
  </si>
  <si>
    <t>112571718</t>
  </si>
  <si>
    <t>1125691720</t>
  </si>
  <si>
    <t>1125331721</t>
  </si>
  <si>
    <t>1125401722</t>
  </si>
  <si>
    <t>1250785</t>
  </si>
  <si>
    <t>112531718</t>
  </si>
  <si>
    <t>1250798</t>
  </si>
  <si>
    <t>1250799</t>
  </si>
  <si>
    <t>1125211723</t>
  </si>
  <si>
    <t>1250787</t>
  </si>
  <si>
    <t>1250786</t>
  </si>
  <si>
    <t>1125231728</t>
  </si>
  <si>
    <t>1250796</t>
  </si>
  <si>
    <t>112511731</t>
  </si>
  <si>
    <t>63fc688a</t>
  </si>
  <si>
    <t>CV Malik Nusantara</t>
  </si>
  <si>
    <t>Jl. Raya Balongbendo No.12, Suwaluh Utara, Suwaluh, Kec. BalongBendo, Kabupaten Sidoarjo, Jawa Timur 61263</t>
  </si>
  <si>
    <t>1250800</t>
  </si>
  <si>
    <t>1250788</t>
  </si>
  <si>
    <t>112531733</t>
  </si>
  <si>
    <t>1125351737</t>
  </si>
  <si>
    <t>1125361738</t>
  </si>
  <si>
    <t>1125361739</t>
  </si>
  <si>
    <t>1125411740</t>
  </si>
  <si>
    <t>1125361741</t>
  </si>
  <si>
    <t>112511742</t>
  </si>
  <si>
    <t>a0f0ad2d</t>
  </si>
  <si>
    <t>CV. Yulie Jaya</t>
  </si>
  <si>
    <t>JJH4+6RV, Badas, Barengkrajan, Kec. Krian, Kabupaten Sidoarjo, Jawa Timur 61262</t>
  </si>
  <si>
    <t>112521743</t>
  </si>
  <si>
    <t>112531744</t>
  </si>
  <si>
    <t>112541745</t>
  </si>
  <si>
    <t>112591746</t>
  </si>
  <si>
    <t>1250801</t>
  </si>
  <si>
    <t>1250802</t>
  </si>
  <si>
    <t>1250804</t>
  </si>
  <si>
    <t>1250805</t>
  </si>
  <si>
    <t>1250803</t>
  </si>
  <si>
    <t>1250789</t>
  </si>
  <si>
    <t>112541747</t>
  </si>
  <si>
    <t>1250830</t>
  </si>
  <si>
    <t>1250831</t>
  </si>
  <si>
    <t>112521754</t>
  </si>
  <si>
    <t>1250832</t>
  </si>
  <si>
    <t>1125701757</t>
  </si>
  <si>
    <t>112551759</t>
  </si>
  <si>
    <t>1250833</t>
  </si>
  <si>
    <t>1250834</t>
  </si>
  <si>
    <t>1250835</t>
  </si>
  <si>
    <t>112531760</t>
  </si>
  <si>
    <t>1250807</t>
  </si>
  <si>
    <t>112531764</t>
  </si>
  <si>
    <t>112511766</t>
  </si>
  <si>
    <t>8b765561</t>
  </si>
  <si>
    <t>Bpk. Idris</t>
  </si>
  <si>
    <t>1125221767</t>
  </si>
  <si>
    <t>1252806</t>
  </si>
  <si>
    <t>112541768</t>
  </si>
  <si>
    <t>1250838</t>
  </si>
  <si>
    <t>1250837</t>
  </si>
  <si>
    <t>1125421770</t>
  </si>
  <si>
    <t>1125281773</t>
  </si>
  <si>
    <t>1250809</t>
  </si>
  <si>
    <t>1250810</t>
  </si>
  <si>
    <t>1250808</t>
  </si>
  <si>
    <t>1250841</t>
  </si>
  <si>
    <t>1250839</t>
  </si>
  <si>
    <t>1250811</t>
  </si>
  <si>
    <t>1250842</t>
  </si>
  <si>
    <t>1125161774</t>
  </si>
  <si>
    <t>112531782</t>
  </si>
  <si>
    <t>1125101783</t>
  </si>
  <si>
    <t>1125111784</t>
  </si>
  <si>
    <t>1125101785</t>
  </si>
  <si>
    <t>1250843</t>
  </si>
  <si>
    <t>1250844</t>
  </si>
  <si>
    <t>1250812</t>
  </si>
  <si>
    <t>112521786</t>
  </si>
  <si>
    <t>1125431786</t>
  </si>
  <si>
    <t>4112531663</t>
  </si>
  <si>
    <t>1125311791</t>
  </si>
  <si>
    <t>112521793</t>
  </si>
  <si>
    <t>1250845</t>
  </si>
  <si>
    <t>1125111794</t>
  </si>
  <si>
    <t>1250813</t>
  </si>
  <si>
    <t>1250816</t>
  </si>
  <si>
    <t>1250814</t>
  </si>
  <si>
    <t>1250815</t>
  </si>
  <si>
    <t>1250846</t>
  </si>
  <si>
    <t>1250847</t>
  </si>
  <si>
    <t>1250848</t>
  </si>
  <si>
    <t>112541796</t>
  </si>
  <si>
    <t>1125121804</t>
  </si>
  <si>
    <t>112571805</t>
  </si>
  <si>
    <t>1250817</t>
  </si>
  <si>
    <t>1250849</t>
  </si>
  <si>
    <t>1250850</t>
  </si>
  <si>
    <t>1250851</t>
  </si>
  <si>
    <t>1250818</t>
  </si>
  <si>
    <t>1250860</t>
  </si>
  <si>
    <t>1250819</t>
  </si>
  <si>
    <t>112511806</t>
  </si>
  <si>
    <t>03ff52db</t>
  </si>
  <si>
    <t>Aneka Teknik Logam</t>
  </si>
  <si>
    <t>HH8G+MQC, Areng Areng, Tropodo, Kec. Krian, Kabupaten Sidoarjo, Jawa Timur 61262</t>
  </si>
  <si>
    <t>112561814</t>
  </si>
  <si>
    <t>112531815</t>
  </si>
  <si>
    <t>1125441816</t>
  </si>
  <si>
    <t>1250862</t>
  </si>
  <si>
    <t>1250863</t>
  </si>
  <si>
    <t>1250861</t>
  </si>
  <si>
    <t>112541817</t>
  </si>
  <si>
    <t>1250852</t>
  </si>
  <si>
    <t>1250853</t>
  </si>
  <si>
    <t>1250854</t>
  </si>
  <si>
    <t>1125121806</t>
  </si>
  <si>
    <t>1125131825</t>
  </si>
  <si>
    <t>1125321826</t>
  </si>
  <si>
    <t>112541827</t>
  </si>
  <si>
    <t>1250855</t>
  </si>
  <si>
    <t>1250864</t>
  </si>
  <si>
    <t>1250865</t>
  </si>
  <si>
    <t>112541828</t>
  </si>
  <si>
    <t>1125231832</t>
  </si>
  <si>
    <t>1250857</t>
  </si>
  <si>
    <t>1250858</t>
  </si>
  <si>
    <t>1250856</t>
  </si>
  <si>
    <t>1250866</t>
  </si>
  <si>
    <t>1250867</t>
  </si>
  <si>
    <t>112551833</t>
  </si>
  <si>
    <t>1250859</t>
  </si>
  <si>
    <t>1250868</t>
  </si>
  <si>
    <t>1250869</t>
  </si>
  <si>
    <t>1250880</t>
  </si>
  <si>
    <t>1250870</t>
  </si>
  <si>
    <t>112551839</t>
  </si>
  <si>
    <t>112561845</t>
  </si>
  <si>
    <t>1250871</t>
  </si>
  <si>
    <t>112581846</t>
  </si>
  <si>
    <t>112561848</t>
  </si>
  <si>
    <t>1250872</t>
  </si>
  <si>
    <t>1250873</t>
  </si>
  <si>
    <t>1250881</t>
  </si>
  <si>
    <t>1125371849</t>
  </si>
  <si>
    <t>1250882</t>
  </si>
  <si>
    <t>1125451853</t>
  </si>
  <si>
    <t>112511856</t>
  </si>
  <si>
    <t>1250874</t>
  </si>
  <si>
    <t>1125711857</t>
  </si>
  <si>
    <t>1250883</t>
  </si>
  <si>
    <t>1250875</t>
  </si>
  <si>
    <t>122511859</t>
  </si>
  <si>
    <t>3b04351a</t>
  </si>
  <si>
    <t>CV Usaha Logam Jaya</t>
  </si>
  <si>
    <t>Jl. Jetis Karya, Wonorejo, Jetis, Kec. Jetis, Kabupaten Mojokerto, Jawa Timur 61352</t>
  </si>
  <si>
    <t>1225271862</t>
  </si>
  <si>
    <t>1250884</t>
  </si>
  <si>
    <t>1250885</t>
  </si>
  <si>
    <t>1250879</t>
  </si>
  <si>
    <t>1250876</t>
  </si>
  <si>
    <t>1250877</t>
  </si>
  <si>
    <t>1250878</t>
  </si>
  <si>
    <t>1250886</t>
  </si>
  <si>
    <t>122541863</t>
  </si>
  <si>
    <t>1225461871</t>
  </si>
  <si>
    <t>1225291872</t>
  </si>
  <si>
    <t>1250891</t>
  </si>
  <si>
    <t>1225371873</t>
  </si>
  <si>
    <t>122551875</t>
  </si>
  <si>
    <t>1225291876</t>
  </si>
  <si>
    <t>4122511792</t>
  </si>
  <si>
    <t>be2c16c7</t>
  </si>
  <si>
    <t>Toko setya ( Mas Farid )</t>
  </si>
  <si>
    <t>JL. Rendi agung No 452 Kel. Urangagung, kec/kab. Sidoarjo</t>
  </si>
  <si>
    <t>1250890</t>
  </si>
  <si>
    <t>1250892</t>
  </si>
  <si>
    <t>1250893</t>
  </si>
  <si>
    <t>122571877</t>
  </si>
  <si>
    <t>1250895</t>
  </si>
  <si>
    <t>1250894</t>
  </si>
  <si>
    <t>1250889</t>
  </si>
  <si>
    <t>1250888</t>
  </si>
  <si>
    <t>1225471882</t>
  </si>
  <si>
    <t>122551887</t>
  </si>
  <si>
    <t>1250896</t>
  </si>
  <si>
    <t>122561888</t>
  </si>
  <si>
    <t>1250911</t>
  </si>
  <si>
    <t>1225481888</t>
  </si>
  <si>
    <t>1250910</t>
  </si>
  <si>
    <t>1250897</t>
  </si>
  <si>
    <t>1250919</t>
  </si>
  <si>
    <t>122521892</t>
  </si>
  <si>
    <t>CV Usaha Logam Jaya ( Bpk Putra )</t>
  </si>
  <si>
    <t>Jl. Raya Wringinanom, Sidomoro, Pasinan Lemahputih, Kec. Wringinanom, Kabupaten Gresik, Jawa Timur 61176</t>
  </si>
  <si>
    <t>122551896</t>
  </si>
  <si>
    <t>1225491897</t>
  </si>
  <si>
    <t>1250918</t>
  </si>
  <si>
    <t>1225381898</t>
  </si>
  <si>
    <t>1250917</t>
  </si>
  <si>
    <t>1250914</t>
  </si>
  <si>
    <t>122531900</t>
  </si>
  <si>
    <t>1250916</t>
  </si>
  <si>
    <t>1250915</t>
  </si>
  <si>
    <t>1250912</t>
  </si>
  <si>
    <t>1250901</t>
  </si>
  <si>
    <t>1250902</t>
  </si>
  <si>
    <t>1250900</t>
  </si>
  <si>
    <t>1250903</t>
  </si>
  <si>
    <t>122571903</t>
  </si>
  <si>
    <t>1250913</t>
  </si>
  <si>
    <t>1225501911</t>
  </si>
  <si>
    <t>122551913</t>
  </si>
  <si>
    <t>122541914</t>
  </si>
  <si>
    <t>1225241915</t>
  </si>
  <si>
    <t>122561916</t>
  </si>
  <si>
    <t>122591917</t>
  </si>
  <si>
    <t>122511918</t>
  </si>
  <si>
    <t>6bfb8bcb</t>
  </si>
  <si>
    <t>Bpk. Mashudul Chaq</t>
  </si>
  <si>
    <t>JL. Raya Balongbendo NO.17, Suwaluh Utara, Suwaluh, kec. Balongbendo, Kabbupaten Sidoarjo, Jawa Timur 61263</t>
  </si>
  <si>
    <t>1250904</t>
  </si>
  <si>
    <t>1250898</t>
  </si>
  <si>
    <t>1250905</t>
  </si>
  <si>
    <t>1250922</t>
  </si>
  <si>
    <t>1250921</t>
  </si>
  <si>
    <t>1250920</t>
  </si>
  <si>
    <t>1250906</t>
  </si>
  <si>
    <t>122551919</t>
  </si>
  <si>
    <t>1225301927</t>
  </si>
  <si>
    <t>1225721928</t>
  </si>
  <si>
    <t>1225391929</t>
  </si>
  <si>
    <t>122581930</t>
  </si>
  <si>
    <t>122551931</t>
  </si>
  <si>
    <t>1250907</t>
  </si>
  <si>
    <t>1250908</t>
  </si>
  <si>
    <t>122531930</t>
  </si>
  <si>
    <t>1250924</t>
  </si>
  <si>
    <t>122511935</t>
  </si>
  <si>
    <t>880b1d17</t>
  </si>
  <si>
    <t>Bpk. Suyadi</t>
  </si>
  <si>
    <t>Ds. Gading RT. 12, RW. 04 Mindugading. Kec. Tarik Kab. Sidoarjo</t>
  </si>
  <si>
    <t>1250909</t>
  </si>
  <si>
    <t>1250925</t>
  </si>
  <si>
    <t>122521937</t>
  </si>
  <si>
    <t>1225511940</t>
  </si>
  <si>
    <t>122561941</t>
  </si>
  <si>
    <t>1225301942</t>
  </si>
  <si>
    <t>122581943</t>
  </si>
  <si>
    <t>1250931</t>
  </si>
  <si>
    <t>1250930</t>
  </si>
  <si>
    <t>1225281944</t>
  </si>
  <si>
    <t>1225201947</t>
  </si>
  <si>
    <t>1250929</t>
  </si>
  <si>
    <t>1250928</t>
  </si>
  <si>
    <t>1250926.</t>
  </si>
  <si>
    <t>1250927</t>
  </si>
  <si>
    <t>12050940</t>
  </si>
  <si>
    <t>1250932</t>
  </si>
  <si>
    <t>122541948</t>
  </si>
  <si>
    <t>1225311955</t>
  </si>
  <si>
    <t>1250941</t>
  </si>
  <si>
    <t>1250933</t>
  </si>
  <si>
    <t>1225731956</t>
  </si>
  <si>
    <t>1225251959</t>
  </si>
  <si>
    <t>1250942</t>
  </si>
  <si>
    <t>1225521960</t>
  </si>
  <si>
    <t>1250934</t>
  </si>
  <si>
    <t>122541947</t>
  </si>
  <si>
    <t>1225131948</t>
  </si>
  <si>
    <t>122531966</t>
  </si>
  <si>
    <t>1250943</t>
  </si>
  <si>
    <t>122521967</t>
  </si>
  <si>
    <t>1225531969</t>
  </si>
  <si>
    <t>1250936</t>
  </si>
  <si>
    <t>1250944</t>
  </si>
  <si>
    <t>1250945</t>
  </si>
  <si>
    <t>1250935</t>
  </si>
  <si>
    <t>1225321970</t>
  </si>
  <si>
    <t>1250950</t>
  </si>
  <si>
    <t>122521975</t>
  </si>
  <si>
    <t>1225401977</t>
  </si>
  <si>
    <t>122551978</t>
  </si>
  <si>
    <t>1250937</t>
  </si>
  <si>
    <t>1250938</t>
  </si>
  <si>
    <t>1250946</t>
  </si>
  <si>
    <t>122561979</t>
  </si>
  <si>
    <t>122511983</t>
  </si>
  <si>
    <t>d46989c9</t>
  </si>
  <si>
    <t>UD. Alin Jaya</t>
  </si>
  <si>
    <t>HFJQ+5MF, Jl. Raya Ciro, RT.14/RW.04, Temenggungan, Bakungtemenggungan, Kec. BalongBendo, Kabupaten Sidoarjo, Jawa Timur 61263</t>
  </si>
  <si>
    <t>122511984</t>
  </si>
  <si>
    <t>1a1efff9</t>
  </si>
  <si>
    <t>Bpk. Gito Mjs</t>
  </si>
  <si>
    <t>FGRX+QQP, Kemloko, Jotangan, Kec. Mojosari, Kabupaten Mojokerto, Jawa Timur 61382</t>
  </si>
  <si>
    <t>1250955</t>
  </si>
  <si>
    <t>1250939</t>
  </si>
  <si>
    <t>1250956</t>
  </si>
  <si>
    <t>122551985</t>
  </si>
  <si>
    <t>4122511878</t>
  </si>
  <si>
    <t>1250947</t>
  </si>
  <si>
    <t>1225541989</t>
  </si>
  <si>
    <t>122591992</t>
  </si>
  <si>
    <t>122521993</t>
  </si>
  <si>
    <t>1250948</t>
  </si>
  <si>
    <t>1250957</t>
  </si>
  <si>
    <t>1250949</t>
  </si>
  <si>
    <t>1250961</t>
  </si>
  <si>
    <t>1250962</t>
  </si>
  <si>
    <t>1250960</t>
  </si>
  <si>
    <t>122561994</t>
  </si>
  <si>
    <t>1225552001</t>
  </si>
  <si>
    <t>122572002</t>
  </si>
  <si>
    <t>1250958</t>
  </si>
  <si>
    <t>1250959</t>
  </si>
  <si>
    <t>1250951</t>
  </si>
  <si>
    <t>1225332003</t>
  </si>
  <si>
    <t>1225382007</t>
  </si>
  <si>
    <t>1225392008</t>
  </si>
  <si>
    <t>1250952</t>
  </si>
  <si>
    <t>1225102003</t>
  </si>
  <si>
    <t>1225242006</t>
  </si>
  <si>
    <t>1250953</t>
  </si>
  <si>
    <t>1250963</t>
  </si>
  <si>
    <t>122532012</t>
  </si>
  <si>
    <t>1225342015</t>
  </si>
  <si>
    <t>1225392016</t>
  </si>
  <si>
    <t>122572017</t>
  </si>
  <si>
    <t>1250964</t>
  </si>
  <si>
    <t>1250965</t>
  </si>
  <si>
    <t>1250966</t>
  </si>
  <si>
    <t>122572018</t>
  </si>
  <si>
    <t>1250970</t>
  </si>
  <si>
    <t>1250954</t>
  </si>
  <si>
    <t>1225562016</t>
  </si>
  <si>
    <t>122532017</t>
  </si>
  <si>
    <t>1250967</t>
  </si>
  <si>
    <t>1250968</t>
  </si>
  <si>
    <t>1225332026</t>
  </si>
  <si>
    <t>250971</t>
  </si>
  <si>
    <t>1250972</t>
  </si>
  <si>
    <t>122542029</t>
  </si>
  <si>
    <t>1250973</t>
  </si>
  <si>
    <t>1250969</t>
  </si>
  <si>
    <t>122582032</t>
  </si>
  <si>
    <t>1225212035</t>
  </si>
  <si>
    <t>122572036</t>
  </si>
  <si>
    <t>1250974</t>
  </si>
  <si>
    <t>1250986</t>
  </si>
  <si>
    <t>120975</t>
  </si>
  <si>
    <t>1225412037</t>
  </si>
  <si>
    <t>122542041</t>
  </si>
  <si>
    <t>1225572042</t>
  </si>
  <si>
    <t>1250987</t>
  </si>
  <si>
    <t>1250976</t>
  </si>
  <si>
    <t>1250988</t>
  </si>
  <si>
    <t>1250989</t>
  </si>
  <si>
    <t>1225102043</t>
  </si>
  <si>
    <t>122552048</t>
  </si>
  <si>
    <t>1225312049</t>
  </si>
  <si>
    <t>122562050</t>
  </si>
  <si>
    <t>122522051</t>
  </si>
  <si>
    <t>122572052</t>
  </si>
  <si>
    <t>1225582053</t>
  </si>
  <si>
    <t>1250979</t>
  </si>
  <si>
    <t>1250980</t>
  </si>
  <si>
    <t>1250978</t>
  </si>
  <si>
    <t>122572054</t>
  </si>
  <si>
    <t>122562058</t>
  </si>
  <si>
    <t>1250981</t>
  </si>
  <si>
    <t>122512059</t>
  </si>
  <si>
    <t>1f9fafcc</t>
  </si>
  <si>
    <t>Bpk. Roby (MJA)</t>
  </si>
  <si>
    <t>Jl. Raya Jl. Bypass Krian, Kraton, Sidomulyo, Kec. Krian, Kabupaten Sidoarjo, Jawa Timur 61262</t>
  </si>
  <si>
    <t>1250983</t>
  </si>
  <si>
    <t>1250993</t>
  </si>
  <si>
    <t>1250991</t>
  </si>
  <si>
    <t>1250992</t>
  </si>
  <si>
    <t>122582061</t>
  </si>
  <si>
    <t>122592066</t>
  </si>
  <si>
    <t>122572067</t>
  </si>
  <si>
    <t>1251006</t>
  </si>
  <si>
    <t>1250994</t>
  </si>
  <si>
    <t>1250995</t>
  </si>
  <si>
    <t>1250984</t>
  </si>
  <si>
    <t>1225592068</t>
  </si>
  <si>
    <t>250985</t>
  </si>
  <si>
    <t>1225742073</t>
  </si>
  <si>
    <t>1225602075</t>
  </si>
  <si>
    <t>122552076</t>
  </si>
  <si>
    <t>1225402077</t>
  </si>
  <si>
    <t>1251016</t>
  </si>
  <si>
    <t>1250996</t>
  </si>
  <si>
    <t>1250997</t>
  </si>
  <si>
    <t>1251007</t>
  </si>
  <si>
    <t>1250998</t>
  </si>
  <si>
    <t>1250999</t>
  </si>
  <si>
    <t>1225122082</t>
  </si>
  <si>
    <t>122592086</t>
  </si>
  <si>
    <t>1251009</t>
  </si>
  <si>
    <t>1225102087</t>
  </si>
  <si>
    <t>122582089</t>
  </si>
  <si>
    <t>122542090</t>
  </si>
  <si>
    <t>1251008</t>
  </si>
  <si>
    <t>1251001</t>
  </si>
  <si>
    <t>1251000</t>
  </si>
  <si>
    <t>1225612091</t>
  </si>
  <si>
    <t>1225342095</t>
  </si>
  <si>
    <t>1251010</t>
  </si>
  <si>
    <t>1251011</t>
  </si>
  <si>
    <t>122592096</t>
  </si>
  <si>
    <t>1225622099</t>
  </si>
  <si>
    <t>1225422100</t>
  </si>
  <si>
    <t>1251015</t>
  </si>
  <si>
    <t>1251013</t>
  </si>
  <si>
    <t>122562101</t>
  </si>
  <si>
    <t>1251014</t>
  </si>
  <si>
    <t>1251012</t>
  </si>
  <si>
    <t>1251002</t>
  </si>
  <si>
    <t>122572104</t>
  </si>
  <si>
    <t>1251018</t>
  </si>
  <si>
    <t>122582108</t>
  </si>
  <si>
    <t>1225172110</t>
  </si>
  <si>
    <t>1225112111</t>
  </si>
  <si>
    <t>1225402112</t>
  </si>
  <si>
    <t>122562113</t>
  </si>
  <si>
    <t>1251003</t>
  </si>
  <si>
    <t>1251004</t>
  </si>
  <si>
    <t>1351021</t>
  </si>
  <si>
    <t>1251019</t>
  </si>
  <si>
    <t>1251020</t>
  </si>
  <si>
    <t>1251026</t>
  </si>
  <si>
    <t>1225632114</t>
  </si>
  <si>
    <t>1225412121</t>
  </si>
  <si>
    <t>1251024</t>
  </si>
  <si>
    <t>1251022</t>
  </si>
  <si>
    <t>1251023</t>
  </si>
  <si>
    <t>1251025</t>
  </si>
  <si>
    <t>1251005</t>
  </si>
  <si>
    <t>1225352122</t>
  </si>
  <si>
    <t>1251027</t>
  </si>
  <si>
    <t>122562128</t>
  </si>
  <si>
    <t>1225642130</t>
  </si>
  <si>
    <t>1251028</t>
  </si>
  <si>
    <t>0126102131</t>
  </si>
  <si>
    <t>012622133</t>
  </si>
  <si>
    <t>012652134</t>
  </si>
  <si>
    <t>1251038</t>
  </si>
  <si>
    <t>1251037</t>
  </si>
  <si>
    <t>1251036</t>
  </si>
  <si>
    <t>1251029</t>
  </si>
  <si>
    <t>0126362135</t>
  </si>
  <si>
    <t>0126652140</t>
  </si>
  <si>
    <t>012692141</t>
  </si>
  <si>
    <t>0126182142</t>
  </si>
  <si>
    <t>1251041</t>
  </si>
  <si>
    <t>1251040</t>
  </si>
  <si>
    <t>1251039</t>
  </si>
  <si>
    <t>012672143</t>
  </si>
  <si>
    <t>1251042</t>
  </si>
  <si>
    <t>1251030</t>
  </si>
  <si>
    <t>012682147</t>
  </si>
  <si>
    <t>012632150</t>
  </si>
  <si>
    <t>012622151</t>
  </si>
  <si>
    <t>Ibu Angel</t>
  </si>
  <si>
    <t>122532152</t>
  </si>
  <si>
    <t>1251046</t>
  </si>
  <si>
    <t>1251047</t>
  </si>
  <si>
    <t>0126122153</t>
  </si>
  <si>
    <t>0126662156</t>
  </si>
  <si>
    <t>0126322157</t>
  </si>
  <si>
    <t>1251032</t>
  </si>
  <si>
    <t>1251033</t>
  </si>
  <si>
    <t>1251031</t>
  </si>
  <si>
    <t>012642158</t>
  </si>
  <si>
    <t>1251044</t>
  </si>
  <si>
    <t>1251045</t>
  </si>
  <si>
    <t>1251048</t>
  </si>
  <si>
    <t>1251043</t>
  </si>
  <si>
    <t>1251034</t>
  </si>
  <si>
    <t>012612162</t>
  </si>
  <si>
    <t>b89c20a1</t>
  </si>
  <si>
    <t>Harini dini</t>
  </si>
  <si>
    <t>Kraton RT 15 RW 03  Kraton Krian Sidoarjo</t>
  </si>
  <si>
    <t>1251035</t>
  </si>
  <si>
    <t>012642168</t>
  </si>
  <si>
    <t>012672171</t>
  </si>
  <si>
    <t>012612172</t>
  </si>
  <si>
    <t>52cc8b7f</t>
  </si>
  <si>
    <t>Ibu Ainun</t>
  </si>
  <si>
    <t>Parengan RT 16 RW 04 Kraton Krian Sidoarjo</t>
  </si>
  <si>
    <t>1261061</t>
  </si>
  <si>
    <t>1251049</t>
  </si>
  <si>
    <t>1251050</t>
  </si>
  <si>
    <t>1261062</t>
  </si>
  <si>
    <t>012632173</t>
  </si>
  <si>
    <t>0126672178</t>
  </si>
  <si>
    <t>012682179</t>
  </si>
  <si>
    <t>012692180</t>
  </si>
  <si>
    <t>1261066</t>
  </si>
  <si>
    <t>1261065</t>
  </si>
  <si>
    <t>1261063</t>
  </si>
  <si>
    <t>1261064</t>
  </si>
  <si>
    <t>1261052</t>
  </si>
  <si>
    <t>1261051</t>
  </si>
  <si>
    <t>0126682181</t>
  </si>
  <si>
    <t>0126122188</t>
  </si>
  <si>
    <t>0126352189</t>
  </si>
  <si>
    <t>1261053</t>
  </si>
  <si>
    <t>1261067</t>
  </si>
  <si>
    <t>1261068</t>
  </si>
  <si>
    <t>1261054</t>
  </si>
  <si>
    <t>0126112190</t>
  </si>
  <si>
    <t>0126132195</t>
  </si>
  <si>
    <t>0126432196</t>
  </si>
  <si>
    <t>0126692197</t>
  </si>
  <si>
    <t>1261069</t>
  </si>
  <si>
    <t>1261056</t>
  </si>
  <si>
    <t>1261055</t>
  </si>
  <si>
    <t>012662198</t>
  </si>
  <si>
    <t>1261071</t>
  </si>
  <si>
    <t>1261070</t>
  </si>
  <si>
    <t>012692202</t>
  </si>
  <si>
    <t>0126372205</t>
  </si>
  <si>
    <t>012612207</t>
  </si>
  <si>
    <t>2814d559</t>
  </si>
  <si>
    <t>Bpk. Gunarso</t>
  </si>
  <si>
    <t>Kraton RT 13 RW 03 Kraton Krian Sidoarjo Jawa Timur</t>
  </si>
  <si>
    <t>012622208</t>
  </si>
  <si>
    <t>1261081</t>
  </si>
  <si>
    <t>0126132209</t>
  </si>
  <si>
    <t>012612211</t>
  </si>
  <si>
    <t>1c48ae79</t>
  </si>
  <si>
    <t>Bpk. Jafar Rosokan</t>
  </si>
  <si>
    <t>JL. Mejayan Bambang Yuwono, Sidodadi, Kemangsen, Kec. Balongbendo, Kab Sidoarjo Jawa Timur 61263</t>
  </si>
  <si>
    <t>1261072</t>
  </si>
  <si>
    <t>012642212</t>
  </si>
  <si>
    <t>0126702214</t>
  </si>
  <si>
    <t>1261074</t>
  </si>
  <si>
    <t>1261075</t>
  </si>
  <si>
    <t>1261073</t>
  </si>
  <si>
    <t>0126112215</t>
  </si>
  <si>
    <t>4012611990</t>
  </si>
  <si>
    <t>1261060</t>
  </si>
  <si>
    <t>1261076</t>
  </si>
  <si>
    <t>012672219</t>
  </si>
  <si>
    <t>0126362223</t>
  </si>
  <si>
    <t>1261078</t>
  </si>
  <si>
    <t>1261077</t>
  </si>
  <si>
    <t>1261079</t>
  </si>
  <si>
    <t>1261057</t>
  </si>
  <si>
    <t>1261058</t>
  </si>
  <si>
    <t>012642224</t>
  </si>
  <si>
    <t>012632224</t>
  </si>
  <si>
    <t>urg7141301</t>
  </si>
  <si>
    <t>012682231</t>
  </si>
  <si>
    <t>1261059</t>
  </si>
  <si>
    <t>0126372233</t>
  </si>
  <si>
    <t>0126712235</t>
  </si>
  <si>
    <t>1261084</t>
  </si>
  <si>
    <t>1261083</t>
  </si>
  <si>
    <t>1261082</t>
  </si>
  <si>
    <t>0126252236</t>
  </si>
  <si>
    <t>0126122240</t>
  </si>
  <si>
    <t>012612241</t>
  </si>
  <si>
    <t>1c4d5e93</t>
  </si>
  <si>
    <t>Karoseri Cipta Mitra Sukses</t>
  </si>
  <si>
    <t>JL. Bypass Krian No. 7800, Blok B No 11. Barengkrajan, Kec. Krian, Kabupaten Sidoarjo, Jawa Timur  61262</t>
  </si>
  <si>
    <t>0126142242</t>
  </si>
  <si>
    <t>1261080</t>
  </si>
  <si>
    <t>1261085</t>
  </si>
  <si>
    <t>012662243</t>
  </si>
  <si>
    <t>0126332246</t>
  </si>
  <si>
    <t>012642247</t>
  </si>
  <si>
    <t>1261086</t>
  </si>
  <si>
    <t>1261087</t>
  </si>
  <si>
    <t>1261091</t>
  </si>
  <si>
    <t>1261092</t>
  </si>
  <si>
    <t>012692248</t>
  </si>
  <si>
    <t>0126102253</t>
  </si>
  <si>
    <t>012642254</t>
  </si>
  <si>
    <t>1261093</t>
  </si>
  <si>
    <t>1261111</t>
  </si>
  <si>
    <t>0126152255</t>
  </si>
  <si>
    <t>1261101</t>
  </si>
  <si>
    <t>1261089</t>
  </si>
  <si>
    <t>1261090</t>
  </si>
  <si>
    <t>1261088</t>
  </si>
  <si>
    <t>0126102258</t>
  </si>
  <si>
    <t>0126722264</t>
  </si>
  <si>
    <t>012672265</t>
  </si>
  <si>
    <t>012672266</t>
  </si>
  <si>
    <t>1261102</t>
  </si>
  <si>
    <t>0126132267</t>
  </si>
  <si>
    <t>012652269</t>
  </si>
  <si>
    <t>012652270</t>
  </si>
  <si>
    <t>1261094</t>
  </si>
  <si>
    <t>1261103</t>
  </si>
  <si>
    <t>012612271</t>
  </si>
  <si>
    <t>057b6b99</t>
  </si>
  <si>
    <t>PT Anuta Utama Transport</t>
  </si>
  <si>
    <t>Jl Raya ketimang KM 10, Kec. Wonoayu, Kab. Sidoarjo, Jawa Timur</t>
  </si>
  <si>
    <t>012662274</t>
  </si>
  <si>
    <t>0126422275</t>
  </si>
  <si>
    <t>012632276</t>
  </si>
  <si>
    <t>012672277</t>
  </si>
  <si>
    <t>0126142278</t>
  </si>
  <si>
    <t>0126102279</t>
  </si>
  <si>
    <t>0126102280</t>
  </si>
  <si>
    <t>012682281</t>
  </si>
  <si>
    <t>1261105</t>
  </si>
  <si>
    <t>1261104</t>
  </si>
  <si>
    <t>4012622220</t>
  </si>
  <si>
    <t>Toko Setya ( Mas Farid )</t>
  </si>
  <si>
    <t>1261097</t>
  </si>
  <si>
    <t>1261096</t>
  </si>
  <si>
    <t>1261095</t>
  </si>
  <si>
    <t>1261107</t>
  </si>
  <si>
    <t>1261108</t>
  </si>
  <si>
    <t>0126732282</t>
  </si>
  <si>
    <t>0126102291</t>
  </si>
  <si>
    <t>1261098</t>
  </si>
  <si>
    <t>1261099</t>
  </si>
  <si>
    <t>1261109</t>
  </si>
  <si>
    <t>0126142292</t>
  </si>
  <si>
    <t>0126152296</t>
  </si>
  <si>
    <t>1261100</t>
  </si>
  <si>
    <t>0126142297</t>
  </si>
  <si>
    <t>012652299</t>
  </si>
  <si>
    <t>4012612285</t>
  </si>
  <si>
    <t>0126112300</t>
  </si>
  <si>
    <t>012692302</t>
  </si>
  <si>
    <t>1261118</t>
  </si>
  <si>
    <t>1261110</t>
  </si>
  <si>
    <t>1261113</t>
  </si>
  <si>
    <t>012622303</t>
  </si>
  <si>
    <t>1261115</t>
  </si>
  <si>
    <t>1261114</t>
  </si>
  <si>
    <t>1261120</t>
  </si>
  <si>
    <t>1261119</t>
  </si>
  <si>
    <t>0126432307</t>
  </si>
  <si>
    <t>0126742312</t>
  </si>
  <si>
    <t>012682313</t>
  </si>
  <si>
    <t>0126382314</t>
  </si>
  <si>
    <t>012612315</t>
  </si>
  <si>
    <t>de41c3e8</t>
  </si>
  <si>
    <t>Bpk. Eko Mianto</t>
  </si>
  <si>
    <t>The Graha Residen, Blok D4 No 33. Tropodo, Kec Krian, Kabupaten Sidaorjo, Jawa Timur 61262</t>
  </si>
  <si>
    <t>0126112316</t>
  </si>
  <si>
    <t>1261116</t>
  </si>
  <si>
    <t>1261112</t>
  </si>
  <si>
    <t>0126342317</t>
  </si>
  <si>
    <t>1261131</t>
  </si>
  <si>
    <t>1261117</t>
  </si>
  <si>
    <t>1261121</t>
  </si>
  <si>
    <t>1261132</t>
  </si>
  <si>
    <t>012662320</t>
  </si>
  <si>
    <t>012692325</t>
  </si>
  <si>
    <t>012662326</t>
  </si>
  <si>
    <t>1261122</t>
  </si>
  <si>
    <t>1261123</t>
  </si>
  <si>
    <t>012612327</t>
  </si>
  <si>
    <t>98c84274</t>
  </si>
  <si>
    <t>Bengkel SBM (Pak Hari)</t>
  </si>
  <si>
    <t>JL. Industri Desa Jeruk Legi, Jl. Bypass Krian No. Km 31,8, Jeruk legi, Balongbendo, Kec. Balogbendo, Kabupaten Sidoarjo, Jawa Timur 61263</t>
  </si>
  <si>
    <t>012622330</t>
  </si>
  <si>
    <t>012632331</t>
  </si>
  <si>
    <t>0126752332</t>
  </si>
  <si>
    <t>0126752333</t>
  </si>
  <si>
    <t>1261133</t>
  </si>
  <si>
    <t>1261135</t>
  </si>
  <si>
    <t>1261134</t>
  </si>
  <si>
    <t>0126162334</t>
  </si>
  <si>
    <t>1261124</t>
  </si>
  <si>
    <t>1261125</t>
  </si>
  <si>
    <t>1261136</t>
  </si>
  <si>
    <t>0126392338</t>
  </si>
  <si>
    <t>1261127</t>
  </si>
  <si>
    <t>0126102342</t>
  </si>
  <si>
    <t>1261126</t>
  </si>
  <si>
    <t>1261128</t>
  </si>
  <si>
    <t>0126152344</t>
  </si>
  <si>
    <t>0126762347</t>
  </si>
  <si>
    <t>0126122348</t>
  </si>
  <si>
    <t>012652349</t>
  </si>
  <si>
    <t>1261129</t>
  </si>
  <si>
    <t>0126112350</t>
  </si>
  <si>
    <t>1261137</t>
  </si>
  <si>
    <t>1261138</t>
  </si>
  <si>
    <t>1261130</t>
  </si>
  <si>
    <t>0126112352</t>
  </si>
  <si>
    <t>1261139</t>
  </si>
  <si>
    <t>0126172356</t>
  </si>
  <si>
    <t>1261141</t>
  </si>
  <si>
    <t>1261140</t>
  </si>
  <si>
    <t>1261152</t>
  </si>
  <si>
    <t>1261151</t>
  </si>
  <si>
    <t>1261142</t>
  </si>
  <si>
    <t>012682358</t>
  </si>
  <si>
    <t>1261153</t>
  </si>
  <si>
    <t>0126162364</t>
  </si>
  <si>
    <t>0126442366</t>
  </si>
  <si>
    <t>0126162367</t>
  </si>
  <si>
    <t>0126772368</t>
  </si>
  <si>
    <t>1261144</t>
  </si>
  <si>
    <t>1261143</t>
  </si>
  <si>
    <t>1261154</t>
  </si>
  <si>
    <t>012612369</t>
  </si>
  <si>
    <t>89d46c39</t>
  </si>
  <si>
    <t>PT Cakar Baja Persada</t>
  </si>
  <si>
    <t>Pergudangan Jaya Park Blok E.02,  JI. Mayjen Yono Sungkono, Watesari, Balongbendo, Sidoarjo</t>
  </si>
  <si>
    <t>0126292373</t>
  </si>
  <si>
    <t>0126402374</t>
  </si>
  <si>
    <t>0126382375</t>
  </si>
  <si>
    <t>0126172376</t>
  </si>
  <si>
    <t>1261145</t>
  </si>
  <si>
    <t>012662377</t>
  </si>
  <si>
    <t>012632379</t>
  </si>
  <si>
    <t>0126202380</t>
  </si>
  <si>
    <t>0126222381</t>
  </si>
  <si>
    <t>1261146</t>
  </si>
  <si>
    <t>1261147</t>
  </si>
  <si>
    <t>1261157</t>
  </si>
  <si>
    <t>1261156</t>
  </si>
  <si>
    <t>1261155</t>
  </si>
  <si>
    <t>1261148</t>
  </si>
  <si>
    <t>1261149</t>
  </si>
  <si>
    <t>0126182382</t>
  </si>
  <si>
    <t>012672390</t>
  </si>
  <si>
    <t>1261158</t>
  </si>
  <si>
    <t>012632391</t>
  </si>
  <si>
    <t>1261150</t>
  </si>
  <si>
    <t>012642393</t>
  </si>
  <si>
    <t>0126122396</t>
  </si>
  <si>
    <t>1261171</t>
  </si>
  <si>
    <t>1261173</t>
  </si>
  <si>
    <t>1261172</t>
  </si>
  <si>
    <t>1261174</t>
  </si>
  <si>
    <t>1261159</t>
  </si>
  <si>
    <t>0126182397</t>
  </si>
  <si>
    <t>0126352403</t>
  </si>
  <si>
    <t>1261160</t>
  </si>
  <si>
    <t>1261175</t>
  </si>
  <si>
    <t>0126152404</t>
  </si>
  <si>
    <t>0126782407</t>
  </si>
  <si>
    <t>0126102408</t>
  </si>
  <si>
    <t>1261177</t>
  </si>
  <si>
    <t>1261176</t>
  </si>
  <si>
    <t>0126412409</t>
  </si>
  <si>
    <t>012612412</t>
  </si>
  <si>
    <t>cac4449f</t>
  </si>
  <si>
    <t>Bpk. Agus Yahya</t>
  </si>
  <si>
    <t>Ds. Kendalsari 03/02 Sumobito Jombang Jawa Timur</t>
  </si>
  <si>
    <t>1261179</t>
  </si>
  <si>
    <t>1261178</t>
  </si>
  <si>
    <t>0126392413</t>
  </si>
  <si>
    <t>0126422416</t>
  </si>
  <si>
    <t>012672417</t>
  </si>
  <si>
    <t>0126792418</t>
  </si>
  <si>
    <t>1261162</t>
  </si>
  <si>
    <t>1261161</t>
  </si>
  <si>
    <t>0126132419</t>
  </si>
  <si>
    <t>1261163</t>
  </si>
  <si>
    <t>012642422</t>
  </si>
  <si>
    <t>0126192424</t>
  </si>
  <si>
    <t>1261180</t>
  </si>
  <si>
    <t>1261164</t>
  </si>
  <si>
    <t>0226132425</t>
  </si>
  <si>
    <t>0226192428</t>
  </si>
  <si>
    <t>0226802429</t>
  </si>
  <si>
    <t>1261181</t>
  </si>
  <si>
    <t>1261166</t>
  </si>
  <si>
    <t>1261165</t>
  </si>
  <si>
    <t>1261167</t>
  </si>
  <si>
    <t>4022632301</t>
  </si>
  <si>
    <t>1261182</t>
  </si>
  <si>
    <t>1261184</t>
  </si>
  <si>
    <t>022622430</t>
  </si>
  <si>
    <t>022672438</t>
  </si>
  <si>
    <t>0226432439</t>
  </si>
  <si>
    <t>1261170</t>
  </si>
  <si>
    <t>1261168</t>
  </si>
  <si>
    <t>1261169</t>
  </si>
  <si>
    <t>1261191</t>
  </si>
  <si>
    <t>1261183</t>
  </si>
  <si>
    <t>1261185</t>
  </si>
  <si>
    <t>022652440</t>
  </si>
  <si>
    <t>022682447</t>
  </si>
  <si>
    <t>022622448</t>
  </si>
  <si>
    <t>022632449</t>
  </si>
  <si>
    <t>022652450</t>
  </si>
  <si>
    <t>022682450</t>
  </si>
  <si>
    <t>0226212451</t>
  </si>
  <si>
    <t>1261193</t>
  </si>
  <si>
    <t>1261192</t>
  </si>
  <si>
    <t>022612453</t>
  </si>
  <si>
    <t>02c693f1</t>
  </si>
  <si>
    <t>Bpk. Rudi Jaya</t>
  </si>
  <si>
    <t>Ganting Tulangan, Jalan Raya kenongo ( Jual Beli Besi Tua ), Kec. Tulangan Kabupaten Sidoarjo Jawa Timur 61273</t>
  </si>
  <si>
    <t>022622456</t>
  </si>
  <si>
    <t>0226232457</t>
  </si>
  <si>
    <t>1261194</t>
  </si>
  <si>
    <t>1261195</t>
  </si>
  <si>
    <t>1261186</t>
  </si>
  <si>
    <t>1261187</t>
  </si>
  <si>
    <t>0226112458</t>
  </si>
  <si>
    <t>1261188</t>
  </si>
  <si>
    <t>0226122463</t>
  </si>
  <si>
    <t>0226812465</t>
  </si>
  <si>
    <t>1261197</t>
  </si>
  <si>
    <t>1261196</t>
  </si>
  <si>
    <t>1261190</t>
  </si>
  <si>
    <t>1261189</t>
  </si>
  <si>
    <t>022642468</t>
  </si>
  <si>
    <t>1261199</t>
  </si>
  <si>
    <t>1261198</t>
  </si>
  <si>
    <t>022682472</t>
  </si>
  <si>
    <t>1261221</t>
  </si>
  <si>
    <t>0226362475</t>
  </si>
  <si>
    <t>1261224</t>
  </si>
  <si>
    <t>022662478</t>
  </si>
  <si>
    <t>1261223</t>
  </si>
  <si>
    <t>1261222</t>
  </si>
  <si>
    <t>0226202480</t>
  </si>
  <si>
    <t>022622484</t>
  </si>
  <si>
    <t>JL. Soenandar Priyo Sudarmo, Balepanjang, Tropodo, Kec Krian, Kabupaten Sidoarjo, Jawa Timur</t>
  </si>
  <si>
    <t>1261225</t>
  </si>
  <si>
    <t>1261227</t>
  </si>
  <si>
    <t>1261226</t>
  </si>
  <si>
    <t>1261228</t>
  </si>
  <si>
    <t>022692485</t>
  </si>
  <si>
    <t>1261200</t>
  </si>
  <si>
    <t>RESERVE</t>
  </si>
  <si>
    <t>0226822490</t>
  </si>
  <si>
    <t>022662492</t>
  </si>
  <si>
    <t>0226172494</t>
  </si>
  <si>
    <t>BULK</t>
  </si>
  <si>
    <t>0226132495</t>
  </si>
  <si>
    <t>1261211</t>
  </si>
  <si>
    <t>1261212</t>
  </si>
  <si>
    <t>1261230</t>
  </si>
  <si>
    <t>1261229</t>
  </si>
  <si>
    <t>022682496</t>
  </si>
  <si>
    <t>022642501</t>
  </si>
  <si>
    <t>0226112502</t>
  </si>
  <si>
    <t>1261241</t>
  </si>
  <si>
    <t>0226202503</t>
  </si>
  <si>
    <t>022692505</t>
  </si>
  <si>
    <t>0226262507</t>
  </si>
  <si>
    <t>022622508</t>
  </si>
  <si>
    <t>1261213</t>
  </si>
  <si>
    <t>1261242</t>
  </si>
  <si>
    <t>1261203</t>
  </si>
  <si>
    <t>1261202</t>
  </si>
  <si>
    <t>022672509</t>
  </si>
  <si>
    <t>0226832514</t>
  </si>
  <si>
    <t>022612515</t>
  </si>
  <si>
    <t>58ae16eb</t>
  </si>
  <si>
    <t>Bpk. Sahri</t>
  </si>
  <si>
    <t>Jl. Empu Gandring Klagen,RT.10 RW.04 Tropodo, Kec. Krian, Kabupaten Sidoarjo, Jawa Timur 61262</t>
  </si>
  <si>
    <t>1261204</t>
  </si>
  <si>
    <t>1261205</t>
  </si>
  <si>
    <t>1261214</t>
  </si>
  <si>
    <t>1261215</t>
  </si>
  <si>
    <t>1251216</t>
  </si>
  <si>
    <t>0226212516</t>
  </si>
  <si>
    <t>1261217</t>
  </si>
  <si>
    <t>0226122522</t>
  </si>
  <si>
    <t>0226142524</t>
  </si>
  <si>
    <t>022642525</t>
  </si>
  <si>
    <t>022642526</t>
  </si>
  <si>
    <t>0226102527</t>
  </si>
  <si>
    <t>1261245</t>
  </si>
  <si>
    <t>1261231</t>
  </si>
  <si>
    <t>1261220</t>
  </si>
  <si>
    <t>1261244</t>
  </si>
  <si>
    <t>1261243</t>
  </si>
  <si>
    <t>022682528</t>
  </si>
  <si>
    <t>0226852535</t>
  </si>
  <si>
    <t>022692536</t>
  </si>
  <si>
    <t>0226442537</t>
  </si>
  <si>
    <t>1261218</t>
  </si>
  <si>
    <t>1261246</t>
  </si>
  <si>
    <t>1261207</t>
  </si>
  <si>
    <t>1261206</t>
  </si>
  <si>
    <t>1261208</t>
  </si>
  <si>
    <t>0226152538</t>
  </si>
  <si>
    <t>0226452544</t>
  </si>
  <si>
    <t>0226302545</t>
  </si>
  <si>
    <t>0226212546</t>
  </si>
  <si>
    <t>0226442547</t>
  </si>
  <si>
    <t>0226162548</t>
  </si>
  <si>
    <t>0226242549</t>
  </si>
  <si>
    <t>0226112550</t>
  </si>
  <si>
    <t>022692551</t>
  </si>
  <si>
    <t>022652552</t>
  </si>
  <si>
    <t>1261248</t>
  </si>
  <si>
    <t>1261247</t>
  </si>
  <si>
    <t>1261249</t>
  </si>
  <si>
    <t>1261232</t>
  </si>
  <si>
    <t>1261210</t>
  </si>
  <si>
    <t>1261209</t>
  </si>
  <si>
    <t>0226192553</t>
  </si>
  <si>
    <t>022642560</t>
  </si>
  <si>
    <t>022652561</t>
  </si>
  <si>
    <t>1261271</t>
  </si>
  <si>
    <t>1261272</t>
  </si>
  <si>
    <t>1261273</t>
  </si>
  <si>
    <t>1261233</t>
  </si>
  <si>
    <t>022692562</t>
  </si>
  <si>
    <t>0226452567</t>
  </si>
  <si>
    <t>022632568</t>
  </si>
  <si>
    <t>0226222569</t>
  </si>
  <si>
    <t>022632567</t>
  </si>
  <si>
    <t>Bpk. Karsmianto</t>
  </si>
  <si>
    <t>0226202571</t>
  </si>
  <si>
    <t>022652572</t>
  </si>
  <si>
    <t>1261235</t>
  </si>
  <si>
    <t>022662573</t>
  </si>
  <si>
    <t>1261250</t>
  </si>
  <si>
    <t>1261234</t>
  </si>
  <si>
    <t>1261274</t>
  </si>
  <si>
    <t>1261261</t>
  </si>
  <si>
    <t>022632576</t>
  </si>
  <si>
    <t>1261237</t>
  </si>
  <si>
    <t>022662581</t>
  </si>
  <si>
    <t>1261277</t>
  </si>
  <si>
    <t>1261275</t>
  </si>
  <si>
    <t>0226852583</t>
  </si>
  <si>
    <t>1261278</t>
  </si>
  <si>
    <t>022612586</t>
  </si>
  <si>
    <t>f7243d00</t>
  </si>
  <si>
    <t>Bpk. Beni (Dlanggu)</t>
  </si>
  <si>
    <t>FFCG+F42, Dusun Tarukan, Tumapel, Kec. Dlanggu, Kabupaten Mojokerto, Jawa Timur</t>
  </si>
  <si>
    <t>022612588</t>
  </si>
  <si>
    <t>d9b2fac5</t>
  </si>
  <si>
    <t>Dwi Riza ( Ponokawan)</t>
  </si>
  <si>
    <t>Jl. Raya Ponokawan No.28 RT 07 RW 03 Kec. Krian Sidoarjo (Seberang Bengkel An.Nur/ Deretan Baraka Expres)</t>
  </si>
  <si>
    <t>022662589</t>
  </si>
  <si>
    <t>022662590</t>
  </si>
  <si>
    <t>1261238</t>
  </si>
  <si>
    <t>1261239</t>
  </si>
  <si>
    <t>022642591</t>
  </si>
  <si>
    <t>1261279</t>
  </si>
  <si>
    <t>1261240</t>
  </si>
  <si>
    <t>1261251</t>
  </si>
  <si>
    <t>1261280</t>
  </si>
  <si>
    <t>0226222594</t>
  </si>
  <si>
    <t>0226462599</t>
  </si>
  <si>
    <t>0226862600</t>
  </si>
  <si>
    <t>0226452601</t>
  </si>
  <si>
    <t>1261262</t>
  </si>
  <si>
    <t>1261263</t>
  </si>
  <si>
    <t>0226102602</t>
  </si>
  <si>
    <t>0226112605</t>
  </si>
  <si>
    <t>0226102606</t>
  </si>
  <si>
    <t>0226232607</t>
  </si>
  <si>
    <t>1261252</t>
  </si>
  <si>
    <t>1261265</t>
  </si>
  <si>
    <t>1261264</t>
  </si>
  <si>
    <t>0226142608</t>
  </si>
  <si>
    <t>1261254</t>
  </si>
  <si>
    <t>1261266</t>
  </si>
  <si>
    <t>0226102612</t>
  </si>
  <si>
    <t>1261255</t>
  </si>
  <si>
    <t>1261267</t>
  </si>
  <si>
    <t>0226152615</t>
  </si>
  <si>
    <t>022622618</t>
  </si>
  <si>
    <t>1261281</t>
  </si>
  <si>
    <t>022672619</t>
  </si>
  <si>
    <t>022682621</t>
  </si>
  <si>
    <t>1261269</t>
  </si>
  <si>
    <t>1261268</t>
  </si>
  <si>
    <t>0226102622</t>
  </si>
  <si>
    <t>0226242625</t>
  </si>
  <si>
    <t>0226762626</t>
  </si>
  <si>
    <t>0226472627</t>
  </si>
  <si>
    <t>1261270</t>
  </si>
  <si>
    <t>1261291</t>
  </si>
  <si>
    <t>1261258</t>
  </si>
  <si>
    <t>1261257</t>
  </si>
  <si>
    <t>1261259</t>
  </si>
  <si>
    <t>1261260</t>
  </si>
  <si>
    <t>0226252628</t>
  </si>
  <si>
    <t>0226122635</t>
  </si>
  <si>
    <t>1261282</t>
  </si>
  <si>
    <t>1261283</t>
  </si>
  <si>
    <t>1261292</t>
  </si>
  <si>
    <t>1261293</t>
  </si>
  <si>
    <t>0226872636</t>
  </si>
  <si>
    <t>0226122641</t>
  </si>
  <si>
    <t>1261285</t>
  </si>
  <si>
    <t>1261284</t>
  </si>
  <si>
    <t>0226122642</t>
  </si>
  <si>
    <t>022692645</t>
  </si>
  <si>
    <t>1261295</t>
  </si>
  <si>
    <t>1261294</t>
  </si>
  <si>
    <t>1261286</t>
  </si>
  <si>
    <t>1261287</t>
  </si>
  <si>
    <t>0226122646</t>
  </si>
  <si>
    <t>0226772651</t>
  </si>
  <si>
    <t>0226112652</t>
  </si>
  <si>
    <t>0226132653</t>
  </si>
  <si>
    <t>022672654</t>
  </si>
  <si>
    <t>022632655</t>
  </si>
  <si>
    <t>1261288</t>
  </si>
  <si>
    <t>1261296</t>
  </si>
  <si>
    <t>1261297</t>
  </si>
  <si>
    <t>1261289</t>
  </si>
  <si>
    <t>1261302</t>
  </si>
  <si>
    <t>1261290</t>
  </si>
  <si>
    <t>1261298</t>
  </si>
  <si>
    <t>0226252656</t>
  </si>
  <si>
    <t>0226232664</t>
  </si>
  <si>
    <t>1261303</t>
  </si>
  <si>
    <t>1261300</t>
  </si>
  <si>
    <t>1261299</t>
  </si>
  <si>
    <t>1261304</t>
  </si>
  <si>
    <t>0226182665</t>
  </si>
  <si>
    <t>1261305</t>
  </si>
  <si>
    <t>022632670</t>
  </si>
  <si>
    <t>0226882672</t>
  </si>
  <si>
    <t>0226122673</t>
  </si>
  <si>
    <t>022672674</t>
  </si>
  <si>
    <t>1261309</t>
  </si>
  <si>
    <t>1261307</t>
  </si>
  <si>
    <t>1261306</t>
  </si>
  <si>
    <t>1261311</t>
  </si>
  <si>
    <t>1261312</t>
  </si>
  <si>
    <t>022682675</t>
  </si>
  <si>
    <t>1261321</t>
  </si>
  <si>
    <t>022662681</t>
  </si>
  <si>
    <t>1261313</t>
  </si>
  <si>
    <t>1261310</t>
  </si>
  <si>
    <t>1261308</t>
  </si>
  <si>
    <t>1261319</t>
  </si>
  <si>
    <t>1261318</t>
  </si>
  <si>
    <t>0226262683</t>
  </si>
  <si>
    <t>022652690</t>
  </si>
  <si>
    <t>0226162691</t>
  </si>
  <si>
    <t>0226172692</t>
  </si>
  <si>
    <t>1261316</t>
  </si>
  <si>
    <t>1261315</t>
  </si>
  <si>
    <t>1261314</t>
  </si>
  <si>
    <t>0226132693</t>
  </si>
  <si>
    <t>1261331</t>
  </si>
  <si>
    <t>1261320</t>
  </si>
  <si>
    <t>0226142697</t>
  </si>
  <si>
    <t>0226892700</t>
  </si>
  <si>
    <t>022642701</t>
  </si>
  <si>
    <t>0226262702</t>
  </si>
  <si>
    <t>1261334</t>
  </si>
  <si>
    <t>1261333</t>
  </si>
  <si>
    <t>1261332</t>
  </si>
  <si>
    <t>0226482703</t>
  </si>
  <si>
    <t>1261322</t>
  </si>
  <si>
    <t>1261324</t>
  </si>
  <si>
    <t>1261323</t>
  </si>
  <si>
    <t>1261335</t>
  </si>
  <si>
    <t>0326192707</t>
  </si>
  <si>
    <t>0326172712</t>
  </si>
  <si>
    <t>1261336</t>
  </si>
  <si>
    <t>1261337</t>
  </si>
  <si>
    <t>032662713</t>
  </si>
  <si>
    <t>1261325</t>
  </si>
  <si>
    <t>1261326</t>
  </si>
  <si>
    <t>1261327</t>
  </si>
  <si>
    <t>0326112716</t>
  </si>
  <si>
    <t>1261330</t>
  </si>
  <si>
    <t>1261338</t>
  </si>
  <si>
    <t>0326242720</t>
  </si>
  <si>
    <t>032652723</t>
  </si>
  <si>
    <t>032692724</t>
  </si>
  <si>
    <t>0326902725</t>
  </si>
  <si>
    <t>0326102726</t>
  </si>
  <si>
    <t>032682727</t>
  </si>
  <si>
    <t>032672728</t>
  </si>
  <si>
    <t>032642729</t>
  </si>
  <si>
    <t>032642730</t>
  </si>
  <si>
    <t>032642731</t>
  </si>
  <si>
    <t>0326782732</t>
  </si>
  <si>
    <t>032612733</t>
  </si>
  <si>
    <t>3abcf4e3</t>
  </si>
  <si>
    <t>CV Mukaya Teknik</t>
  </si>
  <si>
    <t>0326132734</t>
  </si>
  <si>
    <t>032682735</t>
  </si>
  <si>
    <t>0326252736</t>
  </si>
  <si>
    <t>0326912737</t>
  </si>
  <si>
    <t>1261348</t>
  </si>
  <si>
    <t>1261339</t>
  </si>
  <si>
    <t>1261350</t>
  </si>
  <si>
    <t>1261340</t>
  </si>
  <si>
    <t>1261328</t>
  </si>
  <si>
    <t>1261329</t>
  </si>
  <si>
    <t>1261351</t>
  </si>
  <si>
    <t>Bpk. Agus Salim</t>
  </si>
  <si>
    <t>Jl. Parengan RT. 18, RW 04,Kraton, Kec. Krian Sidoarjo, Jawa Timur</t>
  </si>
  <si>
    <t>1261346</t>
  </si>
  <si>
    <t>1261353</t>
  </si>
  <si>
    <t>1261352</t>
  </si>
  <si>
    <t>1261347</t>
  </si>
  <si>
    <t>0326202738</t>
  </si>
  <si>
    <t>1261354</t>
  </si>
  <si>
    <t>1261355</t>
  </si>
  <si>
    <t>1261357</t>
  </si>
  <si>
    <t>1261356</t>
  </si>
  <si>
    <t>032662751</t>
  </si>
  <si>
    <t>1261345</t>
  </si>
  <si>
    <t>1261344</t>
  </si>
  <si>
    <t>1261359</t>
  </si>
  <si>
    <t>1261358</t>
  </si>
  <si>
    <t>1261360</t>
  </si>
  <si>
    <t>0326262756</t>
  </si>
  <si>
    <t>0326102763</t>
  </si>
  <si>
    <t>0326402764</t>
  </si>
  <si>
    <t>0326132765</t>
  </si>
  <si>
    <t>0326102765</t>
  </si>
  <si>
    <t>1261361</t>
  </si>
  <si>
    <t>0326272767</t>
  </si>
  <si>
    <t>0326112769</t>
  </si>
  <si>
    <t>1261362</t>
  </si>
  <si>
    <t>1261364</t>
  </si>
  <si>
    <t>1261365</t>
  </si>
  <si>
    <t>1261363</t>
  </si>
  <si>
    <t>1261343</t>
  </si>
  <si>
    <t>1261342</t>
  </si>
  <si>
    <t>032672770</t>
  </si>
  <si>
    <t>0326922777</t>
  </si>
  <si>
    <t>032672778</t>
  </si>
  <si>
    <t>0326262779</t>
  </si>
  <si>
    <t>032622780</t>
  </si>
  <si>
    <t>032652781</t>
  </si>
  <si>
    <t>1261381</t>
  </si>
  <si>
    <t>1261366</t>
  </si>
  <si>
    <t>1261367</t>
  </si>
  <si>
    <t>1261372</t>
  </si>
  <si>
    <t>1261341</t>
  </si>
  <si>
    <t>1261371</t>
  </si>
  <si>
    <t>0326212782</t>
  </si>
  <si>
    <t>0326282789</t>
  </si>
  <si>
    <t>1261370</t>
  </si>
  <si>
    <t>1261369</t>
  </si>
  <si>
    <t>1261368</t>
  </si>
  <si>
    <t>032612790</t>
  </si>
  <si>
    <t>96254089</t>
  </si>
  <si>
    <t>Soni Baja</t>
  </si>
  <si>
    <t>Jalan Raya Kemangsen Balongbendo Jawa Timur</t>
  </si>
  <si>
    <t>1261373</t>
  </si>
  <si>
    <t>0326132794</t>
  </si>
  <si>
    <t>0326132796</t>
  </si>
  <si>
    <t>0326152797</t>
  </si>
  <si>
    <t>0326162798</t>
  </si>
  <si>
    <t>0326172799</t>
  </si>
  <si>
    <t>032682800</t>
  </si>
  <si>
    <t>1261375</t>
  </si>
  <si>
    <t>1261374</t>
  </si>
  <si>
    <t>1261382</t>
  </si>
  <si>
    <t>032692801</t>
  </si>
  <si>
    <t>1261383</t>
  </si>
  <si>
    <t>1261384</t>
  </si>
  <si>
    <t>1261376</t>
  </si>
  <si>
    <t>0326292805</t>
  </si>
  <si>
    <t>032652809</t>
  </si>
  <si>
    <t>0326932810</t>
  </si>
  <si>
    <t>0326142811</t>
  </si>
  <si>
    <t>0326142812</t>
  </si>
  <si>
    <t>1261390</t>
  </si>
  <si>
    <t>1261377</t>
  </si>
  <si>
    <t>1261378</t>
  </si>
  <si>
    <t>1261386</t>
  </si>
  <si>
    <t>1261387</t>
  </si>
  <si>
    <t>1261388</t>
  </si>
  <si>
    <t>1261385</t>
  </si>
  <si>
    <t>1261380</t>
  </si>
  <si>
    <t>1261379</t>
  </si>
  <si>
    <t>0326182813</t>
  </si>
  <si>
    <t>0326122823</t>
  </si>
  <si>
    <t>1261391</t>
  </si>
  <si>
    <t>0326222824</t>
  </si>
  <si>
    <t>1261389</t>
  </si>
  <si>
    <t>1261392</t>
  </si>
  <si>
    <t>032622826</t>
  </si>
  <si>
    <t>1261402</t>
  </si>
  <si>
    <t>1261401</t>
  </si>
  <si>
    <t>12061390</t>
  </si>
  <si>
    <t>1261411</t>
  </si>
  <si>
    <t>1261412</t>
  </si>
  <si>
    <t>032692830</t>
  </si>
  <si>
    <t>1261393</t>
  </si>
  <si>
    <t>4032612766</t>
  </si>
  <si>
    <t>8ec7a1d6</t>
  </si>
  <si>
    <t>CV Bumi Anugerah Sentosa</t>
  </si>
  <si>
    <t>Sumber Kembar 007/008, Wonodadi, Kec. Kutorejo, Kabupaten Mojokerto, Jawa Timur, Indonesia</t>
  </si>
  <si>
    <t>0326302835</t>
  </si>
  <si>
    <t>1261394</t>
  </si>
  <si>
    <t>1261395</t>
  </si>
  <si>
    <t>1261396</t>
  </si>
  <si>
    <t>0326272838</t>
  </si>
  <si>
    <t>1261403</t>
  </si>
  <si>
    <t>1261404</t>
  </si>
  <si>
    <t>0326462842</t>
  </si>
  <si>
    <t>0326212845</t>
  </si>
  <si>
    <t>1261397</t>
  </si>
  <si>
    <t>1261398</t>
  </si>
  <si>
    <t>032632846</t>
  </si>
  <si>
    <t>032682849</t>
  </si>
  <si>
    <t>1261399</t>
  </si>
  <si>
    <t>1261400</t>
  </si>
  <si>
    <t>0326122850</t>
  </si>
  <si>
    <t>0326102853</t>
  </si>
  <si>
    <t>4032612837</t>
  </si>
  <si>
    <t>0326152854</t>
  </si>
  <si>
    <t>1261405</t>
  </si>
  <si>
    <t>1261406</t>
  </si>
  <si>
    <t>1261414</t>
  </si>
  <si>
    <t>1261413</t>
  </si>
  <si>
    <t>0326312856</t>
  </si>
  <si>
    <t>0326492861</t>
  </si>
  <si>
    <t>0326122862</t>
  </si>
  <si>
    <t>1261407</t>
  </si>
  <si>
    <t>1261408</t>
  </si>
  <si>
    <t>0326322863</t>
  </si>
  <si>
    <t>1261415</t>
  </si>
  <si>
    <t>1261416</t>
  </si>
  <si>
    <t>0326942866</t>
  </si>
  <si>
    <t>1261418</t>
  </si>
  <si>
    <t>1261419</t>
  </si>
  <si>
    <t>1261420</t>
  </si>
  <si>
    <t>1261417</t>
  </si>
  <si>
    <t>1261431</t>
  </si>
  <si>
    <t>1261410</t>
  </si>
  <si>
    <t>0326132869</t>
  </si>
  <si>
    <t>1261422</t>
  </si>
  <si>
    <t>1261421</t>
  </si>
  <si>
    <t>0326332876</t>
  </si>
  <si>
    <t>0326222879</t>
  </si>
  <si>
    <t>1261433</t>
  </si>
  <si>
    <t>1261432</t>
  </si>
  <si>
    <t>1261434</t>
  </si>
  <si>
    <t>1261430</t>
  </si>
  <si>
    <t>1261424</t>
  </si>
  <si>
    <t>1261423</t>
  </si>
  <si>
    <t>1261441</t>
  </si>
  <si>
    <t>1261427</t>
  </si>
  <si>
    <t>1261426</t>
  </si>
  <si>
    <t>1261425</t>
  </si>
  <si>
    <t>1261428</t>
  </si>
  <si>
    <t>1261429</t>
  </si>
  <si>
    <t>0326132880</t>
  </si>
  <si>
    <t>0326232893</t>
  </si>
  <si>
    <t>1261435</t>
  </si>
  <si>
    <t>1261450</t>
  </si>
  <si>
    <t>0326952894</t>
  </si>
  <si>
    <t>1261447</t>
  </si>
  <si>
    <t>1261449</t>
  </si>
  <si>
    <t>1261448</t>
  </si>
  <si>
    <t>1261437</t>
  </si>
  <si>
    <t>1261436</t>
  </si>
  <si>
    <t>4032612855</t>
  </si>
  <si>
    <t>0326142897</t>
  </si>
  <si>
    <t>0326192904</t>
  </si>
  <si>
    <t>0326312905</t>
  </si>
  <si>
    <t>0326272906</t>
  </si>
  <si>
    <t>1261438</t>
  </si>
  <si>
    <t>1261471</t>
  </si>
  <si>
    <t>0326342907</t>
  </si>
  <si>
    <t>0326962910</t>
  </si>
  <si>
    <t>0326352911</t>
  </si>
  <si>
    <t>032692912</t>
  </si>
  <si>
    <t>0326272913</t>
  </si>
  <si>
    <t>1261446</t>
  </si>
  <si>
    <t>1261445</t>
  </si>
  <si>
    <t>9419f673</t>
  </si>
  <si>
    <t>PT LONG XING LOGAM INDONESIA</t>
  </si>
  <si>
    <t>1261472</t>
  </si>
  <si>
    <t>1261474</t>
  </si>
  <si>
    <t>1261440</t>
  </si>
  <si>
    <t>1261439</t>
  </si>
  <si>
    <t>4032612903</t>
  </si>
  <si>
    <t>0326412914</t>
  </si>
  <si>
    <t>0326182922</t>
  </si>
  <si>
    <t>4032612921</t>
  </si>
  <si>
    <t>4032622925</t>
  </si>
  <si>
    <t>0326162923</t>
  </si>
  <si>
    <t>4032632926</t>
  </si>
  <si>
    <t>0326362927</t>
  </si>
  <si>
    <t>1261475</t>
  </si>
  <si>
    <t>032672929</t>
  </si>
  <si>
    <t>032682931</t>
  </si>
  <si>
    <t>1261476</t>
  </si>
  <si>
    <t>1261477</t>
  </si>
  <si>
    <t>032672932</t>
  </si>
  <si>
    <t>0326462935</t>
  </si>
  <si>
    <t>0326102936</t>
  </si>
  <si>
    <t>1261478</t>
  </si>
  <si>
    <t>1261443</t>
  </si>
  <si>
    <t>1261442</t>
  </si>
  <si>
    <t>0426102937</t>
  </si>
  <si>
    <t>1261454</t>
  </si>
  <si>
    <t>1261453</t>
  </si>
  <si>
    <t>1261444</t>
  </si>
  <si>
    <t>1261451</t>
  </si>
  <si>
    <t>1261452</t>
  </si>
  <si>
    <t>0426232941</t>
  </si>
  <si>
    <t>0426142947</t>
  </si>
  <si>
    <t>1261455</t>
  </si>
  <si>
    <t>0426792948</t>
  </si>
  <si>
    <t>1261479</t>
  </si>
  <si>
    <t>0426502950</t>
  </si>
  <si>
    <t>042612952</t>
  </si>
  <si>
    <t>0fb2135d</t>
  </si>
  <si>
    <t>PT Toya Indo Manunggal</t>
  </si>
  <si>
    <t>Bakalan Wringinpitum, Kec. Balongbendo, Kabupaten Sidoarjo, Jawa Timur</t>
  </si>
  <si>
    <t>1261456</t>
  </si>
  <si>
    <t>1261480</t>
  </si>
  <si>
    <t>0426412953</t>
  </si>
  <si>
    <t>0426972956</t>
  </si>
  <si>
    <t>0426372957</t>
  </si>
  <si>
    <t>042642958</t>
  </si>
  <si>
    <t>042612959</t>
  </si>
  <si>
    <t>dcc017cb</t>
  </si>
  <si>
    <t>Bpk Hidayat</t>
  </si>
  <si>
    <t>HGM4+WM2, Kendal Bakung, Bakungpringgondani, Kec. BalongBendo, Kabupaten Sidoarjo, Jawa Timur 61263</t>
  </si>
  <si>
    <t>1261461</t>
  </si>
  <si>
    <t>1261462</t>
  </si>
  <si>
    <t>1261463</t>
  </si>
  <si>
    <t>0426152960</t>
  </si>
  <si>
    <t>1261457</t>
  </si>
  <si>
    <t>1261459</t>
  </si>
  <si>
    <t>1261458</t>
  </si>
  <si>
    <t>1261464</t>
  </si>
  <si>
    <t>0426162964</t>
  </si>
  <si>
    <t>0426172969</t>
  </si>
  <si>
    <t>0426282970</t>
  </si>
  <si>
    <t>042612971</t>
  </si>
  <si>
    <t>80c9fe6d</t>
  </si>
  <si>
    <t>Bpk Eko Tri Pilar</t>
  </si>
  <si>
    <t>JL. Bypass Krian No. 7800. Barengkrajan, Kec. Krian, Kabupaten Sidoarjo, Jawa Timur  61262</t>
  </si>
  <si>
    <t>4042612928</t>
  </si>
  <si>
    <t>0426422972</t>
  </si>
  <si>
    <t>1261465</t>
  </si>
  <si>
    <t>0426272974</t>
  </si>
  <si>
    <t>0426982976</t>
  </si>
  <si>
    <t>042622977</t>
  </si>
  <si>
    <t>1261467</t>
  </si>
  <si>
    <t>1261466</t>
  </si>
  <si>
    <t>1261460</t>
  </si>
  <si>
    <t>1261491</t>
  </si>
  <si>
    <t>0426382978</t>
  </si>
  <si>
    <t>0426192983</t>
  </si>
  <si>
    <t>1261470</t>
  </si>
  <si>
    <t>1261469</t>
  </si>
  <si>
    <t>1261468</t>
  </si>
  <si>
    <t>042672984</t>
  </si>
  <si>
    <t>0426202988</t>
  </si>
  <si>
    <t>0426172989</t>
  </si>
  <si>
    <t>042612990</t>
  </si>
  <si>
    <t>514e8cd0</t>
  </si>
  <si>
    <t>Bpk. Nawawi (Balongbendo)</t>
  </si>
  <si>
    <t>Balongbendo</t>
  </si>
  <si>
    <t>0426282991</t>
  </si>
  <si>
    <t>042682988</t>
  </si>
  <si>
    <t>1261483</t>
  </si>
  <si>
    <t>1261482</t>
  </si>
  <si>
    <t>1261484</t>
  </si>
  <si>
    <t>1261481</t>
  </si>
  <si>
    <t>1261497</t>
  </si>
  <si>
    <t>0426112993</t>
  </si>
  <si>
    <t>1261493</t>
  </si>
  <si>
    <t>1261495</t>
  </si>
  <si>
    <t>126494</t>
  </si>
  <si>
    <t>1261494</t>
  </si>
  <si>
    <t>1261496</t>
  </si>
  <si>
    <t>0426992999</t>
  </si>
  <si>
    <t>042633004</t>
  </si>
  <si>
    <t>0426143005</t>
  </si>
  <si>
    <t>0426513006</t>
  </si>
  <si>
    <t>0426473007</t>
  </si>
  <si>
    <t>1261487</t>
  </si>
  <si>
    <t>1261488</t>
  </si>
  <si>
    <t>1261486</t>
  </si>
  <si>
    <t>1261485</t>
  </si>
  <si>
    <t>1261498</t>
  </si>
  <si>
    <t>1261499</t>
  </si>
  <si>
    <t>1261489</t>
  </si>
  <si>
    <t>1261490</t>
  </si>
  <si>
    <t>0426133008</t>
  </si>
  <si>
    <t>04261003017</t>
  </si>
  <si>
    <t>042653018</t>
  </si>
  <si>
    <t>0426153019</t>
  </si>
  <si>
    <t>0426283020</t>
  </si>
  <si>
    <t>0426393021</t>
  </si>
  <si>
    <t>0426133022</t>
  </si>
  <si>
    <t>1261502</t>
  </si>
  <si>
    <t>1261501</t>
  </si>
  <si>
    <t>0426143023</t>
  </si>
  <si>
    <t>1261511</t>
  </si>
  <si>
    <t>1261500</t>
  </si>
  <si>
    <t>1261512</t>
  </si>
  <si>
    <t>1261513</t>
  </si>
  <si>
    <t>1261514</t>
  </si>
  <si>
    <t>1261503</t>
  </si>
  <si>
    <t>1261506</t>
  </si>
  <si>
    <t>1261505</t>
  </si>
  <si>
    <t>1261504</t>
  </si>
  <si>
    <t>0426293026</t>
  </si>
  <si>
    <t>0426163036</t>
  </si>
  <si>
    <t>0426243037</t>
  </si>
  <si>
    <t>0426243038</t>
  </si>
  <si>
    <t>1261515</t>
  </si>
  <si>
    <t>1261516</t>
  </si>
  <si>
    <t>1261517</t>
  </si>
  <si>
    <t>0426143039</t>
  </si>
  <si>
    <t>1261507</t>
  </si>
  <si>
    <t>04261013043</t>
  </si>
  <si>
    <t>0426203045</t>
  </si>
  <si>
    <t>1261508</t>
  </si>
  <si>
    <t>04261023046</t>
  </si>
  <si>
    <t>0426403048</t>
  </si>
  <si>
    <t>0426283049</t>
  </si>
  <si>
    <t>1261531</t>
  </si>
  <si>
    <t>1261510</t>
  </si>
  <si>
    <t>1261509</t>
  </si>
  <si>
    <t>1261518</t>
  </si>
  <si>
    <t>1261521</t>
  </si>
  <si>
    <t>1261520</t>
  </si>
  <si>
    <t>1261519</t>
  </si>
  <si>
    <t>04261033050</t>
  </si>
  <si>
    <t>0426123058</t>
  </si>
  <si>
    <t>0426153059</t>
  </si>
  <si>
    <t>042663060</t>
  </si>
  <si>
    <t>042623061</t>
  </si>
  <si>
    <t>1261522</t>
  </si>
  <si>
    <t>1261523</t>
  </si>
  <si>
    <t>1261525</t>
  </si>
  <si>
    <t>1261533</t>
  </si>
  <si>
    <t>1261532</t>
  </si>
  <si>
    <t>1261524</t>
  </si>
  <si>
    <t>042653062</t>
  </si>
  <si>
    <t>042643069</t>
  </si>
  <si>
    <t>1261526</t>
  </si>
  <si>
    <t>0426183070</t>
  </si>
  <si>
    <t>042613072</t>
  </si>
  <si>
    <t>12674d8f</t>
  </si>
  <si>
    <t>PT. Dong Sung Abadi</t>
  </si>
  <si>
    <t>Jalan Raya By Pass Krian No.Km. 32 No. 4, Semawut, Kraton, Krian, Sidoarjo Regency, East Java 61262</t>
  </si>
  <si>
    <t>0426413073</t>
  </si>
  <si>
    <t>042653074</t>
  </si>
  <si>
    <t>042613075</t>
  </si>
  <si>
    <t>405a11b6</t>
  </si>
  <si>
    <t>Ibu Rinta</t>
  </si>
  <si>
    <t>HHQ3+674, Semawut, Balongbendo, Kec. BalongBendo, Kabupaten Sidoarjo, Jawa Timur 61263</t>
  </si>
  <si>
    <t>0426153076</t>
  </si>
  <si>
    <t>0426433077</t>
  </si>
  <si>
    <t>1261534</t>
  </si>
  <si>
    <t>0426523078</t>
  </si>
  <si>
    <t>1261528</t>
  </si>
  <si>
    <t>1261527</t>
  </si>
  <si>
    <t>1261529</t>
  </si>
  <si>
    <t>1261530</t>
  </si>
  <si>
    <t>1261538</t>
  </si>
  <si>
    <t>1261535</t>
  </si>
  <si>
    <t>Bpk. Kadir (Maintenance Velg)</t>
  </si>
  <si>
    <t>1261536</t>
  </si>
  <si>
    <t>1261537</t>
  </si>
  <si>
    <t>04261043080</t>
  </si>
  <si>
    <t>042683089</t>
  </si>
  <si>
    <t>1261561</t>
  </si>
  <si>
    <t>1261564</t>
  </si>
  <si>
    <t>1261563</t>
  </si>
  <si>
    <t>1261562</t>
  </si>
  <si>
    <t>1261541</t>
  </si>
  <si>
    <t>1261539</t>
  </si>
  <si>
    <t>1261542</t>
  </si>
  <si>
    <t>1261551</t>
  </si>
  <si>
    <t>042673090</t>
  </si>
  <si>
    <t>0426133099</t>
  </si>
  <si>
    <t>0426443100</t>
  </si>
  <si>
    <t>0426163101</t>
  </si>
  <si>
    <t>0426293102</t>
  </si>
  <si>
    <t>0426153103</t>
  </si>
  <si>
    <t>1261552</t>
  </si>
  <si>
    <t>1261553</t>
  </si>
  <si>
    <t>1261543</t>
  </si>
  <si>
    <t>1261546</t>
  </si>
  <si>
    <t>1261545</t>
  </si>
  <si>
    <t>1261554</t>
  </si>
  <si>
    <t>1261547</t>
  </si>
  <si>
    <t>042623104</t>
  </si>
  <si>
    <t>04261053112</t>
  </si>
  <si>
    <t>1261548</t>
  </si>
  <si>
    <t>1261550</t>
  </si>
  <si>
    <t>1261549</t>
  </si>
  <si>
    <t>0426533113</t>
  </si>
  <si>
    <t>1261556</t>
  </si>
  <si>
    <t>1261557</t>
  </si>
  <si>
    <t>1261558</t>
  </si>
  <si>
    <t>1261555</t>
  </si>
  <si>
    <t>04261063117</t>
  </si>
  <si>
    <t>itemId</t>
  </si>
  <si>
    <t>itemName</t>
  </si>
  <si>
    <t>mutationCode</t>
  </si>
  <si>
    <t>qty</t>
  </si>
  <si>
    <t>itemNumber</t>
  </si>
  <si>
    <t>price</t>
  </si>
  <si>
    <t>description</t>
  </si>
  <si>
    <t>adminNote</t>
  </si>
  <si>
    <t>isCorrection</t>
  </si>
  <si>
    <t>8bdbe149</t>
  </si>
  <si>
    <t>Oksigen 6m3</t>
  </si>
  <si>
    <t>NORMAL</t>
  </si>
  <si>
    <t>1105 1113 1124 1125 1144 1145 1136 1134 1143 1139 1137 1135 1141 1142 1140 1133 1132 1123 1118 1108</t>
  </si>
  <si>
    <t>1109 1102 1114 1111 1115 1110 1107 1106 1103 1104</t>
  </si>
  <si>
    <t>EMPTY</t>
  </si>
  <si>
    <t>1139 1113 1105 1135</t>
  </si>
  <si>
    <t>be525f3b</t>
  </si>
  <si>
    <t>LPG 12kg</t>
  </si>
  <si>
    <t>L1</t>
  </si>
  <si>
    <t>1149 1147 1138 1148 1150 1146 1130 1129 1127 1101</t>
  </si>
  <si>
    <t>1103 1109 1107 1115 1106 1110 1104 1102</t>
  </si>
  <si>
    <t>1112 1117 1122 1120 1121 1119 1128 1126 1131 1116 1107 1115 1110 1102 1135 1105 1104 1113 1103 1106</t>
  </si>
  <si>
    <t>1141 1142 1133 1134 1145 1136 1143</t>
  </si>
  <si>
    <t>1136 1141 1133 1138 1149 1143 1145 1142 1134 1129</t>
  </si>
  <si>
    <t>08240006</t>
  </si>
  <si>
    <t>1143 1133 1141 1136 1145 1142 1134 1129 1149 1138</t>
  </si>
  <si>
    <t>1109</t>
  </si>
  <si>
    <t>1132 1123 1144 1124 1125 1137 1118 1108 1140</t>
  </si>
  <si>
    <t>1111 1134 1145 1148</t>
  </si>
  <si>
    <t>f6aab7a9</t>
  </si>
  <si>
    <t>Oksigen 6m3 MR</t>
  </si>
  <si>
    <t>c3051e6b</t>
  </si>
  <si>
    <t>1125 1140 1137 1132 1111 1134 1108 1148 1118 1123</t>
  </si>
  <si>
    <t>1126 1112</t>
  </si>
  <si>
    <t>1111 1123 1134 1125 1108 1118 1148 1140</t>
  </si>
  <si>
    <t>1134 1118 1112 1145 1127 1130 1144 1108 1140 1148 1111 1125 1126 1124 1139</t>
  </si>
  <si>
    <t>L28 L25 L26 L27 L24</t>
  </si>
  <si>
    <t>1123 1114 1147 1150 1101</t>
  </si>
  <si>
    <t>1131 1104 1135</t>
  </si>
  <si>
    <t>ef306e54</t>
  </si>
  <si>
    <t>Karbondioksida</t>
  </si>
  <si>
    <t>6797 6689 6669 6683 6834</t>
  </si>
  <si>
    <t>1151 1152 1153 1154 1155</t>
  </si>
  <si>
    <t>1119 1105</t>
  </si>
  <si>
    <t>1163 1168 1156 1158 1160 1159 1157 1166 1174 1175 1165 1164 1172 1161 1171</t>
  </si>
  <si>
    <t>66af7c72</t>
  </si>
  <si>
    <t>Argon 6m3</t>
  </si>
  <si>
    <t>8009 8091 8119 8094 8051</t>
  </si>
  <si>
    <t>1170 1173 1162 1167 1169</t>
  </si>
  <si>
    <t>1151 1152 1154 1155</t>
  </si>
  <si>
    <t>1133 1143 1141 1129 1149</t>
  </si>
  <si>
    <t>1153 1168</t>
  </si>
  <si>
    <t>1128</t>
  </si>
  <si>
    <t>09240019</t>
  </si>
  <si>
    <t>1105 1135 1119 1104 1131</t>
  </si>
  <si>
    <t>1178 1168 1177 1179 1176</t>
  </si>
  <si>
    <t>1166 1174 1172</t>
  </si>
  <si>
    <t>1137 1132</t>
  </si>
  <si>
    <t>1128 1149 1146 1180 1137 1166 1109 1132 1172 1174</t>
  </si>
  <si>
    <t>1121 1122 1115</t>
  </si>
  <si>
    <t>1161 1165 1156 1157 1158 1159 1160</t>
  </si>
  <si>
    <t>8076 87</t>
  </si>
  <si>
    <t>1157 1159</t>
  </si>
  <si>
    <t>1163 1146 1166 1137 1128 1149 1123 1147 1171 1164</t>
  </si>
  <si>
    <t>1123 1147</t>
  </si>
  <si>
    <t>1171 1163 1146 1166 1137 1128 1149 1164</t>
  </si>
  <si>
    <t>6641 6856 6691 6609 6836</t>
  </si>
  <si>
    <t>1161 1158 1156 1141 1115</t>
  </si>
  <si>
    <t>6689 6797 6834</t>
  </si>
  <si>
    <t>1119</t>
  </si>
  <si>
    <t>b7a8fff1</t>
  </si>
  <si>
    <t>LPG 50kg</t>
  </si>
  <si>
    <t>1109 1175 1163 1172 1132 1171</t>
  </si>
  <si>
    <t>1165 1122 1129 1143 1133 1160 1121</t>
  </si>
  <si>
    <t>1180 1128 1164 1149 1146 1147 1123</t>
  </si>
  <si>
    <t>09240031</t>
  </si>
  <si>
    <t>1151 1152 1153 1154 1155 1181 1182 1183 1184 1185 1186 1187 1188</t>
  </si>
  <si>
    <t>1165 1166 1160 1137 1133 1174 1121 1129 1143</t>
  </si>
  <si>
    <t>1162 1134 1124 1126 1127 1168 1139 1130 1144 1167 1118 1169 1108</t>
  </si>
  <si>
    <t>1192 1190</t>
  </si>
  <si>
    <t>11124 1109 1132 1119 1149 1146 1147 1128 1123 11122</t>
  </si>
  <si>
    <t>1135 1131</t>
  </si>
  <si>
    <t>1122 1152 1181 1182 1183 1185 1186 1188</t>
  </si>
  <si>
    <t>6856 6641</t>
  </si>
  <si>
    <t>11123 11115 11120 11114 11106 11105 11103 11112 11113 11125 11111 11110 11109 11104 1199 11119 11107 11101 1198 1197</t>
  </si>
  <si>
    <t>1164 1163 1180 1175</t>
  </si>
  <si>
    <t>1159 1150 1101 1114</t>
  </si>
  <si>
    <t>1151 1155 1132 1146 1147 1128 1109</t>
  </si>
  <si>
    <t>1104 1105</t>
  </si>
  <si>
    <t>6836</t>
  </si>
  <si>
    <t>1171 1172 1166 1174 1160 1168 1165 1162 1167 1169 1108 1134 1139 1129 1121</t>
  </si>
  <si>
    <t>1199 11119 11125</t>
  </si>
  <si>
    <t>1118 1126 1137 1130 1133 1189 1196 1143 1124 1127 1144 1191 11102 11121 11118</t>
  </si>
  <si>
    <t>6632 6655 6650 6975 6903</t>
  </si>
  <si>
    <t>1113 1106 1107 1110 1103 1117 1102</t>
  </si>
  <si>
    <t>6683 6669</t>
  </si>
  <si>
    <t>6686 6768 6904 6657 6850 6711 6626 6811 6821 6666</t>
  </si>
  <si>
    <t>6609 6691</t>
  </si>
  <si>
    <t>1115 1156 1116 1158</t>
  </si>
  <si>
    <t>8025 8063 8141 8128 8124 8081</t>
  </si>
  <si>
    <t>1188</t>
  </si>
  <si>
    <t>1179 1148 1178 1177 1176 1125 1145 1104 11113 11103 1112 11117 1111 11111 11101</t>
  </si>
  <si>
    <t>6735 6787 6728 6911 6748 6765 6948 6730 6840 6678</t>
  </si>
  <si>
    <t>1183 1135 1104 11116 11108 1195 1194 1193 11100 11117</t>
  </si>
  <si>
    <t>1180 1157</t>
  </si>
  <si>
    <t>1141 1120 1161</t>
  </si>
  <si>
    <t>6821 6632 6903 6811 6650</t>
  </si>
  <si>
    <t>1152 1101 1159 1114 1182</t>
  </si>
  <si>
    <t>3b9d6a30</t>
  </si>
  <si>
    <t>Acetyline</t>
  </si>
  <si>
    <t>7927 7973 7977 017 7819 7978 7956</t>
  </si>
  <si>
    <t>1151 1110 1186 1153 1185 1131 1109 1150 1181 1122</t>
  </si>
  <si>
    <t>8093 8015 8312 8183 8231 8276</t>
  </si>
  <si>
    <t>1102 11119 1107 1199 1146 1155 1117 1147 1105 1128</t>
  </si>
  <si>
    <t>8081 8124 8128 8141</t>
  </si>
  <si>
    <t>6703 6709 6783 6912 6820</t>
  </si>
  <si>
    <t>1103 1106 11125 1113 1132 11112 11103 1112 1140 11111</t>
  </si>
  <si>
    <t>1116 1145 1111 11113 1115</t>
  </si>
  <si>
    <t>1122 1123 1124 1149 1154 1187 1184</t>
  </si>
  <si>
    <t>6850 6655</t>
  </si>
  <si>
    <t>1196 1191 1134 1137 1118 1144</t>
  </si>
  <si>
    <t>1144 1191 1149 1137 1118 1120 11101 1125 1148 1141</t>
  </si>
  <si>
    <t>1154 1143 1123</t>
  </si>
  <si>
    <t>1169 11107 11110 1160 11120 1129 11109 1139 1168 1197 11106 11115 11114 1134 11104 1174 1172 1162 1121</t>
  </si>
  <si>
    <t>8051</t>
  </si>
  <si>
    <t>1190</t>
  </si>
  <si>
    <t>1199 11119 1102</t>
  </si>
  <si>
    <t>1196 11124 11122 1187 1184</t>
  </si>
  <si>
    <t>1175 1164</t>
  </si>
  <si>
    <t>6637 6684 6663 6781 6639</t>
  </si>
  <si>
    <t>6686 6666 6904 6711 6975</t>
  </si>
  <si>
    <t>1127 1189 11121 1124 11118</t>
  </si>
  <si>
    <t>12001 12002 12003</t>
  </si>
  <si>
    <t>1129 11109 11120 1139 11104</t>
  </si>
  <si>
    <t>1117 1155 1107 1147</t>
  </si>
  <si>
    <t>1181 1131 1151 1185 1153</t>
  </si>
  <si>
    <t>7956</t>
  </si>
  <si>
    <t>CLAIM</t>
  </si>
  <si>
    <t>7978</t>
  </si>
  <si>
    <t>1116 1145 1113 11113 1111</t>
  </si>
  <si>
    <t>1151 1181 1102 11110 11115 1121 1157 1155 1153 11118 1124 1189 1117 1131 11121 1147 1107 1185 1127 11106</t>
  </si>
  <si>
    <t>12003</t>
  </si>
  <si>
    <t>RETUR CLAIM</t>
  </si>
  <si>
    <t>12004</t>
  </si>
  <si>
    <t>1152 1101</t>
  </si>
  <si>
    <t>1160 1156 1161 1162 1168 1157 1158 1199 1164 1134 1190 11107 11114 1197 11119</t>
  </si>
  <si>
    <t>7812 7969 7810 7806</t>
  </si>
  <si>
    <t>1186 1150</t>
  </si>
  <si>
    <t>6730 6840</t>
  </si>
  <si>
    <t>1116 1145 1150 1119 1111</t>
  </si>
  <si>
    <t>8051 81 8012 8096 8331</t>
  </si>
  <si>
    <t>7957</t>
  </si>
  <si>
    <t>1169 1163 1101 1186 1152</t>
  </si>
  <si>
    <t>6808 6903 6872 6894 6871</t>
  </si>
  <si>
    <t>7956 7941 7984 7934 7983 7979 7924 7953 7902 7962 6957</t>
  </si>
  <si>
    <t>12005</t>
  </si>
  <si>
    <t>6626 6820 6639 6703</t>
  </si>
  <si>
    <t>1112 1103 1126 1133 1130</t>
  </si>
  <si>
    <t>1126 1103 1133 1112</t>
  </si>
  <si>
    <t>8194 8113 9050 8247</t>
  </si>
  <si>
    <t>6760 6611 6737 6612</t>
  </si>
  <si>
    <t>8276 8093 8063 8231 8312</t>
  </si>
  <si>
    <t>1570 1418 5135 5563 1340 5893 5709 5549 5048 5192</t>
  </si>
  <si>
    <t>1141 1149 1120</t>
  </si>
  <si>
    <t>1311 1282 5784 015 5206 2056 5627 1670 1232 5489</t>
  </si>
  <si>
    <t>1121 1117 1110</t>
  </si>
  <si>
    <t>7819 017</t>
  </si>
  <si>
    <t>1115 11109</t>
  </si>
  <si>
    <t>1105 1146 1128</t>
  </si>
  <si>
    <t>1110 11109 1115 1130 11113 1149 1117 1141 1121 1128 1105 1120 1146</t>
  </si>
  <si>
    <t>1130 1110 1105 1120 1149 1128 1117 1146 1115 11113 1141 1121</t>
  </si>
  <si>
    <t>11240077</t>
  </si>
  <si>
    <t>5493 5391 1566 5006 1606 5037 1628 1558</t>
  </si>
  <si>
    <t>1181 1121 1185 11118 1109</t>
  </si>
  <si>
    <t>7927 7973 7977 7934 7902 7984 7941</t>
  </si>
  <si>
    <t>11110 1151 1127 1147 1107</t>
  </si>
  <si>
    <t>11240079</t>
  </si>
  <si>
    <t>5192 5563 1137 1418 5709 1570 5893 1148 5549 5048</t>
  </si>
  <si>
    <t>1123</t>
  </si>
  <si>
    <t>1237 1666 5093 1596 1259 5815 1074 5182 1324 5862 1147 1123 1127 11110 1151</t>
  </si>
  <si>
    <t>1142 1138</t>
  </si>
  <si>
    <t>5161 5591 5463 1653 1604 1564 1287 5558 5403 1214 1112 11109</t>
  </si>
  <si>
    <t>5145 1542 5461 5530 5570 1185 5877 1107 1672 5916</t>
  </si>
  <si>
    <t>6703 6832 6635 6971 6865</t>
  </si>
  <si>
    <t>1566 1102 1155 11106 11115 1124 1153 1122 1131</t>
  </si>
  <si>
    <t>1566 1153 1131 1140 11115 11102 11106 5488 5130 1075 5512 5898 1726 5811 5639</t>
  </si>
  <si>
    <t>6637 6781 6894 6903 6684 6657</t>
  </si>
  <si>
    <t>1106 1113 11102 1186 11111 11112 1140</t>
  </si>
  <si>
    <t>1380 1643 1259 1147 1666 1074 5093 5482 11110 1151</t>
  </si>
  <si>
    <t>11109 1124 1153 11111 1106 5127 5882 1396 5177 5803 1502 1654 1407 5240 1683</t>
  </si>
  <si>
    <t>7839 7833 7836 7841 7843 7840 7838</t>
  </si>
  <si>
    <t>8294 8286 8184</t>
  </si>
  <si>
    <t>1606</t>
  </si>
  <si>
    <t>6957 7956 7979</t>
  </si>
  <si>
    <t>12001</t>
  </si>
  <si>
    <t>1666 11110 1151 1147 1113 1122 1155 11112 1186 1102 1107 1138 1137 1142 1148</t>
  </si>
  <si>
    <t>12003 12006 8316 8267 8187</t>
  </si>
  <si>
    <t>5861 1118 1265 5772 1626 5869 1074 5651 5482</t>
  </si>
  <si>
    <t>2056</t>
  </si>
  <si>
    <t>1340 11118 1185 11121</t>
  </si>
  <si>
    <t>1185 11124 11118 1149 1130</t>
  </si>
  <si>
    <t>8056 8055 8069</t>
  </si>
  <si>
    <t>1175 1121</t>
  </si>
  <si>
    <t>1163 1187 11124</t>
  </si>
  <si>
    <t>1130 1189 1149 1558 1628 5006 1121 1141</t>
  </si>
  <si>
    <t>7953 7983</t>
  </si>
  <si>
    <t>1340 1707 5782 5258 1365 5211 1675 1368 1657 1021</t>
  </si>
  <si>
    <t>1190 1156 1161</t>
  </si>
  <si>
    <t>6728 6911</t>
  </si>
  <si>
    <t>7937 7957 7822 7968 7975</t>
  </si>
  <si>
    <t>1165 1170 1108 1104 1171 1198 11117 1167</t>
  </si>
  <si>
    <t>8119 8094</t>
  </si>
  <si>
    <t>1074 5869 1181 1265 5135 1109 5482 1118</t>
  </si>
  <si>
    <t>5391 5037 1146 1115</t>
  </si>
  <si>
    <t>7924 7962</t>
  </si>
  <si>
    <t>5488 5130 1596 5811 1726 1237 5815 1153 1536 1566 1423 5512 1324 5862 11102 1127 11106 1140 11115 1123 1131 1073</t>
  </si>
  <si>
    <t>1123 1187 11121 1127 1141</t>
  </si>
  <si>
    <t>6975 6820 6606 6929 6731</t>
  </si>
  <si>
    <t>5296 1598 5181 5311 5441 1732 5543 1346 1065 5319</t>
  </si>
  <si>
    <t>1181 1146 1115 5651 1626 5861 5772 001 002 003 004 005</t>
  </si>
  <si>
    <t>01 02 03 04 05 1101 1124 1110 1157 1115 1169 1163 1234 1580 1808</t>
  </si>
  <si>
    <t>1495 1146</t>
  </si>
  <si>
    <t>1124 1110 5882 1654 1157 5127 1117 1120</t>
  </si>
  <si>
    <t>5898 1189 5639 06 07 08 09 10 11 12 13 14 15</t>
  </si>
  <si>
    <t>1117 1152 11102 1146 1181</t>
  </si>
  <si>
    <t>1732 5319 5181 5548 1065 1347 6311 5296 16</t>
  </si>
  <si>
    <t>1126 11127 11128 11129 11130 11131 11132 11133 11134 1189</t>
  </si>
  <si>
    <t>1502 1396 1683 1105 11113 11111 1128 1106</t>
  </si>
  <si>
    <t>7833 7840 7937</t>
  </si>
  <si>
    <t>7806</t>
  </si>
  <si>
    <t>1197 11119 1160 1164 1162 1168 1157 1134</t>
  </si>
  <si>
    <t>1183 5426 5326 1330 5819 5236 1487 5096 1754 5238</t>
  </si>
  <si>
    <t>12001 8276 8224 8243</t>
  </si>
  <si>
    <t>6609 6610 6900 6627 6769</t>
  </si>
  <si>
    <t>1181 1109 11102 1117 1146 1495 1152 1598 5441 *1146</t>
  </si>
  <si>
    <t>1105 11113 11111 1128 1106 1109 11102 1117 1146 1152</t>
  </si>
  <si>
    <t>12004 8294 8589</t>
  </si>
  <si>
    <t>11155 11151 11145 11135 11142 11146 11139 11163 11160 11165</t>
  </si>
  <si>
    <t>11147 11164 11149 11159 11162 11137 11141 11157 11148 11158 11161 11152 11138 11144 11154</t>
  </si>
  <si>
    <t>5258</t>
  </si>
  <si>
    <t>5236 5238 1330 5426 1487 1103 5819 5096</t>
  </si>
  <si>
    <t>11166 11167 11168 11169 11170 11171 11172 11173 11174 11175 11140 11153 11136 11150 11143</t>
  </si>
  <si>
    <t>1162 1164 1168 1160 1157</t>
  </si>
  <si>
    <t>6663 6755 6798 6926 6996</t>
  </si>
  <si>
    <t>5493 1407 1189 1152</t>
  </si>
  <si>
    <t>12008 12007 12004</t>
  </si>
  <si>
    <t>1134 1120 11103 1181</t>
  </si>
  <si>
    <t>7938 7975 7843 7836 7968</t>
  </si>
  <si>
    <t>1107 11125 1127 1132 5916 1542 5570 5461 5877</t>
  </si>
  <si>
    <t>6929 6971</t>
  </si>
  <si>
    <t>1827 1826 1490 5033 5044</t>
  </si>
  <si>
    <t>1188 1133</t>
  </si>
  <si>
    <t>8025 8015 8183</t>
  </si>
  <si>
    <t>1136</t>
  </si>
  <si>
    <t>1145</t>
  </si>
  <si>
    <t>1114 1159 1182</t>
  </si>
  <si>
    <t>11122</t>
  </si>
  <si>
    <t>5489 1232 5627</t>
  </si>
  <si>
    <t>1101 11101 001 005 004 003 002 1754 11155 1169 1115 1163 1580 1808 11142 11135 1157 1110 1144 1118 1191 1125 006 007 008 009</t>
  </si>
  <si>
    <t>11178 1118 1163 1101 1157 1144 11101 1125 11180 1115 1191 1169 11179 1110 1182</t>
  </si>
  <si>
    <t>11125 1133 11119</t>
  </si>
  <si>
    <t>1197</t>
  </si>
  <si>
    <t>8096 81 8267 8012 8009 8316 8051 8091 12003 12006</t>
  </si>
  <si>
    <t>1173 1193 11108 1111 11123</t>
  </si>
  <si>
    <t>11181 11182 11177 1114 1152 1159 1132 1127 1136 1189</t>
  </si>
  <si>
    <t>11135 11142 11155 1154 11122</t>
  </si>
  <si>
    <t>1431 1829 1069 1598 5589 5006 1824 5753 5461 1006</t>
  </si>
  <si>
    <t>6648 6683 6875 6651 6808 6894 6694 6668 6667 6774</t>
  </si>
  <si>
    <t>11133 1153 11132 11127 11131 5803 5127 5240</t>
  </si>
  <si>
    <t>7822 7957</t>
  </si>
  <si>
    <t>1187 11121 1123 1168</t>
  </si>
  <si>
    <t>6820 6975 6663 6731 6703 6606</t>
  </si>
  <si>
    <t>1502 1132 1113 11131 1117 1193 11108 1111 11127 1173 11123 1057 5750 5298 1532</t>
  </si>
  <si>
    <t>1153 1188 1834 5015 1419</t>
  </si>
  <si>
    <t>1073 1566 1198 1131 11106 1190 5815 5862 1596 5512 5130 1167 1140 11115</t>
  </si>
  <si>
    <t>1707 1340 1368</t>
  </si>
  <si>
    <t>6948</t>
  </si>
  <si>
    <t>1129 11104 11120</t>
  </si>
  <si>
    <t>1187 1123 11120</t>
  </si>
  <si>
    <t>1196 1121</t>
  </si>
  <si>
    <t>1103 1112</t>
  </si>
  <si>
    <t>1707 5512 5862 1596 5709 1566 5904 1825 1073 5130</t>
  </si>
  <si>
    <t>1168 1198</t>
  </si>
  <si>
    <t>1154 11134 1109 1105</t>
  </si>
  <si>
    <t>7839</t>
  </si>
  <si>
    <t>1133 11125</t>
  </si>
  <si>
    <t>12009 12010</t>
  </si>
  <si>
    <t>11146 11165 5326 11160 11163 11139 1234 11151 11145 1124</t>
  </si>
  <si>
    <t>87</t>
  </si>
  <si>
    <t>1121 1105 11134 11125 11106</t>
  </si>
  <si>
    <t>6696</t>
  </si>
  <si>
    <t>11120 1184 1175</t>
  </si>
  <si>
    <t>1282</t>
  </si>
  <si>
    <t>1133 1196 1103 1154 1109</t>
  </si>
  <si>
    <t>6642 6715 6759 6712</t>
  </si>
  <si>
    <t>8215 8339 8256 8322 8239</t>
  </si>
  <si>
    <t>f3208f5d</t>
  </si>
  <si>
    <t>Tabung 6m3 + O2</t>
  </si>
  <si>
    <t>02 01</t>
  </si>
  <si>
    <t>63a8dbcf</t>
  </si>
  <si>
    <t>Tabung 6m3 + CO2</t>
  </si>
  <si>
    <t>6001</t>
  </si>
  <si>
    <t>11121 1190 1131 1112</t>
  </si>
  <si>
    <t>1129 11115 1124 5815 1167 1368 11104 1140 11163 11145 11160 11151 11165 11146 11139</t>
  </si>
  <si>
    <t>8247</t>
  </si>
  <si>
    <t>1181 1134 11103</t>
  </si>
  <si>
    <t>1536 1324 1532 5298 5750 1057 1502 11133 1173 1193 1165 1111 11123 11108 11127 11131</t>
  </si>
  <si>
    <t>11129 11135 11142 11111 1117 11170 11172 11173 11136 11140 11113 11143 1168 1128 11109</t>
  </si>
  <si>
    <t>7838 7841</t>
  </si>
  <si>
    <t>1132 11127 11176 5457 5546 1485 1836 1230 5471 5373</t>
  </si>
  <si>
    <t>5784 1670</t>
  </si>
  <si>
    <t>1006 1069 5589 1824 1160 1164 1157</t>
  </si>
  <si>
    <t>6996 6755 6926 6875</t>
  </si>
  <si>
    <t>1128 11113 11131 1173 1175 11133 11109 11108 11111 1165</t>
  </si>
  <si>
    <t>11129 11143 11140 11142 11135 11136 11168 11170 11173 11172</t>
  </si>
  <si>
    <t>6664 6643</t>
  </si>
  <si>
    <t>11161 11114 1365 1675 1021</t>
  </si>
  <si>
    <t>7810</t>
  </si>
  <si>
    <t>11119 1197</t>
  </si>
  <si>
    <t>5206</t>
  </si>
  <si>
    <t>1143 11103 11119 1117 1184 1181 1193 11123 1111 11120</t>
  </si>
  <si>
    <t>5786 1816 5995 1752 1572 1178 1123 5911 5357 1317 5605 5932</t>
  </si>
  <si>
    <t>1107 1160 11114 1157 1164</t>
  </si>
  <si>
    <t>1139 1153 11153 1188 1106 11174 11150 11155 11167 11161</t>
  </si>
  <si>
    <t>1834 1139 1188 1153</t>
  </si>
  <si>
    <t>1146 1707 11167 11153 11174 11155 1106 11150</t>
  </si>
  <si>
    <t>7836 7962 7937 7976 7929 7989</t>
  </si>
  <si>
    <t>11166 11122</t>
  </si>
  <si>
    <t>11149</t>
  </si>
  <si>
    <t>11187 11188 11190 11189</t>
  </si>
  <si>
    <t>7806 7975</t>
  </si>
  <si>
    <t>6771 6917</t>
  </si>
  <si>
    <t>11183 11185 11186 11184</t>
  </si>
  <si>
    <t>1230 1836 015</t>
  </si>
  <si>
    <t>6664</t>
  </si>
  <si>
    <t>11122 11206 11204 11205 11210 11211 11202 11191 11192 11194 11196 11200 11209 11207 11203 11197 11198 11199 11201 11208</t>
  </si>
  <si>
    <t>6928 6696 6792 6650 6619</t>
  </si>
  <si>
    <t>11166 11196 1670 11193 11212</t>
  </si>
  <si>
    <t>11147 5782</t>
  </si>
  <si>
    <t>1419</t>
  </si>
  <si>
    <t>5471 1485</t>
  </si>
  <si>
    <t>6643</t>
  </si>
  <si>
    <t>1598 1141 5753 1431</t>
  </si>
  <si>
    <t>6798 6683 6667 6774 6894 6694 6808 6668 6651 6648</t>
  </si>
  <si>
    <t>11155 1596 5862</t>
  </si>
  <si>
    <t>1598 1485 5753 1334 1686</t>
  </si>
  <si>
    <t>6667 6703 6832 6777 6751</t>
  </si>
  <si>
    <t>6912 6619</t>
  </si>
  <si>
    <t>5862 5425 1059 5888</t>
  </si>
  <si>
    <t>1726 11146</t>
  </si>
  <si>
    <t>11173 11142 1158</t>
  </si>
  <si>
    <t>6678 6787</t>
  </si>
  <si>
    <t>7969</t>
  </si>
  <si>
    <t>1121 11134 11106 1187</t>
  </si>
  <si>
    <t>1121 1141 1187 1146 1190</t>
  </si>
  <si>
    <t>1566 11128 11150 11102</t>
  </si>
  <si>
    <t>5613 5023 5548 1158 11146 11155 11173 11149 11142 11147</t>
  </si>
  <si>
    <t>L1 L2 L3 L4 L5</t>
  </si>
  <si>
    <t>e8544a46</t>
  </si>
  <si>
    <t>Oksigen 1m3</t>
  </si>
  <si>
    <t>1686 1670 11212 11145 1485 11193 11166 5461 1162 1829 5006</t>
  </si>
  <si>
    <t>6751 6792 6928 6650 6777 6667 6832 6696</t>
  </si>
  <si>
    <t>5811 1104 5488 1153 1161 1237 1171 11117 1156 1160 1165 11108 11113 1175 1108 1423</t>
  </si>
  <si>
    <t>6765</t>
  </si>
  <si>
    <t>1657 11141 11152 11162 11107 11135</t>
  </si>
  <si>
    <t>7812</t>
  </si>
  <si>
    <t>1120 11121</t>
  </si>
  <si>
    <t>9050 8113 12007</t>
  </si>
  <si>
    <t>11184 5546 1132</t>
  </si>
  <si>
    <t>6771</t>
  </si>
  <si>
    <t>1120 1108 11121 11107 11117</t>
  </si>
  <si>
    <t>11212 11141 11160 11152 11135 11166 11184 11193 11150 11195</t>
  </si>
  <si>
    <t>11168</t>
  </si>
  <si>
    <t>11128 11134 1165 1161 1171 1156 1175 1162 5388 5530</t>
  </si>
  <si>
    <t>1104 11102 11106 11113 11108</t>
  </si>
  <si>
    <t>11161 11175 1153 11153</t>
  </si>
  <si>
    <t>11199 11209 11192 11203 11201 11200 11122 11207 11206 11210</t>
  </si>
  <si>
    <t>12006</t>
  </si>
  <si>
    <t>6956 6629 6659 6614</t>
  </si>
  <si>
    <t>11122 1153 11161 11162 11206 11210 11192 11200 11209 11207 11203 11199 11201 11153 11168 11175 1156 1495 5518 1636 5791 5840 1445 5449 5610 5500 1109 1648 5954 5710</t>
  </si>
  <si>
    <t>11104 11132 11111</t>
  </si>
  <si>
    <t>11125 5425</t>
  </si>
  <si>
    <t>1153</t>
  </si>
  <si>
    <t>11126</t>
  </si>
  <si>
    <t>11174 11171 1139 1188 5512 1825 5904</t>
  </si>
  <si>
    <t>11104 11111 11126 11125 1188</t>
  </si>
  <si>
    <t>8091 12007 8123 8137</t>
  </si>
  <si>
    <t>5425 5904 1825 11132 5512 11171 11174 1373 5885 00001 00002 00003 00004 00005 00006 00007 00008 00009 00010 00011</t>
  </si>
  <si>
    <t>1139 1156 11163 11129 11208 11145 11204 11158 1124 11112 1107 11165 1368 5815 5211</t>
  </si>
  <si>
    <t>11133 1173 1170 1175</t>
  </si>
  <si>
    <t>2550 2180 2320 2238 2229 8302</t>
  </si>
  <si>
    <t>0001 0002</t>
  </si>
  <si>
    <t>1128 11191 1140 1110</t>
  </si>
  <si>
    <t>5326 5004 5211 1563 1038 1626 5840 1431 49 11162 11153 11168 11200 1156 5568</t>
  </si>
  <si>
    <t>1171 11194 11202 11205 1165 5388 1161 11196 11191 1162</t>
  </si>
  <si>
    <t>11211 1156 11204 11197 11208 1175</t>
  </si>
  <si>
    <t>5815 1124 11145 1170 11165 11131 11163 1128 1140 11133 1368 1173 11109</t>
  </si>
  <si>
    <t>1142 1110 1115 1155 11116 11112 1107 1113</t>
  </si>
  <si>
    <t>5211 11158 1129</t>
  </si>
  <si>
    <t>11186 11183 5373</t>
  </si>
  <si>
    <t>6917</t>
  </si>
  <si>
    <t>2180 01 2550 2229 2320 2238</t>
  </si>
  <si>
    <t>5786 1317 5911</t>
  </si>
  <si>
    <t>1495 31 212 005 11175 11122 5449 1648 11210 11192 11162 11200 5791 5840 1156 11168 11153 11201 11199</t>
  </si>
  <si>
    <t>1073 11130</t>
  </si>
  <si>
    <t>5211 11112 1107 11129</t>
  </si>
  <si>
    <t>1167 11151 1129 1142 1156 11165 1139 5815 1368 11145 11204</t>
  </si>
  <si>
    <t>11152 11137 11138 1199</t>
  </si>
  <si>
    <t>7836</t>
  </si>
  <si>
    <t>11165 11151 11158 11138 5345 11208 1199 11152 1167 1732</t>
  </si>
  <si>
    <t>11114 5015</t>
  </si>
  <si>
    <t>1598 5753 1334</t>
  </si>
  <si>
    <t>6703</t>
  </si>
  <si>
    <t>8240</t>
  </si>
  <si>
    <t>11165 11138 11151 11158 11152 1414 5017 5117 5478 5820</t>
  </si>
  <si>
    <t>8076</t>
  </si>
  <si>
    <t>1712 5543 1456 1167 1199</t>
  </si>
  <si>
    <t>1192 1143</t>
  </si>
  <si>
    <t>1105 1059 5862</t>
  </si>
  <si>
    <t>1825 11132 11171 5530 1373 11116 11128 1155 1198 11131 11134 5904</t>
  </si>
  <si>
    <t>11167</t>
  </si>
  <si>
    <t>11116 11114 11134 11131 11128 11132 1155 1105 1192 1134</t>
  </si>
  <si>
    <t>204710625091005578458935489111711116711192</t>
  </si>
  <si>
    <t>04 5610 006 02 11202 11207 1162 11194 1109 11206 5954 5692 1317 11161 5710 01 5500 1636 11209 5518 11186 1445</t>
  </si>
  <si>
    <t>6629 6956</t>
  </si>
  <si>
    <t>11160 11170 11144 11135 11143 11140 11195 11172</t>
  </si>
  <si>
    <t>7989</t>
  </si>
  <si>
    <t>11170 11160 11140</t>
  </si>
  <si>
    <t>6643 6648</t>
  </si>
  <si>
    <t>006 5294 5560</t>
  </si>
  <si>
    <t>8273 8304 8182 8288</t>
  </si>
  <si>
    <t>12008 12007 12004 1131 1126 8243 8276</t>
  </si>
  <si>
    <t>3</t>
  </si>
  <si>
    <t>2690846b</t>
  </si>
  <si>
    <t>Oksigen 1m3 MR</t>
  </si>
  <si>
    <t>1</t>
  </si>
  <si>
    <t>1106 11169</t>
  </si>
  <si>
    <t>1141 1111 11103 11123</t>
  </si>
  <si>
    <t>1311</t>
  </si>
  <si>
    <t>1816 1123 5357</t>
  </si>
  <si>
    <t>12004 12008 12007</t>
  </si>
  <si>
    <t>6737</t>
  </si>
  <si>
    <t>1131 1126</t>
  </si>
  <si>
    <t>8243 8276</t>
  </si>
  <si>
    <t>04 5042 2047 1068 03 11183 5786 5373 1652 02 11202 01 1062 11192 5489 5388 11171 5146 11196 005 1171 5893 5784 1165 11205 1161 02*</t>
  </si>
  <si>
    <t>11171 11174 11172 11169 11144</t>
  </si>
  <si>
    <t>11121 1134 1181 1193</t>
  </si>
  <si>
    <t>11164 11150 11136 11166 11148 11141 11193 11184</t>
  </si>
  <si>
    <t>1572 1752</t>
  </si>
  <si>
    <t>11191</t>
  </si>
  <si>
    <t>1142 11115 1156 11163 11139 11145 11153</t>
  </si>
  <si>
    <t>1162 11196 1171 11183 11205 11192 1165 1161 11202 11206</t>
  </si>
  <si>
    <t>1191 1103 1118 11180 11101 1186 1157 1109 1101 1133 1196 1182 1666</t>
  </si>
  <si>
    <t>6712</t>
  </si>
  <si>
    <t>8331 8339 8239 8215 8187 8322</t>
  </si>
  <si>
    <t>04 5969 1843 1659 1763 5518 1450 11135 11161 11141 11191 1123 11194 11201 11186 11195 11198 11208 11129 11203</t>
  </si>
  <si>
    <t>11139 11150 11164 11136 11148 11145 11166 11153 11163 11141</t>
  </si>
  <si>
    <t>5130</t>
  </si>
  <si>
    <t>11197 1113 5885 5425 11165 1124 11152 1115 5820 01 11211</t>
  </si>
  <si>
    <t>11167 003 0003 5091 5917 5315 19</t>
  </si>
  <si>
    <t>1146 11114 1190</t>
  </si>
  <si>
    <t>11165 11184 11197 11123 11122 11103 11199 11175 11210 11209 11207 11211 1141 1139 1111</t>
  </si>
  <si>
    <t>5211 1626 1038 11204 11137 11130 11168 1431 11162 1563 1479 11200 31 49 1129</t>
  </si>
  <si>
    <t>11212</t>
  </si>
  <si>
    <t>7962 7926</t>
  </si>
  <si>
    <t>1157 11101 1118 1196 1186</t>
  </si>
  <si>
    <t>1109 1182 1193 1146 1190</t>
  </si>
  <si>
    <t>11174 11169 11171 11172</t>
  </si>
  <si>
    <t>1712 5888 1167 1199 5543</t>
  </si>
  <si>
    <t>11115 11121 11114 1134 1181 1101 1103 1133 1142 1191</t>
  </si>
  <si>
    <t>11180 1129 11112 11212 1106 1107 1115 11204 11193 1156 11130 11200 1124 1113 01</t>
  </si>
  <si>
    <t>5568 5326 5840 11211 11197 11199 11123 11165 11122 11103 1139 11207 11184 1141 1111 11209</t>
  </si>
  <si>
    <t>11168 11137 11162 11167 11152</t>
  </si>
  <si>
    <t>11165 11209 11207 11211 11199 11197 1167 1139 11103 11184</t>
  </si>
  <si>
    <t>1183</t>
  </si>
  <si>
    <t>11208 1414 11158 11138 5017 11109 11161 11194 5518 5512 5969 5117</t>
  </si>
  <si>
    <t>11142 11173 11155</t>
  </si>
  <si>
    <t>11109 11194 11123 11208 1183 1141 1111 1199 1153 12</t>
  </si>
  <si>
    <t>11142 11155 11173 11138 11161 11158 11169 111171 11172 11174</t>
  </si>
  <si>
    <t>8194 8137</t>
  </si>
  <si>
    <t>1112</t>
  </si>
  <si>
    <t>11175 11210 1156 11212 11130 11112 11180 1106 1107 1129 1113 1115 1124 11204</t>
  </si>
  <si>
    <t>11210 1107 1115 11175 1156</t>
  </si>
  <si>
    <t>11112 11130 11212 11204 11130 11180 1106 1129 1112 1113</t>
  </si>
  <si>
    <t>1146 1182 11200 11161 11144 11174 11155 11142 11138 11171 11172 1193 11193 11173 01</t>
  </si>
  <si>
    <t>1141 5784 5418 5321 1356 1740 5930 1066 5832 5645</t>
  </si>
  <si>
    <t>11169 11158</t>
  </si>
  <si>
    <t>11144 1146 1193 1182</t>
  </si>
  <si>
    <t>11142 11171 11172 11174 11173 11138 11161 11155 11200 11193 01</t>
  </si>
  <si>
    <t>11151 5478 11198 11135</t>
  </si>
  <si>
    <t>11124 1185 11177 1189 11182 1136 11181 1152</t>
  </si>
  <si>
    <t>6769 6610</t>
  </si>
  <si>
    <t>11142 01 11200 1193 11193 11161 11174 1182 11171</t>
  </si>
  <si>
    <t>7976</t>
  </si>
  <si>
    <t>1189 1152 1182 1193 1185 1136 11124 11177 11193 11181 11182 11200 11174 11161 11171 11142 01</t>
  </si>
  <si>
    <t>1450 1659 11195 1763 11191 11186 11129 11180 1129 11201 1123 11112</t>
  </si>
  <si>
    <t>1146 11144 11172 11155 11173 11138</t>
  </si>
  <si>
    <t>1149 1159 1114 1127 5044 5033 1826 1827</t>
  </si>
  <si>
    <t>6900 6609</t>
  </si>
  <si>
    <t>8224 8069 8184 8055 8056 12002 12001 8286</t>
  </si>
  <si>
    <t>8123 8091</t>
  </si>
  <si>
    <t>6760</t>
  </si>
  <si>
    <t>11187 11189</t>
  </si>
  <si>
    <t>7975</t>
  </si>
  <si>
    <t>11180</t>
  </si>
  <si>
    <t>1149 1123 1159 1114 1188</t>
  </si>
  <si>
    <t>11198 11129 11191 11201 11189 11186 11112 1127 1129 1146</t>
  </si>
  <si>
    <t>1140 1128 1178 5560 5605 5932 5995</t>
  </si>
  <si>
    <t>11127 5457</t>
  </si>
  <si>
    <t>11181 11124 1152 1193 11200 11177 11142 11171</t>
  </si>
  <si>
    <t>1141 1356 5418 1066 5227</t>
  </si>
  <si>
    <t>1107 1156 1109 1190 1115 11175</t>
  </si>
  <si>
    <t>1128 1140 11187</t>
  </si>
  <si>
    <t>12002 12001 12003</t>
  </si>
  <si>
    <t>11135 11169 11151 11158 11173 11172 11177 11142 11195 11144 11155 11138 11175 11181 11127 11177 11200 1193 1156 1109</t>
  </si>
  <si>
    <t>8288</t>
  </si>
  <si>
    <t>1171 1138 1125 1163 1102 1166</t>
  </si>
  <si>
    <t>1136 1185 1182 11161 01</t>
  </si>
  <si>
    <t>1115 1107 1190 1152 11124</t>
  </si>
  <si>
    <t>11164 1125 1136 1185 1182 1163 1171 1166 1138</t>
  </si>
  <si>
    <t>1112 04 11143 1843 1124 11130</t>
  </si>
  <si>
    <t>1173 11133 1170 1175</t>
  </si>
  <si>
    <t>2002 01</t>
  </si>
  <si>
    <t>1124 1112</t>
  </si>
  <si>
    <t>11143</t>
  </si>
  <si>
    <t>11144 11171 1189 11174 11142 11182 11169</t>
  </si>
  <si>
    <t>11157 11159</t>
  </si>
  <si>
    <t>6748</t>
  </si>
  <si>
    <t>1111</t>
  </si>
  <si>
    <t>5709</t>
  </si>
  <si>
    <t>5321 5645 5784</t>
  </si>
  <si>
    <t>11174 11111 11157 11159 11171 11144 11169 11142 11182 1189</t>
  </si>
  <si>
    <t>11107 11117 11134</t>
  </si>
  <si>
    <t>1113 11204 11203 11212</t>
  </si>
  <si>
    <t>11133 11130 11134 11203 11204 1175 1173 1170</t>
  </si>
  <si>
    <t>11212 11117 11107 1113</t>
  </si>
  <si>
    <t>6769 6900</t>
  </si>
  <si>
    <t>1196 1118 1456</t>
  </si>
  <si>
    <t>5930 1740</t>
  </si>
  <si>
    <t>11180 5294</t>
  </si>
  <si>
    <t>11135 11195 11173 11181 11172 11193 11192</t>
  </si>
  <si>
    <t>11186 11198 1146 11185 11112 1129 1127</t>
  </si>
  <si>
    <t>11195 11198 11173 11193 11181 11172 11185 11135 11180 11186 1193 1146 1118 1129 01</t>
  </si>
  <si>
    <t>1196 1127 11112</t>
  </si>
  <si>
    <t>11151 11175 11191 11126 11129 11210 11104</t>
  </si>
  <si>
    <t>6609 6610 6760</t>
  </si>
  <si>
    <t>11133 11134</t>
  </si>
  <si>
    <t>6900</t>
  </si>
  <si>
    <t>1157 1160</t>
  </si>
  <si>
    <t>12009</t>
  </si>
  <si>
    <t>11104 1140 1112 11126 11125</t>
  </si>
  <si>
    <t>11191 11129</t>
  </si>
  <si>
    <t>6648</t>
  </si>
  <si>
    <t>11175 11151</t>
  </si>
  <si>
    <t>11210</t>
  </si>
  <si>
    <t>1125 1102</t>
  </si>
  <si>
    <t>1168</t>
  </si>
  <si>
    <t>6735</t>
  </si>
  <si>
    <t>7937</t>
  </si>
  <si>
    <t>11181 1118 1156 11158 11138</t>
  </si>
  <si>
    <t>1168 11158 11181 11138 11134 11133 1157 1160 1118 1156</t>
  </si>
  <si>
    <t>1193 1146 11172 11135 01 11173 11180 11198 1129 11186 11195 11200</t>
  </si>
  <si>
    <t>1105 1171 1163</t>
  </si>
  <si>
    <t>1163 1171 1106 1193 11180 11198 11186 11200</t>
  </si>
  <si>
    <t>1102 1129 1146 1140</t>
  </si>
  <si>
    <t>6760 6643 6769</t>
  </si>
  <si>
    <t>11175 11189 11201 1170 1175 1173</t>
  </si>
  <si>
    <t>11117 11212 1186</t>
  </si>
  <si>
    <t>439cf836</t>
  </si>
  <si>
    <t>Karbondioksida MR</t>
  </si>
  <si>
    <t>11173 11212 11189 1186 1175 11175 1173 1170 11117 11201</t>
  </si>
  <si>
    <t>1121 1192 1105 1143</t>
  </si>
  <si>
    <t>11125 1121 1105 1143 1192 1125 1112 11172 11135 11195</t>
  </si>
  <si>
    <t>11104 11129 1193 11126</t>
  </si>
  <si>
    <t>11194 11208 11109 1199 1153 1111 12</t>
  </si>
  <si>
    <t>1157 1156 1138 1166 11161 1168 1136</t>
  </si>
  <si>
    <t>1109 11193 11127 11185 11117 1173 1175 11175 1186 1170 11189 11201</t>
  </si>
  <si>
    <t>1195 1169 1119 1137 11100 1116 1162 11206 11105 1135 1154 11178 1122 1147 1150 1148</t>
  </si>
  <si>
    <t>02250267</t>
  </si>
  <si>
    <t>02250269</t>
  </si>
  <si>
    <t>1175 11175 1157 11189 1186 1136 11127 1168 1173 1109</t>
  </si>
  <si>
    <t>6611</t>
  </si>
  <si>
    <t>1196</t>
  </si>
  <si>
    <t>6610 6609</t>
  </si>
  <si>
    <t>11203 11151 1163 1180</t>
  </si>
  <si>
    <t>1157</t>
  </si>
  <si>
    <t>11105 1154 1122 1119 1150 1137 1116 1135 1138 11117</t>
  </si>
  <si>
    <t>1120 1108 1187</t>
  </si>
  <si>
    <t>16284</t>
  </si>
  <si>
    <t>1153 11126 11212 12 11177 1199 11173 11115</t>
  </si>
  <si>
    <t>006 1110</t>
  </si>
  <si>
    <t>11206 11126 11155 11143 1199 11185 11201 11212 11151 1147 1195 1148 11100 11173 12</t>
  </si>
  <si>
    <t>11203 11180 1166 11177 1120 1157 1108 1156 1163 1187</t>
  </si>
  <si>
    <t>11208</t>
  </si>
  <si>
    <t>1185 11181 1118 1158</t>
  </si>
  <si>
    <t>11101</t>
  </si>
  <si>
    <t>11210 1106 11200</t>
  </si>
  <si>
    <t>11101 1118 1185 11181</t>
  </si>
  <si>
    <t>11112 1128</t>
  </si>
  <si>
    <t>11154</t>
  </si>
  <si>
    <t>11104 11129 11109 1111 1193 11161 1195 01</t>
  </si>
  <si>
    <t>1195 11154 11120 11161 11129 11119 1188 1128 11104 1111</t>
  </si>
  <si>
    <t>11119 1188 11120 1117</t>
  </si>
  <si>
    <t>11112 1193 1117</t>
  </si>
  <si>
    <t>1141</t>
  </si>
  <si>
    <t>11130 11186</t>
  </si>
  <si>
    <t>1102 1140</t>
  </si>
  <si>
    <t>11175 11189 11127 1173 11138 1157</t>
  </si>
  <si>
    <t>11193 1170 11194 11212 11155 11100 11143 1148</t>
  </si>
  <si>
    <t>1149 1159 1119</t>
  </si>
  <si>
    <t>1148 1149 1196 1106 1153 11100</t>
  </si>
  <si>
    <t>11210 11208 11143 1159 1119 11193 11212 11155 1170 11194</t>
  </si>
  <si>
    <t>1145 1161 11110 1165 1144 11202 11111</t>
  </si>
  <si>
    <t>1131 8276 11164 11144 11136 12008 12007 11163 11139 11150</t>
  </si>
  <si>
    <t>6715 6642</t>
  </si>
  <si>
    <t>1195 1175 1128 1186 1111</t>
  </si>
  <si>
    <t>11115 1142 1103 1181</t>
  </si>
  <si>
    <t>01 11201 11151 11126 11178 11173 11175 1199 1147 11138 11185 11127 11206 12</t>
  </si>
  <si>
    <t>11102 11165 1167 5613 5548 5023 1158</t>
  </si>
  <si>
    <t>11175 11109 11201 11178 1147 11185 11206 11127 11126 1199</t>
  </si>
  <si>
    <t>1102 11186 11189 1141 11130 11158 1173 1140 1157 11200</t>
  </si>
  <si>
    <t>11200 11103 11165 1141 1140 11186 1102 1157 11130 11151 11173 1167 1158 11189 1173</t>
  </si>
  <si>
    <t>11107</t>
  </si>
  <si>
    <t>1171 11176 11198 11204 11191</t>
  </si>
  <si>
    <t>1127</t>
  </si>
  <si>
    <t>8273 8182</t>
  </si>
  <si>
    <t>11144 11158 11164 11150 11138 11163 11136 11139 11198 11204</t>
  </si>
  <si>
    <t>03250291</t>
  </si>
  <si>
    <t>07 04 01 11191 12</t>
  </si>
  <si>
    <t>1127 11107 1171</t>
  </si>
  <si>
    <t>1164</t>
  </si>
  <si>
    <t>11129 11120 11161 11210</t>
  </si>
  <si>
    <t>11169 11171 11142 1125 11205 11183 1143 1105 1151</t>
  </si>
  <si>
    <t>11152 11166 11137 1126 11167</t>
  </si>
  <si>
    <t>1137 11105 1135</t>
  </si>
  <si>
    <t>11183 11205 11210 11129 11176 11105 1143 1105 1135 11120</t>
  </si>
  <si>
    <t>11171 11142 1137 1125 11161 11169 1151</t>
  </si>
  <si>
    <t>8256 8243</t>
  </si>
  <si>
    <t>11208 1170 11104 1188 1136 11134 11119 1160 1182 1109 11193 1168 11133 11194</t>
  </si>
  <si>
    <t>11104 11119 1170 1188 1182 1109 1164 1168 1136 11133</t>
  </si>
  <si>
    <t>1142 11115 11111 1111 11110 11202 1110 1125 01 1186 07 04 1144 1145 1128 11191 1181 12 1195 1137 1103</t>
  </si>
  <si>
    <t>13001 13002 13003 13004</t>
  </si>
  <si>
    <t>1160 11208 11134 11193 11194</t>
  </si>
  <si>
    <t>03250301</t>
  </si>
  <si>
    <t>1144</t>
  </si>
  <si>
    <t>1155 1122 11131 11128 1150 1154 1114</t>
  </si>
  <si>
    <t>11193 11194 1160 11208 11134</t>
  </si>
  <si>
    <t>11171 1125 1145 1151 11161 1186 1103 1142 11115 1137 1169</t>
  </si>
  <si>
    <t>1141 11166 11167 1158 11200 11186 1126 11173</t>
  </si>
  <si>
    <t>03250309</t>
  </si>
  <si>
    <t>11166 11173 11200 11161 11186 1137 1125 1126 1151 1141 11115 1145 11169 11171 11167</t>
  </si>
  <si>
    <t>1142 1186</t>
  </si>
  <si>
    <t>11213 11214 11215 11216 11217 11218 11219 11220 11221 11222 11223 11224 11225 11226 11227</t>
  </si>
  <si>
    <t>1165 1161</t>
  </si>
  <si>
    <t>1148 11114 1101 1134 11100 1196</t>
  </si>
  <si>
    <t>1133</t>
  </si>
  <si>
    <t>11110 1128 11111 11202 11191 11142</t>
  </si>
  <si>
    <t>11181</t>
  </si>
  <si>
    <t>11188</t>
  </si>
  <si>
    <t>11143 11176 1113 1159 1105 11212 1143</t>
  </si>
  <si>
    <t>07 04</t>
  </si>
  <si>
    <t>1101 1148 1150 11114 11130 11189 11134 1157 11128 1173</t>
  </si>
  <si>
    <t>11174 11157 11135 11172 1163 11192 1157 11195 11179 11182 1108 11203 1121 1189 1112 11125 1194 1192 1187 11196</t>
  </si>
  <si>
    <t>11141 11162</t>
  </si>
  <si>
    <t>1122 1192 1181 1140 1102 1189 1119 1134 1128 11100</t>
  </si>
  <si>
    <t>11129 11105</t>
  </si>
  <si>
    <t>1116 11169 11173 1137 11200 1141 11171 1195 1111 1125</t>
  </si>
  <si>
    <t>1113 1146</t>
  </si>
  <si>
    <t>11182 1157 1163</t>
  </si>
  <si>
    <t>1130 1132</t>
  </si>
  <si>
    <t>1490</t>
  </si>
  <si>
    <t>1145 11161 11167 11115 11125 11195 11194 11192 1112 1155 11157 1187 11172 1167 1194</t>
  </si>
  <si>
    <t>11183 11217 11213</t>
  </si>
  <si>
    <t>1158 1162 11195</t>
  </si>
  <si>
    <t>01 1133 1146 1154 11208 11169 11103 1114 11129 11131 1160 11152</t>
  </si>
  <si>
    <t>11124 1190 1115 1152 1107</t>
  </si>
  <si>
    <t>13009</t>
  </si>
  <si>
    <t>13008 13007 13006 13005</t>
  </si>
  <si>
    <t>11129 1146 11131 1141 1111 1115 1160 1167 1190 11123 1195 11183 11200 11208 11193</t>
  </si>
  <si>
    <t>13002</t>
  </si>
  <si>
    <t>11160 1121 1126 1151 11186 1108 1175 11147 11135</t>
  </si>
  <si>
    <t>6659 6614 13004</t>
  </si>
  <si>
    <t>1194 11105 1145 1125 1110 11110 11124 1113 1152 1133</t>
  </si>
  <si>
    <t>11225 11155 11120 11218 11219 11222 1135 11214 11205 11154 11210</t>
  </si>
  <si>
    <t>11141 11162 11143 11152 11157 11172 11167 11169 11212 76</t>
  </si>
  <si>
    <t>1144 1142</t>
  </si>
  <si>
    <t>1143 11111 1132 11181 1130 1159 11230</t>
  </si>
  <si>
    <t>1109 1182 11117 11104 1164 1116 1168 11132 1123</t>
  </si>
  <si>
    <t>1186</t>
  </si>
  <si>
    <t>11191 1196 11202 11137</t>
  </si>
  <si>
    <t>11210 1159 11181 11111 1126 1175 11165 1132 1143 11205</t>
  </si>
  <si>
    <t>1168 11132 1109 1196 11104</t>
  </si>
  <si>
    <t>1135 1186 11117</t>
  </si>
  <si>
    <t>1117</t>
  </si>
  <si>
    <t>1187 1121 1114 11103 11125 1151 1107 1155 1137 1112</t>
  </si>
  <si>
    <t>11151 76 11169 11157 11143 1105 11229</t>
  </si>
  <si>
    <t>11157 11169 11155 11143 11137 11174 11154 11151 11161 11166 11135 11173 11142 11171 76</t>
  </si>
  <si>
    <t>11162 11212 11167 11152</t>
  </si>
  <si>
    <t>11138 11163 11164 11177 11136 11159 11127 11180 11178 11158 11150 11139 1199 11206</t>
  </si>
  <si>
    <t>11145</t>
  </si>
  <si>
    <t>13010 13004</t>
  </si>
  <si>
    <t>11172 11155 11174 11171 11166 11141</t>
  </si>
  <si>
    <t>1184 1181</t>
  </si>
  <si>
    <t>11139</t>
  </si>
  <si>
    <t>11195 1158 1162</t>
  </si>
  <si>
    <t>13001 13003</t>
  </si>
  <si>
    <t>11136</t>
  </si>
  <si>
    <t>12004 1131 12012 12009</t>
  </si>
  <si>
    <t>13003 13001 13002</t>
  </si>
  <si>
    <t>11122 1158</t>
  </si>
  <si>
    <t>1118</t>
  </si>
  <si>
    <t>8308 12001</t>
  </si>
  <si>
    <t>11177 11127 1164 11176 11188 11191 11202 11192 11186 11195</t>
  </si>
  <si>
    <t>04250353</t>
  </si>
  <si>
    <t>1116 1117 1123 11120 1144 1182 1199 1184 1181 1105</t>
  </si>
  <si>
    <t>11147 11199 11184 11149 1139 11211 11207 11197 11146</t>
  </si>
  <si>
    <t>1130 1178 1142 1108 11115</t>
  </si>
  <si>
    <t>11155 11141 11166 11138 11158 11159 11162 11152 11167 11172</t>
  </si>
  <si>
    <t>1195 1160 11226 11193 11223 11131 1154 11224 1167 1115 11200 11216 1141 11220 11227 11215</t>
  </si>
  <si>
    <t>11206 11212</t>
  </si>
  <si>
    <t>76 75</t>
  </si>
  <si>
    <t>11150</t>
  </si>
  <si>
    <t>1170 1136 1138 1133</t>
  </si>
  <si>
    <t>12006 12007 12008 12011</t>
  </si>
  <si>
    <t>12018 12017 12016 12015 12014 12013 12019 12020 12021 12023 12024</t>
  </si>
  <si>
    <t>13012 13013 13014 13011</t>
  </si>
  <si>
    <t>7d2764f1</t>
  </si>
  <si>
    <t>Oksigen 7m3</t>
  </si>
  <si>
    <t>11241 11240 11245 1162 11244 11239 11234 11261 11228 11229</t>
  </si>
  <si>
    <t>13008 13007 13005 13004</t>
  </si>
  <si>
    <t>1154</t>
  </si>
  <si>
    <t>13020 13015</t>
  </si>
  <si>
    <t>11231 11232 11254</t>
  </si>
  <si>
    <t>1141 1115 11256 11257</t>
  </si>
  <si>
    <t>1163 1157 1193 1129 1168 11112</t>
  </si>
  <si>
    <t>04250371</t>
  </si>
  <si>
    <t>11115 1142 1108</t>
  </si>
  <si>
    <t>11253 11260 11235 11255 11238 11258 11259 11252 11237 11236</t>
  </si>
  <si>
    <t>11247 1136 1133 1138 1170</t>
  </si>
  <si>
    <t>11196 1139 11194 1118 1195</t>
  </si>
  <si>
    <t>1111 11159 11152 1190 11166</t>
  </si>
  <si>
    <t>1121 11125</t>
  </si>
  <si>
    <t>11228 11169 11151 11135 11157 11137 11143 11142 11173 11167 76 11154</t>
  </si>
  <si>
    <t>11125 1190 1121 11112 1163 1129 1193 1157 1111 1168 11266 11267 11268 11269 11270</t>
  </si>
  <si>
    <t>12027 12025 12026</t>
  </si>
  <si>
    <t>11242 11203 11184 11249 11243</t>
  </si>
  <si>
    <t>1150 1153 1149 1148 1103 11134 11130 1157 1191 1101 1106</t>
  </si>
  <si>
    <t>1146 11183</t>
  </si>
  <si>
    <t>11232 1130 11178</t>
  </si>
  <si>
    <t>11275 11278</t>
  </si>
  <si>
    <t>1147 11126 1126 11109 1120 11204 11201 11185 11198 1132 11165 11111 1156 11175 11144</t>
  </si>
  <si>
    <t>11148</t>
  </si>
  <si>
    <t>11160 11170</t>
  </si>
  <si>
    <t>75 76</t>
  </si>
  <si>
    <t>11130 11165 11126 11175 11198</t>
  </si>
  <si>
    <t>11236 11260 11235 11237 11255 11259 11252</t>
  </si>
  <si>
    <t>1149 1130 1146</t>
  </si>
  <si>
    <t>12028</t>
  </si>
  <si>
    <t>1186 1124 1158 1185 11117</t>
  </si>
  <si>
    <t>6612</t>
  </si>
  <si>
    <t>1131</t>
  </si>
  <si>
    <t>11167 11208 11138</t>
  </si>
  <si>
    <t>11118</t>
  </si>
  <si>
    <t>11252 11237 11201 11235 11185 11232 11183 11204 11259 11255</t>
  </si>
  <si>
    <t>11109 1142 1106 11277 11280 1148 1153 11260 11111 1103 1147 1120 1132 1191 1126</t>
  </si>
  <si>
    <t>1175 11205 1166</t>
  </si>
  <si>
    <t>11153 12006</t>
  </si>
  <si>
    <t>11236 1127 1108 1101 11279</t>
  </si>
  <si>
    <t>11206 11275</t>
  </si>
  <si>
    <t>12010</t>
  </si>
  <si>
    <t>11115 11134 1156 11281 11246 11250 11248 11251 11274 11272</t>
  </si>
  <si>
    <t>11151 11163 11144 11142 11161 11152 11160 11159 11157 11174 11170 11171 11149 11148 11146</t>
  </si>
  <si>
    <t>11127 1164 11177 11188 11176 11191</t>
  </si>
  <si>
    <t>11288 11290 11273 11271 11287 11108 11106 1104 1150 11253 11105 1116 1104 1141 1185</t>
  </si>
  <si>
    <t>1147 1106</t>
  </si>
  <si>
    <t>1199 1112 1116 11116 1181 11105 11100 1125 1140</t>
  </si>
  <si>
    <t>11258 11255 11237 11253 11238</t>
  </si>
  <si>
    <t>11132 11104 1141</t>
  </si>
  <si>
    <t>1125 1199 1112 1197 1124 1154 11100 11104 11258 11237 11206 11132 11255 11238 1158</t>
  </si>
  <si>
    <t>11116 1181 1106 1147</t>
  </si>
  <si>
    <t>11208 11275 11137 11138 11291</t>
  </si>
  <si>
    <t>11154 11150 11147</t>
  </si>
  <si>
    <t>11160 11170 1191 11171 11206 11111 1153 1148 1142</t>
  </si>
  <si>
    <t>11129 1157 11172 11269 1190 1168 1116 1129 11112 11266 1111 11268 11270 11267 11221 1121 11141</t>
  </si>
  <si>
    <t>11216 11228</t>
  </si>
  <si>
    <t>1101 11278 11236 1108</t>
  </si>
  <si>
    <t>11257 1109 1196</t>
  </si>
  <si>
    <t>12030 12029</t>
  </si>
  <si>
    <t>13016 13017 13019 13009 13021</t>
  </si>
  <si>
    <t>12010 12022</t>
  </si>
  <si>
    <t>11212 11292 11178 11152 76</t>
  </si>
  <si>
    <t>1122 1192 1189 1134</t>
  </si>
  <si>
    <t>11101 11122 11187</t>
  </si>
  <si>
    <t>11259 11232 11201</t>
  </si>
  <si>
    <t>11242 11231 11254 11243 11203</t>
  </si>
  <si>
    <t>13015</t>
  </si>
  <si>
    <t>12032 12031</t>
  </si>
  <si>
    <t>11236 11242 11243 11254</t>
  </si>
  <si>
    <t>12033 12034 12035</t>
  </si>
  <si>
    <t>11223 11227</t>
  </si>
  <si>
    <t>11190</t>
  </si>
  <si>
    <t>6759</t>
  </si>
  <si>
    <t>93c00077</t>
  </si>
  <si>
    <t>Valve CO2</t>
  </si>
  <si>
    <t>11178 11185 11183 11212 11292 11153</t>
  </si>
  <si>
    <t>11114 11121 1173 11194 11128</t>
  </si>
  <si>
    <t>11101 11203 11189 11122 1192</t>
  </si>
  <si>
    <t>11205 11127 11176 11177 11191 11188 1164 11232 11231 11278</t>
  </si>
  <si>
    <t>11204 11252</t>
  </si>
  <si>
    <t>11240 11228 11244 11261 11234 11241</t>
  </si>
  <si>
    <t>11239</t>
  </si>
  <si>
    <t>11128 11240 11252 11261 11239</t>
  </si>
  <si>
    <t>1121 1168 1173</t>
  </si>
  <si>
    <t>11241 11228 11244 11269 1157 11114 11234 11260 1190 1129 11194 11111 1191 11268 11121</t>
  </si>
  <si>
    <t>6627</t>
  </si>
  <si>
    <t>11184</t>
  </si>
  <si>
    <t>11271 1141 11106 11290 11288 11158 11162 1193 1116 11108</t>
  </si>
  <si>
    <t>11150 11147 11279 11276</t>
  </si>
  <si>
    <t>75</t>
  </si>
  <si>
    <t>1148 1108 1101 1111 1134 1122 1142 1153 1186 11112</t>
  </si>
  <si>
    <t>1151 11124 1114 1107 11110 1137 1187 1113 1152</t>
  </si>
  <si>
    <t>12038</t>
  </si>
  <si>
    <t>1163 11117 11270</t>
  </si>
  <si>
    <t>11226 11224 11220 11213 11215</t>
  </si>
  <si>
    <t>11266 11290 11271 11288 11184</t>
  </si>
  <si>
    <t>1171 1127 11107 11198 11165 11130 11175 11126</t>
  </si>
  <si>
    <t>11123 1183</t>
  </si>
  <si>
    <t>1152 11124 11107 1107</t>
  </si>
  <si>
    <t>13015 13018</t>
  </si>
  <si>
    <t>05250437</t>
  </si>
  <si>
    <t>11147 11158 11150 11162 11141 11172 11153 11160 11170 1171</t>
  </si>
  <si>
    <t>11167 11174 11164 11136 11135</t>
  </si>
  <si>
    <t>1171 1127 11130 11123 11110 11106 11279 1114 1113 11198 1137 1152 1193 11276 11108 1141 1116 11118 1183 1187</t>
  </si>
  <si>
    <t>11229 1162 11267</t>
  </si>
  <si>
    <t>11239 11240 11154 11252</t>
  </si>
  <si>
    <t>12042 12041</t>
  </si>
  <si>
    <t>11230 11222 11225 11218 11221</t>
  </si>
  <si>
    <t>11275 11256</t>
  </si>
  <si>
    <t>11226 11213 11220 11224</t>
  </si>
  <si>
    <t>11235 11127 11176 76 11278 1164 11177 11231</t>
  </si>
  <si>
    <t>1130 1149</t>
  </si>
  <si>
    <t>12002</t>
  </si>
  <si>
    <t>12040 12039 12036 12037</t>
  </si>
  <si>
    <t>11278 11229 11240 11275 11175</t>
  </si>
  <si>
    <t>11151 11146</t>
  </si>
  <si>
    <t>11173 11136 11135 11164 11167</t>
  </si>
  <si>
    <t>11207 11193 11199 1169 11197 11131 1160 11180 11211 11283 11263 11262 11284 11264 11265</t>
  </si>
  <si>
    <t>13022 13023</t>
  </si>
  <si>
    <t>11249 1121 11117 1173</t>
  </si>
  <si>
    <t>1127 11279 11123 1116 1183 1171 1114 1193 1113 1187</t>
  </si>
  <si>
    <t>11154 11169 11143</t>
  </si>
  <si>
    <t>11239 1168 1130 11231 11252 1149 11256 1162 11235 11267</t>
  </si>
  <si>
    <t>11165 11176 11129 11177 11127</t>
  </si>
  <si>
    <t>12042</t>
  </si>
  <si>
    <t>1181 1106 11116 1147</t>
  </si>
  <si>
    <t>11190 1196 11289 11257 11212 11292 11185 11183 11178 76</t>
  </si>
  <si>
    <t>1183 1187 1127 1193</t>
  </si>
  <si>
    <t>13024 13025</t>
  </si>
  <si>
    <t>12002 12038</t>
  </si>
  <si>
    <t>11191 11205 11232 11188</t>
  </si>
  <si>
    <t>1175 1109 1198 1137 11200 11285 11282 11201 11204 11178 11113 11102 11259 11286 1167</t>
  </si>
  <si>
    <t>1135</t>
  </si>
  <si>
    <t>12031</t>
  </si>
  <si>
    <t>11287 1190 11253 1104 11111 11155 1140 11273 11114 11260 1191 11241 11105 1129 11228 11194</t>
  </si>
  <si>
    <t>12025 12026</t>
  </si>
  <si>
    <t>11166 11145 11220 11213 11226 11224 11217 11219 11214 11229 1114 1164 1113 11279 1171</t>
  </si>
  <si>
    <t>1160 11265 1137 11263 11198 11197 11131 11118 1169 11264 11165 11177 11129 11207 11180</t>
  </si>
  <si>
    <t>1154 11142 11174 11181 11159 11238 11157 1126 11258 1125 11132 11144 11163 1132</t>
  </si>
  <si>
    <t>12014 12018 12015 12020 12013 12011 12027 12021 12016</t>
  </si>
  <si>
    <t>11123 11135 11167 11146 1121 11142 11117 11164 11151 11137 11105 11241 1190 1140 1191 11194 11188 11287 1181 11205</t>
  </si>
  <si>
    <t>11193 11199 11145 11176 11130 1152 11110 11108 11262 11211 11284 11283 11276 11106 11127 11220</t>
  </si>
  <si>
    <t>11260 11187 1166 1129 11273</t>
  </si>
  <si>
    <t>11118 1137 11177 11129 11198</t>
  </si>
  <si>
    <t>11116 1106 1135 1104 1147 1116 11114 11111 11155 11165 11173 11136 11191 11228 11232</t>
  </si>
  <si>
    <t>11290 11271 11288</t>
  </si>
  <si>
    <t>1151 1112 1107</t>
  </si>
  <si>
    <t>11213 11193 1181 11166 11188 11146 1114 1164 11220 1171 11167 11205 11287 11217 11279 11219</t>
  </si>
  <si>
    <t>1132 11142 11144 11159 11159 11174 11106 11258 11276 11108 11110 1126 1152 1125 1154</t>
  </si>
  <si>
    <t>11253 11238</t>
  </si>
  <si>
    <t>11262 11163 11145 11226</t>
  </si>
  <si>
    <t>11107 11118 11198 11177 1137</t>
  </si>
  <si>
    <t>11224 1113 11135 11136 11165 11116 11173 11229 11214 1173 11194 11117 11123 1191 11249 11105 11151 11241 1190 1140</t>
  </si>
  <si>
    <t>11290</t>
  </si>
  <si>
    <t>11157 11232 1106 1104 11228 11111 11164 1121 11144 1152 11276 11159 11155 11108 1154 1132 1125 11258</t>
  </si>
  <si>
    <t>11173</t>
  </si>
  <si>
    <t>11279 1171 11287 11271 11288 11241 11263 11193 1169 11180 11249 11193 11207 11284 11211 11264 11197 1160 11283 11265</t>
  </si>
  <si>
    <t>11123</t>
  </si>
  <si>
    <t>12016</t>
  </si>
  <si>
    <t>11205 11176 11127 11188 11177</t>
  </si>
  <si>
    <t>11137 11291</t>
  </si>
  <si>
    <t>11139 11137 11291 11151 11135 11136 11167 11166 11146 11214</t>
  </si>
  <si>
    <t>11198 11165 1175 11194 1140</t>
  </si>
  <si>
    <t>12018</t>
  </si>
  <si>
    <t>11248 11251 11272 11134 11250 11209 11195 11274 11186 11246</t>
  </si>
  <si>
    <t>11245 11147 11170 11171 11141 11153 11150</t>
  </si>
  <si>
    <t>12014 12031 12044 12043 12013 12017 12015 12020 12011 12026</t>
  </si>
  <si>
    <t>11232 11228</t>
  </si>
  <si>
    <t>11100 1117 1103 1120 11210 11109 1123 1199 11161 11152</t>
  </si>
  <si>
    <t>12024 12019 12034 12029 12007</t>
  </si>
  <si>
    <t>12041</t>
  </si>
  <si>
    <t>11183 11190 11178 11292 11185 11257 1196</t>
  </si>
  <si>
    <t>1128 11103 1110 1144 1102 1182 1133 11133 11120 1119 1188</t>
  </si>
  <si>
    <t>11126 11270</t>
  </si>
  <si>
    <t>13023 13020</t>
  </si>
  <si>
    <t>1164 11130 1181 11258 1154</t>
  </si>
  <si>
    <t>1147 11106 11191 1114 1116 1135 11110 11174 11159 1141 1126 11261 11128 11253 11238</t>
  </si>
  <si>
    <t>11209 11100 11210 11132</t>
  </si>
  <si>
    <t>11129 11145 11262 11163</t>
  </si>
  <si>
    <t>11128 1196 11248 11190</t>
  </si>
  <si>
    <t>13008 13002</t>
  </si>
  <si>
    <t>11236 1146</t>
  </si>
  <si>
    <t>12012</t>
  </si>
  <si>
    <t>13003</t>
  </si>
  <si>
    <t>11210 11132 11226 11209</t>
  </si>
  <si>
    <t>13018</t>
  </si>
  <si>
    <t>13010 13013 13014 13006</t>
  </si>
  <si>
    <t>13011 13012</t>
  </si>
  <si>
    <t>1186 1136 1170 1101 1138 1194 1153 1134 1105</t>
  </si>
  <si>
    <t>11132 11209 11236 1146 1147 11110 1135 1116 11114 11106</t>
  </si>
  <si>
    <t>11210 11126 11119 11257 11191 1120 11183 11133 1144 1199</t>
  </si>
  <si>
    <t>76 11212 11289</t>
  </si>
  <si>
    <t>1139 11196 1195 11101 11203 1192 11122 1189 1118</t>
  </si>
  <si>
    <t>12019</t>
  </si>
  <si>
    <t>11270 1188 11261 11253 1123 11185 1133 1102 1128 11103</t>
  </si>
  <si>
    <t>13020 13012 13011 13014 13005 13004 13023</t>
  </si>
  <si>
    <t>1152 1110 1126</t>
  </si>
  <si>
    <t>1193 1127</t>
  </si>
  <si>
    <t>11186 11251 1106 11245 11143 1121 11117 11116 11124 1113 1137 1190 11107 11246 11274</t>
  </si>
  <si>
    <t>11115 11198</t>
  </si>
  <si>
    <t>11178</t>
  </si>
  <si>
    <t>11163 11145</t>
  </si>
  <si>
    <t>13013</t>
  </si>
  <si>
    <t>11292</t>
  </si>
  <si>
    <t>11222 11230</t>
  </si>
  <si>
    <t>11234 1150 1175 1185 11102 11200 11204 11244 11125 11269 11178 11285</t>
  </si>
  <si>
    <t>1161</t>
  </si>
  <si>
    <t>12003 12024 12042 12021 12029 12025 12034 12041</t>
  </si>
  <si>
    <t>1134 1186 11272 11238 1117 1138 1153 11250 11262 11120</t>
  </si>
  <si>
    <t>1140 1128 11281 1137 1154 11192 11253 11202 11194 1123 1102</t>
  </si>
  <si>
    <t>12007</t>
  </si>
  <si>
    <t>11195 11141 11117 11147 11161 11173 11150 11153 11164 11212 11174 11213 11226 11170 11229 11217 11220 11224 11219 1161</t>
  </si>
  <si>
    <t>11159 11144 11155</t>
  </si>
  <si>
    <t>11188 11138 11182 11208 11177 1115</t>
  </si>
  <si>
    <t>1105 11105 1114 1132 11108</t>
  </si>
  <si>
    <t>12049 12048 12047 12046 12045</t>
  </si>
  <si>
    <t>1151 1194 1170 1195 1104</t>
  </si>
  <si>
    <t>12052 12053 12054 12051 12050</t>
  </si>
  <si>
    <t>11278 11175 11229</t>
  </si>
  <si>
    <t>11129 11269 11188 11182 11208</t>
  </si>
  <si>
    <t>11248 11109 11190 1196 11128</t>
  </si>
  <si>
    <t>1197 11130 11206 11277 1122 1181 11149 11148 1154 11104 1124 11280</t>
  </si>
  <si>
    <t>12036 12023 12039</t>
  </si>
  <si>
    <t>1108 1113 1130 1155 1145 1142 11247 1148 1149 11112 1111</t>
  </si>
  <si>
    <t>1122 1113 11277</t>
  </si>
  <si>
    <t>12023 12057 12039 12056 12018</t>
  </si>
  <si>
    <t>1145 1149 1124 11112 1130 11109 1155 1197 1111 11130</t>
  </si>
  <si>
    <t>12036</t>
  </si>
  <si>
    <t>11124 11259 1167 11134 11274 11107 1137 11121 11286 11113 11246 11116</t>
  </si>
  <si>
    <t>11191 1144 11183</t>
  </si>
  <si>
    <t>06250532</t>
  </si>
  <si>
    <t>1141 11280 11128 1108 1196 11190 1148 1154 11206 1181 11248 11247 11278 11175 11229</t>
  </si>
  <si>
    <t>1182 1193 1101 1125 11111</t>
  </si>
  <si>
    <t>11203 1142 11104 1107 11177 11276 11118 11100 1191 11244</t>
  </si>
  <si>
    <t>11198 11122 11101 1185 1118</t>
  </si>
  <si>
    <t>11188 11208 11182 11129 11269</t>
  </si>
  <si>
    <t>11119 1199 11133 11237 1120</t>
  </si>
  <si>
    <t>11176</t>
  </si>
  <si>
    <t>11115 1192 1127 11234 11196</t>
  </si>
  <si>
    <t>11125 1139 1189</t>
  </si>
  <si>
    <t>11191 1136</t>
  </si>
  <si>
    <t>1175 1115 1144 11285 11178 11102 11289 11183 11204 11200</t>
  </si>
  <si>
    <t>7843 7929 7905 7818 7955</t>
  </si>
  <si>
    <t>1150 11208 11176 1120 1199</t>
  </si>
  <si>
    <t>13001</t>
  </si>
  <si>
    <t>11286 11113 11119 11133 11257</t>
  </si>
  <si>
    <t>13003 13007 13006 13010 13015</t>
  </si>
  <si>
    <t>11195 11153</t>
  </si>
  <si>
    <t>11115 1192 1127 11196 11234</t>
  </si>
  <si>
    <t>1125 1193 1182 11111 1101</t>
  </si>
  <si>
    <t>1122 11228 11232</t>
  </si>
  <si>
    <t>1143 1184 1162</t>
  </si>
  <si>
    <t>1192 11196 11232 11115 1127</t>
  </si>
  <si>
    <t>11111 1182</t>
  </si>
  <si>
    <t>11152 11157 11148 11138 11142 11149 11228 11269 11188 11129 11234 1122 1125 1101 1193</t>
  </si>
  <si>
    <t>11286 11133</t>
  </si>
  <si>
    <t>11165 1134 1133 1138 1117 1153 1186 1188 11120 11103 11185 11261 11238 11270 11250 11272 11262</t>
  </si>
  <si>
    <t>1190 11190 11117 11251 1131 11186 1113 1198 1141 1121 1148 11280 1196 11245 11248 1108</t>
  </si>
  <si>
    <t>11262 11190 11185 11286 1196</t>
  </si>
  <si>
    <t>13015 13003</t>
  </si>
  <si>
    <t>1138 11280 1190 1186</t>
  </si>
  <si>
    <t>13018 13002</t>
  </si>
  <si>
    <t>12058 12055</t>
  </si>
  <si>
    <t>1132 11108 11105 1105</t>
  </si>
  <si>
    <t>13004 13020 13012 13005 13014 13011 13024</t>
  </si>
  <si>
    <t>1183 1187 11242</t>
  </si>
  <si>
    <t>12067 12066 12065 12060 12064 12061 12062 12063</t>
  </si>
  <si>
    <t>11135 11151 11214 11139 11146</t>
  </si>
  <si>
    <t>07250560</t>
  </si>
  <si>
    <t>1105</t>
  </si>
  <si>
    <t>12059</t>
  </si>
  <si>
    <t>11276 11210 11126 11203 1191 11244 11118 1107</t>
  </si>
  <si>
    <t>11140</t>
  </si>
  <si>
    <t>11278 11175 11269 11247 11128 11229 1157 1181</t>
  </si>
  <si>
    <t>11242</t>
  </si>
  <si>
    <t>1182</t>
  </si>
  <si>
    <t>1153 11186 1121 11270 11248 11103 11261 1133 11238 11117 1143 1162 1184 11245 11108 11105 1132 1183 1187 11120</t>
  </si>
  <si>
    <t>11251 11272 11250 1134 1117</t>
  </si>
  <si>
    <t>11133 1141 11165 1108 1188 1148 1113 1198 1131 12</t>
  </si>
  <si>
    <t>1166 11266 11148 11273 1129</t>
  </si>
  <si>
    <t>1114 11190 1196 11185 11286</t>
  </si>
  <si>
    <t>12041 12046</t>
  </si>
  <si>
    <t>1109 1154 11234 11228 1122</t>
  </si>
  <si>
    <t>13003 13004 13024 13020 13005</t>
  </si>
  <si>
    <t>11147</t>
  </si>
  <si>
    <t>13007</t>
  </si>
  <si>
    <t>11175 11269 11247 11210 11126</t>
  </si>
  <si>
    <t>12053</t>
  </si>
  <si>
    <t>11128 11229 11118 11244</t>
  </si>
  <si>
    <t>13011</t>
  </si>
  <si>
    <t>11155 11159 11240 11275 11144</t>
  </si>
  <si>
    <t>1150 11176 11208 1199</t>
  </si>
  <si>
    <t>13008</t>
  </si>
  <si>
    <t>11143 11169 11154</t>
  </si>
  <si>
    <t>11252 11256</t>
  </si>
  <si>
    <t>11206 11238 1121 1101 11138 11148 11142 11261 11282 1106</t>
  </si>
  <si>
    <t>11177</t>
  </si>
  <si>
    <t>7001</t>
  </si>
  <si>
    <t>11240 11184 11206 11275 11266</t>
  </si>
  <si>
    <t>13014</t>
  </si>
  <si>
    <t>12053 12046</t>
  </si>
  <si>
    <t>11234 11228 11208 1122 11273 1154 1199 11101 1150 11176</t>
  </si>
  <si>
    <t>1109 1166</t>
  </si>
  <si>
    <t>11151 11146 11140 11143 11139</t>
  </si>
  <si>
    <t>11135 11154 11147 11169 1181 11278 1157 11203 11276 1182 1191 1103 1101 1106 1121 11177 11256 11252 11238 11261</t>
  </si>
  <si>
    <t>11120 1183 1153 11129 11188 1132 11270 11152 1187 11117</t>
  </si>
  <si>
    <t>1118 1185 11198</t>
  </si>
  <si>
    <t>11262 11133 1188 1113 1148 1108 1141</t>
  </si>
  <si>
    <t>12029 12047 12021</t>
  </si>
  <si>
    <t>11244 1120 11229 11128 11188</t>
  </si>
  <si>
    <t>11231 1158</t>
  </si>
  <si>
    <t>11222</t>
  </si>
  <si>
    <t>1130 11258 11255 1164 1151 11237 1104</t>
  </si>
  <si>
    <t>12066 12035 12063 12062 12067 12060</t>
  </si>
  <si>
    <t>11226 11150 11212 11174 11229 11219 11213</t>
  </si>
  <si>
    <t>13010 13006 13020</t>
  </si>
  <si>
    <t>11188 11198 11120 11129 1158 11270 11231 1153 11117 1132</t>
  </si>
  <si>
    <t>1152 1126</t>
  </si>
  <si>
    <t>11104 1142</t>
  </si>
  <si>
    <t>1148 1187</t>
  </si>
  <si>
    <t>12029 12047 12021 12070 12072 12069 12071 12068 12019 12001</t>
  </si>
  <si>
    <t>1152 1183 1126 1129 1141</t>
  </si>
  <si>
    <t>1113</t>
  </si>
  <si>
    <t>1127 1163 11191 1113</t>
  </si>
  <si>
    <t>11228 11216</t>
  </si>
  <si>
    <t>11234 11165 1150 1199 11228 12</t>
  </si>
  <si>
    <t>12048 12045 12049 12034 12003 12024</t>
  </si>
  <si>
    <t>11138 11142 11152 11155 11174</t>
  </si>
  <si>
    <t>13001 13020 13006 13012 13010</t>
  </si>
  <si>
    <t>11118 1108 11128 1118 1185</t>
  </si>
  <si>
    <t>1164 1151 1104 11258 11165</t>
  </si>
  <si>
    <t>12066 12035 12062 12067 12060 12063 12048 12049 12003 12045</t>
  </si>
  <si>
    <t>11161 11171</t>
  </si>
  <si>
    <t>11117 1132 1158 11270</t>
  </si>
  <si>
    <t>11240 11206 11266 11184 11275</t>
  </si>
  <si>
    <t>11163 11145 11225</t>
  </si>
  <si>
    <t>12036 12012</t>
  </si>
  <si>
    <t>11228 11244 11237 11234</t>
  </si>
  <si>
    <t>11138 11142 11152</t>
  </si>
  <si>
    <t>11242 11111</t>
  </si>
  <si>
    <t>11229 1120 11255 1142 1130 1163 11133 1150 11277 1199</t>
  </si>
  <si>
    <t>1170</t>
  </si>
  <si>
    <t>12031 12056 12057 12018 12023 12039 12020</t>
  </si>
  <si>
    <t>11153 11159 11144 11161 11142 11152 11138 1174 11195 11212</t>
  </si>
  <si>
    <t>11170 11217</t>
  </si>
  <si>
    <t>13003 13005 13001 13024 13004</t>
  </si>
  <si>
    <t>11256 11177 1184 11103 11261 1191 11278 1106 11108 1143 11105 1182 1101 11245 11248 1133 11157 1193 11238 1125</t>
  </si>
  <si>
    <t>11145 11163</t>
  </si>
  <si>
    <t>1191 11261 1184 11177 1101 1193 11103 11105 1133 11256 11245 11191 1182 11248 11238 11278 1170 1125 1143 1142</t>
  </si>
  <si>
    <t>12058</t>
  </si>
  <si>
    <t>11139 11146</t>
  </si>
  <si>
    <t>1181 11135 1107 11276</t>
  </si>
  <si>
    <t>13001 13015 13007</t>
  </si>
  <si>
    <t>1122 1129 1126 1141 1152</t>
  </si>
  <si>
    <t>11155 11148</t>
  </si>
  <si>
    <t>12072</t>
  </si>
  <si>
    <t>12021 12042 12047</t>
  </si>
  <si>
    <t>11206 11108 1107 1190 11111 11122 1106 11276 11262 1181</t>
  </si>
  <si>
    <t>11171 11150 11157 11135 11146</t>
  </si>
  <si>
    <t>11213 11220 11170 11139 1122</t>
  </si>
  <si>
    <t>11209</t>
  </si>
  <si>
    <t>1187</t>
  </si>
  <si>
    <t>11187 11250 11260 11251 11272 1134</t>
  </si>
  <si>
    <t>1135 11114 11110 1116 1146 1147 11106 11189</t>
  </si>
  <si>
    <t>11200 11132</t>
  </si>
  <si>
    <t>1195 1124 1197 1111</t>
  </si>
  <si>
    <t>12054 12033 12051 12030 12026 12050 12061 12065 12015</t>
  </si>
  <si>
    <t>11217 11148 11173 11155 11228</t>
  </si>
  <si>
    <t>11235 1168 11267 11239</t>
  </si>
  <si>
    <t>11136 11158 11137 11160 11162 11172 11291 11166</t>
  </si>
  <si>
    <t>1121 11149</t>
  </si>
  <si>
    <t>1188 1111 1124 1195 11110</t>
  </si>
  <si>
    <t>11160 11162 11137 11172 11149</t>
  </si>
  <si>
    <t>13005 13003 13004</t>
  </si>
  <si>
    <t>1118 11128 1108 1185</t>
  </si>
  <si>
    <t>1148 1136 11213 11170</t>
  </si>
  <si>
    <t>13022</t>
  </si>
  <si>
    <t>1121 1197 1134 11267 11239</t>
  </si>
  <si>
    <t>13024</t>
  </si>
  <si>
    <t>1147 11235 11272 1116 11106</t>
  </si>
  <si>
    <t>1168 1118 1108 1185 1141 11128 11181 11189 11132 11251</t>
  </si>
  <si>
    <t>12054 12030 12057 12020 12056 12042 12065 12021 12047 12072</t>
  </si>
  <si>
    <t>13023</t>
  </si>
  <si>
    <t>1193 11203 11201 1157 11252</t>
  </si>
  <si>
    <t>1193 11201 11203 1182 1133 11252 1157</t>
  </si>
  <si>
    <t>11139 11161</t>
  </si>
  <si>
    <t>13010 13012 13020</t>
  </si>
  <si>
    <t>11158 11166 11136 11229 11216</t>
  </si>
  <si>
    <t>11225 11214 11219</t>
  </si>
  <si>
    <t>11173 11217</t>
  </si>
  <si>
    <t>1129 1146 11114 1136</t>
  </si>
  <si>
    <t>1189 11125 1139</t>
  </si>
  <si>
    <t>1195 1111 1124 11118 11110</t>
  </si>
  <si>
    <t>12033 12050 12015 12046 12061 12026 12038</t>
  </si>
  <si>
    <t>1126 11250 1187 1133 1182</t>
  </si>
  <si>
    <t>1115 11102 11204 11183 11289 11285 11200 11178</t>
  </si>
  <si>
    <t>1198 11101 1154 11176 1183</t>
  </si>
  <si>
    <t>12029 12025 12019 12036 12069 12071</t>
  </si>
  <si>
    <t>1189 1195</t>
  </si>
  <si>
    <t>12034 12051 12023 12012</t>
  </si>
  <si>
    <t>1183 1154 1115</t>
  </si>
  <si>
    <t>12055</t>
  </si>
  <si>
    <t>11280</t>
  </si>
  <si>
    <t>11220 1122 11239</t>
  </si>
  <si>
    <t>11200 11102 11178 11285 1198 1148 1111 1139 11101 11176</t>
  </si>
  <si>
    <t>11289 11282 11187 11183 11204</t>
  </si>
  <si>
    <t>11228</t>
  </si>
  <si>
    <t>1162</t>
  </si>
  <si>
    <t>11186 1125 11105 11245 1191 11278 11256 11154 11242</t>
  </si>
  <si>
    <t>11260 11110 11125 11118</t>
  </si>
  <si>
    <t>11170 11159 11173 11139 11161</t>
  </si>
  <si>
    <t>1122</t>
  </si>
  <si>
    <t>13010 13020</t>
  </si>
  <si>
    <t>1188 1129 1146</t>
  </si>
  <si>
    <t>1116 11151</t>
  </si>
  <si>
    <t>13016</t>
  </si>
  <si>
    <t>0e3fc7f3</t>
  </si>
  <si>
    <t>Acetylene MR</t>
  </si>
  <si>
    <t>13008 13016 1188 1116 1129</t>
  </si>
  <si>
    <t>11142 11138 11144 11153</t>
  </si>
  <si>
    <t>11252 13006 11201 1193</t>
  </si>
  <si>
    <t>11203</t>
  </si>
  <si>
    <t>11221 11223 11230 11215 11213 11227 11220</t>
  </si>
  <si>
    <t>11231 11129 11100 11120 11198 1153 11188</t>
  </si>
  <si>
    <t>11228 11278 11105 11186 1162</t>
  </si>
  <si>
    <t>12019 12025 12036 12071 12024 12069 12031 12018 12039 12029</t>
  </si>
  <si>
    <t>1155 11175 1151 11109 11247 11210 1194 1149 11258 1164</t>
  </si>
  <si>
    <t>12060 12067 12037 12049 12062 12064 12045 12035 12014 12052 12063 12044 12011 12066 12040 12048 12003</t>
  </si>
  <si>
    <t>12046</t>
  </si>
  <si>
    <t>11215 11221 11218</t>
  </si>
  <si>
    <t>13028</t>
  </si>
  <si>
    <t>1155 1149 11100 11258</t>
  </si>
  <si>
    <t>11114 1135</t>
  </si>
  <si>
    <t>11188 11129 1164 11175 11210 11198</t>
  </si>
  <si>
    <t>1121 1122 11267</t>
  </si>
  <si>
    <t>13014 13024</t>
  </si>
  <si>
    <t>11195 11152 11174 11164</t>
  </si>
  <si>
    <t>12067 12064 12052 12011 12045 12048 12066 12003 12014 12063</t>
  </si>
  <si>
    <t>1151 1194 1122 1121 11267</t>
  </si>
  <si>
    <t>11289 11178 11177 1143 11285</t>
  </si>
  <si>
    <t>11138 11152 11153 11174 11151 11195 11144 11142 11154 11164</t>
  </si>
  <si>
    <t>12055 12060 12062 12035 12044 12040 12037 12049</t>
  </si>
  <si>
    <t>11280 11242 11245 11231 11247</t>
  </si>
  <si>
    <t>11222 11217 11218</t>
  </si>
  <si>
    <t>11241 11279 11287 11207 11284 11288 11263 11249 11265</t>
  </si>
  <si>
    <t>11220 1161 11224 11141</t>
  </si>
  <si>
    <t>1157 1188</t>
  </si>
  <si>
    <t>11136 11158 11166 11148</t>
  </si>
  <si>
    <t>11273 1187</t>
  </si>
  <si>
    <t>12038 12046 12026 12015 12061 12050 12068 12070</t>
  </si>
  <si>
    <t>11256 11120 1125 1152 1124</t>
  </si>
  <si>
    <t>12061 12015 12026 12050 12046 12068 12070 12053 12073 12038</t>
  </si>
  <si>
    <t>11129 1197 1134 1195</t>
  </si>
  <si>
    <t>11150 1117 11146 11135 11157</t>
  </si>
  <si>
    <t>11148 11158 11136 11141</t>
  </si>
  <si>
    <t>11218 11155 11217 11229 11216</t>
  </si>
  <si>
    <t>13032</t>
  </si>
  <si>
    <t>1153 1191</t>
  </si>
  <si>
    <t>1165</t>
  </si>
  <si>
    <t>11263 11179 11265 11284 11289</t>
  </si>
  <si>
    <t>01 02 03 04 05 06 07 08 09 10</t>
  </si>
  <si>
    <t>13033</t>
  </si>
  <si>
    <t>1161 11220 11224</t>
  </si>
  <si>
    <t>11234 11237 11244</t>
  </si>
  <si>
    <t>01 02</t>
  </si>
  <si>
    <t>13031</t>
  </si>
  <si>
    <t>11182 11178 1187 11285</t>
  </si>
  <si>
    <t>11207 11249 11114 11279 1143 1135</t>
  </si>
  <si>
    <t>11155 11166 11291 11216</t>
  </si>
  <si>
    <t>04 03 02 01 05</t>
  </si>
  <si>
    <t>1149 1155 11100</t>
  </si>
  <si>
    <t>1197 1117 1195 11129 11100 11244 1149 1155 1134</t>
  </si>
  <si>
    <t>11146 11135 11150 11237 1165 11157</t>
  </si>
  <si>
    <t>11234</t>
  </si>
  <si>
    <t>11218 11217 11229 76</t>
  </si>
  <si>
    <t>12003 12025 12021 12020 12045 12014 12067 12066 12030 12042 12056 12071 12024 12065 12048 12011 12063 12054 12013</t>
  </si>
  <si>
    <t>1104 1108 1118 11132 11130 11112 11165 11128 1112 11228 11189 11181 11251 1185 1168 11278 11105 11269</t>
  </si>
  <si>
    <t>1189 11210</t>
  </si>
  <si>
    <t>1112 11165 11278</t>
  </si>
  <si>
    <t>1104 1185 11128 1168 1108</t>
  </si>
  <si>
    <t>1147 11140 11106 11235 11143 11272 11127</t>
  </si>
  <si>
    <t>11110 11257 11113 11196</t>
  </si>
  <si>
    <t>01</t>
  </si>
  <si>
    <t>1192 11115 1127 11232</t>
  </si>
  <si>
    <t>11130 1127 11115 11232 1192</t>
  </si>
  <si>
    <t>1187 11258 11182 11178</t>
  </si>
  <si>
    <t>12014 12042 12054 12003 12067 12024 12056 12021 12045 12011</t>
  </si>
  <si>
    <t>13006 13012 13014 13027 13029</t>
  </si>
  <si>
    <t>1147 11272 1187 11258 11182 11127 11119</t>
  </si>
  <si>
    <t>11143 11214 11140</t>
  </si>
  <si>
    <t>1118 11105 11178 11106 11235 11196 11257 11113</t>
  </si>
  <si>
    <t>11225 11219</t>
  </si>
  <si>
    <t>13008 13016 13024 13034</t>
  </si>
  <si>
    <t>11138 11144 11142 11153 11195 11212</t>
  </si>
  <si>
    <t>13035</t>
  </si>
  <si>
    <t>12063 12071 12030 12025 12065 12048 12013 12066</t>
  </si>
  <si>
    <t>11172 11160 11163 11145 11149</t>
  </si>
  <si>
    <t>13003 13004 13005</t>
  </si>
  <si>
    <t>01 02 03</t>
  </si>
  <si>
    <t>11208 11231 11250 11247</t>
  </si>
  <si>
    <t>12055 12037 12060 12001 12040 12044 12049</t>
  </si>
  <si>
    <t>1101 11261 11260 1148 11238 11248 1184 11125 11147 1139 11187 11101 11110 11282 1136</t>
  </si>
  <si>
    <t>1171 11271 11180 1169 11193</t>
  </si>
  <si>
    <t>11199 11283 11211 11197</t>
  </si>
  <si>
    <t>11282 11187 11247 1101 11101 11250 1139 1136 11125 11231 1184 11248 11208 11211 11283 11197 11199 11238 11261 11148</t>
  </si>
  <si>
    <t>11110 11260 11132 11228 11181 11112 11251 11189 11269 11160</t>
  </si>
  <si>
    <t>1110 1138 1183</t>
  </si>
  <si>
    <t>1119 11255 1142 11133 11270 11277 1130 11266 1150 1132</t>
  </si>
  <si>
    <t>11226 11213 11230 11223</t>
  </si>
  <si>
    <t>12020 12055 12060 12049 12040 12002 12001 12044 12037</t>
  </si>
  <si>
    <t>11158 11141 11222</t>
  </si>
  <si>
    <t>11266 11270 11133 1171 11271 11144 11147 11138 11142 11212</t>
  </si>
  <si>
    <t>Mix tabung 7m3</t>
  </si>
  <si>
    <t>11145 11163 11153 11172 11195 11230 11223 11226 11213 11149</t>
  </si>
  <si>
    <t>13026</t>
  </si>
  <si>
    <t>11255 1142 1150 1130 1119 1183 1132 1138 1110 11277</t>
  </si>
  <si>
    <t>132 2303</t>
  </si>
  <si>
    <t>11222 11167 11158 11141</t>
  </si>
  <si>
    <t>76</t>
  </si>
  <si>
    <t>11164 11174</t>
  </si>
  <si>
    <t>12065 12062 12066</t>
  </si>
  <si>
    <t>1170 1198 11169</t>
  </si>
  <si>
    <t>1190 11122 1107 11276 11111</t>
  </si>
  <si>
    <t>f13ba52f</t>
  </si>
  <si>
    <t>Ongkos Kirim (Non PPN)</t>
  </si>
  <si>
    <t>11164 11122 11276 11174 11148 11111 1170 11169 1190 1198</t>
  </si>
  <si>
    <t>1107 11193 1169 11180</t>
  </si>
  <si>
    <t>13034</t>
  </si>
  <si>
    <t>01 02 03 04 05</t>
  </si>
  <si>
    <t>1127 11285 11232 11130 1102</t>
  </si>
  <si>
    <t>1152 11171 11120 11256</t>
  </si>
  <si>
    <t>11130 11285 1127 11232 11209</t>
  </si>
  <si>
    <t>1152 11256 11120 1192</t>
  </si>
  <si>
    <t>11220 1161 11224</t>
  </si>
  <si>
    <t>11197 11261 11231 11125 11200 1136 11282 11283 11247 11204</t>
  </si>
  <si>
    <t>12022</t>
  </si>
  <si>
    <t>13027 13026</t>
  </si>
  <si>
    <t>11182 11258 11119</t>
  </si>
  <si>
    <t>11140 11151 11143 11163</t>
  </si>
  <si>
    <t>11263</t>
  </si>
  <si>
    <t>11261 1136 11182 11247 11125 11258</t>
  </si>
  <si>
    <t>11200</t>
  </si>
  <si>
    <t>119 122</t>
  </si>
  <si>
    <t>11198 11239 11188 11217 11229 11218 11175 1164 76</t>
  </si>
  <si>
    <t>1148 11211 11118 11187 11183 11102</t>
  </si>
  <si>
    <t>1132 11275 11240 11270 11266 11184 1158 11117 1119 11104</t>
  </si>
  <si>
    <t>1105 11282 11239 1189 11198 11188 1164 11210 11263 11197</t>
  </si>
  <si>
    <t>13003 13005 13008 13028 13035</t>
  </si>
  <si>
    <t>1147 11272 1187 11127</t>
  </si>
  <si>
    <t>13006</t>
  </si>
  <si>
    <t>11220</t>
  </si>
  <si>
    <t>11231 11283 11175 11204</t>
  </si>
  <si>
    <t>11115 11180 1107 1169</t>
  </si>
  <si>
    <t>11221 11122 11215 11227 11111</t>
  </si>
  <si>
    <t>11181 11260 11251 11228 11117</t>
  </si>
  <si>
    <t>11171 11163 11143 11151 11226 11221 11215 11227 11140 11148</t>
  </si>
  <si>
    <t>12022 12074 12075 12076 12077 12078</t>
  </si>
  <si>
    <t>12056 12031 12053 12061 12057 12050 12073 12019 12072 12020 12070 12067 12014 12036</t>
  </si>
  <si>
    <t>1194 1143 11219 11237 1134 11105 11249 11279 11113 1122 11106</t>
  </si>
  <si>
    <t>11180 1148 1187 11117 11111 11118 1169 11228 11119 11251 11127 11181 1147 11272 11115</t>
  </si>
  <si>
    <t>11150 11146 11157 11166 11135 1121 1155 11235 11126 11186 1151 11155</t>
  </si>
  <si>
    <t>1122 11122 11113 11106 11279 1107 11249 11260 1155 11235 1151 11237 11126 11186 1121</t>
  </si>
  <si>
    <t>12056 12072 12031</t>
  </si>
  <si>
    <t>12067 12010 12036 12073 12020</t>
  </si>
  <si>
    <t>1148 11181 11118 1147 11127 11180 1187 11111 11115 11117 11119</t>
  </si>
  <si>
    <t>11251 1169 11272 11228</t>
  </si>
  <si>
    <t>11251 11272 1169 11228</t>
  </si>
  <si>
    <t>11164 11174 1170 1190 11276 1198</t>
  </si>
  <si>
    <t>1115</t>
  </si>
  <si>
    <t>13025</t>
  </si>
  <si>
    <t>12051 12034 12012 12023</t>
  </si>
  <si>
    <t>11245 11242</t>
  </si>
  <si>
    <t>12048 12025 12030 12033 12063</t>
  </si>
  <si>
    <t>01 02 03 04 05 06</t>
  </si>
  <si>
    <t>1190 11276 1170 11119 1198 1115</t>
  </si>
  <si>
    <t>1194 1143 11245 11242 11105 11181 11180 1148 1147 11111</t>
  </si>
  <si>
    <t>1134 1144</t>
  </si>
  <si>
    <t>1144 1134</t>
  </si>
  <si>
    <t>12061 12014 12050 12053 12070</t>
  </si>
  <si>
    <t>12027 12028</t>
  </si>
  <si>
    <t>11238 11199 11197 1184 11198 11208 11250 1164 11248 11268 11101 1101</t>
  </si>
  <si>
    <t>12034 12023 12057 12051 12019</t>
  </si>
  <si>
    <t>1187 11127 11117 11115 11118</t>
  </si>
  <si>
    <t>11234 11261 1136 11258 11125</t>
  </si>
  <si>
    <t>1164 11238 11101 11198 11268</t>
  </si>
  <si>
    <t>11283 11175 11204 11193 11231</t>
  </si>
  <si>
    <t>11248 1113 11250 1184 1101</t>
  </si>
  <si>
    <t>11179</t>
  </si>
  <si>
    <t>12063 12025 12027 12033 12030 12006 12048 12028</t>
  </si>
  <si>
    <t>12062 12047 12046 12015 12039 12055 12054 12023 12045 12070 12044 12064 12065 12021 12075 12037 12029 12026 12042 12001 12038 12024 12069</t>
  </si>
  <si>
    <t>1146 11116 11187 11121 11196 11183 1188 1129 11102 11124</t>
  </si>
  <si>
    <t>11113 11169 1121 11235 1151 1122 11106 1155 11260 11249 1107</t>
  </si>
  <si>
    <t>2151</t>
  </si>
  <si>
    <t>1117 11109 11244 11267 11100 11114 1135 1197</t>
  </si>
  <si>
    <t>1109 11185 1116 1193</t>
  </si>
  <si>
    <t>13006 13027</t>
  </si>
  <si>
    <t>1152 1192 11256 11120</t>
  </si>
  <si>
    <t>11201 11203 11252 1135 11109 1157 11211 1114 11244 1155 11267 1107 11231 11106 11235 11249 1122 11260 11175 1117</t>
  </si>
  <si>
    <t>02 03 04 05 06 07 08 09 10 11 12 13 01 14 15 16 17 18 19 20 21 22 23 24 25 26 27 28 29</t>
  </si>
  <si>
    <t>13003 13035 13029 13005</t>
  </si>
  <si>
    <t>11145 11153 11154 11214 11223 11213 11230 11149 11215</t>
  </si>
  <si>
    <t>11135 11150 11169 11146 11166 11155 11164 11174 11157 76</t>
  </si>
  <si>
    <t>11283 11100 1121 1197 1151</t>
  </si>
  <si>
    <t>11245 1111 11263 11282 11191 11180 11242 1189 1143 1139</t>
  </si>
  <si>
    <t>11204</t>
  </si>
  <si>
    <t>11273 11287 11177</t>
  </si>
  <si>
    <t>13030</t>
  </si>
  <si>
    <t>01 03 04 05 06 07 08 02 09 10</t>
  </si>
  <si>
    <t>11122 11126 11279</t>
  </si>
  <si>
    <t>01 02 03 04 05 06 07 08 09</t>
  </si>
  <si>
    <t>12045 12055 12023 12075</t>
  </si>
  <si>
    <t>11162 1137</t>
  </si>
  <si>
    <t>12032 12056 12009 12004</t>
  </si>
  <si>
    <t>11196 11168 11291</t>
  </si>
  <si>
    <t>12066 12025 12078 12019 12034 12006 12052 12049 12053 12060 12061 12050 12057 12018</t>
  </si>
  <si>
    <t>12081 12082 12084 12080 12083 12079 12049 12043 12069 12062</t>
  </si>
  <si>
    <t>11125 1186 11291</t>
  </si>
  <si>
    <t>11217 11229 11218</t>
  </si>
  <si>
    <t>0009</t>
  </si>
  <si>
    <t>1112 11165</t>
  </si>
  <si>
    <t>11127 11247 11182 11115 11117</t>
  </si>
  <si>
    <t>11136 11141 11158 11228</t>
  </si>
  <si>
    <t>11105 11235 11188 11176 11244 1135 11239 11267 1117 11260 1105</t>
  </si>
  <si>
    <t>11234 11191 1139 11258 11177 11126 11279 1136 11261 11208</t>
  </si>
  <si>
    <t>11271 1171 11144 11212 11266</t>
  </si>
  <si>
    <t>13004 13005 13023 13029 13031</t>
  </si>
  <si>
    <t>11196 11287 11273 1157</t>
  </si>
  <si>
    <t>12001 12057 12053 12047 12046 12038</t>
  </si>
  <si>
    <t>11245 11256 1143 11120 1189 11242</t>
  </si>
  <si>
    <t>1192 1111 11113 11193 11197 11282 11180 11199 11179 11263</t>
  </si>
  <si>
    <t>11230 11220 11224</t>
  </si>
  <si>
    <t>13014 13028</t>
  </si>
  <si>
    <t>11172 11221 11227 11195</t>
  </si>
  <si>
    <t>11188 1152 1109 11182 11127 11230 1171 11239 11244 11115 11271 11105 11247 11235 11117 11267 11266 11176 11268 1164</t>
  </si>
  <si>
    <t>12026 12070 12024 12015 12025 12037</t>
  </si>
  <si>
    <t>11218</t>
  </si>
  <si>
    <t>1193</t>
  </si>
  <si>
    <t>12014 12063 12022 12028</t>
  </si>
  <si>
    <t>1164 11238 11268</t>
  </si>
  <si>
    <t>11203 11109 11252 11106 11210 11114 11249 1148</t>
  </si>
  <si>
    <t>12013 12067 12036 12020 12005 12035</t>
  </si>
  <si>
    <t>22 119</t>
  </si>
  <si>
    <t>11178 11218</t>
  </si>
  <si>
    <t>12006 12052 12068 12054 12042 12021 12050 12039 12019 12044</t>
  </si>
  <si>
    <t>11172 11154 11162 11144 11137</t>
  </si>
  <si>
    <t>1193 11252</t>
  </si>
  <si>
    <t>12082</t>
  </si>
  <si>
    <t>11255 11277 1130 1106 1110 11262 1119 11236</t>
  </si>
  <si>
    <t>11206</t>
  </si>
  <si>
    <t>11231 11244</t>
  </si>
  <si>
    <t>1135 11249 11203 1105 11210 11206</t>
  </si>
  <si>
    <t>11113 11179 11199 11197 11263 11282 11193 1111</t>
  </si>
  <si>
    <t>2303 132</t>
  </si>
  <si>
    <t>11227</t>
  </si>
  <si>
    <t>11289 11265</t>
  </si>
  <si>
    <t>11130 1124</t>
  </si>
  <si>
    <t>11251 1154</t>
  </si>
  <si>
    <t>11198 11287</t>
  </si>
  <si>
    <t>0006</t>
  </si>
  <si>
    <t>1148 1112 1117 11236 11165 11106 1119 11197 11277 1110 1133 11109 11282 11255 11244 11114 11193 11113 11263 11199</t>
  </si>
  <si>
    <t>1106 11231 1111 11262 1130 11179</t>
  </si>
  <si>
    <t>11212 11195 11149 11141</t>
  </si>
  <si>
    <t>11241 11287 11273 11288 11177</t>
  </si>
  <si>
    <t>11206 1121 1151 11100 11180 1197 1192 11283 11210</t>
  </si>
  <si>
    <t>12061 12078 12032 12009 12004 12056 12066 12018 12065 12064</t>
  </si>
  <si>
    <t>1154 11198 11289 11265 11287</t>
  </si>
  <si>
    <t>11130 1124 11251</t>
  </si>
  <si>
    <t>11145 11168 11153</t>
  </si>
  <si>
    <t>11201 1171 1152 11105 1109 11182 1155 11247 11238 11211</t>
  </si>
  <si>
    <t>11223 11219 11213 1161</t>
  </si>
  <si>
    <t>1121 1152 1151 1193</t>
  </si>
  <si>
    <t>12013 12014 12020</t>
  </si>
  <si>
    <t>11247 1120 11240 11275 1115</t>
  </si>
  <si>
    <t>11182 1171 11211 11238 11276 1199</t>
  </si>
  <si>
    <t>11169 11166 11150 11164 11146</t>
  </si>
  <si>
    <t>11132 1115 11276 11240 1199 11275 11184 1120 11160</t>
  </si>
  <si>
    <t>11163 11148</t>
  </si>
  <si>
    <t>11217</t>
  </si>
  <si>
    <t>1146 11129 11116 11183 1149 11121 1188</t>
  </si>
  <si>
    <t>12049 12076 12062 12068</t>
  </si>
  <si>
    <t>11181 1194 11111 1147 11103</t>
  </si>
  <si>
    <t>11248</t>
  </si>
  <si>
    <t>11181 1194 11116 11103 1149 11111 11129 1146 1188 1147</t>
  </si>
  <si>
    <t>11121 1109 11210 11201</t>
  </si>
  <si>
    <t>12029 12036 12063</t>
  </si>
  <si>
    <t>11206 11132</t>
  </si>
  <si>
    <t>11150 11249 11251 1124 11203 1105</t>
  </si>
  <si>
    <t>11153 11145 11168</t>
  </si>
  <si>
    <t>11164 11146</t>
  </si>
  <si>
    <t>11196 1157 11273</t>
  </si>
  <si>
    <t>13008 13034 13028 13012</t>
  </si>
  <si>
    <t>12024 12026 12015 12071 12010</t>
  </si>
  <si>
    <t>1126 1131</t>
  </si>
  <si>
    <t>12082 12062 12076 12067 12031 12068</t>
  </si>
  <si>
    <t>11228 11185 1116</t>
  </si>
  <si>
    <t>11251 1157 11273 11248 11249 11183 11196 1105 1130 111203</t>
  </si>
  <si>
    <t>13003 13032</t>
  </si>
  <si>
    <t>11160 11158 11169</t>
  </si>
  <si>
    <t>1126 11260 1131 1124 11283 11100 11180 1197 1155 11105</t>
  </si>
  <si>
    <t>11231 1106 1111 11262 11179 1130</t>
  </si>
  <si>
    <t>11149 11141 11195 11212</t>
  </si>
  <si>
    <t>12024 12026 12015 12071 12010 12028</t>
  </si>
  <si>
    <t>12025 12037 12073</t>
  </si>
  <si>
    <t>11109 1122 11199 11127 11176 11114 1112 11263 11115 11188 11282 11236 11267 1110 11277 11266 11235 11117 1107 11239 1164 1113</t>
  </si>
  <si>
    <t>12049</t>
  </si>
  <si>
    <t>1111 11179 1106 11231 11262 1130 1185 11123 1116</t>
  </si>
  <si>
    <t>11141</t>
  </si>
  <si>
    <t>f218d855</t>
  </si>
  <si>
    <t>YR-78 Arg Welding Regulator</t>
  </si>
  <si>
    <t>13016 13024 13025</t>
  </si>
  <si>
    <t>11221 11215</t>
  </si>
  <si>
    <t>12005 12035</t>
  </si>
  <si>
    <t>11272</t>
  </si>
  <si>
    <t>12072 12055</t>
  </si>
  <si>
    <t>13018 13022</t>
  </si>
  <si>
    <t>1189 11242 11196</t>
  </si>
  <si>
    <t>12009 12038 12019 12081 12066 12057 12053 12083 12034</t>
  </si>
  <si>
    <t>11235 11127 11236 11277 1164 1107 11282 11115 11239 11117 11266 1122</t>
  </si>
  <si>
    <t>1198 1190 11104</t>
  </si>
  <si>
    <t>1101 11250 11284 1184</t>
  </si>
  <si>
    <t>11186 11237</t>
  </si>
  <si>
    <t>11155 11157 11135 76</t>
  </si>
  <si>
    <t>13018 13032</t>
  </si>
  <si>
    <t>11109 1112 11199 11263 1119</t>
  </si>
  <si>
    <t>11196 11267 11188 1189 11242 11176</t>
  </si>
  <si>
    <t>12083 12081 12057 12034 12019 12053 12038 12066 12073 12025</t>
  </si>
  <si>
    <t>11153 11155 11150 11135 11166 11195 11145 11212 11149 11163</t>
  </si>
  <si>
    <t>1109 11210 11121 11201</t>
  </si>
  <si>
    <t>1110 1190 11186 1198 11284 1101 1184 11250 11272 11237</t>
  </si>
  <si>
    <t>11118 1187</t>
  </si>
  <si>
    <t>1143 11124 11102 11120</t>
  </si>
  <si>
    <t>12001 12006</t>
  </si>
  <si>
    <t>1135 1194 1147 1188 11116 11181 1146 1149 11111 11103</t>
  </si>
  <si>
    <t>11121 11201</t>
  </si>
  <si>
    <t>1109 1187 11124 11120 11102 1143 11118 11114 11210 1110</t>
  </si>
  <si>
    <t>13027</t>
  </si>
  <si>
    <t>11191 1139 11279 11208 11177</t>
  </si>
  <si>
    <t>11288 11241</t>
  </si>
  <si>
    <t>13027 13035 13029</t>
  </si>
  <si>
    <t>11157</t>
  </si>
  <si>
    <t>1194 1147 1188 11116 11181 1146 1149 11111 11103 1135</t>
  </si>
  <si>
    <t>11152 11140 11143</t>
  </si>
  <si>
    <t>13029</t>
  </si>
  <si>
    <t>11208 11177 1139 11279 11288 1137</t>
  </si>
  <si>
    <t>1189 11125 11176 11267 11242</t>
  </si>
  <si>
    <t>11191 11241</t>
  </si>
  <si>
    <t>11217 11227 11228</t>
  </si>
  <si>
    <t>11201</t>
  </si>
  <si>
    <t>11256 11245</t>
  </si>
  <si>
    <t>12077 12021 12039 12067 12047 12061 12080 12017</t>
  </si>
  <si>
    <t>11242 11176 11267 1189 11125</t>
  </si>
  <si>
    <t>1142 1132 1183 1138 1150 1193</t>
  </si>
  <si>
    <t>13001 13025</t>
  </si>
  <si>
    <t>11256 11245 1132</t>
  </si>
  <si>
    <t>13007 13030 13002</t>
  </si>
  <si>
    <t>11214 11152 11140 11143 11168 76</t>
  </si>
  <si>
    <t>1112 11101 11109 11199</t>
  </si>
  <si>
    <t>13001 13007</t>
  </si>
  <si>
    <t>13025 13030 13002</t>
  </si>
  <si>
    <t>12045</t>
  </si>
  <si>
    <t>1137 1186 11291 11188 11288 11196</t>
  </si>
  <si>
    <t>13010</t>
  </si>
  <si>
    <t>13011 13025</t>
  </si>
  <si>
    <t>1150 1183 1138 1142 11201 11109 11101 1112 11228 1139</t>
  </si>
  <si>
    <t>12077 12021 12047 12039 12045 12067 12080 12017</t>
  </si>
  <si>
    <t>12072 12055 12001 12006 12009</t>
  </si>
  <si>
    <t>11219 11223 11213 11226 1161 11151</t>
  </si>
  <si>
    <t>12024 12026 12015 12029 12036 12063 12010 12070</t>
  </si>
  <si>
    <t>13012 13028 13034</t>
  </si>
  <si>
    <t>13012 13016 13034</t>
  </si>
  <si>
    <t>11151 11226</t>
  </si>
  <si>
    <t>1182 11199 11288 11291 1186 11188 11196 1137 1166 11200</t>
  </si>
  <si>
    <t>12037 12041</t>
  </si>
  <si>
    <t>11177 1139</t>
  </si>
  <si>
    <t>11193 1133 11268 1126 11260 11106 1155 11113 11165 1197 1131 1157</t>
  </si>
  <si>
    <t>11219 1161 11223</t>
  </si>
  <si>
    <t>11250 11237 11104 1101 11186 1198 11284 1190 1129</t>
  </si>
  <si>
    <t>11272 1184</t>
  </si>
  <si>
    <t>Masih ada isi</t>
  </si>
  <si>
    <t>11165 1133 11106 1126</t>
  </si>
  <si>
    <t>11260 11272 1184 1197 1155 1131</t>
  </si>
  <si>
    <t>1198 11193 11284 11113 11237</t>
  </si>
  <si>
    <t>1157 11186 1101 1190 11250 11164</t>
  </si>
  <si>
    <t>13007 13028</t>
  </si>
  <si>
    <t>11129 11268</t>
  </si>
  <si>
    <t>1129 1195 11207 11289 11287 11265 1111 11216</t>
  </si>
  <si>
    <t>12038 12062 12053 12064 12048 12057 12079 12076 12081 12082 12073 12042 12052 12019</t>
  </si>
  <si>
    <t>1146 1147 11116 11174</t>
  </si>
  <si>
    <t>11278 11178</t>
  </si>
  <si>
    <t>11278</t>
  </si>
  <si>
    <t>11229 1121</t>
  </si>
  <si>
    <t>13003 13027 13035</t>
  </si>
  <si>
    <t>11208 11279 11214</t>
  </si>
  <si>
    <t>13010 13002</t>
  </si>
  <si>
    <t>11213 11229 11178 11216 11218</t>
  </si>
  <si>
    <t>12015 12070 12063 12026 12010 12024 12061 12029 12036</t>
  </si>
  <si>
    <t>1195 11289 11177 11278 1147 1139 11207 11265 1111 11287</t>
  </si>
  <si>
    <t>11172 11222 11144</t>
  </si>
  <si>
    <t>11146 11164</t>
  </si>
  <si>
    <t>11279 1146 1121 1129 11116</t>
  </si>
  <si>
    <t>11221</t>
  </si>
  <si>
    <t>12023</t>
  </si>
  <si>
    <t>11275</t>
  </si>
  <si>
    <t>11291 1148 11255 1124 11271 11175 1117</t>
  </si>
  <si>
    <t>11169 11160 11158 11172 11144 11164 11146</t>
  </si>
  <si>
    <t>13012 13016</t>
  </si>
  <si>
    <t>11143 11152 11140 11168</t>
  </si>
  <si>
    <t>1155</t>
  </si>
  <si>
    <t>13003 13010 13027</t>
  </si>
  <si>
    <t>13016 13024</t>
  </si>
  <si>
    <t>12057 12079</t>
  </si>
  <si>
    <t>12042 12048 12053 12038 12062 12064 12076 12013</t>
  </si>
  <si>
    <t>11228 11171</t>
  </si>
  <si>
    <t>Pak Ery ( Lik Trosobo )</t>
  </si>
  <si>
    <t>11214 11222</t>
  </si>
  <si>
    <t>11271 1124 1117 1148</t>
  </si>
  <si>
    <t>1155 11175 11255 11209 11228 11275</t>
  </si>
  <si>
    <t>1185 1104 11128 1168</t>
  </si>
  <si>
    <t>11104</t>
  </si>
  <si>
    <t>1131 11272 11260 1197</t>
  </si>
  <si>
    <t>11158 11172</t>
  </si>
  <si>
    <t>11140 11171 11143 11168</t>
  </si>
  <si>
    <t>13036 13012</t>
  </si>
  <si>
    <t>12054 12018 12046 12065 12032 12004 12044 12069 12078 12027</t>
  </si>
  <si>
    <t>1106 1154 11198 11185 11123</t>
  </si>
  <si>
    <t>11141 1165</t>
  </si>
  <si>
    <t>1133 11106 13008</t>
  </si>
  <si>
    <t>1184</t>
  </si>
  <si>
    <t>Abah Fatoni</t>
  </si>
  <si>
    <t>0004 0001</t>
  </si>
  <si>
    <t>1112 11272 1197 11260 1131 11104</t>
  </si>
  <si>
    <t>13008 13029 13037 13038</t>
  </si>
  <si>
    <t>11158 11172 11291 11152 11174</t>
  </si>
  <si>
    <t>11283 11200 11287 11199 11197 11196 1166</t>
  </si>
  <si>
    <t>1154 11196 11198 11287 1184 1106 11275 11209 11185 11135</t>
  </si>
  <si>
    <t>SYSTEM NOT WORKING</t>
  </si>
  <si>
    <t>11169 11164</t>
  </si>
  <si>
    <t>13035 13002 1126</t>
  </si>
  <si>
    <t>11209 11275</t>
  </si>
  <si>
    <t>11162</t>
  </si>
  <si>
    <t>1129 11263 1146 1119</t>
  </si>
  <si>
    <t>13020</t>
  </si>
  <si>
    <t>13030 13034 13039</t>
  </si>
  <si>
    <t>11197 11199 11283 1166</t>
  </si>
  <si>
    <t>13031 13014</t>
  </si>
  <si>
    <t>11109 1142</t>
  </si>
  <si>
    <t>11250 1190</t>
  </si>
  <si>
    <t>13037 11165</t>
  </si>
  <si>
    <t>11146 11160 11175</t>
  </si>
  <si>
    <t>ce3b37d3</t>
  </si>
  <si>
    <t>Argon MR</t>
  </si>
  <si>
    <t>12054 12004 12052 12065</t>
  </si>
  <si>
    <t>1119 11256</t>
  </si>
  <si>
    <t>1146 1190 1142 11109</t>
  </si>
  <si>
    <t>1129</t>
  </si>
  <si>
    <t>11263 11200 11250</t>
  </si>
  <si>
    <t>12044 12018 12082 12069 12032 12046 12023 12027</t>
  </si>
  <si>
    <t>13031 13037 13040</t>
  </si>
  <si>
    <t>11162 11146 11141 11160 11221 1165</t>
  </si>
  <si>
    <t>11245 11175 76 01</t>
  </si>
  <si>
    <t>11121</t>
  </si>
  <si>
    <t>11217 11227</t>
  </si>
  <si>
    <t>12009 12006 12001 12072 12028 12071</t>
  </si>
  <si>
    <t>11186</t>
  </si>
  <si>
    <t>1152</t>
  </si>
  <si>
    <t>11216 11178</t>
  </si>
  <si>
    <t>11179 11178</t>
  </si>
  <si>
    <t>11163 11149 11135</t>
  </si>
  <si>
    <t>12048 12021 12026 12076 12031 12037 12034 12017 12039 12038 12015 12025 12053 12077 12010 12080 12066 12063 12084 12070 12033 12083 12036 12062 12045</t>
  </si>
  <si>
    <t>1185 1104 11186 11121 11128 1152 11179 11217</t>
  </si>
  <si>
    <t>11149 11178 11216 11163 11217 11227 11135</t>
  </si>
  <si>
    <t>01 02 03 04 05 06 07 08</t>
  </si>
  <si>
    <t>11181 1149</t>
  </si>
  <si>
    <t>11284 11247</t>
  </si>
  <si>
    <t>13006 13007 13014 13020 13035</t>
  </si>
  <si>
    <t>11181 1149 11278 1186 1182 1147 11100</t>
  </si>
  <si>
    <t>11100 1111 1186 11105 11180 11278 1147 11244 1182</t>
  </si>
  <si>
    <t>13039 13008 13029 13038</t>
  </si>
  <si>
    <t>11255 11272 11228 1131 1155 11260</t>
  </si>
  <si>
    <t>11244 1131 11272 11255 11260 11105 11228 11180 1155 1111</t>
  </si>
  <si>
    <t>12076 12083 12081 12039 12080 12066 12038 12053 12084 12036</t>
  </si>
  <si>
    <t>11248 11273 11183 11249 11203 1157</t>
  </si>
  <si>
    <t>11158 11291 11172 11152 11167 11154 11174</t>
  </si>
  <si>
    <t>13008 13028 13029 13038 13039</t>
  </si>
  <si>
    <t>11183 11247 11203 11249 1157 11273 11248</t>
  </si>
  <si>
    <t>11158 11172 11154 11174</t>
  </si>
  <si>
    <t>11213</t>
  </si>
  <si>
    <t>1182 11100 11104 1112</t>
  </si>
  <si>
    <t>13020 13034 13030 13014</t>
  </si>
  <si>
    <t>11215</t>
  </si>
  <si>
    <t>1169</t>
  </si>
  <si>
    <t>11284 1186 1147 1166 11197</t>
  </si>
  <si>
    <t>11194 11281 1173 1123</t>
  </si>
  <si>
    <t>1128 1176 1102 11290 11246</t>
  </si>
  <si>
    <t>1140 11291 11167 1165 11152 003 049 048 137 143</t>
  </si>
  <si>
    <t>11181 1197 11283 1149 11199 11278</t>
  </si>
  <si>
    <t>0007</t>
  </si>
  <si>
    <t>Sudah Clear 0</t>
  </si>
  <si>
    <t>1121 11116 11279 11175 11245 76</t>
  </si>
  <si>
    <t>12072 12006</t>
  </si>
  <si>
    <t>1197 11283 11181 1149 11199 11278</t>
  </si>
  <si>
    <t>13020 13034</t>
  </si>
  <si>
    <t>1147 1186 1166 11197 1112 11100 11104 1182</t>
  </si>
  <si>
    <t>12054 12055 12004</t>
  </si>
  <si>
    <t>1113 1120 1111 11203 1105</t>
  </si>
  <si>
    <t>11247 11203</t>
  </si>
  <si>
    <t>1120 11205 1113 1115</t>
  </si>
  <si>
    <t>11251 11196 1105 11130 1131 1155 1111 11180 11260</t>
  </si>
  <si>
    <t>12062 12034 12033 12010 12031 12005 12026 12001 12028 12071</t>
  </si>
  <si>
    <t>1133 1169 1131 11268</t>
  </si>
  <si>
    <t>11116 11175 1121</t>
  </si>
  <si>
    <t>11213 11215</t>
  </si>
  <si>
    <t>11130 11247 11196 1155 11245 11180 11279 11260 1115 11251</t>
  </si>
  <si>
    <t>11200 11250 11228</t>
  </si>
  <si>
    <t>11232</t>
  </si>
  <si>
    <t>11209 11123 11287 11185</t>
  </si>
  <si>
    <t>12036 12043 12074 12050</t>
  </si>
  <si>
    <t>13017 13021</t>
  </si>
  <si>
    <t>11150 11145 11153</t>
  </si>
  <si>
    <t>12020 12014 12013</t>
  </si>
  <si>
    <t>13030 13035 13017 13014 13021</t>
  </si>
  <si>
    <t>11164</t>
  </si>
  <si>
    <t>11132 11206 11205 76 01</t>
  </si>
  <si>
    <t>13027 13036 13012 13010 13003</t>
  </si>
  <si>
    <t>11267 1181 11108 11125 11252</t>
  </si>
  <si>
    <t>11152 11291 11167 1165 003 049 048 143 1140</t>
  </si>
  <si>
    <t>11272 11255 11228</t>
  </si>
  <si>
    <t>13012 13036 13027</t>
  </si>
  <si>
    <t>11232 11228 112272 11255 11252</t>
  </si>
  <si>
    <t>1123 11209 11291 11267 11287</t>
  </si>
  <si>
    <t>1126 11106 11165 11185 11129 1140 11250 1181 11125 11108</t>
  </si>
  <si>
    <t>11234 1109 1110 1143 1187 1136 11210 11120 11124 11258 11270 11118 11133 11114 11261 11142 11147 11138 1147 1166</t>
  </si>
  <si>
    <t>11167 11164 11145 11152</t>
  </si>
  <si>
    <t>13003 13010</t>
  </si>
  <si>
    <t>13006 13007 13029 13034 13038</t>
  </si>
  <si>
    <t>1197 11183 1149 11273 11248 11283 11199 1157 11246</t>
  </si>
  <si>
    <t>11183 11246 1149 11248 11199 1157 11273 11283 1197 11200</t>
  </si>
  <si>
    <t>Bpk. Nasir Mjs</t>
  </si>
  <si>
    <t>11153 11150 1165 11168</t>
  </si>
  <si>
    <t>11146 11160 1157 11221</t>
  </si>
  <si>
    <t>11289 1195 11177 11135</t>
  </si>
  <si>
    <t>1155 11247 11196 137</t>
  </si>
  <si>
    <t>13007 13034</t>
  </si>
  <si>
    <t>11277 11119 1170 1107 11115 11239 11127 11269 11282 1185</t>
  </si>
  <si>
    <t>13006 13038</t>
  </si>
  <si>
    <t>1109 11118 11133 11114 11210 11270</t>
  </si>
  <si>
    <t>12077 12019 12017 12078 12015 12048 12025 12020 12014 12013</t>
  </si>
  <si>
    <t>11138 11147 11142 11228</t>
  </si>
  <si>
    <t>13008 13020 13027</t>
  </si>
  <si>
    <t>11181 1176 11290 11278</t>
  </si>
  <si>
    <t>1147 1143 1136 11120 1110</t>
  </si>
  <si>
    <t>1157 11278 11242 11181 1166</t>
  </si>
  <si>
    <t>Bapak Enol ( Bpk. Ibnu )</t>
  </si>
  <si>
    <t>11258 11261</t>
  </si>
  <si>
    <t>11160 11221 11146</t>
  </si>
  <si>
    <t>11124</t>
  </si>
  <si>
    <t>11135</t>
  </si>
  <si>
    <t>1187 11234 1176 11290 1170 11196 11289 11247 1195 1155 11177 048 11172 1156</t>
  </si>
  <si>
    <t>11262 11231 1116 11196</t>
  </si>
  <si>
    <t>12042 12047 12018 12061 12029 12071 12044 12084 12073</t>
  </si>
  <si>
    <t>11212 11166</t>
  </si>
  <si>
    <t>1146 1142 1129 11109 1192</t>
  </si>
  <si>
    <t>11193 11113 11237</t>
  </si>
  <si>
    <t>11206 11105 11205 11132 76 01</t>
  </si>
  <si>
    <t>11140 11143</t>
  </si>
  <si>
    <t>11106 1126 11260 1140 11245 11251 1115 11279 11130 11180 1181 11185 11108</t>
  </si>
  <si>
    <t>11196 11231 1116 1146 1129</t>
  </si>
  <si>
    <t>13008 13027</t>
  </si>
  <si>
    <t>13039</t>
  </si>
  <si>
    <t>11249 11255 1128 11272</t>
  </si>
  <si>
    <t>11286 11274 11107 11202 11134 11253 1196 11192 11293 11294</t>
  </si>
  <si>
    <t>11143 11140</t>
  </si>
  <si>
    <t>1142 11255 1128 11105 11249 1192 11290</t>
  </si>
  <si>
    <t>11206 11205 11237 11132</t>
  </si>
  <si>
    <t>13031 13029 13037</t>
  </si>
  <si>
    <t>11296 11295</t>
  </si>
  <si>
    <t>11223 11219</t>
  </si>
  <si>
    <t>11270 1102 11252 11228</t>
  </si>
  <si>
    <t>13012 13038</t>
  </si>
  <si>
    <t>11153 11168 1165 11150</t>
  </si>
  <si>
    <t>11214</t>
  </si>
  <si>
    <t>11228 1102 11193 11113 11252 11272 11262 11270 11109</t>
  </si>
  <si>
    <t>11141 11166 11168 11150 11153 01</t>
  </si>
  <si>
    <t>13040</t>
  </si>
  <si>
    <t>11215 1165</t>
  </si>
  <si>
    <t>11129 11165 11250 1155 11125 1170 11177 1187 11289 1156 11196 11127 048</t>
  </si>
  <si>
    <t>1181 11185 11180 1115 11106 1140 1107</t>
  </si>
  <si>
    <t>02 11135</t>
  </si>
  <si>
    <t>11244 11278 11242 1157</t>
  </si>
  <si>
    <t>13012 13039</t>
  </si>
  <si>
    <t>12050 12074 12063 12037 12045 12036 12009 12043</t>
  </si>
  <si>
    <t>1109 11118 11133 11114 11210</t>
  </si>
  <si>
    <t>1154 1184 1106</t>
  </si>
  <si>
    <t>12010 12033 12005 12001 12041 12034 12068</t>
  </si>
  <si>
    <t>13010 13034 13038</t>
  </si>
  <si>
    <t>11210 11118 11130 11114 11269 11251 11245 1158</t>
  </si>
  <si>
    <t>11162 11212</t>
  </si>
  <si>
    <t>11223 11214 11219 11213</t>
  </si>
  <si>
    <t>11218 11229 11228 11142</t>
  </si>
  <si>
    <t>11108 11115</t>
  </si>
  <si>
    <t>1170 1156 11196 11177 11260 11282 11250 11239 1187 11133 11125 11279 1109 11119 1155</t>
  </si>
  <si>
    <t>11169</t>
  </si>
  <si>
    <t>1146 11196</t>
  </si>
  <si>
    <t>11105 1128 11249 1142 1192 11255</t>
  </si>
  <si>
    <t>11252 11234 11109 1176 11247 11270 11272 11262 1195 11228 01</t>
  </si>
  <si>
    <t>11166 11141</t>
  </si>
  <si>
    <t>11105 11255 11277 11249 1192</t>
  </si>
  <si>
    <t>11165 11129 1126</t>
  </si>
  <si>
    <t>1146 1142 11127 11196 1128 11297</t>
  </si>
  <si>
    <t>1116 11206 11132 11231 11205</t>
  </si>
  <si>
    <t>13003 13006 13027</t>
  </si>
  <si>
    <t>13007 13040</t>
  </si>
  <si>
    <t>11153 11168</t>
  </si>
  <si>
    <t>11193 1102 11177 11113 11119</t>
  </si>
  <si>
    <t>1154 11278 1106</t>
  </si>
  <si>
    <t>12084 12018 12071</t>
  </si>
  <si>
    <t>11234 11242</t>
  </si>
  <si>
    <t>11305 11304 11301 11303 11307 11306 11302 11298 11300 11299</t>
  </si>
  <si>
    <t>11286 11134 11107 11202 11253 11293 11294</t>
  </si>
  <si>
    <t>1191</t>
  </si>
  <si>
    <t>11104 1112</t>
  </si>
  <si>
    <t>12057 12075</t>
  </si>
  <si>
    <t>1176 11228 1184 11252 11244 11289 11270 11262 11247 11272</t>
  </si>
  <si>
    <t>13029 13007</t>
  </si>
  <si>
    <t>11193 11231 11113 11119</t>
  </si>
  <si>
    <t>11258</t>
  </si>
  <si>
    <t>Ganti rugi tabung hilang</t>
  </si>
  <si>
    <t>11137 11174</t>
  </si>
  <si>
    <t>11207 1152 11121</t>
  </si>
  <si>
    <t>11149 11178 11227</t>
  </si>
  <si>
    <t>11194</t>
  </si>
  <si>
    <t>13020 13040</t>
  </si>
  <si>
    <t>1102 1116 11104 1157 11132 11205 11258 11206</t>
  </si>
  <si>
    <t>11142 11168</t>
  </si>
  <si>
    <t>1194</t>
  </si>
  <si>
    <t>11202 1191 1112</t>
  </si>
  <si>
    <t>1125 1127</t>
  </si>
  <si>
    <t>13037 13031 13008</t>
  </si>
  <si>
    <t>11114 11251 1129 11232 1158</t>
  </si>
  <si>
    <t>11144</t>
  </si>
  <si>
    <t>13008 13031 13037</t>
  </si>
  <si>
    <t>1127 1125</t>
  </si>
  <si>
    <t>13035 13017 13014</t>
  </si>
  <si>
    <t>11294 1129 1152 11114 11121</t>
  </si>
  <si>
    <t>11107 11134 11286 11293</t>
  </si>
  <si>
    <t>12004 12047 12054 12034 12033 12010 12005 12001 12042 12044</t>
  </si>
  <si>
    <t>1158 11101 1195 11232 11207 11251</t>
  </si>
  <si>
    <t>13014 13017 13026 13035</t>
  </si>
  <si>
    <t>11187</t>
  </si>
  <si>
    <t>11155</t>
  </si>
  <si>
    <t>12014 12020 12053 12066 12015 12076 12064 12077 12039 12031 12026 12038 12083 12013 12032 12046 12080 12019 12048</t>
  </si>
  <si>
    <t>13042 13032 13041</t>
  </si>
  <si>
    <t>1169 1133 11263 1131</t>
  </si>
  <si>
    <t>13010 13038 13034</t>
  </si>
  <si>
    <t>1102 11258 11130 1142 11245 11118 11297 1146</t>
  </si>
  <si>
    <t>11109 11253</t>
  </si>
  <si>
    <t>11178 1161 11227</t>
  </si>
  <si>
    <t>11133 1156 1187 11250</t>
  </si>
  <si>
    <t>1155 11196 11262 11247 11289 11252 11244 1170 11270 11239 1109 11282 11260 11279 11125 11228 1176 11272 1184</t>
  </si>
  <si>
    <t>13010 13038</t>
  </si>
  <si>
    <t>1116 1128 11196</t>
  </si>
  <si>
    <t>11164 11166 11153 11149 11174</t>
  </si>
  <si>
    <t>11202 11285</t>
  </si>
  <si>
    <t>1133 11297</t>
  </si>
  <si>
    <t>11133 11250 11245 1131 11196 11247 11228 11262 11279 1170 11118 11282 1156 1116 11176 11289 1169 11263 1187 11239</t>
  </si>
  <si>
    <t>fbe0ee2c</t>
  </si>
  <si>
    <t>Valve O2</t>
  </si>
  <si>
    <t>13034 13045</t>
  </si>
  <si>
    <t>1109 1155 1184 11252 11187 11125 11258 1176</t>
  </si>
  <si>
    <t>2e2560f8</t>
  </si>
  <si>
    <t>Bonit Valve</t>
  </si>
  <si>
    <t>11155 11144 11141 11137 11150 11229 11218 11228 11169 76</t>
  </si>
  <si>
    <t>11260 1142 1146 11196 01</t>
  </si>
  <si>
    <t>13043 13044</t>
  </si>
  <si>
    <t>11299 11305 11307 11300</t>
  </si>
  <si>
    <t>11265 11179 1104 1168 11163</t>
  </si>
  <si>
    <t>11202 11296</t>
  </si>
  <si>
    <t>11226 11151</t>
  </si>
  <si>
    <t>13040 13036</t>
  </si>
  <si>
    <t>11205 11207 11232 1157 11104</t>
  </si>
  <si>
    <t>11305 11300 11299 11307 11222 11163 11219 11223 11213 11214</t>
  </si>
  <si>
    <t>11228 11137 11218 11229 11155 11169 11150 76</t>
  </si>
  <si>
    <t>1104 1196 11244 11272 1168 11285 11265 11179 11270 12095</t>
  </si>
  <si>
    <t>12055 12061 12021 12073 12070 12068</t>
  </si>
  <si>
    <t>13032 13036 13040</t>
  </si>
  <si>
    <t>13015 11268</t>
  </si>
  <si>
    <t>1157 11229 1163 11246 1164 11236 11112 11266 11235 11117</t>
  </si>
  <si>
    <t>11117</t>
  </si>
  <si>
    <t>11105</t>
  </si>
  <si>
    <t>11105 11249 11277</t>
  </si>
  <si>
    <t>11137 11155 11150 11145</t>
  </si>
  <si>
    <t>11141 11144 11300 11299 11163</t>
  </si>
  <si>
    <t>11228 11169</t>
  </si>
  <si>
    <t>11112 11246 11277 11249</t>
  </si>
  <si>
    <t>11266 11235 11236 1157 1164 11229 1163</t>
  </si>
  <si>
    <t>11195</t>
  </si>
  <si>
    <t>11128 1137</t>
  </si>
  <si>
    <t>11138 11147</t>
  </si>
  <si>
    <t>11258 11127 11269 1195 1109 11101</t>
  </si>
  <si>
    <t>11124 1111</t>
  </si>
  <si>
    <t>11160 11171</t>
  </si>
  <si>
    <t>1115 1140 11106 11181 11180 1166 1181 11185</t>
  </si>
  <si>
    <t>11119 1173 11113 11193 11231 11281 1123</t>
  </si>
  <si>
    <t>11127 11181 11258 1115 11207 11231 1166 11113 11193 11180</t>
  </si>
  <si>
    <t>11149 11151 11226 11299 11300 11163 11141 11144 11160 11171</t>
  </si>
  <si>
    <t>1111 11101</t>
  </si>
  <si>
    <t>1195 11185</t>
  </si>
  <si>
    <t>1102 1140 11281 1173</t>
  </si>
  <si>
    <t>11242 1153 11122</t>
  </si>
  <si>
    <t>11213 11223 11214 11219 11222 11305 11307</t>
  </si>
  <si>
    <t>1138 11193 11201</t>
  </si>
  <si>
    <t>11138 11195 11147</t>
  </si>
  <si>
    <t>13014 13015 13046</t>
  </si>
  <si>
    <t>13049</t>
  </si>
  <si>
    <t>11242 11122 1153 11128</t>
  </si>
  <si>
    <t>11305 11307</t>
  </si>
  <si>
    <t>1137 11201 11232 1109 11104 11106 1138 1157 11110 1181 1188 11120 1173 1102 1140 1198 11281</t>
  </si>
  <si>
    <t>11140 11143 11142</t>
  </si>
  <si>
    <t>11281 1102 1140 1173</t>
  </si>
  <si>
    <t>11120 1198</t>
  </si>
  <si>
    <t>11142 11143</t>
  </si>
  <si>
    <t>1142</t>
  </si>
  <si>
    <t>11158 11154</t>
  </si>
  <si>
    <t>1155 1184 11252 11237 11251 1158</t>
  </si>
  <si>
    <t>11158 11157 11218 11223 11214 11219 11222 11213 11229 11154</t>
  </si>
  <si>
    <t>13047</t>
  </si>
  <si>
    <t>11251 11237 1158 11252 1142</t>
  </si>
  <si>
    <t>11100</t>
  </si>
  <si>
    <t>11229 11235 1164 11236</t>
  </si>
  <si>
    <t>11160 11229 11163 11144 11171 11300</t>
  </si>
  <si>
    <t>13012</t>
  </si>
  <si>
    <t>1198 11104 11106 1181</t>
  </si>
  <si>
    <t>11142</t>
  </si>
  <si>
    <t>11287 11284 11209 11197 1186 11291 11267 11123</t>
  </si>
  <si>
    <t>11300 11299</t>
  </si>
  <si>
    <t>13020 13039 13048</t>
  </si>
  <si>
    <t>11144 11166</t>
  </si>
  <si>
    <t>13008 13021 13042 13037</t>
  </si>
  <si>
    <t>13042</t>
  </si>
  <si>
    <t>11274</t>
  </si>
  <si>
    <t>11260</t>
  </si>
  <si>
    <t>13008 13021 13037</t>
  </si>
  <si>
    <t>11171</t>
  </si>
  <si>
    <t>11146</t>
  </si>
  <si>
    <t>1176 11125 11187</t>
  </si>
  <si>
    <t>13017 13026 13035 13045 13014 13028</t>
  </si>
  <si>
    <t>11187 1198 11197 11209 11284</t>
  </si>
  <si>
    <t>11267 11287 11229 1164 11235</t>
  </si>
  <si>
    <t>11104 11125 1184 11274 1181 11100 1186 11123</t>
  </si>
  <si>
    <t>11195 1146</t>
  </si>
  <si>
    <t>11154 11141 11151 11219 11214 11158</t>
  </si>
  <si>
    <t>11215 11291</t>
  </si>
  <si>
    <t>1155 11236 11106 11260 1176</t>
  </si>
  <si>
    <t>1189</t>
  </si>
  <si>
    <t>1185 11228 1169 11195</t>
  </si>
  <si>
    <t>1109 11201 1138 11232 1173 1193 11120 11119 1102 1140 1137</t>
  </si>
  <si>
    <t>1161 11178 11227</t>
  </si>
  <si>
    <t>11109 1190</t>
  </si>
  <si>
    <t>11222 11157 11149</t>
  </si>
  <si>
    <t>12018 12071 12035 12079</t>
  </si>
  <si>
    <t>1157 1164 11287 11267 11281</t>
  </si>
  <si>
    <t>11229 11235</t>
  </si>
  <si>
    <t>isi</t>
  </si>
  <si>
    <t>04 03 02 01 05 06</t>
  </si>
  <si>
    <t>11202</t>
  </si>
  <si>
    <t>1137 11229 11228 11235 11196</t>
  </si>
  <si>
    <t>11157 11158 11149 11154 11151 11163 11178 11143 11141 11146</t>
  </si>
  <si>
    <t>11256 2303</t>
  </si>
  <si>
    <t>(2303) Tabung ganti</t>
  </si>
  <si>
    <t>12065 12072 12052 12006</t>
  </si>
  <si>
    <t>11229 11213</t>
  </si>
  <si>
    <t>1197 11248 11199</t>
  </si>
  <si>
    <t>01 03 02</t>
  </si>
  <si>
    <t>1157 11202 11267 1164 11287 11281</t>
  </si>
  <si>
    <t>11187 1198 11284 11197 11209</t>
  </si>
  <si>
    <t>11119 1173 1189 1140 1102 1146 1185 11201 1193 11109</t>
  </si>
  <si>
    <t>12058 12018 12071 12035 12079</t>
  </si>
  <si>
    <t>13021</t>
  </si>
  <si>
    <t>1153 11210 11112 11277</t>
  </si>
  <si>
    <t>11169 11228</t>
  </si>
  <si>
    <t>1198 11248 1153 11120 11199 11284 11277 11197 11290 11256 11112 1197 11196 11109</t>
  </si>
  <si>
    <t>11227 11214 11213 11229 11228 11169</t>
  </si>
  <si>
    <t>11232 11210 1169 11187 1138</t>
  </si>
  <si>
    <t>1136 1143 11240</t>
  </si>
  <si>
    <t>11128 11132 11122</t>
  </si>
  <si>
    <t>12084</t>
  </si>
  <si>
    <t>11247 11176 11289 1139 11288 1170 11118 11262 1131 11239</t>
  </si>
  <si>
    <t>11216 11217</t>
  </si>
  <si>
    <t>11218 11163 11157</t>
  </si>
  <si>
    <t>11234 11128 11288 1170 11239</t>
  </si>
  <si>
    <t>1139 11176</t>
  </si>
  <si>
    <t>12072 12052 12006 12065</t>
  </si>
  <si>
    <t>11281 1157</t>
  </si>
  <si>
    <t>1128 11140 11216</t>
  </si>
  <si>
    <t>11132 11247 1131 11118 11262 11122 11289</t>
  </si>
  <si>
    <t>11219 11222 11217 11269</t>
  </si>
  <si>
    <t>RETUR EQUIPMENT</t>
  </si>
  <si>
    <t>11266 1163 1157</t>
  </si>
  <si>
    <t>1187 11263 11133 1116 11188</t>
  </si>
  <si>
    <t>13014 13028 13017 13012 13045</t>
  </si>
  <si>
    <t>11181 1166 1183</t>
  </si>
  <si>
    <t>1147 1110</t>
  </si>
  <si>
    <t>11303</t>
  </si>
  <si>
    <t>13043 13032</t>
  </si>
  <si>
    <t>11302</t>
  </si>
  <si>
    <t>11112 11199</t>
  </si>
  <si>
    <t>11229 11228 11169</t>
  </si>
  <si>
    <t>13035 13015</t>
  </si>
  <si>
    <t>11281 11209 1157 11240 1143 1190</t>
  </si>
  <si>
    <t>1194 11181 1163 11133 11266 1116 11188 1187</t>
  </si>
  <si>
    <t>11174 11166 11164</t>
  </si>
  <si>
    <t>1184 1181 11100 11123 11274 1186 11104 11125</t>
  </si>
  <si>
    <t>11296</t>
  </si>
  <si>
    <t>1183 1147 1110</t>
  </si>
  <si>
    <t>13013 13026</t>
  </si>
  <si>
    <t>1164 11202 11288 11249 11246</t>
  </si>
  <si>
    <t>13049 13008 13037</t>
  </si>
  <si>
    <t>13020 13039 13031</t>
  </si>
  <si>
    <t>11206 11267 11239</t>
  </si>
  <si>
    <t>11166 11164 11174</t>
  </si>
  <si>
    <t>11202 11104 1184 11125 11100 1166 11246 11123 11274 1136 1181 1164 1186 11249 11288 11130 11263</t>
  </si>
  <si>
    <t>11292 11157 11163 11218</t>
  </si>
  <si>
    <t>13008 13049</t>
  </si>
  <si>
    <t>11309 11205 11310 11184 11124 11308</t>
  </si>
  <si>
    <t>11242 11287 11128 1170</t>
  </si>
  <si>
    <t>11296 11267 11239 11206 11241 1170 11128 11287 11311 11312</t>
  </si>
  <si>
    <t>11144 11145 11155 11150</t>
  </si>
  <si>
    <t>1156 11289 11262 11279 11216 11250 1131</t>
  </si>
  <si>
    <t>1153 11120 1197 11197 11109 1198 11256 11196 11248 11284</t>
  </si>
  <si>
    <t>11213 11227 11214</t>
  </si>
  <si>
    <t>12065 12006</t>
  </si>
  <si>
    <t>11278 1106</t>
  </si>
  <si>
    <t>11185</t>
  </si>
  <si>
    <t>13018 13047</t>
  </si>
  <si>
    <t>11294</t>
  </si>
  <si>
    <t>11129</t>
  </si>
  <si>
    <t>1110 1183 11240</t>
  </si>
  <si>
    <t>01 02 03 04</t>
  </si>
  <si>
    <t>11177 11112</t>
  </si>
  <si>
    <t>11155 11144 11145 11150 11169 11229 11303 11228</t>
  </si>
  <si>
    <t>11149 11143 11146 11154 11158</t>
  </si>
  <si>
    <t>1110 11278 1198 11284 1131 11289</t>
  </si>
  <si>
    <t>13031 13039</t>
  </si>
  <si>
    <t>1183 11185</t>
  </si>
  <si>
    <t>11109 1106</t>
  </si>
  <si>
    <t>11213 11214 11216 11227</t>
  </si>
  <si>
    <t>11196 1156 11250 11248 11240</t>
  </si>
  <si>
    <t>11197 11294 11262 11279 11199 1197 1153 11256 11120</t>
  </si>
  <si>
    <t>1157 1147 11039</t>
  </si>
  <si>
    <t>13015 13026</t>
  </si>
  <si>
    <t>11229 11252 11273 1158 11251 1149 11237 1142 11183</t>
  </si>
  <si>
    <t>11260 1176 11106 11236</t>
  </si>
  <si>
    <t>11153</t>
  </si>
  <si>
    <t>11181 11266 1187 1116 11133</t>
  </si>
  <si>
    <t>1175 1119 11241 01</t>
  </si>
  <si>
    <t>(01) Tabung ganti</t>
  </si>
  <si>
    <t>7955 7843 7818 7929 7905</t>
  </si>
  <si>
    <t>12083 12080</t>
  </si>
  <si>
    <t>12053 12019 12077</t>
  </si>
  <si>
    <t>11143 11149 11154 11158 11146</t>
  </si>
  <si>
    <t>12076 12075 12029 12039 12048</t>
  </si>
  <si>
    <t>13042 13021 13020 13043 13037</t>
  </si>
  <si>
    <t>7814</t>
  </si>
  <si>
    <t>TABUNG BAS</t>
  </si>
  <si>
    <t>11310</t>
  </si>
  <si>
    <t>13046</t>
  </si>
  <si>
    <t>13048 13017 13028 13012 13030</t>
  </si>
  <si>
    <t>11275 11133 11181 1187 11236 11266 11273 11106 11183 1116 1158 11251 11237 11255 11229 11257 1162 1104 1141 1130</t>
  </si>
  <si>
    <t>1142 1157 11252 11260 1147 1149 1176 11309</t>
  </si>
  <si>
    <t>1165 11215</t>
  </si>
  <si>
    <t>1104 11275 1141 1130 11255 1162 11257</t>
  </si>
  <si>
    <t>12025 12028 12002 12045 12003 12033 12063 12047 12036 12078 12069 12005 12067 12042 12017 12056 12074 12009 12043 12062 12023 12027 12010 12050 12044</t>
  </si>
  <si>
    <t>13032 13035 13047 13015 13050 13051 13052 13026</t>
  </si>
  <si>
    <t>11128 11122 11287 11267 11186</t>
  </si>
  <si>
    <t>11277 1186 11125 11246 11202 11290 11123 11249 11166 1166 11288 11130 11274 1164 1184 1181 11100 11263 1136</t>
  </si>
  <si>
    <t>11202 11290 1184 11277 11263</t>
  </si>
  <si>
    <t>11246 11100 1181 11288</t>
  </si>
  <si>
    <t>13048 13018</t>
  </si>
  <si>
    <t>1175 11267 11241 1164 11122</t>
  </si>
  <si>
    <t>11310 1136 1166 11287</t>
  </si>
  <si>
    <t>11308 11184 11234 1190</t>
  </si>
  <si>
    <t>1129 1152 11114</t>
  </si>
  <si>
    <t>11125 1119 11249 1186 11128</t>
  </si>
  <si>
    <t>11153 11166</t>
  </si>
  <si>
    <t>11186 11274 11123 11280</t>
  </si>
  <si>
    <t>13012 13046</t>
  </si>
  <si>
    <t>11147 11168</t>
  </si>
  <si>
    <t>11222 11219 11217 11269</t>
  </si>
  <si>
    <t>13007 13029</t>
  </si>
  <si>
    <t>13003 13027</t>
  </si>
  <si>
    <t>11303 11150 11151 11229 11223 11226 11141</t>
  </si>
  <si>
    <t>11112</t>
  </si>
  <si>
    <t>11306</t>
  </si>
  <si>
    <t>1190 11308 1129 1152 11114 11234 11112</t>
  </si>
  <si>
    <t>11151 11167 11303 11220 11168 11148 11269 11141 11306 11219 11147 11217 11150</t>
  </si>
  <si>
    <t>11223 11229</t>
  </si>
  <si>
    <t>13008 13029</t>
  </si>
  <si>
    <t>1166</t>
  </si>
  <si>
    <t>13005</t>
  </si>
  <si>
    <t>12084 12041 12064 12006 12057 12014 12065 12013 12038 12032 12015 12046 12026 12020 12066</t>
  </si>
  <si>
    <t>13027 13003</t>
  </si>
  <si>
    <t>11266 1104 11275 1187 11236 1162</t>
  </si>
  <si>
    <t>11266 1104 11275 1187 11236 1162 1141 11237 1130 11133 11181 11255 11257 1158 11251 11183 1116 11229 11106 11273</t>
  </si>
  <si>
    <t>11257 1141 11273 11229 11181 1158 11133 11237 1166 11106</t>
  </si>
  <si>
    <t>11183 11255</t>
  </si>
  <si>
    <t>13049 13039 13031</t>
  </si>
  <si>
    <t>11281 11289 1131 11284 11278 11124 11209</t>
  </si>
  <si>
    <t>1130 1116 11251</t>
  </si>
  <si>
    <t>11234 1190 11184 11104</t>
  </si>
  <si>
    <t>11226 11269 11164 11174</t>
  </si>
  <si>
    <t>13061 13062 13005</t>
  </si>
  <si>
    <t>11104 11234 1190 11184</t>
  </si>
  <si>
    <t>11226 11269 11164 11174 11219</t>
  </si>
  <si>
    <t>11165</t>
  </si>
  <si>
    <t>1117 1148</t>
  </si>
  <si>
    <t>11176 1139</t>
  </si>
  <si>
    <t>11299</t>
  </si>
  <si>
    <t>11278 1117 11165 11209 11124 1189 11281 1148 11284 1131</t>
  </si>
  <si>
    <t>11219 11222 11300</t>
  </si>
  <si>
    <t>11299 11300</t>
  </si>
  <si>
    <t>11205 1198 1181 11288 1110</t>
  </si>
  <si>
    <t>11261 11105</t>
  </si>
  <si>
    <t>1198 12</t>
  </si>
  <si>
    <t>1181 11288</t>
  </si>
  <si>
    <t>11105 1110</t>
  </si>
  <si>
    <t>11296 11282 11242 1170 11118 11252 1142 11309 1149 1128 11312</t>
  </si>
  <si>
    <t>11215 11140</t>
  </si>
  <si>
    <t>13003 13013</t>
  </si>
  <si>
    <t>1142 11252 11282 1170 1139 11312</t>
  </si>
  <si>
    <t>1128 11140 11215</t>
  </si>
  <si>
    <t>11296 11118 11176 1149 11309</t>
  </si>
  <si>
    <t>11151 11303 11167 11306 11141</t>
  </si>
  <si>
    <t>11106 11273 11257 1129 11112 11308 11114</t>
  </si>
  <si>
    <t>11173 11139</t>
  </si>
  <si>
    <t>11144 11228 11169 11145 11155</t>
  </si>
  <si>
    <t>1115 11127</t>
  </si>
  <si>
    <t>11250 1194 11240 1163</t>
  </si>
  <si>
    <t>1138 1169</t>
  </si>
  <si>
    <t>11308 11257 1115 1194 11240</t>
  </si>
  <si>
    <t>11306 11228 11303 11169 11167 11141 11145 11144 11151 11155</t>
  </si>
  <si>
    <t>11177 11127 11112 1138 1163</t>
  </si>
  <si>
    <t>1129 1169 11250 11114 11273</t>
  </si>
  <si>
    <t>13030 13007</t>
  </si>
  <si>
    <t>1137 11256 11262 11235</t>
  </si>
  <si>
    <t>11275 11236 1104 1187 11246</t>
  </si>
  <si>
    <t>01 02 03 04 05 06 07 08 09 10 11 12 13</t>
  </si>
  <si>
    <t>Ganti MR</t>
  </si>
  <si>
    <t>11142 11313 01</t>
  </si>
  <si>
    <t>01 ( Botol JA )</t>
  </si>
  <si>
    <t>11106 1105 11261 1137 11256 11262 11235</t>
  </si>
  <si>
    <t>11307</t>
  </si>
  <si>
    <t>76 75 01 02 03</t>
  </si>
  <si>
    <t>1141 11181 1158 11229 1166</t>
  </si>
  <si>
    <t>11133 11237</t>
  </si>
  <si>
    <t>13034 13039</t>
  </si>
  <si>
    <t>11111 1135 1194 1188 11103</t>
  </si>
  <si>
    <t>11147 11150 11168 11217 11229</t>
  </si>
  <si>
    <t>11181 1158 1141 11133 11237 1166</t>
  </si>
  <si>
    <t>76 75 77 78 79</t>
  </si>
  <si>
    <t>06f37aa7</t>
  </si>
  <si>
    <t>Maintenance Serv</t>
  </si>
  <si>
    <t>374a168f</t>
  </si>
  <si>
    <t>Pen (SOK)</t>
  </si>
  <si>
    <t>efa42bb1</t>
  </si>
  <si>
    <t>Headwheel Valve</t>
  </si>
  <si>
    <t>11150 11217 11168 11147 11307</t>
  </si>
  <si>
    <t>11236 1104 11275 1187 1141</t>
  </si>
  <si>
    <t>11240 1115 1152</t>
  </si>
  <si>
    <t>11303 11228</t>
  </si>
  <si>
    <t>1133 1194 11111 1188</t>
  </si>
  <si>
    <t>11305</t>
  </si>
  <si>
    <t>11161</t>
  </si>
  <si>
    <t>13049 13017 13003 13002</t>
  </si>
  <si>
    <t>11137 11221 11160</t>
  </si>
  <si>
    <t>1120 1113</t>
  </si>
  <si>
    <t>13005 13007 13018 13048</t>
  </si>
  <si>
    <t>11140 11266</t>
  </si>
  <si>
    <t>11220 11226</t>
  </si>
  <si>
    <t>11104 1113 1120 11103</t>
  </si>
  <si>
    <t>11160</t>
  </si>
  <si>
    <t>1136 11200 11310</t>
  </si>
  <si>
    <t>13013 13058</t>
  </si>
  <si>
    <t>13053 13057</t>
  </si>
  <si>
    <t>11188 11248</t>
  </si>
  <si>
    <t>13046 13006 13012</t>
  </si>
  <si>
    <t>11152 11153</t>
  </si>
  <si>
    <t>11302 11135</t>
  </si>
  <si>
    <t>11315 11316 11317 11319 11320 11321 11322 11323 11324 11326</t>
  </si>
  <si>
    <t>0371 0372</t>
  </si>
  <si>
    <t>11327 11328</t>
  </si>
  <si>
    <t>11329 11330 11331 11318</t>
  </si>
  <si>
    <t>11284 11247 11311 11132 11245 1147 1165 1157 11165</t>
  </si>
  <si>
    <t>13062</t>
  </si>
  <si>
    <t>11100 11282 1170 1162 11112</t>
  </si>
  <si>
    <t>11118 11176 1149 11309</t>
  </si>
  <si>
    <t>11215 11140 11178</t>
  </si>
  <si>
    <t>11267 11241 1164 11192</t>
  </si>
  <si>
    <t>11311 1147 1152 11284 11165 11245 11247 11132 1154 11240</t>
  </si>
  <si>
    <t>1115 1157</t>
  </si>
  <si>
    <t>11314</t>
  </si>
  <si>
    <t>11299 11305</t>
  </si>
  <si>
    <t>11178 11334 11336 11337 11332</t>
  </si>
  <si>
    <t>1164 11241 11267 11176 1146 11118 11309 11192</t>
  </si>
  <si>
    <t>1169 1156 11196</t>
  </si>
  <si>
    <t>11140 11335 11333 11338</t>
  </si>
  <si>
    <t>11134 11268 1186 11107</t>
  </si>
  <si>
    <t>11228 1165 11215</t>
  </si>
  <si>
    <t>12012 12016</t>
  </si>
  <si>
    <t>13030 13017 13061</t>
  </si>
  <si>
    <t>1190 11234 11184 11127 1142</t>
  </si>
  <si>
    <t>11174 11269</t>
  </si>
  <si>
    <t>11277 11202 11212</t>
  </si>
  <si>
    <t>11205</t>
  </si>
  <si>
    <t>11205 11202 11121 11248 11242 1170 11266 11200 1190</t>
  </si>
  <si>
    <t>11188 11269 11212 11137 11174 11302 11162 11152 11153 11160 11135</t>
  </si>
  <si>
    <t>13029 13061</t>
  </si>
  <si>
    <t>11112 11184 11310</t>
  </si>
  <si>
    <t>12040 12050 12010 12025</t>
  </si>
  <si>
    <t>1154 11296 1128</t>
  </si>
  <si>
    <t>11114 11273</t>
  </si>
  <si>
    <t>1186 1119 11125</t>
  </si>
  <si>
    <t>1104 1187 11308 11257 1194 11275 11236</t>
  </si>
  <si>
    <t>11144 11151 11141 11167 11145 11217 11150 11306 11169 11147 11168 11155</t>
  </si>
  <si>
    <t>13005 13017</t>
  </si>
  <si>
    <t>11274 11234 1156 11196</t>
  </si>
  <si>
    <t>1138 11328 11312</t>
  </si>
  <si>
    <t>13060 13063 13059 13054</t>
  </si>
  <si>
    <t>13006 13007</t>
  </si>
  <si>
    <t>11296 1119 1186 1162 11125 1154 11127 11114 11273 11325</t>
  </si>
  <si>
    <t>1128 11212</t>
  </si>
  <si>
    <t>11339 11223</t>
  </si>
  <si>
    <t>11268 11134 11107 11286 1136 1142 11100 11277</t>
  </si>
  <si>
    <t>13032 13035 13026 13050 13015 13047 13052 13051</t>
  </si>
  <si>
    <t>11317 1176 11322 11319 11124 11209</t>
  </si>
  <si>
    <t>1139 11309 11252</t>
  </si>
  <si>
    <t>11251</t>
  </si>
  <si>
    <t>11256 11313</t>
  </si>
  <si>
    <t>11150 11151 11169 11167 11145 11141 11155 11147 11144 11168</t>
  </si>
  <si>
    <t>13062 13056 13055 13010 13003</t>
  </si>
  <si>
    <t>1152 11132 11247 11165 11240</t>
  </si>
  <si>
    <t>11217 11226 11229 11306</t>
  </si>
  <si>
    <t>1144 1187 1104 1112</t>
  </si>
  <si>
    <t>11308 11309</t>
  </si>
  <si>
    <t>13058</t>
  </si>
  <si>
    <t>1120 11103 11287 1113</t>
  </si>
  <si>
    <t>13021 13037 13020 13014</t>
  </si>
  <si>
    <t>11312 11124 11256 11252</t>
  </si>
  <si>
    <t>13048</t>
  </si>
  <si>
    <t>11328 11319 11317 11322</t>
  </si>
  <si>
    <t>11163 11218</t>
  </si>
  <si>
    <t>11111</t>
  </si>
  <si>
    <t>11164 11329 11330 11331</t>
  </si>
  <si>
    <t>11327 11177 1149 11267 11241</t>
  </si>
  <si>
    <t>1152 11240 11236 1138 1139 11247 11257 11209 1194 11275 1176 11251 11132 1169 11165</t>
  </si>
  <si>
    <t>13047 13037 13027 13035</t>
  </si>
  <si>
    <t>1149 11329</t>
  </si>
  <si>
    <t>11331 11330 11164 11327 11161</t>
  </si>
  <si>
    <t>11287 1120 1113 11267 11177 11241 11111 1108 11271 11103</t>
  </si>
  <si>
    <t>11262 1137 11106 11235 11261</t>
  </si>
  <si>
    <t>11142 11105 01</t>
  </si>
  <si>
    <t>11197 1197 11294 11120 1153 11181 1166 11228</t>
  </si>
  <si>
    <t>11163</t>
  </si>
  <si>
    <t>11102 11126</t>
  </si>
  <si>
    <t>11266 11188 11200 11202 11205 1141 1170 11282</t>
  </si>
  <si>
    <t>11307 11135 11302 11269</t>
  </si>
  <si>
    <t>13006 13049</t>
  </si>
  <si>
    <t>11127 1119 11196 1154</t>
  </si>
  <si>
    <t>11318</t>
  </si>
  <si>
    <t>11323 11324 11326 11260 11289 11239 11315 1131 1148 11278 1117</t>
  </si>
  <si>
    <t>11135 11142</t>
  </si>
  <si>
    <t>11261 11181 11120 11105 1153</t>
  </si>
  <si>
    <t>11218 11313 11302 11269 11126</t>
  </si>
  <si>
    <t>1197 1170 1141 11266 11235 1137 11205 11188</t>
  </si>
  <si>
    <t>0371 30004 0372</t>
  </si>
  <si>
    <t>0371 0372 30004</t>
  </si>
  <si>
    <t>11113 11231</t>
  </si>
  <si>
    <t>11176 1164</t>
  </si>
  <si>
    <t>01 02 03 04 05 06 07 08 09 10 11 12</t>
  </si>
  <si>
    <t>11289 1166 11263 11262 11113 11200 11282 1131</t>
  </si>
  <si>
    <t>11284 11311 1147</t>
  </si>
  <si>
    <t>11145 11168</t>
  </si>
  <si>
    <t>11298 11301</t>
  </si>
  <si>
    <t>1182 1157 1132</t>
  </si>
  <si>
    <t>13007 13005</t>
  </si>
  <si>
    <t>11325 11192 1186 11114 1163</t>
  </si>
  <si>
    <t>1186 1163 11114 11192</t>
  </si>
  <si>
    <t>11328 11319 11317 11104</t>
  </si>
  <si>
    <t>11168 11145</t>
  </si>
  <si>
    <t>1132 1182 11108 1154 11104 1164 1119 11115</t>
  </si>
  <si>
    <t>11300</t>
  </si>
  <si>
    <t>11317 11176 11197 11311 1157 11323 11102 11278 11231 1147 11324 11260 11319 11326 11340</t>
  </si>
  <si>
    <t>11325 11328</t>
  </si>
  <si>
    <t>1181</t>
  </si>
  <si>
    <t>11153 11137 11162 11160 11152 11174</t>
  </si>
  <si>
    <t>11165 11240 1169 1138 1132 11248 11275 11242 11251 11209 1139 1176 1194 11247 1152 1190 11121 11257</t>
  </si>
  <si>
    <t>11240 11132 1194 11209</t>
  </si>
  <si>
    <t>13050 13028 13015</t>
  </si>
  <si>
    <t>1169 11248 11121 1190 11275 1152</t>
  </si>
  <si>
    <t>13005 13007 13026 13021</t>
  </si>
  <si>
    <t>11160 11162 11137</t>
  </si>
  <si>
    <t>13058 13032 13012</t>
  </si>
  <si>
    <t>11253 1155</t>
  </si>
  <si>
    <t>11298</t>
  </si>
  <si>
    <t>11219</t>
  </si>
  <si>
    <t>11273 1132 11115 11263 1166 1162 11124 11125 11234 11113 11108 11256 11296 1149 1156 11118 11329</t>
  </si>
  <si>
    <t>13047 13035 13027 13037 13006</t>
  </si>
  <si>
    <t>11108 11247 11273 11284 1166 11113 11196 1149 11118 11234 1156 11125 1162 11263 11165</t>
  </si>
  <si>
    <t>0004</t>
  </si>
  <si>
    <t>11152 11174</t>
  </si>
  <si>
    <t>11296 11127 11256 1132 11251 11257 11239 1176</t>
  </si>
  <si>
    <t>11115 11315 1139 11242 1138 11124 11294 11202 1148 11106</t>
  </si>
  <si>
    <t>13047 13014 13027 13037 13006</t>
  </si>
  <si>
    <t>11104 1154 1119 11312</t>
  </si>
  <si>
    <t>13017 13049</t>
  </si>
  <si>
    <t>11320 11321 11316</t>
  </si>
  <si>
    <t>11250 11310</t>
  </si>
  <si>
    <t>1154 11250 11312 1119</t>
  </si>
  <si>
    <t>11151 11155 11167</t>
  </si>
  <si>
    <t>11245</t>
  </si>
  <si>
    <t>11285 11198 1168 11295</t>
  </si>
  <si>
    <t>12004 12018 12024 12037 12054</t>
  </si>
  <si>
    <t>01 76</t>
  </si>
  <si>
    <t>11297 1133</t>
  </si>
  <si>
    <t>11329 11318</t>
  </si>
  <si>
    <t>0001</t>
  </si>
  <si>
    <t>1157 11311 11317 11278 11324 11231 11319 11323</t>
  </si>
  <si>
    <t>11134 11286 1136 11107</t>
  </si>
  <si>
    <t>1158 11246 1170 11279 1137 11229</t>
  </si>
  <si>
    <t>11320 11321</t>
  </si>
  <si>
    <t>13017 13046 13023 13049 13035</t>
  </si>
  <si>
    <t>1168 1181 1115 11198 11255</t>
  </si>
  <si>
    <t>12023 12045</t>
  </si>
  <si>
    <t>11301 11219 11300 11155 11167</t>
  </si>
  <si>
    <t>1134</t>
  </si>
  <si>
    <t>12050</t>
  </si>
  <si>
    <t>11138 11195</t>
  </si>
  <si>
    <t>13026 13037 13007 13006</t>
  </si>
  <si>
    <t>1152 1164 1139 1169 11200 1131 11274 11289 11202 11248</t>
  </si>
  <si>
    <t>13048 13008 13050</t>
  </si>
  <si>
    <t>1163 11322 11114 1186</t>
  </si>
  <si>
    <t>1106 11109</t>
  </si>
  <si>
    <t>11248 1158</t>
  </si>
  <si>
    <t>13020 13018 13025</t>
  </si>
  <si>
    <t>1157 1164 11229 11231 1137 1170</t>
  </si>
  <si>
    <t>11188 1197 1141 11235</t>
  </si>
  <si>
    <t>13004</t>
  </si>
  <si>
    <t>1138</t>
  </si>
  <si>
    <t>13014 13047 13005</t>
  </si>
  <si>
    <t>11172</t>
  </si>
  <si>
    <t>11279 1152 11316 1136 11109 11324 11185 1134 11317 11258 1183 11323 1138 11311 11319</t>
  </si>
  <si>
    <t>11285 11180 11278 11246</t>
  </si>
  <si>
    <t>1155 11107 1169 11183 1133 1131 11104 11134 11289 11200</t>
  </si>
  <si>
    <t>1186 11114 1163 11322 11310 11245 11297 1129</t>
  </si>
  <si>
    <t>11197 1147 11340 11326 11260 11102 11176</t>
  </si>
  <si>
    <t>11121 11124 11252 1148 11275</t>
  </si>
  <si>
    <t>13027 13021</t>
  </si>
  <si>
    <t>11281 11241 1108 11206 1113 11103</t>
  </si>
  <si>
    <t>11150 11152 11174 11147 11141</t>
  </si>
  <si>
    <t>11296 11257 11251 1132</t>
  </si>
  <si>
    <t>a50ce892</t>
  </si>
  <si>
    <t>Nitrogen 6m3</t>
  </si>
  <si>
    <t>14001</t>
  </si>
  <si>
    <t>11260 1147 11340 11197</t>
  </si>
  <si>
    <t>13005 13014</t>
  </si>
  <si>
    <t>0003</t>
  </si>
  <si>
    <t>L001 L002</t>
  </si>
  <si>
    <t>1132 11251 11257</t>
  </si>
  <si>
    <t>11174 11152 11150 11147 11141 11173 11172</t>
  </si>
  <si>
    <t>11235 11102</t>
  </si>
  <si>
    <t>11192 1194 11209 11132</t>
  </si>
  <si>
    <t>11326 11188 1141</t>
  </si>
  <si>
    <t>11171 11151</t>
  </si>
  <si>
    <t>13037 13008 13026 13004 13047</t>
  </si>
  <si>
    <t>1139 11202 11253 1106 11341 11129 11296 11274</t>
  </si>
  <si>
    <t>11232 11249</t>
  </si>
  <si>
    <t>13061</t>
  </si>
  <si>
    <t>11112 11184</t>
  </si>
  <si>
    <t>L002</t>
  </si>
  <si>
    <t>11127 11256</t>
  </si>
  <si>
    <t>11229</t>
  </si>
  <si>
    <t>11124 11103 1148 11121 11252 1113 11241 11281</t>
  </si>
  <si>
    <t>13048 13006 13007</t>
  </si>
  <si>
    <t>13050</t>
  </si>
  <si>
    <t>1182 11262 11242 11282 11114 1168</t>
  </si>
  <si>
    <t>13045 13042 13010 13043 13062</t>
  </si>
  <si>
    <t>1161 11306</t>
  </si>
  <si>
    <t>11138 11144 11195</t>
  </si>
  <si>
    <t>13046 13020 13017 13035</t>
  </si>
  <si>
    <t>1129 1190 11106 11294 1115 11198 11255 11245</t>
  </si>
  <si>
    <t>11305 11299</t>
  </si>
  <si>
    <t>1171 11182 11211 11238</t>
  </si>
  <si>
    <t>1199 11276</t>
  </si>
  <si>
    <t>11327 1120 11111 11271</t>
  </si>
  <si>
    <t>11331</t>
  </si>
  <si>
    <t>11286</t>
  </si>
  <si>
    <t>11198</t>
  </si>
  <si>
    <t>1171 1120 11211 11182 11276</t>
  </si>
  <si>
    <t>13030 13027 13021</t>
  </si>
  <si>
    <t>11240</t>
  </si>
  <si>
    <t>13038</t>
  </si>
  <si>
    <t>13051 13052</t>
  </si>
  <si>
    <t>L003 L004</t>
  </si>
  <si>
    <t>1182 11294</t>
  </si>
  <si>
    <t>13034 13038</t>
  </si>
  <si>
    <t>13037 13018 13049</t>
  </si>
  <si>
    <t>11253 11341 11296 11202 11310</t>
  </si>
  <si>
    <t>1195</t>
  </si>
  <si>
    <t>11114</t>
  </si>
  <si>
    <t>11238</t>
  </si>
  <si>
    <t>L005 L006</t>
  </si>
  <si>
    <t>L006 L005</t>
  </si>
  <si>
    <t>L001</t>
  </si>
  <si>
    <t>11251 11257 1132</t>
  </si>
  <si>
    <t>11327</t>
  </si>
  <si>
    <t>11242 11271</t>
  </si>
  <si>
    <t>13025 13026</t>
  </si>
  <si>
    <t>1186 11297 1106</t>
  </si>
  <si>
    <t>11178 11337</t>
  </si>
  <si>
    <t>11135 11301 11167 11219 11155</t>
  </si>
  <si>
    <t>11212 1128</t>
  </si>
  <si>
    <t>13018 13037 13049</t>
  </si>
  <si>
    <t>11255 1115 11111 1129 11240 1195</t>
  </si>
  <si>
    <t>1171 1120 11274</t>
  </si>
  <si>
    <t>1194 11249 11256 1190 11245 1199 1106 1186 11184 11209</t>
  </si>
  <si>
    <t>11295</t>
  </si>
  <si>
    <t>11192</t>
  </si>
  <si>
    <t>11124 11121 11103 1148 11252</t>
  </si>
  <si>
    <t>11226 11217</t>
  </si>
  <si>
    <t>11331 11337 1128 11145 11155 11136 11135 11212 11301 11167</t>
  </si>
  <si>
    <t>11232 11275</t>
  </si>
  <si>
    <t>L005 L006 L007 L008 L009</t>
  </si>
  <si>
    <t>11106 11297 11262 1171 11132</t>
  </si>
  <si>
    <t>1108 1120 11112 11274 11206 11127</t>
  </si>
  <si>
    <t>12067 12003</t>
  </si>
  <si>
    <t>13015 13020 13045 13043 13025 13023</t>
  </si>
  <si>
    <t>1124 11308</t>
  </si>
  <si>
    <t>1110</t>
  </si>
  <si>
    <t>13056 13003</t>
  </si>
  <si>
    <t>12080 12025</t>
  </si>
  <si>
    <t>1170 11231 11180 1137 11266 11199</t>
  </si>
  <si>
    <t>1110 1170 11266 1137 11199 11180 11231</t>
  </si>
  <si>
    <t>13026 13056 13003 13010</t>
  </si>
  <si>
    <t>11299 11305 11342</t>
  </si>
  <si>
    <t>11137 11160 11162</t>
  </si>
  <si>
    <t>1126</t>
  </si>
  <si>
    <t>11236 1136 11279 11109 11316 11185 11311 11319 1134 1152</t>
  </si>
  <si>
    <t>13004 13008 13027 13030 13047</t>
  </si>
  <si>
    <t>11276 1139 11129 11182 11211 11322</t>
  </si>
  <si>
    <t>11211 11276 1139 11129</t>
  </si>
  <si>
    <t>13006 13013</t>
  </si>
  <si>
    <t>11241 11184 11245 1113</t>
  </si>
  <si>
    <t>L009</t>
  </si>
  <si>
    <t>11279 1136 11185 1126 11182 1152 11322 11319 1124 11124</t>
  </si>
  <si>
    <t>11121 11236 1134 1148 11103 11308 11109 11316 11311 11252</t>
  </si>
  <si>
    <t>11245 11241</t>
  </si>
  <si>
    <t>11184 1113</t>
  </si>
  <si>
    <t>11152</t>
  </si>
  <si>
    <t>11188 11326</t>
  </si>
  <si>
    <t>11171 11151 11332 11336</t>
  </si>
  <si>
    <t>11287 11177 11107</t>
  </si>
  <si>
    <t>11330 11161 11164</t>
  </si>
  <si>
    <t>13062 13046 13061</t>
  </si>
  <si>
    <t>11128</t>
  </si>
  <si>
    <t>11302 11218</t>
  </si>
  <si>
    <t>11193</t>
  </si>
  <si>
    <t>13037</t>
  </si>
  <si>
    <t>1135 1194</t>
  </si>
  <si>
    <t>11193 11128 11287 11188 11326 11177 11282</t>
  </si>
  <si>
    <t>13004 13008 13030</t>
  </si>
  <si>
    <t>LL001 LL002 LL003</t>
  </si>
  <si>
    <t>11344 11343 11348 11346</t>
  </si>
  <si>
    <t>11332 11336</t>
  </si>
  <si>
    <t>12002 12017 12044</t>
  </si>
  <si>
    <t>12039 12076 12057 12075 12026 12029 12071 12048</t>
  </si>
  <si>
    <t>11154 11143 11146 11225 11149</t>
  </si>
  <si>
    <t>13003 13018</t>
  </si>
  <si>
    <t>11240 1115 1129 11111 1110</t>
  </si>
  <si>
    <t>11345 11347 11107</t>
  </si>
  <si>
    <t>12012 12062</t>
  </si>
  <si>
    <t>11197 11260 1147</t>
  </si>
  <si>
    <t>12010 12045 12067 12083</t>
  </si>
  <si>
    <t>1146</t>
  </si>
  <si>
    <t>11163 11149 11151 11146 11143</t>
  </si>
  <si>
    <t>1147 11202 11296 11260 1193</t>
  </si>
  <si>
    <t>adc2bd7c</t>
  </si>
  <si>
    <t>LPG 12kg (Tbg + Isi)</t>
  </si>
  <si>
    <t>11330</t>
  </si>
  <si>
    <t>11154 11152 11164</t>
  </si>
  <si>
    <t>11295 11341 11253 11197 11251 1132 11257</t>
  </si>
  <si>
    <t>L001 L002 L003 L004 L007</t>
  </si>
  <si>
    <t>13064 13065</t>
  </si>
  <si>
    <t>11161 11171 11137 11160 11162 741</t>
  </si>
  <si>
    <t>11147 11173 11174 11150</t>
  </si>
  <si>
    <t>1163 1195 11255 1170</t>
  </si>
  <si>
    <t>11290 1141 11316</t>
  </si>
  <si>
    <t>13035 13017</t>
  </si>
  <si>
    <t>11240 1115</t>
  </si>
  <si>
    <t>L008 L0010</t>
  </si>
  <si>
    <t>11288</t>
  </si>
  <si>
    <t>13048 13050</t>
  </si>
  <si>
    <t>1199 11281 1186</t>
  </si>
  <si>
    <t>L0010 L008 L006 L005</t>
  </si>
  <si>
    <t>11310 11288</t>
  </si>
  <si>
    <t>11340 11343</t>
  </si>
  <si>
    <t>11150 11173 11174 11147</t>
  </si>
  <si>
    <t>13010 13049</t>
  </si>
  <si>
    <t>11146 76</t>
  </si>
  <si>
    <t>11255 11290 1129 1170 1195 1141 1110 11200 11316 1163</t>
  </si>
  <si>
    <t>11302 11222 11220 11307 11218</t>
  </si>
  <si>
    <t>13066 13067</t>
  </si>
  <si>
    <t>11111 11192</t>
  </si>
  <si>
    <t>11225 11217</t>
  </si>
  <si>
    <t>1152 1176 11185 11279 1124</t>
  </si>
  <si>
    <t>11172 11141</t>
  </si>
  <si>
    <t>11326 1181 1158 11128 11248 11193</t>
  </si>
  <si>
    <t>13026 13056</t>
  </si>
  <si>
    <t>11318 11329</t>
  </si>
  <si>
    <t>1198</t>
  </si>
  <si>
    <t>11140 11333 11335 11338</t>
  </si>
  <si>
    <t>11140 11141 11172</t>
  </si>
  <si>
    <t>11151 11143 11163 11174 11147 11149</t>
  </si>
  <si>
    <t>1176 11185 11279 1124 1152</t>
  </si>
  <si>
    <t>11240 11129 11276 11211 1190</t>
  </si>
  <si>
    <t>11348</t>
  </si>
  <si>
    <t>13014 13005</t>
  </si>
  <si>
    <t>1136 1126 11124</t>
  </si>
  <si>
    <t>13008 13064 13065</t>
  </si>
  <si>
    <t>11171 741 11307</t>
  </si>
  <si>
    <t>11115</t>
  </si>
  <si>
    <t>1181 1126</t>
  </si>
  <si>
    <t>11358 11357 11129 11211 11348 11238 11356 11124 11349 11351 11350 11355 11354 11353 11352</t>
  </si>
  <si>
    <t>11143 11146 11147 11163 11151 11171 11174 11329 11318 11149</t>
  </si>
  <si>
    <t>13064 13058 13028</t>
  </si>
  <si>
    <t>1198 11128 11180 1158 11240 11193</t>
  </si>
  <si>
    <t>11182 11316 11200 11239</t>
  </si>
  <si>
    <t>L006 L009</t>
  </si>
  <si>
    <t>1111 11271 1168</t>
  </si>
  <si>
    <t>11183 1133 11267 1131</t>
  </si>
  <si>
    <t>11335 11338</t>
  </si>
  <si>
    <t>7003</t>
  </si>
  <si>
    <t>1190 11276 1199 1136 1168</t>
  </si>
  <si>
    <t>11316 1186</t>
  </si>
  <si>
    <t>13006 13014</t>
  </si>
  <si>
    <t>11333 11307 11314</t>
  </si>
  <si>
    <t>11282 11177 11188</t>
  </si>
  <si>
    <t>11282 1131 11239 11271 11248 11267 11200 11115 1111 1133</t>
  </si>
  <si>
    <t>11281 11182 11183 11326 11188</t>
  </si>
  <si>
    <t>13008 13010 13049 13003</t>
  </si>
  <si>
    <t>1135 11177</t>
  </si>
  <si>
    <t>1194 1207</t>
  </si>
  <si>
    <t>76 741 11162 11178</t>
  </si>
  <si>
    <t>1101 11186 11280</t>
  </si>
  <si>
    <t>11166</t>
  </si>
  <si>
    <t>11138</t>
  </si>
  <si>
    <t>11346 11288 11344</t>
  </si>
  <si>
    <t>L0011</t>
  </si>
  <si>
    <t>11109 11236 11308 1134 1148</t>
  </si>
  <si>
    <t>11202 11260 1193</t>
  </si>
  <si>
    <t>1173 11201 1140 11119 1102 11272 1192</t>
  </si>
  <si>
    <t>11158</t>
  </si>
  <si>
    <t>12011 12013 12014 12020 12034 12035 12058 12079 12081 12082 12084</t>
  </si>
  <si>
    <t>12040</t>
  </si>
  <si>
    <t>13065 13037 13013</t>
  </si>
  <si>
    <t>1192 11119</t>
  </si>
  <si>
    <t>c636ad1a</t>
  </si>
  <si>
    <t>Tabung Oksigen 1m3 + Isi</t>
  </si>
  <si>
    <t>11138 11158</t>
  </si>
  <si>
    <t>13046 13062</t>
  </si>
  <si>
    <t>1108 11246 11285 11205</t>
  </si>
  <si>
    <t>Botol 6m3, Tapi di stok name masuk Botol 7m3</t>
  </si>
  <si>
    <t>1183 11258 11323 1138 11317 11324</t>
  </si>
  <si>
    <t>11141 11172 11173 11140 11150</t>
  </si>
  <si>
    <t>11231</t>
  </si>
  <si>
    <t>11226</t>
  </si>
  <si>
    <t>11272 11109 11201 11286 11231</t>
  </si>
  <si>
    <t>13034 13066</t>
  </si>
  <si>
    <t>L0012</t>
  </si>
  <si>
    <t>11346 1193</t>
  </si>
  <si>
    <t>12016 12056</t>
  </si>
  <si>
    <t>1115 11279 1124 1176</t>
  </si>
  <si>
    <t>ini yang nomornya doubel sama di CV Sidomukti karya</t>
  </si>
  <si>
    <t>12005 12012 12052</t>
  </si>
  <si>
    <t>11236 11205 11288 11246 11308</t>
  </si>
  <si>
    <t>11344 11186 11324 11280 11229</t>
  </si>
  <si>
    <t>13029 13067</t>
  </si>
  <si>
    <t>11260 1102 1115 11258</t>
  </si>
  <si>
    <t>11337 11331 11135 11155 11136 11301 11145</t>
  </si>
  <si>
    <t>13025 13015 13043</t>
  </si>
  <si>
    <t>1108 1124 11279 1138 1176</t>
  </si>
  <si>
    <t>13004 13030</t>
  </si>
  <si>
    <t>1104 1187</t>
  </si>
  <si>
    <t>13025 13015</t>
  </si>
  <si>
    <t>1104</t>
  </si>
  <si>
    <t>13004 13030 13043</t>
  </si>
  <si>
    <t>1127 1183 1148</t>
  </si>
  <si>
    <t>11314 11195</t>
  </si>
  <si>
    <t>11301 11292 11331</t>
  </si>
  <si>
    <t>11199 11287 11315 11240</t>
  </si>
  <si>
    <t>11137 11218</t>
  </si>
  <si>
    <t>13028 13058</t>
  </si>
  <si>
    <t>1155 1169</t>
  </si>
  <si>
    <t>11323 11317</t>
  </si>
  <si>
    <t>1140 11128 1173 11240 11287</t>
  </si>
  <si>
    <t>13058 13062</t>
  </si>
  <si>
    <t>11315 1134 1187</t>
  </si>
  <si>
    <t>13068 13070 13069</t>
  </si>
  <si>
    <t>11241 11327</t>
  </si>
  <si>
    <t>1152 11286 11185</t>
  </si>
  <si>
    <t>11207 1150 11126</t>
  </si>
  <si>
    <t>13029 13064</t>
  </si>
  <si>
    <t>11271 11252 11103 11121 11239</t>
  </si>
  <si>
    <t>11252 11199 11103 11239</t>
  </si>
  <si>
    <t>11302 11337 11145 11141 11135 11150 11155 11172 11137 11298</t>
  </si>
  <si>
    <t>11241 11285 1101 11271 11327</t>
  </si>
  <si>
    <t>1158</t>
  </si>
  <si>
    <t>13050 13048</t>
  </si>
  <si>
    <t>11311 11267 11248 1133 1111</t>
  </si>
  <si>
    <t>13057</t>
  </si>
  <si>
    <t>1186 11310 1124 11316 11279 1176 1108</t>
  </si>
  <si>
    <t>1116</t>
  </si>
  <si>
    <t>11183 11326 11296 11281 1147</t>
  </si>
  <si>
    <t>13010 13042 13049</t>
  </si>
  <si>
    <t>11296 1155 11107 11183 11326 11126 1150 1197</t>
  </si>
  <si>
    <t>13027 13028 13064</t>
  </si>
  <si>
    <t>11158 11138</t>
  </si>
  <si>
    <t>1152 11185</t>
  </si>
  <si>
    <t>1119 11250 11312 1154</t>
  </si>
  <si>
    <t>11177 1135</t>
  </si>
  <si>
    <t>11310 1108 1124 1176</t>
  </si>
  <si>
    <t>11166 11140 11226 11136 11173 11218 11314 11195</t>
  </si>
  <si>
    <t>11191 11316</t>
  </si>
  <si>
    <t>11279 1186 11286 1169</t>
  </si>
  <si>
    <t>13029 13057 13030</t>
  </si>
  <si>
    <t>11134 11354 11124 11129</t>
  </si>
  <si>
    <t>13010 13006 13049 13042 13048 13050</t>
  </si>
  <si>
    <t>11306 11162</t>
  </si>
  <si>
    <t>13053</t>
  </si>
  <si>
    <t>11311 11354 1158</t>
  </si>
  <si>
    <t>13072 13073 13071</t>
  </si>
  <si>
    <t>11216</t>
  </si>
  <si>
    <t>1127 11324</t>
  </si>
  <si>
    <t>13004 13070 13069 13043</t>
  </si>
  <si>
    <t>11142 11300</t>
  </si>
  <si>
    <t>13053 13074 13075</t>
  </si>
  <si>
    <t>1111 1194</t>
  </si>
  <si>
    <t>12028 12063 12047 12033</t>
  </si>
  <si>
    <t>1183 11315</t>
  </si>
  <si>
    <t>13067</t>
  </si>
  <si>
    <t>13004 13023 13037 13039 13070 13067</t>
  </si>
  <si>
    <t>11298 11155</t>
  </si>
  <si>
    <t>11315 11267 11248 11124 56</t>
  </si>
  <si>
    <t>11324</t>
  </si>
  <si>
    <t>11209 1106 11272 11201 11109 1173</t>
  </si>
  <si>
    <t>11245 11117</t>
  </si>
  <si>
    <t>11126 11182</t>
  </si>
  <si>
    <t>13064 13028 13008 13003</t>
  </si>
  <si>
    <t>11151 11143 11329 11174 11171 11163</t>
  </si>
  <si>
    <t>11209 11201 11272 11126 1173</t>
  </si>
  <si>
    <t>1130</t>
  </si>
  <si>
    <t>11250 1127 11121</t>
  </si>
  <si>
    <t>13069 13043</t>
  </si>
  <si>
    <t>11151 11143</t>
  </si>
  <si>
    <t>11202 1183 1106 1135 11312 11207 1182 11109 11200 11177</t>
  </si>
  <si>
    <t>L002 L003</t>
  </si>
  <si>
    <t>11305 11171</t>
  </si>
  <si>
    <t>13068</t>
  </si>
  <si>
    <t>1137 11229 1148 11266 11186 11354 11280</t>
  </si>
  <si>
    <t>11160 11161 11222</t>
  </si>
  <si>
    <t>11225</t>
  </si>
  <si>
    <t>11117 1119 11134 1154 1133 11123 11340 11245 11343 11182</t>
  </si>
  <si>
    <t>1147 11281</t>
  </si>
  <si>
    <t>11174 11168</t>
  </si>
  <si>
    <t>L006</t>
  </si>
  <si>
    <t>11329</t>
  </si>
  <si>
    <t>LL001 LL003 LL002</t>
  </si>
  <si>
    <t>12027 12074</t>
  </si>
  <si>
    <t>LL001 LL002</t>
  </si>
  <si>
    <t>1160 11264</t>
  </si>
  <si>
    <t>1198 1134</t>
  </si>
  <si>
    <t>13072 13073</t>
  </si>
  <si>
    <t>1131 11115 11282</t>
  </si>
  <si>
    <t>11137 11302 11337 11145</t>
  </si>
  <si>
    <t>11266 11186 1137 11229 11354</t>
  </si>
  <si>
    <t>13068 13056 13026</t>
  </si>
  <si>
    <t>L004</t>
  </si>
  <si>
    <t>11162 11306 11167 11161 11160 11163 11155</t>
  </si>
  <si>
    <t>1148</t>
  </si>
  <si>
    <t>11304</t>
  </si>
  <si>
    <t>13041</t>
  </si>
  <si>
    <t>1197 11188 11326</t>
  </si>
  <si>
    <t>13023 13027</t>
  </si>
  <si>
    <t>13005 13038</t>
  </si>
  <si>
    <t>11358 11348 11357</t>
  </si>
  <si>
    <t>13008 13072</t>
  </si>
  <si>
    <t>1126 1181</t>
  </si>
  <si>
    <t>11216 11142 11337 11304 11302 11145 11153 11169 11137 11222 11225 11298 11139</t>
  </si>
  <si>
    <t>11115 11242 1116 11358 1134 11348 1130 11188 11326 1197 11122 11357</t>
  </si>
  <si>
    <t>11282 11264</t>
  </si>
  <si>
    <t>1160 1198</t>
  </si>
  <si>
    <t>11170</t>
  </si>
  <si>
    <t>12</t>
  </si>
  <si>
    <t>11364 11368 11367 11366 11365</t>
  </si>
  <si>
    <t>13028 13073 13064 13003</t>
  </si>
  <si>
    <t>11360 11362 11359</t>
  </si>
  <si>
    <t>11361 11363</t>
  </si>
  <si>
    <t>13005 13023</t>
  </si>
  <si>
    <t>11372 11374 11373 11371 11370 11369</t>
  </si>
  <si>
    <t>1138 11327 11271 1101 11285 11241</t>
  </si>
  <si>
    <t>13015 13025</t>
  </si>
  <si>
    <t>13035 13007</t>
  </si>
  <si>
    <t>1139 11287 1140 11240 56</t>
  </si>
  <si>
    <t>11183 1150 1155 11229</t>
  </si>
  <si>
    <t>13004 13070</t>
  </si>
  <si>
    <t>11344 11180 11311 11193 11250 11121</t>
  </si>
  <si>
    <t>13043</t>
  </si>
  <si>
    <t>1117 1126</t>
  </si>
  <si>
    <t>13046 13070</t>
  </si>
  <si>
    <t>L0011 L0010 L009</t>
  </si>
  <si>
    <t>11380 11382 11381</t>
  </si>
  <si>
    <t>13004 13007 13035 13038 13043</t>
  </si>
  <si>
    <t>1146 11376</t>
  </si>
  <si>
    <t>13027 13041</t>
  </si>
  <si>
    <t>1120 11274 11278 11127</t>
  </si>
  <si>
    <t>11236</t>
  </si>
  <si>
    <t>L0010 L009 L0011</t>
  </si>
  <si>
    <t>11223</t>
  </si>
  <si>
    <t>1168 1136 1199</t>
  </si>
  <si>
    <t>11178 741</t>
  </si>
  <si>
    <t>13029 13030 13057</t>
  </si>
  <si>
    <t>1207</t>
  </si>
  <si>
    <t>11209 11229 11271 1150 11241 1101 1181 1155 11183 1138</t>
  </si>
  <si>
    <t>11375 11378 11379 11377 11383</t>
  </si>
  <si>
    <t>12043</t>
  </si>
  <si>
    <t>11120 1153</t>
  </si>
  <si>
    <t>1147</t>
  </si>
  <si>
    <t>1102 1144 1188 1113</t>
  </si>
  <si>
    <t>11127 11287 11193 11180 11311 1139 11236 11274 11278 1142</t>
  </si>
  <si>
    <t>11121 11240 11250 1140</t>
  </si>
  <si>
    <t>L001 L006</t>
  </si>
  <si>
    <t>0005</t>
  </si>
  <si>
    <t>12078 12069</t>
  </si>
  <si>
    <t>13069</t>
  </si>
  <si>
    <t>13025 13031 13057 13030</t>
  </si>
  <si>
    <t>13061 13013</t>
  </si>
  <si>
    <t>11117 11182 11340 11343</t>
  </si>
  <si>
    <t>11150 11172</t>
  </si>
  <si>
    <t>12027</t>
  </si>
  <si>
    <t>11252 11199 11239 11176 11103</t>
  </si>
  <si>
    <t>11344 11327 11384 1102</t>
  </si>
  <si>
    <t>11305 11330 11223 11158 11170 11157</t>
  </si>
  <si>
    <t>L007</t>
  </si>
  <si>
    <t>1110 11177 1141 1163 11322 11290 11202 11200 11255 1195 11319</t>
  </si>
  <si>
    <t>11316</t>
  </si>
  <si>
    <t>11314 11140 11226 11212 1128</t>
  </si>
  <si>
    <t>L005 L003 L002</t>
  </si>
  <si>
    <t>11239 11255 11316 11124</t>
  </si>
  <si>
    <t>13071</t>
  </si>
  <si>
    <t>11212 11162 11149 11155 11150 11318 11147 11172 11140 11314</t>
  </si>
  <si>
    <t>13029 13069 13071</t>
  </si>
  <si>
    <t>LL001</t>
  </si>
  <si>
    <t>11202 1153 1195 1110 1141</t>
  </si>
  <si>
    <t>11318 11147 11149</t>
  </si>
  <si>
    <t>11319 11182</t>
  </si>
  <si>
    <t>11351</t>
  </si>
  <si>
    <t>11322</t>
  </si>
  <si>
    <t>12012 12013</t>
  </si>
  <si>
    <t>11279 11286 1186</t>
  </si>
  <si>
    <t>12062</t>
  </si>
  <si>
    <t>13006 13020 13042 13055 13010 13045 13049</t>
  </si>
  <si>
    <t>11366 11296 11107</t>
  </si>
  <si>
    <t>13026 13028 13056 13037 13068</t>
  </si>
  <si>
    <t>13037 13013</t>
  </si>
  <si>
    <t>11286 11366 11279 1186</t>
  </si>
  <si>
    <t>11252 11177 11343 11176 11199 11340 1158 1163 1113 1168</t>
  </si>
  <si>
    <t>12058 12005</t>
  </si>
  <si>
    <t>11296 11120 11117 1144 11107</t>
  </si>
  <si>
    <t>13008 13018 13072</t>
  </si>
  <si>
    <t>11370 11372 11374 11369</t>
  </si>
  <si>
    <t>LL002 LL004 LL005</t>
  </si>
  <si>
    <t>1120 11200</t>
  </si>
  <si>
    <t>1147 11290</t>
  </si>
  <si>
    <t>1199 1188 1187 1136</t>
  </si>
  <si>
    <t>13020 13042 13043 13056</t>
  </si>
  <si>
    <t>LL002 LL003 LL004</t>
  </si>
  <si>
    <t>1127 11239</t>
  </si>
  <si>
    <t>11163 11161 11306</t>
  </si>
  <si>
    <t>11281</t>
  </si>
  <si>
    <t>13039 13073</t>
  </si>
  <si>
    <t>11292 11301 11331</t>
  </si>
  <si>
    <t>L003</t>
  </si>
  <si>
    <t>11370 11369 1127 11239 11351</t>
  </si>
  <si>
    <t>14005 14004 14002</t>
  </si>
  <si>
    <t>1141 1153</t>
  </si>
  <si>
    <t>13006 13010 13028</t>
  </si>
  <si>
    <t>7004</t>
  </si>
  <si>
    <t>11374 11372</t>
  </si>
  <si>
    <t>11136 11195 11173 11218</t>
  </si>
  <si>
    <t>13065 13075</t>
  </si>
  <si>
    <t>11306 11301 11138 11163 11331</t>
  </si>
  <si>
    <t>11178 11385 1131 11285</t>
  </si>
  <si>
    <t>11361</t>
  </si>
  <si>
    <t>11226 1128</t>
  </si>
  <si>
    <t>12014 12019 12020 12027 12031 12035 12036 12062</t>
  </si>
  <si>
    <t>1139 11311 11245 1119 11274 1142 11193 11278 11236</t>
  </si>
  <si>
    <t>12074 12078</t>
  </si>
  <si>
    <t>11269</t>
  </si>
  <si>
    <t>11316 11255 11359 11296</t>
  </si>
  <si>
    <t>11296 1141 11255 11359 11130</t>
  </si>
  <si>
    <t>11371 11279 11373 11366 1186</t>
  </si>
  <si>
    <t>11269 11292</t>
  </si>
  <si>
    <t>1153 11316</t>
  </si>
  <si>
    <t>13005 13008 13072 13073</t>
  </si>
  <si>
    <t>13026 13039 13045 13049 13055 13068</t>
  </si>
  <si>
    <t>13004 13007 13038</t>
  </si>
  <si>
    <t>11323</t>
  </si>
  <si>
    <t>11272 11201 11107 1173</t>
  </si>
  <si>
    <t>11323 11126</t>
  </si>
  <si>
    <t>11267 11256 11248 11315 11128 11231</t>
  </si>
  <si>
    <t>11276 11187 1190</t>
  </si>
  <si>
    <t>11201 11126 11272 1173</t>
  </si>
  <si>
    <t>1199 1187 11266 11368 11364 11365 1137</t>
  </si>
  <si>
    <t>11136 11173</t>
  </si>
  <si>
    <t>1142 1139 1186 1119 11274</t>
  </si>
  <si>
    <t>11371 11366 11191 11311 11373</t>
  </si>
  <si>
    <t>L005</t>
  </si>
  <si>
    <t>11365 11364 11129</t>
  </si>
  <si>
    <t>1199</t>
  </si>
  <si>
    <t>11367 11186</t>
  </si>
  <si>
    <t>11168 11174 11299</t>
  </si>
  <si>
    <t>11309 11106 11262</t>
  </si>
  <si>
    <t>11182 11319</t>
  </si>
  <si>
    <t>14002 14004 14005</t>
  </si>
  <si>
    <t>11239 11351</t>
  </si>
  <si>
    <t>11103</t>
  </si>
  <si>
    <t>1196 11251 11265 11295 1132 11244 11253 11341 11257 1185</t>
  </si>
  <si>
    <t>12064 12015 12041 12038 12065 12006 12066 12073</t>
  </si>
  <si>
    <t>13007 13014</t>
  </si>
  <si>
    <t>1137 11324 11319 11309 11182</t>
  </si>
  <si>
    <t>13051</t>
  </si>
  <si>
    <t>11237</t>
  </si>
  <si>
    <t>11345 1193</t>
  </si>
  <si>
    <t>12063 12077 12047 12016</t>
  </si>
  <si>
    <t>11239 11351 11236 11103 11266</t>
  </si>
  <si>
    <t>1129 1135 11312 11207 1182 1183 1106 11109</t>
  </si>
  <si>
    <t>11341 11253 11295 1145 1132 1196</t>
  </si>
  <si>
    <t>11257 11193 1169 11262 11265</t>
  </si>
  <si>
    <t>13004 13020 13037 13067 13075</t>
  </si>
  <si>
    <t>11245 1187 1185 11251 11244</t>
  </si>
  <si>
    <t>11168 11174</t>
  </si>
  <si>
    <t>13027 13053</t>
  </si>
  <si>
    <t>11130 11286</t>
  </si>
  <si>
    <t>11359</t>
  </si>
  <si>
    <t>13005 13073</t>
  </si>
  <si>
    <t>1188 11354 11311 1136 11366</t>
  </si>
  <si>
    <t>13003 13064</t>
  </si>
  <si>
    <t>11369 11370 1195</t>
  </si>
  <si>
    <t>13050 13065 13038</t>
  </si>
  <si>
    <t>7007</t>
  </si>
  <si>
    <t>11362 1144 11117 11124</t>
  </si>
  <si>
    <t>11180 11385 11287</t>
  </si>
  <si>
    <t>11163 11138</t>
  </si>
  <si>
    <t>11307 11144</t>
  </si>
  <si>
    <t>11104 11353 11356</t>
  </si>
  <si>
    <t>11385 11124</t>
  </si>
  <si>
    <t>12006 12038</t>
  </si>
  <si>
    <t>11272 11290 11180 11237 1193</t>
  </si>
  <si>
    <t>11328</t>
  </si>
  <si>
    <t>12069</t>
  </si>
  <si>
    <t>11258 11376 1115 11184 11260</t>
  </si>
  <si>
    <t>11368 11106 11192 1191</t>
  </si>
  <si>
    <t>11223 11170 11330 11158 11166</t>
  </si>
  <si>
    <t>11327 1102</t>
  </si>
  <si>
    <t>1126 11264 11282 1117</t>
  </si>
  <si>
    <t>11345 11184 11186 11201 11362</t>
  </si>
  <si>
    <t>11260 1144 11376 11258 11367 11117 1115</t>
  </si>
  <si>
    <t>13005 13051 13053</t>
  </si>
  <si>
    <t>11245 11373</t>
  </si>
  <si>
    <t>13047 13052</t>
  </si>
  <si>
    <t>1127 1196 1110 11295 11253 1132</t>
  </si>
  <si>
    <t>11354 11104 11366 1136 11370</t>
  </si>
  <si>
    <t>11209 11181 11271 1138 11105</t>
  </si>
  <si>
    <t>11360</t>
  </si>
  <si>
    <t>11317</t>
  </si>
  <si>
    <t>1141 11255</t>
  </si>
  <si>
    <t>11167 11144 11143 11152 11151 11138 11195 11329 11299 11307</t>
  </si>
  <si>
    <t>L0011 L0010</t>
  </si>
  <si>
    <t>1170 11351</t>
  </si>
  <si>
    <t>11193 1169</t>
  </si>
  <si>
    <t>12069 12077 12016</t>
  </si>
  <si>
    <t>11308 1164 11112 1157 11288 11246</t>
  </si>
  <si>
    <t>11268 11277 11100</t>
  </si>
  <si>
    <t>Tabung Kosong</t>
  </si>
  <si>
    <t>11122 11358 11188 1130 1197 11357 11348 1116 11326 11242 1134</t>
  </si>
  <si>
    <t>Tabung isi</t>
  </si>
  <si>
    <t>11222 11139 11169 11304 11337 11216 11298 11225 11153 11137 11145 11302</t>
  </si>
  <si>
    <t>Tabung Isi</t>
  </si>
  <si>
    <t>11373 1127 1126 1132 1102 11295 11264 11327</t>
  </si>
  <si>
    <t>11158 11330</t>
  </si>
  <si>
    <t>11134 1133 11123 11178 1131 11285</t>
  </si>
  <si>
    <t>11301 11334 11141</t>
  </si>
  <si>
    <t>11287</t>
  </si>
  <si>
    <t>11131 11242 1117 1197 11358 11282 1110 1134 1196 11348</t>
  </si>
  <si>
    <t>11317 11326 11360 11369 1138</t>
  </si>
  <si>
    <t>1188 11357 11245 11253</t>
  </si>
  <si>
    <t>11209 11105 1129 1135 1182</t>
  </si>
  <si>
    <t>13064 13073 13046</t>
  </si>
  <si>
    <t>1183 11286 11359</t>
  </si>
  <si>
    <t>11298 11302 11337 11304 11169 11137 11139 11145 11166 11170</t>
  </si>
  <si>
    <t>11146 11142 11153 11216 11225 11223 11218 11222</t>
  </si>
  <si>
    <t>1141 11120</t>
  </si>
  <si>
    <t>11107 11296</t>
  </si>
  <si>
    <t>12074 12015 12064 12047 12041 12003 12078 12066 12013 12012</t>
  </si>
  <si>
    <t>11311 11312 11130 11181 11356</t>
  </si>
  <si>
    <t>1194 1130 1195</t>
  </si>
  <si>
    <t>11271 11255 1173 1106 11109</t>
  </si>
  <si>
    <t>13074</t>
  </si>
  <si>
    <t>11122 11288 11100 1157 11246</t>
  </si>
  <si>
    <t>1145 11287 11112 1115</t>
  </si>
  <si>
    <t>11129 11365</t>
  </si>
  <si>
    <t>13070</t>
  </si>
  <si>
    <t>11258 11117 11260 1145 1115 11367</t>
  </si>
  <si>
    <t>13028 13015 13041</t>
  </si>
  <si>
    <t>11107 11120 1173</t>
  </si>
  <si>
    <t>11249 11377</t>
  </si>
  <si>
    <t>L006 L001</t>
  </si>
  <si>
    <t>11371</t>
  </si>
  <si>
    <t>13043 13056</t>
  </si>
  <si>
    <t>11305 11157</t>
  </si>
  <si>
    <t>11344 11384</t>
  </si>
  <si>
    <t>13015 13041</t>
  </si>
  <si>
    <t>11308 11277 11268 11258 1164 11123 11367 11134 11260 11115</t>
  </si>
  <si>
    <t>L009 L008</t>
  </si>
  <si>
    <t>11167 11152 11307 11151 11329 11144</t>
  </si>
  <si>
    <t>11360 1138 11341 11376</t>
  </si>
  <si>
    <t>11319 11309 11282 11375 11379 11131 1197 1134 11348 11358</t>
  </si>
  <si>
    <t>13045 13048</t>
  </si>
  <si>
    <t>11377 1133 11117 1116 1199</t>
  </si>
  <si>
    <t>1120</t>
  </si>
  <si>
    <t>13027 13073</t>
  </si>
  <si>
    <t>11372 11119</t>
  </si>
  <si>
    <t>13007 13013 13014</t>
  </si>
  <si>
    <t>11316 1153</t>
  </si>
  <si>
    <t>11365 11129 11344 11371 11384</t>
  </si>
  <si>
    <t>11193 1170 11184 1169 11348 11353 11351 11207 11178 11285 11249 11131 1131 11372 11376 11358 11375 1189</t>
  </si>
  <si>
    <t>11287 11289</t>
  </si>
  <si>
    <t>11269 11307 11141 11152 11144 11334 11329 11151 11167 11157</t>
  </si>
  <si>
    <t>1134 11360 1197 11319 11379 1138 11309 1153 11316 11119</t>
  </si>
  <si>
    <t>11262 11265 11257 11362 1129</t>
  </si>
  <si>
    <t>11221 11305 11292 11301 741</t>
  </si>
  <si>
    <t>13023 13028 13070</t>
  </si>
  <si>
    <t>11320 11321 11341</t>
  </si>
  <si>
    <t>13056 13027 13043 13073</t>
  </si>
  <si>
    <t>11169 11137 11304 11302</t>
  </si>
  <si>
    <t>11103 11239 11236</t>
  </si>
  <si>
    <t>11195 11143 11138</t>
  </si>
  <si>
    <t>1196 11246 1157 1117</t>
  </si>
  <si>
    <t>13017 13062</t>
  </si>
  <si>
    <t>11199 1163 11349 11252</t>
  </si>
  <si>
    <t>12042 12063</t>
  </si>
  <si>
    <t>11262 1129 11265 11362</t>
  </si>
  <si>
    <t>13003 13035</t>
  </si>
  <si>
    <t>11246 11236 11103 11239 11245</t>
  </si>
  <si>
    <t>11137 11143 11169 11304 11302 11138</t>
  </si>
  <si>
    <t>13048 13052</t>
  </si>
  <si>
    <t>1196 1117 1157 11186</t>
  </si>
  <si>
    <t>11377 1199 1133 1144 11369 11317 11326</t>
  </si>
  <si>
    <t>13046 13064</t>
  </si>
  <si>
    <t>11361 11373 11127 1184</t>
  </si>
  <si>
    <t>12038 12069</t>
  </si>
  <si>
    <t>1120 11201 11373 11361 1184 11127 1163 11252</t>
  </si>
  <si>
    <t>11163 11330</t>
  </si>
  <si>
    <t>11129 1110 11371 11384 11100 11324 11242 11288</t>
  </si>
  <si>
    <t>13066 13058</t>
  </si>
  <si>
    <t>11310 1108 1176 1124</t>
  </si>
  <si>
    <t>11377 11288 11100 11242 11129 1144 1199</t>
  </si>
  <si>
    <t>11229 1150 1155 1181</t>
  </si>
  <si>
    <t>11313</t>
  </si>
  <si>
    <t>11326 11324</t>
  </si>
  <si>
    <t>1110 1124 11349 11257 11199 11369 11310 11371 1176 1133</t>
  </si>
  <si>
    <t>Kirim Tanggul</t>
  </si>
  <si>
    <t>1108</t>
  </si>
  <si>
    <t>Balongbendo Sebelah warkop Ashoka</t>
  </si>
  <si>
    <t>11384</t>
  </si>
  <si>
    <t>Batuar Krian</t>
  </si>
  <si>
    <t>12069 12065</t>
  </si>
  <si>
    <t>11184 11193 11178 11376</t>
  </si>
  <si>
    <t>11342 11136</t>
  </si>
  <si>
    <t>13038 13050</t>
  </si>
  <si>
    <t>11308 11134 11258 1164 11277 11260</t>
  </si>
  <si>
    <t>L008</t>
  </si>
  <si>
    <t>Masih ada isi tapi jelek isinya</t>
  </si>
  <si>
    <t>11134 11376 11229 11258 1155</t>
  </si>
  <si>
    <t>13017 13064</t>
  </si>
  <si>
    <t>1181 11277 1164 1111</t>
  </si>
  <si>
    <t>13013 13046</t>
  </si>
  <si>
    <t>13066 13058 13008 13032</t>
  </si>
  <si>
    <t>11308 1150 11184 11260</t>
  </si>
  <si>
    <t>11301 11221 11305</t>
  </si>
  <si>
    <t>11239 1116 11117</t>
  </si>
  <si>
    <t>11323 1146</t>
  </si>
  <si>
    <t>11203 1105</t>
  </si>
  <si>
    <t>13041 13035</t>
  </si>
  <si>
    <t>11244 11251 1187</t>
  </si>
  <si>
    <t>13004 13020 13075</t>
  </si>
  <si>
    <t>11166 11139 11170 11307 11337</t>
  </si>
  <si>
    <t>11380 11382</t>
  </si>
  <si>
    <t>11203 1105 11251 11244 1187 1146 11323 1182 11178 11193</t>
  </si>
  <si>
    <t>1116 11380 11382 11239 11129 11117</t>
  </si>
  <si>
    <t>11301 11337 11307 11139 11166 11170 11221 11305 11136 11313 11219 11342 11386 11387</t>
  </si>
  <si>
    <t>1127 11327 11264 11295</t>
  </si>
  <si>
    <t>7814 7956</t>
  </si>
  <si>
    <t>11232 1171</t>
  </si>
  <si>
    <t>1168 11350 1158 1113 11238</t>
  </si>
  <si>
    <t>11295 11264 1113 11350 11205 11232 11238 1171 1168 11237 11327 11180 1158 11196 11280 1127</t>
  </si>
  <si>
    <t>11331 11306 11392 11391</t>
  </si>
  <si>
    <t>11346</t>
  </si>
  <si>
    <t>12028 12033</t>
  </si>
  <si>
    <t>11180 11237 11205 11196</t>
  </si>
  <si>
    <t>12016 12077</t>
  </si>
  <si>
    <t>11261 1184 11127 11201 1163 11252 11361 11241</t>
  </si>
  <si>
    <t>11393 11395 11394 11390 11389 11388</t>
  </si>
  <si>
    <t>1121 11133</t>
  </si>
  <si>
    <t>1199 11134 11344 1144 11100 11365 11258</t>
  </si>
  <si>
    <t>11292 741</t>
  </si>
  <si>
    <t>13037 13067</t>
  </si>
  <si>
    <t>13020 13075</t>
  </si>
  <si>
    <t>12069 12063 12073</t>
  </si>
  <si>
    <t>12042 12065</t>
  </si>
  <si>
    <t>1164 11345 1115</t>
  </si>
  <si>
    <t>12077</t>
  </si>
  <si>
    <t>12073</t>
  </si>
  <si>
    <t>11346 11344 11365 11241 11261 11252 11258 11361 11100 1163</t>
  </si>
  <si>
    <t>11133 1121 11127 1184 11134 1144 1199 11201</t>
  </si>
  <si>
    <t>11163 11292</t>
  </si>
  <si>
    <t>L003 L008</t>
  </si>
  <si>
    <t>13072 13048</t>
  </si>
  <si>
    <t>11367 11123 11115</t>
  </si>
  <si>
    <t>11115 11367 11123</t>
  </si>
  <si>
    <t>11186 1164 1207</t>
  </si>
  <si>
    <t>1115 1157 11345</t>
  </si>
  <si>
    <t>13037 13003 13034 13023</t>
  </si>
  <si>
    <t>12028 12069</t>
  </si>
  <si>
    <t>1117 1196</t>
  </si>
  <si>
    <t>741</t>
  </si>
  <si>
    <t>7002</t>
  </si>
  <si>
    <t>11333</t>
  </si>
  <si>
    <t>11290 11206 11272</t>
  </si>
  <si>
    <t>11245 11246</t>
  </si>
  <si>
    <t>1192 11294 11357 1188</t>
  </si>
  <si>
    <t>13010 13006 13065</t>
  </si>
  <si>
    <t>11206 11272 11192 11246 11294</t>
  </si>
  <si>
    <t>11245 1188 11357 1192 11290</t>
  </si>
  <si>
    <t>13062 13067</t>
  </si>
  <si>
    <t>14010 14012 14015</t>
  </si>
  <si>
    <t>11376 1155 11242 11229</t>
  </si>
  <si>
    <t>11389</t>
  </si>
  <si>
    <t>11354 11366 1136 11370</t>
  </si>
  <si>
    <t>1132 1126 11380</t>
  </si>
  <si>
    <t>1111 1129</t>
  </si>
  <si>
    <t>1111 1129 11380 1132 1126</t>
  </si>
  <si>
    <t>11366 1136 1155 11354 11376 11104</t>
  </si>
  <si>
    <t>13006 13010</t>
  </si>
  <si>
    <t>11363</t>
  </si>
  <si>
    <t>1137 11288 11378 11294 11383</t>
  </si>
  <si>
    <t>11390 11393 11395</t>
  </si>
  <si>
    <t>1185 11109</t>
  </si>
  <si>
    <t>Nitip masih Isi</t>
  </si>
  <si>
    <t>Nitip masih isi</t>
  </si>
  <si>
    <t>1135 11209 11277 11105 1145</t>
  </si>
  <si>
    <t>11327 11238 1120</t>
  </si>
  <si>
    <t>14003 14008 14013 14014</t>
  </si>
  <si>
    <t>11120</t>
  </si>
  <si>
    <t>11134 1121 11133 1199 11266 11268</t>
  </si>
  <si>
    <t>11292 11163</t>
  </si>
  <si>
    <t>11209 11277 1120 11105 11363 11383 1145 1185 11378 1135</t>
  </si>
  <si>
    <t>13007 13065 13045 13014 13035 13018</t>
  </si>
  <si>
    <t>11390 11331 11173 11161 11327</t>
  </si>
  <si>
    <t>11297 11325 11275</t>
  </si>
  <si>
    <t>11132</t>
  </si>
  <si>
    <t>12066 12013 12031 12036 12032 12068 12055 12046 12070</t>
  </si>
  <si>
    <t>11319 1197 1153 11379</t>
  </si>
  <si>
    <t>11329 11334 11269 11298 11145 11157</t>
  </si>
  <si>
    <t>13047 13074</t>
  </si>
  <si>
    <t>11394</t>
  </si>
  <si>
    <t>13064</t>
  </si>
  <si>
    <t>Batuar krian</t>
  </si>
  <si>
    <t>Jabaran samping warkop ashoka</t>
  </si>
  <si>
    <t>11379 11296 1144 11107 11266 1121 1199 11268 11122 1153</t>
  </si>
  <si>
    <t>11333 11395 11163 11145 11146 11329 11334 11300 11298 11157</t>
  </si>
  <si>
    <t>11239 1154 11382 1102</t>
  </si>
  <si>
    <t>11166 11170 11337 11301 11387 11219 11139 11307</t>
  </si>
  <si>
    <t>11331 11306</t>
  </si>
  <si>
    <t>11350 11295 1101 11183 11237 11264 11232 11373 1168 1171 1127 11205</t>
  </si>
  <si>
    <t>11392 11330 11306</t>
  </si>
  <si>
    <t>11391</t>
  </si>
  <si>
    <t>valve rusak</t>
  </si>
  <si>
    <t>1154 11239 1102 11382</t>
  </si>
  <si>
    <t>11374</t>
  </si>
  <si>
    <t>11359 1183 11364 11286</t>
  </si>
  <si>
    <t>11201 1184</t>
  </si>
  <si>
    <t>11331 11161</t>
  </si>
  <si>
    <t>11112 11265 1136 1181</t>
  </si>
  <si>
    <t>L0010</t>
  </si>
  <si>
    <t>11238 11288 11242 11133 11229</t>
  </si>
  <si>
    <t>11134 11111 1141 11198 1137</t>
  </si>
  <si>
    <t>11330 11337</t>
  </si>
  <si>
    <t>13041 13074 13072 13038</t>
  </si>
  <si>
    <t>11244 11323 1193 11193</t>
  </si>
  <si>
    <t>13052</t>
  </si>
  <si>
    <t>11139 11170 11331 11306 11392</t>
  </si>
  <si>
    <t>11286 11295 11232 11374 1168</t>
  </si>
  <si>
    <t>11359 1127 1183</t>
  </si>
  <si>
    <t>11265 11112 11287 1181 1136</t>
  </si>
  <si>
    <t>LL002</t>
  </si>
  <si>
    <t>1154 11354 11362 1155</t>
  </si>
  <si>
    <t>13017 13035 13070 13014</t>
  </si>
  <si>
    <t>1132 1126 11380 1111</t>
  </si>
  <si>
    <t>1120 11378 11246 11277 11192</t>
  </si>
  <si>
    <t>11381</t>
  </si>
  <si>
    <t>11109 11244 11205 11183 11364 11370 11201 11294 11237 1193</t>
  </si>
  <si>
    <t>1184 1101</t>
  </si>
  <si>
    <t>11319</t>
  </si>
  <si>
    <t>1197 1171 11350 11373</t>
  </si>
  <si>
    <t>11301 11161 11166 11269 11391 11178</t>
  </si>
  <si>
    <t>11383 11374 11286 11209 11232 11363 11206 1168 11295</t>
  </si>
  <si>
    <t>11392 11139 11306 11388</t>
  </si>
  <si>
    <t>11219 11393</t>
  </si>
  <si>
    <t>11196 11280</t>
  </si>
  <si>
    <t>11119</t>
  </si>
  <si>
    <t>11167 11152 11151 11144</t>
  </si>
  <si>
    <t>11307 11389 11221 11292 11387 11394 11304</t>
  </si>
  <si>
    <t>11262</t>
  </si>
  <si>
    <t>12069 12042 12028</t>
  </si>
  <si>
    <t>1153 1121</t>
  </si>
  <si>
    <t>11368</t>
  </si>
  <si>
    <t>11381 11378 1120 11246 1111 11277 11192 1132 1126 11380</t>
  </si>
  <si>
    <t>11341</t>
  </si>
  <si>
    <t>13021 13027</t>
  </si>
  <si>
    <t>12068 12032 12013 12063 12016 12077 12006 12065 12073 12033</t>
  </si>
  <si>
    <t>11112 1181 11287 11236 1207</t>
  </si>
  <si>
    <t>11363 11209 11103 1129 11275</t>
  </si>
  <si>
    <t>13010 13013 13046</t>
  </si>
  <si>
    <t>11245 1192 11357 11290</t>
  </si>
  <si>
    <t>11383 11341 1155 1121</t>
  </si>
  <si>
    <t>11362 11354 11295 11368 1153 11206 1154 11232 1168 11196</t>
  </si>
  <si>
    <t>1196 11286 11297 11374</t>
  </si>
  <si>
    <t>11325 11281</t>
  </si>
  <si>
    <t>1145 1197 11373</t>
  </si>
  <si>
    <t>11170 11166</t>
  </si>
  <si>
    <t>13065</t>
  </si>
  <si>
    <t>11241 11352 11177 11343 11355</t>
  </si>
  <si>
    <t>11245 11290 11239</t>
  </si>
  <si>
    <t>11142 11216 11223 11222</t>
  </si>
  <si>
    <t>11104 11239 11366 1127 1183</t>
  </si>
  <si>
    <t>11115 11367</t>
  </si>
  <si>
    <t>1173 11271 11255</t>
  </si>
  <si>
    <t>11142 11170 11166</t>
  </si>
  <si>
    <t>11144 11151 11222</t>
  </si>
  <si>
    <t>11112 11241</t>
  </si>
  <si>
    <t>1181 1197</t>
  </si>
  <si>
    <t>11166 11142 76</t>
  </si>
  <si>
    <t>1183 11373 1192</t>
  </si>
  <si>
    <t>1145 11177 11355 11186 11352</t>
  </si>
  <si>
    <t>11357 1127</t>
  </si>
  <si>
    <t>13043 13073</t>
  </si>
  <si>
    <t>11213 11291</t>
  </si>
  <si>
    <t>11351 1169 11372 11348 11375 1189</t>
  </si>
  <si>
    <t>11282</t>
  </si>
  <si>
    <t>11271 11287 11236 11343 11119 1173 11104 11348 11351</t>
  </si>
  <si>
    <t>11113</t>
  </si>
  <si>
    <t>11367 11366</t>
  </si>
  <si>
    <t>11341 11382</t>
  </si>
  <si>
    <t>11338</t>
  </si>
  <si>
    <t>11256</t>
  </si>
  <si>
    <t>11264 11200 11262 11282 1169</t>
  </si>
  <si>
    <t>11375 11372</t>
  </si>
  <si>
    <t>11299 11291</t>
  </si>
  <si>
    <t>13027 13012</t>
  </si>
  <si>
    <t>11222 11151 11170</t>
  </si>
  <si>
    <t>11265 1136 1164</t>
  </si>
  <si>
    <t>11307 11389</t>
  </si>
  <si>
    <t>11368 11272 11182 11377 11206 1171 1168 11362</t>
  </si>
  <si>
    <t>1121 11359</t>
  </si>
  <si>
    <t>sebelah ashoka</t>
  </si>
  <si>
    <t>11116 11175</t>
  </si>
  <si>
    <t>13051 13005</t>
  </si>
  <si>
    <t>11184 11106 1191 1112</t>
  </si>
  <si>
    <t>11222 11223 11216 11213 11317</t>
  </si>
  <si>
    <t>11124 11116 11198 11341 11382</t>
  </si>
  <si>
    <t>13004 13005</t>
  </si>
  <si>
    <t>11377 11206 1171 1168 11368 11362 11182 11265 1164 11272</t>
  </si>
  <si>
    <t>1136 11359 1121</t>
  </si>
  <si>
    <t>13065 13043</t>
  </si>
  <si>
    <t>11306 11151 11139 11389 11142 11158 11166 11167 11388 11269 11307 11338 11152 11170 11384</t>
  </si>
  <si>
    <t>11268 11122 11379 11107 11296 1144</t>
  </si>
  <si>
    <t>11305 11342</t>
  </si>
  <si>
    <t>11180 1113 1158</t>
  </si>
  <si>
    <t>11146 11163 11395</t>
  </si>
  <si>
    <t>1129 11275 1188</t>
  </si>
  <si>
    <t>13046 13067</t>
  </si>
  <si>
    <t>11335</t>
  </si>
  <si>
    <t>11218 11225 11160</t>
  </si>
  <si>
    <t>11177 11376 1155</t>
  </si>
  <si>
    <t>11365 11100 11252 11211 11258</t>
  </si>
  <si>
    <t>11351 11271 1173 11232 1154</t>
  </si>
  <si>
    <t>13007 13018 13045</t>
  </si>
  <si>
    <t>13013 13015 13047 13064 13073</t>
  </si>
  <si>
    <t>11184 11107 11177 1155 1113 1188</t>
  </si>
  <si>
    <t>1117 1144</t>
  </si>
  <si>
    <t>11122 1112 1158 11268 11296 11376 11379 11175 1191 11275</t>
  </si>
  <si>
    <t>13070 13035 13014</t>
  </si>
  <si>
    <t>1102 11341 11355 11383 11352 11186</t>
  </si>
  <si>
    <t>13007 13046 13034 13010</t>
  </si>
  <si>
    <t>12043 12069 12028 12042</t>
  </si>
  <si>
    <t>1122 11229 1182 11238 1105 1187</t>
  </si>
  <si>
    <t>1106 11245</t>
  </si>
  <si>
    <t>13066</t>
  </si>
  <si>
    <t>11121 11250 1140 11240</t>
  </si>
  <si>
    <t>12044</t>
  </si>
  <si>
    <t>14010 14012</t>
  </si>
  <si>
    <t>1147 11385</t>
  </si>
  <si>
    <t>13055 13026</t>
  </si>
  <si>
    <t>11137 11169 11138 11143</t>
  </si>
  <si>
    <t>1187 1173</t>
  </si>
  <si>
    <t>13017</t>
  </si>
  <si>
    <t>11252 11245 1129 11238 11211 11351 11258 11229 11232 11271</t>
  </si>
  <si>
    <t>1122 1182 1106 1154 11100 11365 11106 1105 11180</t>
  </si>
  <si>
    <t>Botol 6m3, Nomor Doubel sama 7m3</t>
  </si>
  <si>
    <t>1111 1126 11378 1132 1120 11246 11277 11380 11127</t>
  </si>
  <si>
    <t>11173 11390 11327</t>
  </si>
  <si>
    <t>11223 11304 11292</t>
  </si>
  <si>
    <t>11333 11145</t>
  </si>
  <si>
    <t>13045 13018 13067</t>
  </si>
  <si>
    <t>11352 11383 1102</t>
  </si>
  <si>
    <t>1157 11253</t>
  </si>
  <si>
    <t>11186 11188 11355 11341</t>
  </si>
  <si>
    <t>13023 13051</t>
  </si>
  <si>
    <t>11246 11121 1140 11240 11250 1120 1132</t>
  </si>
  <si>
    <t>11382 11124 1155 11198 11116</t>
  </si>
  <si>
    <t>11380 1111 11277 11127</t>
  </si>
  <si>
    <t>13066 13055</t>
  </si>
  <si>
    <t>11390 11327 11304 11145 11169 11143 11292 11173 11138</t>
  </si>
  <si>
    <t>Ini botol 7m3, yang di yulie jaya botol 6m3</t>
  </si>
  <si>
    <t>13052 13020 13026</t>
  </si>
  <si>
    <t>11116 11382 1157 1155 11124 11198</t>
  </si>
  <si>
    <t>13004 13005 13006</t>
  </si>
  <si>
    <t>13006 13005 13004 13021</t>
  </si>
  <si>
    <t>11117 11266 11129 1199 11368 11377</t>
  </si>
  <si>
    <t>13072 13074 13038</t>
  </si>
  <si>
    <t>1191 11343 11236 11268 11287 11350 1185 11119</t>
  </si>
  <si>
    <t>13048 13028</t>
  </si>
  <si>
    <t>11222 11213</t>
  </si>
  <si>
    <t>11381 11192</t>
  </si>
  <si>
    <t>11103 11209 1121</t>
  </si>
  <si>
    <t>11137 11146 11163</t>
  </si>
  <si>
    <t>13072 13038 13074</t>
  </si>
  <si>
    <t>11342 11222 11223 11213 11225 11395 11218</t>
  </si>
  <si>
    <t>1121 1185 11209 1191 11115 11192 11381 11287 11103 11119</t>
  </si>
  <si>
    <t>11385 11378 1147 1126 11268 11343 11236</t>
  </si>
  <si>
    <t>11335 11333 11305</t>
  </si>
  <si>
    <t>76 11160</t>
  </si>
  <si>
    <t>11376 1153 11275 11295 11104 11196</t>
  </si>
  <si>
    <t>11391 11138</t>
  </si>
  <si>
    <t>1145 1188 11184</t>
  </si>
  <si>
    <t>1171</t>
  </si>
  <si>
    <t>11361 11261</t>
  </si>
  <si>
    <t>11230 11220</t>
  </si>
  <si>
    <t>Di tarik Masih isi full</t>
  </si>
  <si>
    <t>11138 11136</t>
  </si>
  <si>
    <t>LL002 LL003</t>
  </si>
  <si>
    <t>1113 11266 11117 11129 11261 11377 11196 1199 11275 11350</t>
  </si>
  <si>
    <t>13028 13062</t>
  </si>
  <si>
    <t>11361 11104 11295 1153 11376 11281</t>
  </si>
  <si>
    <t>11391 11306 11302 11216</t>
  </si>
  <si>
    <t>11220 11230</t>
  </si>
  <si>
    <t>1188 1145 11184</t>
  </si>
  <si>
    <t>LL003 LL002</t>
  </si>
  <si>
    <t>1135 12</t>
  </si>
  <si>
    <t>13023 13048</t>
  </si>
  <si>
    <t>11126 11324 11326</t>
  </si>
  <si>
    <t>11363 1136</t>
  </si>
  <si>
    <t>11282 11363 1136</t>
  </si>
  <si>
    <t>13021 13051 13043</t>
  </si>
  <si>
    <t>11329 11331</t>
  </si>
  <si>
    <t>11387 11394 11221</t>
  </si>
  <si>
    <t>11365 1154</t>
  </si>
  <si>
    <t>11347</t>
  </si>
  <si>
    <t>13024 13016 13011 13001</t>
  </si>
  <si>
    <t>12056</t>
  </si>
  <si>
    <t>11174 11217 11168</t>
  </si>
  <si>
    <t>11334 11298 11300</t>
  </si>
  <si>
    <t>11245 11319</t>
  </si>
  <si>
    <t>11127 11177 11107 1111 11277</t>
  </si>
  <si>
    <t>13055 13066 13038 13074 13072</t>
  </si>
  <si>
    <t>1107</t>
  </si>
  <si>
    <t>1107 1154 11365 11245 1115</t>
  </si>
  <si>
    <t>11326</t>
  </si>
  <si>
    <t>12049 12066 12031</t>
  </si>
  <si>
    <t>11265 1164 1116</t>
  </si>
  <si>
    <t>11163 11137</t>
  </si>
  <si>
    <t>11235</t>
  </si>
  <si>
    <t>11257</t>
  </si>
  <si>
    <t>11109 11201 11244 11294</t>
  </si>
  <si>
    <t>1126 11268 11385 11236 11343</t>
  </si>
  <si>
    <t>14001 14003 14008 14015</t>
  </si>
  <si>
    <t>11341 11347</t>
  </si>
  <si>
    <t>11372 11375</t>
  </si>
  <si>
    <t>Lama cuman blm di tulis ttbk</t>
  </si>
  <si>
    <t>11343 1116 1164 1111</t>
  </si>
  <si>
    <t>11175</t>
  </si>
  <si>
    <t>1187 11241</t>
  </si>
  <si>
    <t>13075</t>
  </si>
  <si>
    <t>11196</t>
  </si>
  <si>
    <t>13014 13050 13070</t>
  </si>
  <si>
    <t>11244 11235</t>
  </si>
  <si>
    <t>13024 13074</t>
  </si>
  <si>
    <t>rowId</t>
  </si>
  <si>
    <t>barcode</t>
  </si>
  <si>
    <t>67e88bf1</t>
  </si>
  <si>
    <t>682368346</t>
  </si>
  <si>
    <t>512c720d</t>
  </si>
  <si>
    <t>683269185</t>
  </si>
  <si>
    <t>npwp</t>
  </si>
  <si>
    <t>ppn</t>
  </si>
  <si>
    <t>termin</t>
  </si>
  <si>
    <t>call</t>
  </si>
  <si>
    <t>reportUpdates</t>
  </si>
  <si>
    <t>025249210606000</t>
  </si>
  <si>
    <t>019634344015000</t>
  </si>
  <si>
    <t>0763467586603000</t>
  </si>
  <si>
    <t>016730582631000</t>
  </si>
  <si>
    <t>017929910606000</t>
  </si>
  <si>
    <t>024763260615000</t>
  </si>
  <si>
    <t>026382531603000</t>
  </si>
  <si>
    <t>3e1f004a</t>
  </si>
  <si>
    <t>PT FKM</t>
  </si>
  <si>
    <t>Jl. Raya By pass Juanda 89, Sedati Gede, Kec. Sedati, Kabupaten Sidoarjo, Jawa Timur 61253</t>
  </si>
  <si>
    <t>dc4a076e</t>
  </si>
  <si>
    <t>Bpk. Rudi</t>
  </si>
  <si>
    <t>663188902643000</t>
  </si>
  <si>
    <t>0015325533609000</t>
  </si>
  <si>
    <t>ec630cd9</t>
  </si>
  <si>
    <t>PT Dingsheng Metal Indonesia</t>
  </si>
  <si>
    <t>16a0dbd1</t>
  </si>
  <si>
    <t>Bpk. Haryono</t>
  </si>
  <si>
    <t>914038245603000</t>
  </si>
  <si>
    <t>Bu Siti</t>
  </si>
  <si>
    <t>Parengan, Masjid LDII</t>
  </si>
  <si>
    <t>081703519292</t>
  </si>
  <si>
    <t>085235445648</t>
  </si>
  <si>
    <t>085168618339</t>
  </si>
  <si>
    <t>089507990395</t>
  </si>
  <si>
    <t>085337786880</t>
  </si>
  <si>
    <t>085604748797</t>
  </si>
  <si>
    <t>ae5db77c</t>
  </si>
  <si>
    <t>Smartindo</t>
  </si>
  <si>
    <t>655e4b3f</t>
  </si>
  <si>
    <t>Ibu Asmuna</t>
  </si>
  <si>
    <t>Parengan Kraton Krian Sidoarjo</t>
  </si>
  <si>
    <t>085655829311</t>
  </si>
  <si>
    <t>082131519408</t>
  </si>
  <si>
    <t>082131780946</t>
  </si>
  <si>
    <t>081231074651</t>
  </si>
  <si>
    <t>+62 821-3230-7372</t>
  </si>
  <si>
    <t>081330406016</t>
  </si>
  <si>
    <t>082142922954</t>
  </si>
  <si>
    <t>081259744487</t>
  </si>
  <si>
    <t>082143077782</t>
  </si>
  <si>
    <t>081805858555</t>
  </si>
  <si>
    <t>081226429199</t>
  </si>
  <si>
    <t>081803038090</t>
  </si>
  <si>
    <t>082230244066</t>
  </si>
  <si>
    <t>0813-3608-1423</t>
  </si>
  <si>
    <t>087754101291</t>
  </si>
  <si>
    <t>087865442148</t>
  </si>
  <si>
    <t>0821-4195-8882</t>
  </si>
  <si>
    <t>0877-7002-7611</t>
  </si>
  <si>
    <t>085731605983</t>
  </si>
  <si>
    <t>085791330106</t>
  </si>
  <si>
    <t>085888497099</t>
  </si>
  <si>
    <t>085812854282</t>
  </si>
  <si>
    <t>082264556177</t>
  </si>
  <si>
    <t>081333142090</t>
  </si>
  <si>
    <t>08175116664</t>
  </si>
  <si>
    <t>085335476086</t>
  </si>
  <si>
    <t>081230725256</t>
  </si>
  <si>
    <t>085792763149</t>
  </si>
  <si>
    <t>085933633944</t>
  </si>
  <si>
    <t>8340b6de</t>
  </si>
  <si>
    <t>John Doe</t>
  </si>
  <si>
    <t>Sidokampir</t>
  </si>
  <si>
    <t>‪0878‑3743‑6360‬</t>
  </si>
  <si>
    <t>819577875615000</t>
  </si>
  <si>
    <t>08113634961</t>
  </si>
  <si>
    <t>+62 817-4834-776</t>
  </si>
  <si>
    <t>081336012495</t>
  </si>
  <si>
    <t>+62 813-3525-4544</t>
  </si>
  <si>
    <t>77b7a427</t>
  </si>
  <si>
    <t>CV. Nata Mulya Abadi</t>
  </si>
  <si>
    <t>84.622.305.5-603.000</t>
  </si>
  <si>
    <t>Jl. Punglor No.19, Bakalan, Tempel, Kec. Krian, Kabupaten Sidoarjo, Jawa Timur 61262</t>
  </si>
  <si>
    <t>081234009094</t>
  </si>
  <si>
    <t>concatDocNumber</t>
  </si>
  <si>
    <t>docDate</t>
  </si>
  <si>
    <t>category</t>
  </si>
  <si>
    <t>tags</t>
  </si>
  <si>
    <t>satuan</t>
  </si>
  <si>
    <t>priviledge</t>
  </si>
  <si>
    <t>RENT</t>
  </si>
  <si>
    <t>MP</t>
  </si>
  <si>
    <t>Btl</t>
  </si>
  <si>
    <t>MR</t>
  </si>
  <si>
    <t>9c33246d</t>
  </si>
  <si>
    <t>Tabung 6m3 + Ar</t>
  </si>
  <si>
    <t>SELL</t>
  </si>
  <si>
    <t>95289f0b</t>
  </si>
  <si>
    <t>Tabung 7m3 + Ar</t>
  </si>
  <si>
    <t>9cc683e5</t>
  </si>
  <si>
    <t>Tabung 7m3 + CO2</t>
  </si>
  <si>
    <t>9c403f38</t>
  </si>
  <si>
    <t>Tabung 7m3 + O2</t>
  </si>
  <si>
    <t>Pcs</t>
  </si>
  <si>
    <t>SERV</t>
  </si>
  <si>
    <t>Jasa</t>
  </si>
  <si>
    <t>Bonit</t>
  </si>
  <si>
    <t>88f0a0e9</t>
  </si>
  <si>
    <t>Karbondioksida 1m3 MR</t>
  </si>
  <si>
    <t>89f17b5f</t>
  </si>
  <si>
    <t>Karbondioksida 2,5m3 MR</t>
  </si>
  <si>
    <t>itemBarcode</t>
  </si>
  <si>
    <t>status</t>
  </si>
  <si>
    <t>lastUpdated</t>
  </si>
  <si>
    <t>adminNotes</t>
  </si>
  <si>
    <t>683328637</t>
  </si>
  <si>
    <t>673544971</t>
  </si>
  <si>
    <t>1101</t>
  </si>
  <si>
    <t>682458205</t>
  </si>
  <si>
    <t>1102</t>
  </si>
  <si>
    <t>1103</t>
  </si>
  <si>
    <t>672403145</t>
  </si>
  <si>
    <t>672403154</t>
  </si>
  <si>
    <t>1106</t>
  </si>
  <si>
    <t>672403066</t>
  </si>
  <si>
    <t>2026000440</t>
  </si>
  <si>
    <t>682359357</t>
  </si>
  <si>
    <t>672403109</t>
  </si>
  <si>
    <t>673540726</t>
  </si>
  <si>
    <t>683327203</t>
  </si>
  <si>
    <t>683327197</t>
  </si>
  <si>
    <t>11102</t>
  </si>
  <si>
    <t>673540735</t>
  </si>
  <si>
    <t>11106</t>
  </si>
  <si>
    <t>682456571</t>
  </si>
  <si>
    <t>683324039</t>
  </si>
  <si>
    <t>11108</t>
  </si>
  <si>
    <t>2026000457</t>
  </si>
  <si>
    <t>11109</t>
  </si>
  <si>
    <t>672403075</t>
  </si>
  <si>
    <t>112455</t>
  </si>
  <si>
    <t>11110</t>
  </si>
  <si>
    <t>673541530</t>
  </si>
  <si>
    <t>672405754</t>
  </si>
  <si>
    <t>683275724</t>
  </si>
  <si>
    <t>673544999</t>
  </si>
  <si>
    <t>673542733</t>
  </si>
  <si>
    <t>682361413</t>
  </si>
  <si>
    <t>11116</t>
  </si>
  <si>
    <t>673540355</t>
  </si>
  <si>
    <t>683325250</t>
  </si>
  <si>
    <t>2026000454</t>
  </si>
  <si>
    <t>672403093</t>
  </si>
  <si>
    <t>682458214</t>
  </si>
  <si>
    <t>682361422</t>
  </si>
  <si>
    <t>683319161</t>
  </si>
  <si>
    <t>2026000419</t>
  </si>
  <si>
    <t>2026000487</t>
  </si>
  <si>
    <t>673539261</t>
  </si>
  <si>
    <t>11125</t>
  </si>
  <si>
    <t>673539225</t>
  </si>
  <si>
    <t>673540638</t>
  </si>
  <si>
    <t>11127</t>
  </si>
  <si>
    <t>673544324</t>
  </si>
  <si>
    <t>672403084</t>
  </si>
  <si>
    <t>682461892</t>
  </si>
  <si>
    <t>11130</t>
  </si>
  <si>
    <t>683270604</t>
  </si>
  <si>
    <t>673539331</t>
  </si>
  <si>
    <t>11133</t>
  </si>
  <si>
    <t>2026000402</t>
  </si>
  <si>
    <t>11134</t>
  </si>
  <si>
    <t>673539827</t>
  </si>
  <si>
    <t>683269583</t>
  </si>
  <si>
    <t>673546696</t>
  </si>
  <si>
    <t>11137</t>
  </si>
  <si>
    <t>2026000460</t>
  </si>
  <si>
    <t>683330711</t>
  </si>
  <si>
    <t>No barcode</t>
  </si>
  <si>
    <t>1114</t>
  </si>
  <si>
    <t>683271241</t>
  </si>
  <si>
    <t>683322606</t>
  </si>
  <si>
    <t>673545253</t>
  </si>
  <si>
    <t>673541187</t>
  </si>
  <si>
    <t>683321458</t>
  </si>
  <si>
    <t>683319189</t>
  </si>
  <si>
    <t>683319301</t>
  </si>
  <si>
    <t>683319277</t>
  </si>
  <si>
    <t>683321397</t>
  </si>
  <si>
    <t>683319310</t>
  </si>
  <si>
    <t>672401280</t>
  </si>
  <si>
    <t>2026000444</t>
  </si>
  <si>
    <t>2026000410</t>
  </si>
  <si>
    <t>11151</t>
  </si>
  <si>
    <t>673546030</t>
  </si>
  <si>
    <t>683326073</t>
  </si>
  <si>
    <t>673541415</t>
  </si>
  <si>
    <t>673541141</t>
  </si>
  <si>
    <t>673545402</t>
  </si>
  <si>
    <t>673539298</t>
  </si>
  <si>
    <t>683320583</t>
  </si>
  <si>
    <t>11159</t>
  </si>
  <si>
    <t>682456757</t>
  </si>
  <si>
    <t>683321421</t>
  </si>
  <si>
    <t>673540665</t>
  </si>
  <si>
    <t>2026000424</t>
  </si>
  <si>
    <t>2026000407</t>
  </si>
  <si>
    <t>683326170</t>
  </si>
  <si>
    <t>682368382</t>
  </si>
  <si>
    <t>2026000459</t>
  </si>
  <si>
    <t>673544494</t>
  </si>
  <si>
    <t>683279207</t>
  </si>
  <si>
    <t>673544573</t>
  </si>
  <si>
    <t>672403224</t>
  </si>
  <si>
    <t>683321412</t>
  </si>
  <si>
    <t>673544555</t>
  </si>
  <si>
    <t>2026000445</t>
  </si>
  <si>
    <t>673539775</t>
  </si>
  <si>
    <t>2026000409</t>
  </si>
  <si>
    <t>11174</t>
  </si>
  <si>
    <t>673539216</t>
  </si>
  <si>
    <t>673545226</t>
  </si>
  <si>
    <t>2026000405</t>
  </si>
  <si>
    <t>683279270</t>
  </si>
  <si>
    <t>683269282</t>
  </si>
  <si>
    <t>672403020</t>
  </si>
  <si>
    <t>683325223</t>
  </si>
  <si>
    <t>683270598</t>
  </si>
  <si>
    <t>2026000408</t>
  </si>
  <si>
    <t>11182</t>
  </si>
  <si>
    <t>682361769</t>
  </si>
  <si>
    <t>11183</t>
  </si>
  <si>
    <t>683319295</t>
  </si>
  <si>
    <t>682365729</t>
  </si>
  <si>
    <t>672926673</t>
  </si>
  <si>
    <t>682457808</t>
  </si>
  <si>
    <t>673545244</t>
  </si>
  <si>
    <t>673540337</t>
  </si>
  <si>
    <t>11189</t>
  </si>
  <si>
    <t>672401138</t>
  </si>
  <si>
    <t>673539191</t>
  </si>
  <si>
    <t>682456526</t>
  </si>
  <si>
    <t>683325764</t>
  </si>
  <si>
    <t>672926682</t>
  </si>
  <si>
    <t>682363271</t>
  </si>
  <si>
    <t>683325171</t>
  </si>
  <si>
    <t>11197</t>
  </si>
  <si>
    <t>-</t>
  </si>
  <si>
    <t>683325302</t>
  </si>
  <si>
    <t>11199</t>
  </si>
  <si>
    <t>672401299</t>
  </si>
  <si>
    <t>683327249</t>
  </si>
  <si>
    <t>682359366</t>
  </si>
  <si>
    <t>no barcode</t>
  </si>
  <si>
    <t>683279571</t>
  </si>
  <si>
    <t>683327230</t>
  </si>
  <si>
    <t>673546517</t>
  </si>
  <si>
    <t>673540692</t>
  </si>
  <si>
    <t>683325214</t>
  </si>
  <si>
    <t>11207</t>
  </si>
  <si>
    <t>673544290</t>
  </si>
  <si>
    <t>683326091</t>
  </si>
  <si>
    <t>672403251</t>
  </si>
  <si>
    <t>1121</t>
  </si>
  <si>
    <t>673539234</t>
  </si>
  <si>
    <t>682359348</t>
  </si>
  <si>
    <t>11211</t>
  </si>
  <si>
    <t>673540391</t>
  </si>
  <si>
    <t>673544689</t>
  </si>
  <si>
    <t>673544670</t>
  </si>
  <si>
    <t>673544722</t>
  </si>
  <si>
    <t>673544777</t>
  </si>
  <si>
    <t>673544704</t>
  </si>
  <si>
    <t>673544643</t>
  </si>
  <si>
    <t>12344319890</t>
  </si>
  <si>
    <t>672401208</t>
  </si>
  <si>
    <t>673544731</t>
  </si>
  <si>
    <t>673544838</t>
  </si>
  <si>
    <t>673544652</t>
  </si>
  <si>
    <t>673544740</t>
  </si>
  <si>
    <t>673544759</t>
  </si>
  <si>
    <t>11224</t>
  </si>
  <si>
    <t>673544786</t>
  </si>
  <si>
    <t>673544801</t>
  </si>
  <si>
    <t>673544661</t>
  </si>
  <si>
    <t>i19827</t>
  </si>
  <si>
    <t>683324437</t>
  </si>
  <si>
    <t>673544829</t>
  </si>
  <si>
    <t>11230</t>
  </si>
  <si>
    <t>683324473</t>
  </si>
  <si>
    <t>683321449</t>
  </si>
  <si>
    <t>683327179</t>
  </si>
  <si>
    <t>683324491</t>
  </si>
  <si>
    <t>2026000462</t>
  </si>
  <si>
    <t>683321944</t>
  </si>
  <si>
    <t>683321953</t>
  </si>
  <si>
    <t>683324419</t>
  </si>
  <si>
    <t>672403215</t>
  </si>
  <si>
    <t>1124</t>
  </si>
  <si>
    <t>683324428</t>
  </si>
  <si>
    <t>683269574</t>
  </si>
  <si>
    <t>11241</t>
  </si>
  <si>
    <t>672403011</t>
  </si>
  <si>
    <t>11243</t>
  </si>
  <si>
    <t>683327160</t>
  </si>
  <si>
    <t>11244</t>
  </si>
  <si>
    <t>683326107</t>
  </si>
  <si>
    <t>682367231</t>
  </si>
  <si>
    <t>11246</t>
  </si>
  <si>
    <t>683329751</t>
  </si>
  <si>
    <t>11247</t>
  </si>
  <si>
    <t>2026000420</t>
  </si>
  <si>
    <t>683269565</t>
  </si>
  <si>
    <t>11249</t>
  </si>
  <si>
    <t>NOT ASIGNED YET</t>
  </si>
  <si>
    <t>1125</t>
  </si>
  <si>
    <t>2026000403</t>
  </si>
  <si>
    <t>11250</t>
  </si>
  <si>
    <t>683326134</t>
  </si>
  <si>
    <t>683279580</t>
  </si>
  <si>
    <t>11252</t>
  </si>
  <si>
    <t>682456508</t>
  </si>
  <si>
    <t>11253</t>
  </si>
  <si>
    <t>11254</t>
  </si>
  <si>
    <t>2026000367</t>
  </si>
  <si>
    <t>11255</t>
  </si>
  <si>
    <t>683324482</t>
  </si>
  <si>
    <t>683321935</t>
  </si>
  <si>
    <t>682368319</t>
  </si>
  <si>
    <t>683322527</t>
  </si>
  <si>
    <t>683329335</t>
  </si>
  <si>
    <t>11261</t>
  </si>
  <si>
    <t>683325287</t>
  </si>
  <si>
    <t>683325199</t>
  </si>
  <si>
    <t>683325241</t>
  </si>
  <si>
    <t>11265</t>
  </si>
  <si>
    <t>683322572</t>
  </si>
  <si>
    <t>11266</t>
  </si>
  <si>
    <t>2026000418</t>
  </si>
  <si>
    <t>11267</t>
  </si>
  <si>
    <t>682368337</t>
  </si>
  <si>
    <t>11268</t>
  </si>
  <si>
    <t>683322590</t>
  </si>
  <si>
    <t>2026000406</t>
  </si>
  <si>
    <t>683322615</t>
  </si>
  <si>
    <t>11270</t>
  </si>
  <si>
    <t>683324048</t>
  </si>
  <si>
    <t>11271</t>
  </si>
  <si>
    <t>683326143</t>
  </si>
  <si>
    <t>683329186</t>
  </si>
  <si>
    <t>11273</t>
  </si>
  <si>
    <t>682456599</t>
  </si>
  <si>
    <t>683321917</t>
  </si>
  <si>
    <t>683324002</t>
  </si>
  <si>
    <t>11276</t>
  </si>
  <si>
    <t>683271807</t>
  </si>
  <si>
    <t>11277</t>
  </si>
  <si>
    <t>683324464</t>
  </si>
  <si>
    <t>2026000359</t>
  </si>
  <si>
    <t>11279</t>
  </si>
  <si>
    <t>2026000360</t>
  </si>
  <si>
    <t>2026000461</t>
  </si>
  <si>
    <t>697120485</t>
  </si>
  <si>
    <t>683330067</t>
  </si>
  <si>
    <t>683325296</t>
  </si>
  <si>
    <t>11283</t>
  </si>
  <si>
    <t>683325311</t>
  </si>
  <si>
    <t>11284</t>
  </si>
  <si>
    <t>683327212</t>
  </si>
  <si>
    <t>11285</t>
  </si>
  <si>
    <t>682456553</t>
  </si>
  <si>
    <t>683325773</t>
  </si>
  <si>
    <t>683324011</t>
  </si>
  <si>
    <t>683327188</t>
  </si>
  <si>
    <t>11289</t>
  </si>
  <si>
    <t>682365215</t>
  </si>
  <si>
    <t>682459815</t>
  </si>
  <si>
    <t>683320574</t>
  </si>
  <si>
    <t>11291</t>
  </si>
  <si>
    <t>682461777</t>
  </si>
  <si>
    <t>682456580</t>
  </si>
  <si>
    <t>11293</t>
  </si>
  <si>
    <t>Nomor Baru</t>
  </si>
  <si>
    <t>682456614</t>
  </si>
  <si>
    <t>682456544</t>
  </si>
  <si>
    <t>682368328</t>
  </si>
  <si>
    <t>11297</t>
  </si>
  <si>
    <t>682457154</t>
  </si>
  <si>
    <t>682457145</t>
  </si>
  <si>
    <t>672401253</t>
  </si>
  <si>
    <t>640700366</t>
  </si>
  <si>
    <t>682457206</t>
  </si>
  <si>
    <t>11301</t>
  </si>
  <si>
    <t>682457172</t>
  </si>
  <si>
    <t>682461810</t>
  </si>
  <si>
    <t>682457215</t>
  </si>
  <si>
    <t>682457163</t>
  </si>
  <si>
    <t>2026000421</t>
  </si>
  <si>
    <t>682457190</t>
  </si>
  <si>
    <t>696403813</t>
  </si>
  <si>
    <t>11308</t>
  </si>
  <si>
    <t>11309</t>
  </si>
  <si>
    <t>2026000372</t>
  </si>
  <si>
    <t>696408100</t>
  </si>
  <si>
    <t>2026000417</t>
  </si>
  <si>
    <t>11311</t>
  </si>
  <si>
    <t>2026000404</t>
  </si>
  <si>
    <t>11312</t>
  </si>
  <si>
    <t>2026000477</t>
  </si>
  <si>
    <t>2026000430</t>
  </si>
  <si>
    <t>11315</t>
  </si>
  <si>
    <t>2026000366</t>
  </si>
  <si>
    <t>2026000443</t>
  </si>
  <si>
    <t>696411195</t>
  </si>
  <si>
    <t>672401217</t>
  </si>
  <si>
    <t>1132</t>
  </si>
  <si>
    <t>1425363</t>
  </si>
  <si>
    <t>11320</t>
  </si>
  <si>
    <t>112563</t>
  </si>
  <si>
    <t>11321</t>
  </si>
  <si>
    <t>1125366</t>
  </si>
  <si>
    <t>2026000442</t>
  </si>
  <si>
    <t>2026000447</t>
  </si>
  <si>
    <t>1425136</t>
  </si>
  <si>
    <t>11325</t>
  </si>
  <si>
    <t>2026000485</t>
  </si>
  <si>
    <t>2026000429</t>
  </si>
  <si>
    <t>111111111</t>
  </si>
  <si>
    <t>696411186</t>
  </si>
  <si>
    <t>682368364</t>
  </si>
  <si>
    <t>2026000370</t>
  </si>
  <si>
    <t>2026000438</t>
  </si>
  <si>
    <t>683327151</t>
  </si>
  <si>
    <t>672401147</t>
  </si>
  <si>
    <t>683274822</t>
  </si>
  <si>
    <t>682364076</t>
  </si>
  <si>
    <t>1137</t>
  </si>
  <si>
    <t>2026000441</t>
  </si>
  <si>
    <t>672401323</t>
  </si>
  <si>
    <t>1139</t>
  </si>
  <si>
    <t>682364182</t>
  </si>
  <si>
    <t>1140</t>
  </si>
  <si>
    <t>672401262</t>
  </si>
  <si>
    <t>672401235</t>
  </si>
  <si>
    <t>672403233</t>
  </si>
  <si>
    <t>1143</t>
  </si>
  <si>
    <t>672401129</t>
  </si>
  <si>
    <t>2026000371</t>
  </si>
  <si>
    <t>2026000399</t>
  </si>
  <si>
    <t>672401101</t>
  </si>
  <si>
    <t>672403242</t>
  </si>
  <si>
    <t>1149</t>
  </si>
  <si>
    <t>672401305</t>
  </si>
  <si>
    <t>1150</t>
  </si>
  <si>
    <t>673544564</t>
  </si>
  <si>
    <t>1151</t>
  </si>
  <si>
    <t>683268867</t>
  </si>
  <si>
    <t>673541178</t>
  </si>
  <si>
    <t>673540717</t>
  </si>
  <si>
    <t>673544306</t>
  </si>
  <si>
    <t>1156</t>
  </si>
  <si>
    <t>682457181</t>
  </si>
  <si>
    <t>2026000416</t>
  </si>
  <si>
    <t>673544713</t>
  </si>
  <si>
    <t>112233</t>
  </si>
  <si>
    <t>672406373</t>
  </si>
  <si>
    <t>673544810</t>
  </si>
  <si>
    <t>683329177</t>
  </si>
  <si>
    <t>673540674</t>
  </si>
  <si>
    <t>673540708</t>
  </si>
  <si>
    <t>673540346</t>
  </si>
  <si>
    <t>672406364</t>
  </si>
  <si>
    <t>2026000400</t>
  </si>
  <si>
    <t>1173</t>
  </si>
  <si>
    <t>2026000446</t>
  </si>
  <si>
    <t>1176</t>
  </si>
  <si>
    <t>2026000373</t>
  </si>
  <si>
    <t>673546702</t>
  </si>
  <si>
    <t>2026000401</t>
  </si>
  <si>
    <t>683330678</t>
  </si>
  <si>
    <t>683321908</t>
  </si>
  <si>
    <t>1185</t>
  </si>
  <si>
    <t>673540382</t>
  </si>
  <si>
    <t>683276079</t>
  </si>
  <si>
    <t>682361431</t>
  </si>
  <si>
    <t>673545396</t>
  </si>
  <si>
    <t>672405781</t>
  </si>
  <si>
    <t>683320963</t>
  </si>
  <si>
    <t>673540489</t>
  </si>
  <si>
    <t>1192</t>
  </si>
  <si>
    <t>683273203</t>
  </si>
  <si>
    <t>682457613</t>
  </si>
  <si>
    <t>683268885</t>
  </si>
  <si>
    <t>682456562</t>
  </si>
  <si>
    <t>672406036</t>
  </si>
  <si>
    <t>683329122</t>
  </si>
  <si>
    <t>Di alihkan N2</t>
  </si>
  <si>
    <t>683271728</t>
  </si>
  <si>
    <t>683270613</t>
  </si>
  <si>
    <t>683275070</t>
  </si>
  <si>
    <t>682367189</t>
  </si>
  <si>
    <t>2026000469</t>
  </si>
  <si>
    <t>12008</t>
  </si>
  <si>
    <t>682363253</t>
  </si>
  <si>
    <t>Di alihkan O2</t>
  </si>
  <si>
    <t>683270622</t>
  </si>
  <si>
    <t>12011</t>
  </si>
  <si>
    <t>683275760</t>
  </si>
  <si>
    <t>683270677</t>
  </si>
  <si>
    <t>12013</t>
  </si>
  <si>
    <t>683270756</t>
  </si>
  <si>
    <t>12014</t>
  </si>
  <si>
    <t>683274965</t>
  </si>
  <si>
    <t>12015</t>
  </si>
  <si>
    <t>2026000468</t>
  </si>
  <si>
    <t>682364322</t>
  </si>
  <si>
    <t>12017</t>
  </si>
  <si>
    <t>683275618</t>
  </si>
  <si>
    <t>683270765</t>
  </si>
  <si>
    <t>12020</t>
  </si>
  <si>
    <t>683270668</t>
  </si>
  <si>
    <t>12021</t>
  </si>
  <si>
    <t>683327753</t>
  </si>
  <si>
    <t>12024</t>
  </si>
  <si>
    <t>12025</t>
  </si>
  <si>
    <t>12026</t>
  </si>
  <si>
    <t>683271524</t>
  </si>
  <si>
    <t>683271515</t>
  </si>
  <si>
    <t>Di alihkan CO2</t>
  </si>
  <si>
    <t>12029</t>
  </si>
  <si>
    <t>683269680</t>
  </si>
  <si>
    <t>12030</t>
  </si>
  <si>
    <t>683275663</t>
  </si>
  <si>
    <t>12032</t>
  </si>
  <si>
    <t>2026000467</t>
  </si>
  <si>
    <t>12033</t>
  </si>
  <si>
    <t>2026000452</t>
  </si>
  <si>
    <t>12034</t>
  </si>
  <si>
    <t>2026000451</t>
  </si>
  <si>
    <t>12035</t>
  </si>
  <si>
    <t>683327762</t>
  </si>
  <si>
    <t>12037</t>
  </si>
  <si>
    <t>683274983</t>
  </si>
  <si>
    <t>12039</t>
  </si>
  <si>
    <t>683271773</t>
  </si>
  <si>
    <t>683270640</t>
  </si>
  <si>
    <t>682462086</t>
  </si>
  <si>
    <t>683271755</t>
  </si>
  <si>
    <t>683274947</t>
  </si>
  <si>
    <t>683274938</t>
  </si>
  <si>
    <t>12047</t>
  </si>
  <si>
    <t>12048</t>
  </si>
  <si>
    <t>683271764</t>
  </si>
  <si>
    <t>683275779</t>
  </si>
  <si>
    <t>12051</t>
  </si>
  <si>
    <t>12052</t>
  </si>
  <si>
    <t>683275654</t>
  </si>
  <si>
    <t>12054</t>
  </si>
  <si>
    <t>683271791</t>
  </si>
  <si>
    <t>2026000470</t>
  </si>
  <si>
    <t>12057</t>
  </si>
  <si>
    <t>2026000453</t>
  </si>
  <si>
    <t>683271782</t>
  </si>
  <si>
    <t>12060</t>
  </si>
  <si>
    <t>683275645</t>
  </si>
  <si>
    <t>12061</t>
  </si>
  <si>
    <t>683269626</t>
  </si>
  <si>
    <t>12063</t>
  </si>
  <si>
    <t>683274956</t>
  </si>
  <si>
    <t>12064</t>
  </si>
  <si>
    <t>683270659</t>
  </si>
  <si>
    <t>12065</t>
  </si>
  <si>
    <t>683269635</t>
  </si>
  <si>
    <t>12066</t>
  </si>
  <si>
    <t>12067</t>
  </si>
  <si>
    <t>12068</t>
  </si>
  <si>
    <t>683274974</t>
  </si>
  <si>
    <t>683275636</t>
  </si>
  <si>
    <t>12070</t>
  </si>
  <si>
    <t>12071</t>
  </si>
  <si>
    <t>683275609</t>
  </si>
  <si>
    <t>682462095</t>
  </si>
  <si>
    <t>12074</t>
  </si>
  <si>
    <t>12075</t>
  </si>
  <si>
    <t>12076</t>
  </si>
  <si>
    <t>683328372</t>
  </si>
  <si>
    <t>683329168</t>
  </si>
  <si>
    <t>12078</t>
  </si>
  <si>
    <t>12079</t>
  </si>
  <si>
    <t>12080</t>
  </si>
  <si>
    <t>12081</t>
  </si>
  <si>
    <t>12083</t>
  </si>
  <si>
    <t>123472111</t>
  </si>
  <si>
    <t>12095</t>
  </si>
  <si>
    <t>683319204</t>
  </si>
  <si>
    <t>683330702</t>
  </si>
  <si>
    <t>683330687</t>
  </si>
  <si>
    <t>2026000481</t>
  </si>
  <si>
    <t>682364359</t>
  </si>
  <si>
    <t>682361006</t>
  </si>
  <si>
    <t>682456225</t>
  </si>
  <si>
    <t>683279395</t>
  </si>
  <si>
    <t>2026000484</t>
  </si>
  <si>
    <t>682366719</t>
  </si>
  <si>
    <t>696408207</t>
  </si>
  <si>
    <t>13019</t>
  </si>
  <si>
    <t>2026000363</t>
  </si>
  <si>
    <t>2026000423</t>
  </si>
  <si>
    <t>683330696</t>
  </si>
  <si>
    <t>696411168</t>
  </si>
  <si>
    <t>2026000426</t>
  </si>
  <si>
    <t>2026000482</t>
  </si>
  <si>
    <t>2026000450</t>
  </si>
  <si>
    <t>2026000434</t>
  </si>
  <si>
    <t>2026000449</t>
  </si>
  <si>
    <t>672403136</t>
  </si>
  <si>
    <t>13036</t>
  </si>
  <si>
    <t>696408094</t>
  </si>
  <si>
    <t>696408058</t>
  </si>
  <si>
    <t>2026000369</t>
  </si>
  <si>
    <t>2026000364</t>
  </si>
  <si>
    <t>2026000435</t>
  </si>
  <si>
    <t>13044</t>
  </si>
  <si>
    <t>2026000361</t>
  </si>
  <si>
    <t>13045</t>
  </si>
  <si>
    <t>2026000437</t>
  </si>
  <si>
    <t>696409011</t>
  </si>
  <si>
    <t>2026000488</t>
  </si>
  <si>
    <t>696409048</t>
  </si>
  <si>
    <t>696408067</t>
  </si>
  <si>
    <t>123455</t>
  </si>
  <si>
    <t>2026000422</t>
  </si>
  <si>
    <t>11234556</t>
  </si>
  <si>
    <t>13054</t>
  </si>
  <si>
    <t>2026000362</t>
  </si>
  <si>
    <t>13055</t>
  </si>
  <si>
    <t>696411177</t>
  </si>
  <si>
    <t>13056</t>
  </si>
  <si>
    <t>2026000427</t>
  </si>
  <si>
    <t>2026000483</t>
  </si>
  <si>
    <t>111111</t>
  </si>
  <si>
    <t>13059</t>
  </si>
  <si>
    <t>112222</t>
  </si>
  <si>
    <t>13060</t>
  </si>
  <si>
    <t>1122233</t>
  </si>
  <si>
    <t>2026000436</t>
  </si>
  <si>
    <t>221111223</t>
  </si>
  <si>
    <t>13063</t>
  </si>
  <si>
    <t>682368373</t>
  </si>
  <si>
    <t>673539243</t>
  </si>
  <si>
    <t>673539410</t>
  </si>
  <si>
    <t>0002</t>
  </si>
  <si>
    <t>11124622</t>
  </si>
  <si>
    <t>11332</t>
  </si>
  <si>
    <t>No Baru</t>
  </si>
  <si>
    <t>2026000480</t>
  </si>
  <si>
    <t>14426585</t>
  </si>
  <si>
    <t>11334</t>
  </si>
  <si>
    <t>2026000479</t>
  </si>
  <si>
    <t>11452635</t>
  </si>
  <si>
    <t>11336</t>
  </si>
  <si>
    <t>2026000439</t>
  </si>
  <si>
    <t>11337</t>
  </si>
  <si>
    <t>2026000478</t>
  </si>
  <si>
    <t>111425638</t>
  </si>
  <si>
    <t>11339</t>
  </si>
  <si>
    <t>683326161</t>
  </si>
  <si>
    <t>11340</t>
  </si>
  <si>
    <t>223265</t>
  </si>
  <si>
    <t>222365</t>
  </si>
  <si>
    <t>22236596</t>
  </si>
  <si>
    <t>0008</t>
  </si>
  <si>
    <t>778890</t>
  </si>
  <si>
    <t>2026000476</t>
  </si>
  <si>
    <t>2026000500</t>
  </si>
  <si>
    <t>2026000474</t>
  </si>
  <si>
    <t>2026000475</t>
  </si>
  <si>
    <t>7005</t>
  </si>
  <si>
    <t>2026000472</t>
  </si>
  <si>
    <t>7006</t>
  </si>
  <si>
    <t>2026000473</t>
  </si>
  <si>
    <t>682367222</t>
  </si>
  <si>
    <t>1163</t>
  </si>
  <si>
    <t>673543051</t>
  </si>
  <si>
    <t>2026000465</t>
  </si>
  <si>
    <t>14005</t>
  </si>
  <si>
    <t>2026000464</t>
  </si>
  <si>
    <t>14002</t>
  </si>
  <si>
    <t>2026000463</t>
  </si>
  <si>
    <t>14003</t>
  </si>
  <si>
    <t>696407235</t>
  </si>
  <si>
    <t>2026000466</t>
  </si>
  <si>
    <t>14004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</si>
  <si>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</si>
  <si>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</si>
  <si>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</si>
  <si>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</si>
  <si>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</si>
  <si>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</si>
  <si>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</si>
  <si>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</si>
  <si>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</si>
  <si>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LL003</t>
  </si>
  <si>
    <t>LL004</t>
  </si>
  <si>
    <t>LL005</t>
  </si>
  <si>
    <t>LL006</t>
  </si>
  <si>
    <t>LL007</t>
  </si>
  <si>
    <t>LL008</t>
  </si>
  <si>
    <t>LL009</t>
  </si>
  <si>
    <t>00010</t>
  </si>
  <si>
    <t>LL0010</t>
  </si>
  <si>
    <t>00011</t>
  </si>
  <si>
    <t>LL0011</t>
  </si>
  <si>
    <t>682456517</t>
  </si>
  <si>
    <t>673544698</t>
  </si>
  <si>
    <t>11342</t>
  </si>
  <si>
    <t>Nomor baru</t>
  </si>
  <si>
    <t>2026000499</t>
  </si>
  <si>
    <t>11112333</t>
  </si>
  <si>
    <t>2026000428</t>
  </si>
  <si>
    <t>672401244</t>
  </si>
  <si>
    <t>696410725</t>
  </si>
  <si>
    <t>11343</t>
  </si>
  <si>
    <t>2026000455</t>
  </si>
  <si>
    <t>11344</t>
  </si>
  <si>
    <t>683275584</t>
  </si>
  <si>
    <t>11345</t>
  </si>
  <si>
    <t>2026000456</t>
  </si>
  <si>
    <t>1425639</t>
  </si>
  <si>
    <t>2026000486</t>
  </si>
  <si>
    <t>11452639</t>
  </si>
  <si>
    <t>Botol JA</t>
  </si>
  <si>
    <t>12549632</t>
  </si>
  <si>
    <t>2026000448</t>
  </si>
  <si>
    <t>2026000498</t>
  </si>
  <si>
    <t>11357</t>
  </si>
  <si>
    <t>2026000497</t>
  </si>
  <si>
    <t>11358</t>
  </si>
  <si>
    <t>2026000496</t>
  </si>
  <si>
    <t>11352</t>
  </si>
  <si>
    <t>2026000495</t>
  </si>
  <si>
    <t>11353</t>
  </si>
  <si>
    <t>2026000494</t>
  </si>
  <si>
    <t>11354</t>
  </si>
  <si>
    <t>2026000493</t>
  </si>
  <si>
    <t>11355</t>
  </si>
  <si>
    <t>2026000489</t>
  </si>
  <si>
    <t>2026000490</t>
  </si>
  <si>
    <t>11350</t>
  </si>
  <si>
    <t>2026000491</t>
  </si>
  <si>
    <t>11349</t>
  </si>
  <si>
    <t>2026000492</t>
  </si>
  <si>
    <t>11356</t>
  </si>
  <si>
    <t>784522663</t>
  </si>
  <si>
    <t>Botol PG relasi</t>
  </si>
  <si>
    <t>2026000433</t>
  </si>
  <si>
    <t>2026000432</t>
  </si>
  <si>
    <t>2026000431</t>
  </si>
  <si>
    <t>000021</t>
  </si>
  <si>
    <t>000022</t>
  </si>
  <si>
    <t>2026000415</t>
  </si>
  <si>
    <t>2026000414</t>
  </si>
  <si>
    <t>13072</t>
  </si>
  <si>
    <t>2026000413</t>
  </si>
  <si>
    <t>13073</t>
  </si>
  <si>
    <t>2026000411</t>
  </si>
  <si>
    <t>2026000412</t>
  </si>
  <si>
    <t>1448243232</t>
  </si>
  <si>
    <t>56</t>
  </si>
  <si>
    <t>sementara</t>
  </si>
  <si>
    <t>683325205</t>
  </si>
  <si>
    <t>1160</t>
  </si>
  <si>
    <t>683325180</t>
  </si>
  <si>
    <t>11264</t>
  </si>
  <si>
    <t>2026000394</t>
  </si>
  <si>
    <t>2026000397</t>
  </si>
  <si>
    <t>2026000395</t>
  </si>
  <si>
    <t>2026000398</t>
  </si>
  <si>
    <t>11362</t>
  </si>
  <si>
    <t>2026000396</t>
  </si>
  <si>
    <t>2026000393</t>
  </si>
  <si>
    <t>11364</t>
  </si>
  <si>
    <t>2026000392</t>
  </si>
  <si>
    <t>11367</t>
  </si>
  <si>
    <t>2026000391</t>
  </si>
  <si>
    <t>11365</t>
  </si>
  <si>
    <t>2026000390</t>
  </si>
  <si>
    <t>11366</t>
  </si>
  <si>
    <t>2026000389</t>
  </si>
  <si>
    <t>14526355+</t>
  </si>
  <si>
    <t>botol tmn cak gik</t>
  </si>
  <si>
    <t>2026000388</t>
  </si>
  <si>
    <t>11372</t>
  </si>
  <si>
    <t>2026000387</t>
  </si>
  <si>
    <t>2026000386</t>
  </si>
  <si>
    <t>11373</t>
  </si>
  <si>
    <t>2026000384</t>
  </si>
  <si>
    <t>2026000385</t>
  </si>
  <si>
    <t>11370</t>
  </si>
  <si>
    <t>2026000383</t>
  </si>
  <si>
    <t>11369</t>
  </si>
  <si>
    <t>2026000379</t>
  </si>
  <si>
    <t>11382</t>
  </si>
  <si>
    <t>2026000374</t>
  </si>
  <si>
    <t>2026000380</t>
  </si>
  <si>
    <t>11375</t>
  </si>
  <si>
    <t>2026000375</t>
  </si>
  <si>
    <t>11380</t>
  </si>
  <si>
    <t>2026000377</t>
  </si>
  <si>
    <t>11378</t>
  </si>
  <si>
    <t>2026000381</t>
  </si>
  <si>
    <t>11377</t>
  </si>
  <si>
    <t>2026000382</t>
  </si>
  <si>
    <t>11376</t>
  </si>
  <si>
    <t>2026000378</t>
  </si>
  <si>
    <t>11379</t>
  </si>
  <si>
    <t>2026000376</t>
  </si>
  <si>
    <t>11383</t>
  </si>
  <si>
    <t>2026000368</t>
  </si>
  <si>
    <t>2026000458</t>
  </si>
  <si>
    <t>11385</t>
  </si>
  <si>
    <t>No Barcode</t>
  </si>
  <si>
    <t>Not Valid</t>
  </si>
  <si>
    <t>11131</t>
  </si>
  <si>
    <t>11386</t>
  </si>
  <si>
    <t>11387</t>
  </si>
  <si>
    <t>11388</t>
  </si>
  <si>
    <t>11390</t>
  </si>
  <si>
    <t>2026000358</t>
  </si>
  <si>
    <t>11392</t>
  </si>
  <si>
    <t>11393</t>
  </si>
  <si>
    <t>11395</t>
  </si>
  <si>
    <t>BAS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</si>
  <si>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</si>
  <si>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</si>
  <si>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</si>
  <si>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</si>
  <si>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</si>
  <si>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</si>
  <si>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</si>
  <si>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</si>
  <si>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</si>
  <si>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</si>
  <si>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1175</t>
  </si>
  <si>
    <t>Nobarcode</t>
  </si>
  <si>
    <t>itemPrice</t>
  </si>
  <si>
    <t>Mas Farid LPG</t>
  </si>
  <si>
    <t>Bpk. Roby MJA</t>
  </si>
  <si>
    <t>PT. Toya Indo Manunggal</t>
  </si>
  <si>
    <t>Bpk. Nawawi</t>
  </si>
  <si>
    <t>logId</t>
  </si>
  <si>
    <t>files</t>
  </si>
  <si>
    <t>036d5818</t>
  </si>
  <si>
    <t>9ed4f439</t>
  </si>
  <si>
    <t>7073fdee</t>
  </si>
  <si>
    <t>d863ae75</t>
  </si>
  <si>
    <t>8645590e</t>
  </si>
  <si>
    <t>bbcc3baf</t>
  </si>
  <si>
    <t>91aff36c</t>
  </si>
  <si>
    <t>bf43ac47</t>
  </si>
  <si>
    <t>c5a02c53</t>
  </si>
  <si>
    <t>39b07543</t>
  </si>
  <si>
    <t>94458b0f</t>
  </si>
  <si>
    <t>e51db3e1</t>
  </si>
  <si>
    <t>a9ebbb15</t>
  </si>
  <si>
    <t>7be6e91f</t>
  </si>
  <si>
    <t>ff4d8eb5</t>
  </si>
  <si>
    <t>75b4dc3c</t>
  </si>
  <si>
    <t>07c906f6</t>
  </si>
  <si>
    <t>d805074a</t>
  </si>
  <si>
    <t>bcc19cf6</t>
  </si>
  <si>
    <t>353a80f6</t>
  </si>
  <si>
    <t>d2960f19</t>
  </si>
  <si>
    <t>5418247f</t>
  </si>
  <si>
    <t>d5c96003</t>
  </si>
  <si>
    <t>inboundDatetime</t>
  </si>
  <si>
    <t>circulationStartDate</t>
  </si>
  <si>
    <t>circulationEndDate</t>
  </si>
  <si>
    <t>yearSelected</t>
  </si>
  <si>
    <t>DASHBOARDCONTROLLER</t>
  </si>
  <si>
    <t>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</si>
</sst>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 h:mm:ss"/>
    <numFmt numFmtId="165" formatCode="M/d/yyyy H:mm:ss"/>
    <numFmt numFmtId="166" formatCode="[$Rp       ]#,##0.00"/>
    <numFmt numFmtId="167" formatCode="d mmm yyyy"/>
    <numFmt numFmtId="168" formatCode="m/d/yyyy"/>
    <numFmt numFmtId="169" formatCode="dd mmm yyyy"/>
    <numFmt numFmtId="170" formatCode="d mmmm yyyy"/>
    <numFmt numFmtId="171" formatCode="mm dd"/>
    <numFmt numFmtId="172" formatCode="dd mmmm yyyy"/>
    <numFmt numFmtId="173" formatCode="yyyy 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0"/>
    </xf>
    <xf quotePrefix="1" borderId="0" fillId="0" fontId="1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49" xfId="0" applyAlignment="1" applyFont="1" applyNumberFormat="1">
      <alignment readingOrder="0" shrinkToFit="0" wrapText="0"/>
    </xf>
    <xf borderId="0" fillId="0" fontId="1" numFmtId="165" xfId="0" applyAlignment="1" applyFont="1" applyNumberFormat="1">
      <alignment readingOrder="0"/>
    </xf>
    <xf borderId="0" fillId="2" fontId="3" numFmtId="0" xfId="0" applyAlignment="1" applyFont="1">
      <alignment readingOrder="0" vertical="bottom"/>
    </xf>
    <xf borderId="0" fillId="2" fontId="3" numFmtId="1" xfId="0" applyAlignment="1" applyFont="1" applyNumberFormat="1">
      <alignment horizontal="right" readingOrder="0" vertical="bottom"/>
    </xf>
    <xf borderId="0" fillId="2" fontId="3" numFmtId="0" xfId="0" applyAlignment="1" applyFont="1">
      <alignment horizontal="right" readingOrder="0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shrinkToFit="0" wrapText="0"/>
    </xf>
    <xf borderId="0" fillId="2" fontId="3" numFmtId="0" xfId="0" applyAlignment="1" applyFont="1">
      <alignment horizontal="right" vertical="bottom"/>
    </xf>
    <xf borderId="0" fillId="2" fontId="3" numFmtId="0" xfId="0" applyAlignment="1" applyFont="1">
      <alignment horizontal="center" vertical="bottom"/>
    </xf>
    <xf quotePrefix="1" borderId="0" fillId="0" fontId="1" numFmtId="0" xfId="0" applyFont="1"/>
    <xf quotePrefix="1" borderId="0" fillId="0" fontId="1" numFmtId="49" xfId="0" applyAlignment="1" applyFont="1" applyNumberFormat="1">
      <alignment readingOrder="0" shrinkToFit="0" wrapText="0"/>
    </xf>
    <xf borderId="0" fillId="3" fontId="3" numFmtId="0" xfId="0" applyAlignment="1" applyFill="1" applyFont="1">
      <alignment vertical="bottom"/>
    </xf>
    <xf borderId="0" fillId="2" fontId="3" numFmtId="49" xfId="0" applyAlignment="1" applyFont="1" applyNumberFormat="1">
      <alignment horizontal="right" readingOrder="0" shrinkToFit="0" vertical="bottom" wrapText="0"/>
    </xf>
    <xf borderId="0" fillId="2" fontId="3" numFmtId="0" xfId="0" applyAlignment="1" applyFont="1">
      <alignment vertical="bottom"/>
    </xf>
    <xf borderId="0" fillId="2" fontId="1" numFmtId="0" xfId="0" applyFont="1"/>
    <xf borderId="0" fillId="0" fontId="1" numFmtId="49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" xfId="0" applyFont="1" applyNumberFormat="1"/>
    <xf borderId="0" fillId="0" fontId="1" numFmtId="166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2" fontId="3" numFmtId="0" xfId="0" applyAlignment="1" applyFont="1">
      <alignment vertical="bottom"/>
    </xf>
    <xf quotePrefix="1"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2" fontId="4" numFmtId="0" xfId="0" applyAlignment="1" applyFont="1">
      <alignment horizontal="center" readingOrder="0"/>
    </xf>
    <xf borderId="0" fillId="2" fontId="4" numFmtId="49" xfId="0" applyAlignment="1" applyFont="1" applyNumberFormat="1">
      <alignment horizontal="center" readingOrder="0"/>
    </xf>
    <xf borderId="0" fillId="2" fontId="2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quotePrefix="1" borderId="0" fillId="2" fontId="3" numFmtId="49" xfId="0" applyAlignment="1" applyFont="1" applyNumberFormat="1">
      <alignment readingOrder="0" vertical="bottom"/>
    </xf>
    <xf borderId="0" fillId="2" fontId="3" numFmtId="164" xfId="0" applyAlignment="1" applyFont="1" applyNumberFormat="1">
      <alignment horizontal="right" readingOrder="0" vertical="bottom"/>
    </xf>
    <xf borderId="0" fillId="2" fontId="3" numFmtId="168" xfId="0" applyAlignment="1" applyFont="1" applyNumberFormat="1">
      <alignment readingOrder="0" vertical="bottom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2" fontId="3" numFmtId="49" xfId="0" applyAlignment="1" applyFont="1" applyNumberFormat="1">
      <alignment readingOrder="0" vertical="bottom"/>
    </xf>
    <xf borderId="0" fillId="2" fontId="3" numFmtId="168" xfId="0" applyAlignment="1" applyFont="1" applyNumberFormat="1">
      <alignment horizontal="right" readingOrder="0" vertical="bottom"/>
    </xf>
    <xf quotePrefix="1" borderId="0" fillId="2" fontId="3" numFmtId="0" xfId="0" applyAlignment="1" applyFont="1">
      <alignment readingOrder="0" vertical="bottom"/>
    </xf>
    <xf borderId="0" fillId="2" fontId="3" numFmtId="171" xfId="0" applyAlignment="1" applyFont="1" applyNumberFormat="1">
      <alignment readingOrder="0" vertical="bottom"/>
    </xf>
    <xf borderId="0" fillId="2" fontId="3" numFmtId="165" xfId="0" applyAlignment="1" applyFont="1" applyNumberFormat="1">
      <alignment horizontal="center" readingOrder="0" vertical="bottom"/>
    </xf>
    <xf borderId="0" fillId="0" fontId="1" numFmtId="172" xfId="0" applyAlignment="1" applyFont="1" applyNumberFormat="1">
      <alignment readingOrder="0"/>
    </xf>
    <xf borderId="0" fillId="2" fontId="3" numFmtId="49" xfId="0" applyAlignment="1" applyFont="1" applyNumberFormat="1">
      <alignment horizontal="right" readingOrder="0" vertical="bottom"/>
    </xf>
    <xf borderId="0" fillId="2" fontId="3" numFmtId="173" xfId="0" applyAlignment="1" applyFont="1" applyNumberFormat="1">
      <alignment readingOrder="0" vertical="bottom"/>
    </xf>
    <xf borderId="0" fillId="2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164" xfId="0" applyFont="1" applyNumberFormat="1"/>
    <xf borderId="0" fillId="0" fontId="3" numFmtId="0" xfId="0" applyAlignment="1" applyFont="1">
      <alignment readingOrder="0" vertical="bottom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2" pivot="0" name="customerDetails-style">
      <tableStyleElement dxfId="1" type="firstRowStripe"/>
      <tableStyleElement dxfId="2" type="secondRowStripe"/>
    </tableStyle>
    <tableStyle count="3" pivot="0" name="customInv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2:F6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ustomerDetail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L1999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ustomIn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>
      <c r="A2" s="1" t="s">
        <v>12</v>
      </c>
      <c r="B2" s="1" t="s">
        <v>12</v>
      </c>
      <c r="C2" s="5" t="s">
        <v>13</v>
      </c>
      <c r="D2" s="5" t="s">
        <v>14</v>
      </c>
      <c r="E2" s="6">
        <v>45527.407442129625</v>
      </c>
      <c r="F2" s="7" t="s">
        <v>15</v>
      </c>
      <c r="G2" s="5" t="s">
        <v>16</v>
      </c>
      <c r="I2" s="2" t="s">
        <v>17</v>
      </c>
      <c r="K2" s="2" t="s">
        <v>18</v>
      </c>
      <c r="L2" s="2"/>
    </row>
    <row r="3">
      <c r="A3" s="1" t="s">
        <v>19</v>
      </c>
      <c r="B3" s="1" t="s">
        <v>19</v>
      </c>
      <c r="C3" s="5" t="s">
        <v>20</v>
      </c>
      <c r="D3" s="5" t="s">
        <v>21</v>
      </c>
      <c r="E3" s="6">
        <v>45527.43210648149</v>
      </c>
      <c r="F3" s="7" t="s">
        <v>22</v>
      </c>
      <c r="G3" s="5" t="s">
        <v>16</v>
      </c>
      <c r="I3" s="2" t="s">
        <v>17</v>
      </c>
      <c r="J3" s="2"/>
      <c r="K3" s="2" t="s">
        <v>18</v>
      </c>
      <c r="L3" s="2"/>
    </row>
    <row r="4">
      <c r="A4" s="1" t="s">
        <v>23</v>
      </c>
      <c r="B4" s="1" t="s">
        <v>23</v>
      </c>
      <c r="C4" s="5" t="s">
        <v>13</v>
      </c>
      <c r="D4" s="5" t="s">
        <v>14</v>
      </c>
      <c r="E4" s="6">
        <v>45530.43541666667</v>
      </c>
      <c r="F4" s="7" t="s">
        <v>15</v>
      </c>
      <c r="G4" s="5" t="s">
        <v>24</v>
      </c>
      <c r="K4" s="2" t="s">
        <v>18</v>
      </c>
      <c r="L4" s="2"/>
    </row>
    <row r="5">
      <c r="A5" s="1" t="s">
        <v>25</v>
      </c>
      <c r="B5" s="1" t="s">
        <v>25</v>
      </c>
      <c r="C5" s="5" t="s">
        <v>20</v>
      </c>
      <c r="D5" s="5" t="s">
        <v>21</v>
      </c>
      <c r="E5" s="6">
        <v>45530.46597222222</v>
      </c>
      <c r="F5" s="7" t="s">
        <v>22</v>
      </c>
      <c r="G5" s="5" t="s">
        <v>16</v>
      </c>
      <c r="I5" s="2" t="s">
        <v>17</v>
      </c>
      <c r="J5" s="2"/>
      <c r="K5" s="2" t="s">
        <v>18</v>
      </c>
      <c r="L5" s="2"/>
    </row>
    <row r="6">
      <c r="A6" s="1" t="s">
        <v>26</v>
      </c>
      <c r="B6" s="1" t="s">
        <v>26</v>
      </c>
      <c r="C6" s="5" t="s">
        <v>20</v>
      </c>
      <c r="D6" s="5" t="s">
        <v>21</v>
      </c>
      <c r="E6" s="6">
        <v>45530.61184027778</v>
      </c>
      <c r="F6" s="7" t="s">
        <v>22</v>
      </c>
      <c r="G6" s="5" t="s">
        <v>24</v>
      </c>
      <c r="K6" s="2" t="s">
        <v>18</v>
      </c>
      <c r="L6" s="2"/>
    </row>
    <row r="7">
      <c r="A7" s="1" t="s">
        <v>27</v>
      </c>
      <c r="B7" s="1" t="s">
        <v>27</v>
      </c>
      <c r="C7" s="5" t="s">
        <v>28</v>
      </c>
      <c r="D7" s="5" t="s">
        <v>29</v>
      </c>
      <c r="E7" s="6">
        <v>45532.53774305555</v>
      </c>
      <c r="F7" s="7" t="s">
        <v>30</v>
      </c>
      <c r="G7" s="5" t="s">
        <v>16</v>
      </c>
      <c r="K7" s="2" t="s">
        <v>18</v>
      </c>
      <c r="L7" s="2"/>
    </row>
    <row r="8">
      <c r="A8" s="1" t="s">
        <v>31</v>
      </c>
      <c r="B8" s="1" t="s">
        <v>31</v>
      </c>
      <c r="C8" s="5" t="s">
        <v>13</v>
      </c>
      <c r="D8" s="5" t="s">
        <v>14</v>
      </c>
      <c r="E8" s="6">
        <v>45533.55625</v>
      </c>
      <c r="F8" s="7" t="s">
        <v>15</v>
      </c>
      <c r="G8" s="5" t="s">
        <v>24</v>
      </c>
      <c r="K8" s="2" t="s">
        <v>18</v>
      </c>
      <c r="L8" s="2"/>
    </row>
    <row r="9">
      <c r="A9" s="1" t="s">
        <v>32</v>
      </c>
      <c r="B9" s="1" t="s">
        <v>32</v>
      </c>
      <c r="C9" s="5" t="s">
        <v>20</v>
      </c>
      <c r="D9" s="5" t="s">
        <v>21</v>
      </c>
      <c r="E9" s="6">
        <v>45534.42708333333</v>
      </c>
      <c r="F9" s="7" t="s">
        <v>22</v>
      </c>
      <c r="G9" s="5" t="s">
        <v>24</v>
      </c>
      <c r="K9" s="2" t="s">
        <v>18</v>
      </c>
      <c r="L9" s="2"/>
    </row>
    <row r="10">
      <c r="A10" s="1" t="s">
        <v>33</v>
      </c>
      <c r="B10" s="1" t="s">
        <v>33</v>
      </c>
      <c r="C10" s="5" t="s">
        <v>34</v>
      </c>
      <c r="D10" s="5" t="s">
        <v>35</v>
      </c>
      <c r="E10" s="6">
        <v>45535.41667824074</v>
      </c>
      <c r="F10" s="7"/>
      <c r="G10" s="5" t="s">
        <v>16</v>
      </c>
      <c r="K10" s="2" t="s">
        <v>18</v>
      </c>
      <c r="L10" s="2"/>
    </row>
    <row r="11">
      <c r="A11" s="1" t="s">
        <v>36</v>
      </c>
      <c r="B11" s="1" t="s">
        <v>36</v>
      </c>
      <c r="C11" s="5" t="s">
        <v>13</v>
      </c>
      <c r="D11" s="5" t="s">
        <v>14</v>
      </c>
      <c r="E11" s="6">
        <v>45537.46388888889</v>
      </c>
      <c r="F11" s="7" t="s">
        <v>15</v>
      </c>
      <c r="G11" s="5" t="s">
        <v>24</v>
      </c>
      <c r="K11" s="2" t="s">
        <v>18</v>
      </c>
      <c r="L11" s="2"/>
    </row>
    <row r="12">
      <c r="A12" s="1" t="s">
        <v>37</v>
      </c>
      <c r="B12" s="1" t="s">
        <v>37</v>
      </c>
      <c r="C12" s="5" t="s">
        <v>20</v>
      </c>
      <c r="D12" s="5" t="s">
        <v>21</v>
      </c>
      <c r="E12" s="6">
        <v>45537.464583333334</v>
      </c>
      <c r="F12" s="7" t="s">
        <v>22</v>
      </c>
      <c r="G12" s="5" t="s">
        <v>24</v>
      </c>
      <c r="K12" s="2" t="s">
        <v>18</v>
      </c>
      <c r="L12" s="2"/>
    </row>
    <row r="13">
      <c r="A13" s="1" t="s">
        <v>38</v>
      </c>
      <c r="B13" s="1" t="s">
        <v>38</v>
      </c>
      <c r="C13" s="5" t="s">
        <v>39</v>
      </c>
      <c r="D13" s="5" t="s">
        <v>40</v>
      </c>
      <c r="E13" s="6">
        <v>45537.55047453704</v>
      </c>
      <c r="F13" s="7"/>
      <c r="G13" s="5" t="s">
        <v>16</v>
      </c>
      <c r="K13" s="2" t="s">
        <v>18</v>
      </c>
      <c r="L13" s="2"/>
    </row>
    <row r="14">
      <c r="A14" s="1"/>
      <c r="B14" s="1"/>
      <c r="E14" s="6"/>
      <c r="F14" s="7"/>
    </row>
    <row r="15">
      <c r="A15" s="1" t="s">
        <v>41</v>
      </c>
      <c r="B15" s="1" t="s">
        <v>41</v>
      </c>
      <c r="C15" s="5" t="s">
        <v>13</v>
      </c>
      <c r="D15" s="5" t="s">
        <v>14</v>
      </c>
      <c r="E15" s="6">
        <v>45538.438043981485</v>
      </c>
      <c r="F15" s="7" t="s">
        <v>15</v>
      </c>
      <c r="G15" s="5" t="s">
        <v>16</v>
      </c>
      <c r="I15" s="2" t="s">
        <v>17</v>
      </c>
      <c r="K15" s="2" t="s">
        <v>18</v>
      </c>
      <c r="L15" s="2"/>
    </row>
    <row r="16">
      <c r="A16" s="1" t="s">
        <v>42</v>
      </c>
      <c r="B16" s="1" t="s">
        <v>42</v>
      </c>
      <c r="C16" s="5" t="s">
        <v>28</v>
      </c>
      <c r="D16" s="5" t="s">
        <v>29</v>
      </c>
      <c r="E16" s="6">
        <v>45544.36041666666</v>
      </c>
      <c r="F16" s="7" t="s">
        <v>30</v>
      </c>
      <c r="G16" s="5" t="s">
        <v>24</v>
      </c>
      <c r="K16" s="2" t="s">
        <v>18</v>
      </c>
      <c r="L16" s="2"/>
    </row>
    <row r="17">
      <c r="A17" s="1" t="s">
        <v>43</v>
      </c>
      <c r="B17" s="1" t="s">
        <v>43</v>
      </c>
      <c r="C17" s="5" t="s">
        <v>13</v>
      </c>
      <c r="D17" s="5" t="s">
        <v>14</v>
      </c>
      <c r="E17" s="6">
        <v>45544.36111111111</v>
      </c>
      <c r="F17" s="7" t="s">
        <v>15</v>
      </c>
      <c r="G17" s="5" t="s">
        <v>24</v>
      </c>
      <c r="K17" s="2" t="s">
        <v>18</v>
      </c>
      <c r="L17" s="2"/>
    </row>
    <row r="18">
      <c r="A18" s="1" t="s">
        <v>44</v>
      </c>
      <c r="B18" s="1" t="s">
        <v>44</v>
      </c>
      <c r="C18" s="5" t="s">
        <v>45</v>
      </c>
      <c r="D18" s="5" t="s">
        <v>46</v>
      </c>
      <c r="E18" s="6">
        <v>45545.51719907408</v>
      </c>
      <c r="F18" s="7" t="s">
        <v>47</v>
      </c>
      <c r="G18" s="5" t="s">
        <v>16</v>
      </c>
      <c r="I18" s="2" t="s">
        <v>17</v>
      </c>
      <c r="J18" s="2"/>
      <c r="K18" s="2" t="s">
        <v>18</v>
      </c>
      <c r="L18" s="2"/>
    </row>
    <row r="19">
      <c r="A19" s="1" t="s">
        <v>48</v>
      </c>
      <c r="B19" s="1" t="s">
        <v>48</v>
      </c>
      <c r="C19" s="5" t="s">
        <v>49</v>
      </c>
      <c r="D19" s="5" t="s">
        <v>50</v>
      </c>
      <c r="E19" s="6">
        <v>45547.406319444446</v>
      </c>
      <c r="F19" s="7" t="s">
        <v>51</v>
      </c>
      <c r="G19" s="5" t="s">
        <v>16</v>
      </c>
      <c r="K19" s="2" t="s">
        <v>18</v>
      </c>
      <c r="L19" s="2"/>
    </row>
    <row r="20">
      <c r="A20" s="1" t="s">
        <v>52</v>
      </c>
      <c r="B20" s="1" t="s">
        <v>52</v>
      </c>
      <c r="C20" s="5" t="s">
        <v>28</v>
      </c>
      <c r="D20" s="5" t="s">
        <v>29</v>
      </c>
      <c r="E20" s="6">
        <v>45547.44578703704</v>
      </c>
      <c r="F20" s="7" t="s">
        <v>30</v>
      </c>
      <c r="G20" s="5" t="s">
        <v>24</v>
      </c>
      <c r="K20" s="2" t="s">
        <v>18</v>
      </c>
      <c r="L20" s="2"/>
    </row>
    <row r="21">
      <c r="A21" s="1" t="s">
        <v>53</v>
      </c>
      <c r="B21" s="1" t="s">
        <v>53</v>
      </c>
      <c r="C21" s="5" t="s">
        <v>28</v>
      </c>
      <c r="D21" s="5" t="s">
        <v>29</v>
      </c>
      <c r="E21" s="6">
        <v>45548.444444444445</v>
      </c>
      <c r="F21" s="7" t="s">
        <v>30</v>
      </c>
      <c r="G21" s="5" t="s">
        <v>16</v>
      </c>
      <c r="K21" s="2" t="s">
        <v>18</v>
      </c>
      <c r="L21" s="2"/>
    </row>
    <row r="22">
      <c r="A22" s="1" t="s">
        <v>54</v>
      </c>
      <c r="B22" s="1" t="s">
        <v>54</v>
      </c>
      <c r="C22" s="5" t="s">
        <v>55</v>
      </c>
      <c r="D22" s="5" t="s">
        <v>56</v>
      </c>
      <c r="E22" s="6">
        <v>45548.4487037037</v>
      </c>
      <c r="F22" s="7" t="s">
        <v>57</v>
      </c>
      <c r="G22" s="5" t="s">
        <v>16</v>
      </c>
      <c r="I22" s="2" t="s">
        <v>17</v>
      </c>
      <c r="J22" s="2"/>
      <c r="K22" s="2" t="s">
        <v>18</v>
      </c>
      <c r="L22" s="2"/>
    </row>
    <row r="23">
      <c r="A23" s="1" t="s">
        <v>58</v>
      </c>
      <c r="B23" s="1" t="s">
        <v>58</v>
      </c>
      <c r="C23" s="5" t="s">
        <v>28</v>
      </c>
      <c r="D23" s="5" t="s">
        <v>29</v>
      </c>
      <c r="E23" s="6">
        <v>45549.46349537037</v>
      </c>
      <c r="F23" s="7" t="s">
        <v>30</v>
      </c>
      <c r="G23" s="5" t="s">
        <v>24</v>
      </c>
      <c r="K23" s="2" t="s">
        <v>18</v>
      </c>
      <c r="L23" s="2"/>
    </row>
    <row r="24">
      <c r="A24" s="1" t="s">
        <v>59</v>
      </c>
      <c r="B24" s="1" t="s">
        <v>59</v>
      </c>
      <c r="C24" s="5" t="s">
        <v>55</v>
      </c>
      <c r="D24" s="5" t="s">
        <v>56</v>
      </c>
      <c r="E24" s="6">
        <v>45552.52795138889</v>
      </c>
      <c r="F24" s="7" t="s">
        <v>57</v>
      </c>
      <c r="G24" s="5" t="s">
        <v>16</v>
      </c>
      <c r="I24" s="2" t="s">
        <v>17</v>
      </c>
      <c r="J24" s="2"/>
      <c r="K24" s="2" t="s">
        <v>18</v>
      </c>
      <c r="L24" s="2"/>
    </row>
    <row r="25">
      <c r="A25" s="1" t="s">
        <v>60</v>
      </c>
      <c r="B25" s="1" t="s">
        <v>60</v>
      </c>
      <c r="C25" s="5" t="s">
        <v>45</v>
      </c>
      <c r="D25" s="5" t="s">
        <v>46</v>
      </c>
      <c r="E25" s="6">
        <v>45553.436377314814</v>
      </c>
      <c r="F25" s="7" t="s">
        <v>47</v>
      </c>
      <c r="G25" s="5" t="s">
        <v>16</v>
      </c>
      <c r="I25" s="2" t="s">
        <v>17</v>
      </c>
      <c r="J25" s="2"/>
      <c r="K25" s="2" t="s">
        <v>18</v>
      </c>
      <c r="L25" s="2"/>
    </row>
    <row r="26">
      <c r="A26" s="1" t="s">
        <v>61</v>
      </c>
      <c r="B26" s="1" t="s">
        <v>61</v>
      </c>
      <c r="C26" s="5" t="s">
        <v>55</v>
      </c>
      <c r="D26" s="5" t="s">
        <v>56</v>
      </c>
      <c r="E26" s="6">
        <v>45553.504004629634</v>
      </c>
      <c r="F26" s="7" t="s">
        <v>57</v>
      </c>
      <c r="G26" s="5" t="s">
        <v>24</v>
      </c>
      <c r="K26" s="2" t="s">
        <v>18</v>
      </c>
      <c r="L26" s="2"/>
    </row>
    <row r="27">
      <c r="A27" s="1" t="s">
        <v>62</v>
      </c>
      <c r="B27" s="1" t="s">
        <v>62</v>
      </c>
      <c r="C27" s="5" t="s">
        <v>20</v>
      </c>
      <c r="D27" s="5" t="s">
        <v>21</v>
      </c>
      <c r="E27" s="6">
        <v>45553.615115740744</v>
      </c>
      <c r="F27" s="7" t="s">
        <v>22</v>
      </c>
      <c r="G27" s="5" t="s">
        <v>24</v>
      </c>
      <c r="K27" s="2" t="s">
        <v>18</v>
      </c>
      <c r="L27" s="2"/>
    </row>
    <row r="28">
      <c r="A28" s="1" t="s">
        <v>63</v>
      </c>
      <c r="B28" s="1" t="s">
        <v>63</v>
      </c>
      <c r="C28" s="5" t="s">
        <v>45</v>
      </c>
      <c r="D28" s="5" t="s">
        <v>46</v>
      </c>
      <c r="E28" s="6">
        <v>45553.61709490741</v>
      </c>
      <c r="F28" s="7" t="s">
        <v>47</v>
      </c>
      <c r="G28" s="5" t="s">
        <v>24</v>
      </c>
      <c r="K28" s="2" t="s">
        <v>18</v>
      </c>
      <c r="L28" s="2"/>
    </row>
    <row r="29">
      <c r="A29" s="1" t="s">
        <v>64</v>
      </c>
      <c r="B29" s="1" t="s">
        <v>64</v>
      </c>
      <c r="C29" s="5" t="s">
        <v>55</v>
      </c>
      <c r="D29" s="5" t="s">
        <v>56</v>
      </c>
      <c r="E29" s="6">
        <v>45554.46490740741</v>
      </c>
      <c r="F29" s="7" t="s">
        <v>57</v>
      </c>
      <c r="G29" s="5" t="s">
        <v>24</v>
      </c>
      <c r="K29" s="2" t="s">
        <v>18</v>
      </c>
      <c r="L29" s="2"/>
    </row>
    <row r="30">
      <c r="A30" s="1" t="s">
        <v>65</v>
      </c>
      <c r="B30" s="1" t="s">
        <v>65</v>
      </c>
      <c r="C30" s="5" t="s">
        <v>28</v>
      </c>
      <c r="D30" s="5" t="s">
        <v>29</v>
      </c>
      <c r="E30" s="6">
        <v>45554.46564814815</v>
      </c>
      <c r="F30" s="7" t="s">
        <v>30</v>
      </c>
      <c r="G30" s="5" t="s">
        <v>24</v>
      </c>
      <c r="K30" s="2" t="s">
        <v>18</v>
      </c>
      <c r="L30" s="2"/>
    </row>
    <row r="31">
      <c r="A31" s="1" t="s">
        <v>66</v>
      </c>
      <c r="B31" s="1" t="s">
        <v>66</v>
      </c>
      <c r="C31" s="5" t="s">
        <v>45</v>
      </c>
      <c r="D31" s="5" t="s">
        <v>46</v>
      </c>
      <c r="E31" s="6">
        <v>45554.52619212963</v>
      </c>
      <c r="F31" s="7" t="s">
        <v>47</v>
      </c>
      <c r="G31" s="5" t="s">
        <v>16</v>
      </c>
      <c r="I31" s="2" t="s">
        <v>17</v>
      </c>
      <c r="J31" s="2"/>
      <c r="K31" s="2" t="s">
        <v>18</v>
      </c>
      <c r="L31" s="2"/>
    </row>
    <row r="32">
      <c r="A32" s="1" t="s">
        <v>67</v>
      </c>
      <c r="B32" s="1" t="s">
        <v>67</v>
      </c>
      <c r="C32" s="5" t="s">
        <v>45</v>
      </c>
      <c r="D32" s="5" t="s">
        <v>46</v>
      </c>
      <c r="E32" s="6">
        <v>45554.551527777774</v>
      </c>
      <c r="F32" s="7" t="s">
        <v>47</v>
      </c>
      <c r="G32" s="5" t="s">
        <v>24</v>
      </c>
      <c r="K32" s="2" t="s">
        <v>18</v>
      </c>
      <c r="L32" s="2"/>
    </row>
    <row r="33">
      <c r="A33" s="1" t="s">
        <v>68</v>
      </c>
      <c r="B33" s="1" t="s">
        <v>68</v>
      </c>
      <c r="C33" s="5" t="s">
        <v>55</v>
      </c>
      <c r="D33" s="5" t="s">
        <v>56</v>
      </c>
      <c r="E33" s="6">
        <v>45556.459699074076</v>
      </c>
      <c r="F33" s="7" t="s">
        <v>57</v>
      </c>
      <c r="G33" s="5" t="s">
        <v>24</v>
      </c>
      <c r="K33" s="2" t="s">
        <v>18</v>
      </c>
      <c r="L33" s="2"/>
    </row>
    <row r="34">
      <c r="A34" s="1" t="s">
        <v>69</v>
      </c>
      <c r="B34" s="1" t="s">
        <v>69</v>
      </c>
      <c r="C34" s="5" t="s">
        <v>13</v>
      </c>
      <c r="D34" s="5" t="s">
        <v>14</v>
      </c>
      <c r="E34" s="6">
        <v>45556.460185185184</v>
      </c>
      <c r="F34" s="7" t="s">
        <v>15</v>
      </c>
      <c r="G34" s="5" t="s">
        <v>24</v>
      </c>
      <c r="K34" s="2" t="s">
        <v>18</v>
      </c>
      <c r="L34" s="2"/>
    </row>
    <row r="35">
      <c r="A35" s="1" t="s">
        <v>70</v>
      </c>
      <c r="B35" s="1" t="s">
        <v>70</v>
      </c>
      <c r="C35" s="5" t="s">
        <v>34</v>
      </c>
      <c r="D35" s="5" t="s">
        <v>35</v>
      </c>
      <c r="E35" s="6">
        <v>45558.63652777778</v>
      </c>
      <c r="F35" s="7"/>
      <c r="G35" s="5" t="s">
        <v>24</v>
      </c>
      <c r="K35" s="2" t="s">
        <v>18</v>
      </c>
      <c r="L35" s="2"/>
    </row>
    <row r="36">
      <c r="A36" s="1" t="s">
        <v>71</v>
      </c>
      <c r="B36" s="1" t="s">
        <v>71</v>
      </c>
      <c r="C36" s="5" t="s">
        <v>55</v>
      </c>
      <c r="D36" s="5" t="s">
        <v>56</v>
      </c>
      <c r="E36" s="6">
        <v>45559.40938657407</v>
      </c>
      <c r="F36" s="7" t="s">
        <v>57</v>
      </c>
      <c r="G36" s="5" t="s">
        <v>16</v>
      </c>
      <c r="I36" s="2" t="s">
        <v>17</v>
      </c>
      <c r="J36" s="2"/>
      <c r="K36" s="2" t="s">
        <v>18</v>
      </c>
      <c r="L36" s="2"/>
    </row>
    <row r="37">
      <c r="A37" s="1" t="s">
        <v>72</v>
      </c>
      <c r="B37" s="1" t="s">
        <v>72</v>
      </c>
      <c r="C37" s="5" t="s">
        <v>28</v>
      </c>
      <c r="D37" s="5" t="s">
        <v>29</v>
      </c>
      <c r="E37" s="6">
        <v>45560.41107638889</v>
      </c>
      <c r="F37" s="7" t="s">
        <v>30</v>
      </c>
      <c r="G37" s="5" t="s">
        <v>24</v>
      </c>
      <c r="K37" s="2" t="s">
        <v>18</v>
      </c>
      <c r="L37" s="2"/>
    </row>
    <row r="38">
      <c r="A38" s="1" t="s">
        <v>73</v>
      </c>
      <c r="B38" s="1" t="s">
        <v>73</v>
      </c>
      <c r="C38" s="5" t="s">
        <v>55</v>
      </c>
      <c r="D38" s="5" t="s">
        <v>56</v>
      </c>
      <c r="E38" s="6">
        <v>45560.412824074076</v>
      </c>
      <c r="F38" s="7" t="s">
        <v>57</v>
      </c>
      <c r="G38" s="5" t="s">
        <v>24</v>
      </c>
      <c r="K38" s="2" t="s">
        <v>18</v>
      </c>
      <c r="L38" s="2"/>
    </row>
    <row r="39">
      <c r="A39" s="1" t="s">
        <v>74</v>
      </c>
      <c r="B39" s="1" t="s">
        <v>74</v>
      </c>
      <c r="C39" s="5" t="s">
        <v>75</v>
      </c>
      <c r="D39" s="5" t="s">
        <v>76</v>
      </c>
      <c r="E39" s="6">
        <v>45561.35150462963</v>
      </c>
      <c r="F39" s="7" t="s">
        <v>77</v>
      </c>
      <c r="G39" s="5" t="s">
        <v>16</v>
      </c>
      <c r="I39" s="2" t="s">
        <v>17</v>
      </c>
      <c r="J39" s="2"/>
      <c r="K39" s="2" t="s">
        <v>18</v>
      </c>
      <c r="L39" s="2"/>
    </row>
    <row r="40">
      <c r="A40" s="1" t="s">
        <v>78</v>
      </c>
      <c r="B40" s="1" t="s">
        <v>78</v>
      </c>
      <c r="C40" s="5" t="s">
        <v>49</v>
      </c>
      <c r="D40" s="5" t="s">
        <v>50</v>
      </c>
      <c r="E40" s="6">
        <v>45561.44055555556</v>
      </c>
      <c r="F40" s="7" t="s">
        <v>51</v>
      </c>
      <c r="G40" s="5" t="s">
        <v>16</v>
      </c>
      <c r="K40" s="2" t="s">
        <v>18</v>
      </c>
      <c r="L40" s="2"/>
    </row>
    <row r="41">
      <c r="A41" s="1" t="s">
        <v>79</v>
      </c>
      <c r="B41" s="1" t="s">
        <v>79</v>
      </c>
      <c r="C41" s="5" t="s">
        <v>55</v>
      </c>
      <c r="D41" s="5" t="s">
        <v>56</v>
      </c>
      <c r="E41" s="6">
        <v>45561.63428240741</v>
      </c>
      <c r="F41" s="7" t="s">
        <v>57</v>
      </c>
      <c r="G41" s="5" t="s">
        <v>16</v>
      </c>
      <c r="I41" s="2" t="s">
        <v>17</v>
      </c>
      <c r="J41" s="2"/>
      <c r="K41" s="2" t="s">
        <v>18</v>
      </c>
      <c r="L41" s="2"/>
    </row>
    <row r="42">
      <c r="A42" s="1" t="s">
        <v>80</v>
      </c>
      <c r="B42" s="1" t="s">
        <v>80</v>
      </c>
      <c r="C42" s="5" t="s">
        <v>49</v>
      </c>
      <c r="D42" s="5" t="s">
        <v>50</v>
      </c>
      <c r="E42" s="6">
        <v>45561.6609837963</v>
      </c>
      <c r="F42" s="7" t="s">
        <v>51</v>
      </c>
      <c r="G42" s="5" t="s">
        <v>24</v>
      </c>
      <c r="K42" s="2" t="s">
        <v>18</v>
      </c>
      <c r="L42" s="2"/>
    </row>
    <row r="43">
      <c r="A43" s="1" t="s">
        <v>81</v>
      </c>
      <c r="B43" s="1" t="s">
        <v>81</v>
      </c>
      <c r="C43" s="5" t="s">
        <v>55</v>
      </c>
      <c r="D43" s="5" t="s">
        <v>56</v>
      </c>
      <c r="E43" s="6">
        <v>45561.66145833333</v>
      </c>
      <c r="F43" s="7" t="s">
        <v>57</v>
      </c>
      <c r="G43" s="5" t="s">
        <v>24</v>
      </c>
      <c r="K43" s="2" t="s">
        <v>18</v>
      </c>
      <c r="L43" s="2"/>
    </row>
    <row r="44">
      <c r="A44" s="1" t="s">
        <v>82</v>
      </c>
      <c r="B44" s="1" t="s">
        <v>82</v>
      </c>
      <c r="C44" s="5" t="s">
        <v>28</v>
      </c>
      <c r="D44" s="5" t="s">
        <v>29</v>
      </c>
      <c r="E44" s="6">
        <v>45562.64703703704</v>
      </c>
      <c r="F44" s="7" t="s">
        <v>30</v>
      </c>
      <c r="G44" s="5" t="s">
        <v>16</v>
      </c>
      <c r="K44" s="2" t="s">
        <v>18</v>
      </c>
      <c r="L44" s="2"/>
    </row>
    <row r="45">
      <c r="A45" s="1" t="s">
        <v>83</v>
      </c>
      <c r="B45" s="1" t="s">
        <v>83</v>
      </c>
      <c r="C45" s="5" t="s">
        <v>28</v>
      </c>
      <c r="D45" s="5" t="s">
        <v>29</v>
      </c>
      <c r="E45" s="6">
        <v>45562.716840277775</v>
      </c>
      <c r="F45" s="7" t="s">
        <v>30</v>
      </c>
      <c r="G45" s="5" t="s">
        <v>24</v>
      </c>
      <c r="K45" s="2" t="s">
        <v>18</v>
      </c>
      <c r="L45" s="2"/>
    </row>
    <row r="46">
      <c r="A46" s="1" t="s">
        <v>84</v>
      </c>
      <c r="B46" s="1" t="s">
        <v>84</v>
      </c>
      <c r="C46" s="5" t="s">
        <v>55</v>
      </c>
      <c r="D46" s="5" t="s">
        <v>56</v>
      </c>
      <c r="E46" s="6">
        <v>45563.34622685185</v>
      </c>
      <c r="F46" s="7" t="s">
        <v>57</v>
      </c>
      <c r="G46" s="5" t="s">
        <v>16</v>
      </c>
      <c r="I46" s="2" t="s">
        <v>17</v>
      </c>
      <c r="J46" s="2"/>
      <c r="K46" s="2" t="s">
        <v>18</v>
      </c>
      <c r="L46" s="2"/>
    </row>
    <row r="47">
      <c r="A47" s="1" t="s">
        <v>85</v>
      </c>
      <c r="B47" s="1" t="s">
        <v>85</v>
      </c>
      <c r="C47" s="5" t="s">
        <v>55</v>
      </c>
      <c r="D47" s="5" t="s">
        <v>56</v>
      </c>
      <c r="E47" s="6">
        <v>45563.37761574074</v>
      </c>
      <c r="F47" s="7" t="s">
        <v>57</v>
      </c>
      <c r="G47" s="5" t="s">
        <v>24</v>
      </c>
      <c r="K47" s="2" t="s">
        <v>18</v>
      </c>
      <c r="L47" s="2"/>
    </row>
    <row r="48">
      <c r="A48" s="1" t="s">
        <v>86</v>
      </c>
      <c r="B48" s="1" t="s">
        <v>86</v>
      </c>
      <c r="C48" s="5" t="s">
        <v>55</v>
      </c>
      <c r="D48" s="5" t="s">
        <v>56</v>
      </c>
      <c r="E48" s="6">
        <v>45564.4</v>
      </c>
      <c r="F48" s="7" t="s">
        <v>57</v>
      </c>
      <c r="G48" s="5" t="s">
        <v>16</v>
      </c>
      <c r="I48" s="2" t="s">
        <v>17</v>
      </c>
      <c r="J48" s="2"/>
      <c r="K48" s="2" t="s">
        <v>18</v>
      </c>
      <c r="L48" s="2"/>
    </row>
    <row r="49">
      <c r="A49" s="1" t="s">
        <v>87</v>
      </c>
      <c r="B49" s="1" t="s">
        <v>87</v>
      </c>
      <c r="C49" s="5" t="s">
        <v>55</v>
      </c>
      <c r="D49" s="5" t="s">
        <v>56</v>
      </c>
      <c r="E49" s="6">
        <v>45564.40069444444</v>
      </c>
      <c r="F49" s="7" t="s">
        <v>57</v>
      </c>
      <c r="G49" s="5" t="s">
        <v>24</v>
      </c>
      <c r="K49" s="2" t="s">
        <v>18</v>
      </c>
      <c r="L49" s="2"/>
    </row>
    <row r="50">
      <c r="A50" s="1" t="s">
        <v>88</v>
      </c>
      <c r="B50" s="1" t="s">
        <v>88</v>
      </c>
      <c r="C50" s="5" t="s">
        <v>55</v>
      </c>
      <c r="D50" s="5" t="s">
        <v>56</v>
      </c>
      <c r="E50" s="6">
        <v>45565.46666666667</v>
      </c>
      <c r="F50" s="7" t="s">
        <v>57</v>
      </c>
      <c r="G50" s="5" t="s">
        <v>24</v>
      </c>
      <c r="K50" s="2" t="s">
        <v>18</v>
      </c>
      <c r="L50" s="2"/>
    </row>
    <row r="51">
      <c r="A51" s="1"/>
      <c r="B51" s="1"/>
      <c r="E51" s="6"/>
      <c r="F51" s="7"/>
    </row>
    <row r="52">
      <c r="A52" s="1" t="s">
        <v>89</v>
      </c>
      <c r="B52" s="1" t="s">
        <v>89</v>
      </c>
      <c r="C52" s="5" t="s">
        <v>45</v>
      </c>
      <c r="D52" s="5" t="s">
        <v>46</v>
      </c>
      <c r="E52" s="6">
        <v>45565.65256944444</v>
      </c>
      <c r="F52" s="7" t="s">
        <v>47</v>
      </c>
      <c r="G52" s="5" t="s">
        <v>24</v>
      </c>
      <c r="K52" s="2" t="s">
        <v>18</v>
      </c>
      <c r="L52" s="2"/>
    </row>
    <row r="53">
      <c r="A53" s="1" t="s">
        <v>90</v>
      </c>
      <c r="B53" s="1" t="s">
        <v>90</v>
      </c>
      <c r="C53" s="5" t="s">
        <v>91</v>
      </c>
      <c r="D53" s="5" t="s">
        <v>92</v>
      </c>
      <c r="E53" s="6">
        <v>45565.65922453704</v>
      </c>
      <c r="F53" s="7" t="s">
        <v>93</v>
      </c>
      <c r="G53" s="5" t="s">
        <v>16</v>
      </c>
      <c r="K53" s="2" t="s">
        <v>18</v>
      </c>
      <c r="L53" s="2"/>
    </row>
    <row r="54">
      <c r="A54" s="1" t="s">
        <v>94</v>
      </c>
      <c r="B54" s="1" t="s">
        <v>94</v>
      </c>
      <c r="C54" s="5" t="s">
        <v>55</v>
      </c>
      <c r="D54" s="5" t="s">
        <v>56</v>
      </c>
      <c r="E54" s="6">
        <v>45567.40436342593</v>
      </c>
      <c r="F54" s="7" t="s">
        <v>57</v>
      </c>
      <c r="G54" s="5" t="s">
        <v>16</v>
      </c>
      <c r="I54" s="2" t="s">
        <v>17</v>
      </c>
      <c r="J54" s="2"/>
      <c r="K54" s="2" t="s">
        <v>18</v>
      </c>
      <c r="L54" s="2"/>
    </row>
    <row r="55">
      <c r="A55" s="1" t="s">
        <v>95</v>
      </c>
      <c r="B55" s="1" t="s">
        <v>95</v>
      </c>
      <c r="C55" s="5" t="s">
        <v>28</v>
      </c>
      <c r="D55" s="5" t="s">
        <v>29</v>
      </c>
      <c r="E55" s="6">
        <v>45567.41725694445</v>
      </c>
      <c r="F55" s="7" t="s">
        <v>30</v>
      </c>
      <c r="G55" s="5" t="s">
        <v>24</v>
      </c>
      <c r="K55" s="2" t="s">
        <v>18</v>
      </c>
      <c r="L55" s="2"/>
    </row>
    <row r="56">
      <c r="A56" s="1" t="s">
        <v>96</v>
      </c>
      <c r="B56" s="1" t="s">
        <v>96</v>
      </c>
      <c r="C56" s="5" t="s">
        <v>55</v>
      </c>
      <c r="D56" s="5" t="s">
        <v>56</v>
      </c>
      <c r="E56" s="6">
        <v>45567.44915509259</v>
      </c>
      <c r="F56" s="7" t="s">
        <v>57</v>
      </c>
      <c r="G56" s="5" t="s">
        <v>24</v>
      </c>
      <c r="K56" s="2" t="s">
        <v>18</v>
      </c>
      <c r="L56" s="2"/>
    </row>
    <row r="57">
      <c r="A57" s="1" t="s">
        <v>97</v>
      </c>
      <c r="B57" s="1" t="s">
        <v>97</v>
      </c>
      <c r="C57" s="5" t="s">
        <v>45</v>
      </c>
      <c r="D57" s="5" t="s">
        <v>46</v>
      </c>
      <c r="E57" s="6">
        <v>45567.451215277775</v>
      </c>
      <c r="F57" s="7" t="s">
        <v>47</v>
      </c>
      <c r="G57" s="5" t="s">
        <v>16</v>
      </c>
      <c r="I57" s="2" t="s">
        <v>17</v>
      </c>
      <c r="J57" s="2"/>
      <c r="K57" s="2" t="s">
        <v>18</v>
      </c>
      <c r="L57" s="2"/>
    </row>
    <row r="58">
      <c r="A58" s="1" t="s">
        <v>98</v>
      </c>
      <c r="B58" s="1" t="s">
        <v>98</v>
      </c>
      <c r="C58" s="5" t="s">
        <v>49</v>
      </c>
      <c r="D58" s="5" t="s">
        <v>50</v>
      </c>
      <c r="E58" s="6">
        <v>45567.489178240736</v>
      </c>
      <c r="F58" s="7" t="s">
        <v>51</v>
      </c>
      <c r="G58" s="5" t="s">
        <v>16</v>
      </c>
      <c r="K58" s="2" t="s">
        <v>18</v>
      </c>
      <c r="L58" s="2"/>
    </row>
    <row r="59">
      <c r="A59" s="1" t="s">
        <v>99</v>
      </c>
      <c r="B59" s="1" t="s">
        <v>99</v>
      </c>
      <c r="C59" s="5" t="s">
        <v>49</v>
      </c>
      <c r="D59" s="5" t="s">
        <v>50</v>
      </c>
      <c r="E59" s="6">
        <v>45567.58142361111</v>
      </c>
      <c r="F59" s="7" t="s">
        <v>51</v>
      </c>
      <c r="G59" s="5" t="s">
        <v>24</v>
      </c>
      <c r="K59" s="2" t="s">
        <v>18</v>
      </c>
      <c r="L59" s="2"/>
    </row>
    <row r="60">
      <c r="A60" s="1" t="s">
        <v>100</v>
      </c>
      <c r="B60" s="1" t="s">
        <v>100</v>
      </c>
      <c r="C60" s="5" t="s">
        <v>55</v>
      </c>
      <c r="D60" s="5" t="s">
        <v>56</v>
      </c>
      <c r="E60" s="6">
        <v>45570.41184027778</v>
      </c>
      <c r="F60" s="7" t="s">
        <v>57</v>
      </c>
      <c r="G60" s="5" t="s">
        <v>24</v>
      </c>
      <c r="K60" s="2" t="s">
        <v>18</v>
      </c>
      <c r="L60" s="2"/>
    </row>
    <row r="61">
      <c r="A61" s="1" t="s">
        <v>101</v>
      </c>
      <c r="B61" s="1" t="s">
        <v>101</v>
      </c>
      <c r="C61" s="5" t="s">
        <v>28</v>
      </c>
      <c r="D61" s="5" t="s">
        <v>29</v>
      </c>
      <c r="E61" s="6">
        <v>45570.41278935185</v>
      </c>
      <c r="F61" s="7" t="s">
        <v>30</v>
      </c>
      <c r="G61" s="5" t="s">
        <v>24</v>
      </c>
      <c r="K61" s="2" t="s">
        <v>18</v>
      </c>
      <c r="L61" s="2"/>
    </row>
    <row r="62">
      <c r="A62" s="1" t="s">
        <v>102</v>
      </c>
      <c r="B62" s="1" t="s">
        <v>102</v>
      </c>
      <c r="C62" s="5" t="s">
        <v>45</v>
      </c>
      <c r="D62" s="5" t="s">
        <v>46</v>
      </c>
      <c r="E62" s="6">
        <v>45573.42645833333</v>
      </c>
      <c r="F62" s="7" t="s">
        <v>47</v>
      </c>
      <c r="G62" s="5" t="s">
        <v>16</v>
      </c>
      <c r="I62" s="2" t="s">
        <v>17</v>
      </c>
      <c r="J62" s="2"/>
      <c r="K62" s="2" t="s">
        <v>18</v>
      </c>
      <c r="L62" s="2"/>
    </row>
    <row r="63">
      <c r="A63" s="1" t="s">
        <v>103</v>
      </c>
      <c r="B63" s="1" t="s">
        <v>103</v>
      </c>
      <c r="C63" s="5" t="s">
        <v>45</v>
      </c>
      <c r="D63" s="5" t="s">
        <v>46</v>
      </c>
      <c r="E63" s="6">
        <v>45573.50780092593</v>
      </c>
      <c r="F63" s="7" t="s">
        <v>47</v>
      </c>
      <c r="G63" s="5" t="s">
        <v>24</v>
      </c>
      <c r="K63" s="2" t="s">
        <v>18</v>
      </c>
      <c r="L63" s="2"/>
    </row>
    <row r="64">
      <c r="A64" s="1" t="s">
        <v>104</v>
      </c>
      <c r="B64" s="1" t="s">
        <v>104</v>
      </c>
      <c r="C64" s="5" t="s">
        <v>28</v>
      </c>
      <c r="D64" s="5" t="s">
        <v>29</v>
      </c>
      <c r="E64" s="6">
        <v>45574.52248842592</v>
      </c>
      <c r="F64" s="7" t="s">
        <v>30</v>
      </c>
      <c r="G64" s="5" t="s">
        <v>16</v>
      </c>
      <c r="K64" s="2" t="s">
        <v>18</v>
      </c>
      <c r="L64" s="2"/>
    </row>
    <row r="65">
      <c r="A65" s="1" t="s">
        <v>105</v>
      </c>
      <c r="B65" s="1" t="s">
        <v>105</v>
      </c>
      <c r="C65" s="5" t="s">
        <v>28</v>
      </c>
      <c r="D65" s="5" t="s">
        <v>29</v>
      </c>
      <c r="E65" s="6">
        <v>45574.6274074074</v>
      </c>
      <c r="F65" s="7" t="s">
        <v>30</v>
      </c>
      <c r="G65" s="5" t="s">
        <v>24</v>
      </c>
      <c r="K65" s="2" t="s">
        <v>18</v>
      </c>
      <c r="L65" s="2"/>
    </row>
    <row r="66">
      <c r="A66" s="1" t="s">
        <v>106</v>
      </c>
      <c r="B66" s="1" t="s">
        <v>106</v>
      </c>
      <c r="C66" s="5" t="s">
        <v>28</v>
      </c>
      <c r="D66" s="5" t="s">
        <v>29</v>
      </c>
      <c r="E66" s="6">
        <v>45575.41832175926</v>
      </c>
      <c r="F66" s="7" t="s">
        <v>30</v>
      </c>
      <c r="G66" s="5" t="s">
        <v>16</v>
      </c>
      <c r="K66" s="2" t="s">
        <v>18</v>
      </c>
      <c r="L66" s="2"/>
    </row>
    <row r="67">
      <c r="A67" s="1" t="s">
        <v>107</v>
      </c>
      <c r="B67" s="1" t="s">
        <v>107</v>
      </c>
      <c r="C67" s="5" t="s">
        <v>28</v>
      </c>
      <c r="D67" s="5" t="s">
        <v>29</v>
      </c>
      <c r="E67" s="6">
        <v>45575.62451388889</v>
      </c>
      <c r="F67" s="7" t="s">
        <v>30</v>
      </c>
      <c r="G67" s="5" t="s">
        <v>24</v>
      </c>
      <c r="K67" s="2" t="s">
        <v>18</v>
      </c>
      <c r="L67" s="2"/>
    </row>
    <row r="68">
      <c r="A68" s="1" t="s">
        <v>108</v>
      </c>
      <c r="B68" s="1" t="s">
        <v>108</v>
      </c>
      <c r="C68" s="5" t="s">
        <v>109</v>
      </c>
      <c r="D68" s="5" t="s">
        <v>110</v>
      </c>
      <c r="E68" s="6">
        <v>45576.38888888889</v>
      </c>
      <c r="F68" s="7" t="s">
        <v>111</v>
      </c>
      <c r="G68" s="5" t="s">
        <v>16</v>
      </c>
      <c r="K68" s="2" t="s">
        <v>18</v>
      </c>
      <c r="L68" s="2"/>
    </row>
    <row r="69">
      <c r="A69" s="1" t="s">
        <v>112</v>
      </c>
      <c r="B69" s="1" t="s">
        <v>112</v>
      </c>
      <c r="C69" s="5" t="s">
        <v>45</v>
      </c>
      <c r="D69" s="5" t="s">
        <v>46</v>
      </c>
      <c r="E69" s="6">
        <v>45579.6137962963</v>
      </c>
      <c r="F69" s="7" t="s">
        <v>47</v>
      </c>
      <c r="G69" s="5" t="s">
        <v>24</v>
      </c>
      <c r="K69" s="2" t="s">
        <v>18</v>
      </c>
      <c r="L69" s="2"/>
    </row>
    <row r="70">
      <c r="A70" s="1" t="s">
        <v>113</v>
      </c>
      <c r="B70" s="1" t="s">
        <v>113</v>
      </c>
      <c r="C70" s="5" t="s">
        <v>114</v>
      </c>
      <c r="D70" s="5" t="s">
        <v>115</v>
      </c>
      <c r="E70" s="6">
        <v>45581.40361111111</v>
      </c>
      <c r="F70" s="7" t="s">
        <v>116</v>
      </c>
      <c r="G70" s="5" t="s">
        <v>16</v>
      </c>
      <c r="K70" s="2" t="s">
        <v>18</v>
      </c>
      <c r="L70" s="2"/>
    </row>
    <row r="71">
      <c r="A71" s="1" t="s">
        <v>117</v>
      </c>
      <c r="B71" s="1" t="s">
        <v>117</v>
      </c>
      <c r="C71" s="5" t="s">
        <v>45</v>
      </c>
      <c r="D71" s="5" t="s">
        <v>46</v>
      </c>
      <c r="E71" s="6">
        <v>45582.5153587963</v>
      </c>
      <c r="F71" s="7" t="s">
        <v>47</v>
      </c>
      <c r="G71" s="5" t="s">
        <v>16</v>
      </c>
      <c r="I71" s="2" t="s">
        <v>17</v>
      </c>
      <c r="J71" s="2"/>
      <c r="K71" s="2" t="s">
        <v>18</v>
      </c>
      <c r="L71" s="2"/>
    </row>
    <row r="72">
      <c r="A72" s="1" t="s">
        <v>118</v>
      </c>
      <c r="B72" s="1" t="s">
        <v>118</v>
      </c>
      <c r="C72" s="5" t="s">
        <v>49</v>
      </c>
      <c r="D72" s="5" t="s">
        <v>50</v>
      </c>
      <c r="E72" s="6">
        <v>45582.60577546296</v>
      </c>
      <c r="F72" s="7" t="s">
        <v>51</v>
      </c>
      <c r="G72" s="5" t="s">
        <v>24</v>
      </c>
      <c r="K72" s="2" t="s">
        <v>18</v>
      </c>
      <c r="L72" s="2"/>
    </row>
    <row r="73">
      <c r="A73" s="1" t="s">
        <v>119</v>
      </c>
      <c r="B73" s="1" t="s">
        <v>119</v>
      </c>
      <c r="C73" s="5" t="s">
        <v>28</v>
      </c>
      <c r="D73" s="5" t="s">
        <v>29</v>
      </c>
      <c r="E73" s="6">
        <v>45582.60613425926</v>
      </c>
      <c r="F73" s="7" t="s">
        <v>30</v>
      </c>
      <c r="G73" s="5" t="s">
        <v>24</v>
      </c>
      <c r="K73" s="2" t="s">
        <v>18</v>
      </c>
      <c r="L73" s="2"/>
    </row>
    <row r="74">
      <c r="A74" s="1" t="s">
        <v>120</v>
      </c>
      <c r="B74" s="1" t="s">
        <v>120</v>
      </c>
      <c r="C74" s="5" t="s">
        <v>45</v>
      </c>
      <c r="D74" s="5" t="s">
        <v>46</v>
      </c>
      <c r="E74" s="6">
        <v>45582.66653935185</v>
      </c>
      <c r="F74" s="7" t="s">
        <v>47</v>
      </c>
      <c r="G74" s="5" t="s">
        <v>24</v>
      </c>
      <c r="K74" s="2" t="s">
        <v>18</v>
      </c>
      <c r="L74" s="2"/>
    </row>
    <row r="75">
      <c r="A75" s="1" t="s">
        <v>121</v>
      </c>
      <c r="B75" s="1" t="s">
        <v>121</v>
      </c>
      <c r="C75" s="5" t="s">
        <v>122</v>
      </c>
      <c r="D75" s="5" t="s">
        <v>123</v>
      </c>
      <c r="E75" s="6">
        <v>45583.59335648148</v>
      </c>
      <c r="F75" s="7" t="s">
        <v>124</v>
      </c>
      <c r="G75" s="5" t="s">
        <v>16</v>
      </c>
      <c r="K75" s="2" t="s">
        <v>18</v>
      </c>
      <c r="L75" s="2"/>
    </row>
    <row r="76">
      <c r="A76" s="1" t="s">
        <v>125</v>
      </c>
      <c r="B76" s="1" t="s">
        <v>125</v>
      </c>
      <c r="C76" s="5" t="s">
        <v>126</v>
      </c>
      <c r="D76" s="5" t="s">
        <v>127</v>
      </c>
      <c r="E76" s="6">
        <v>45584.65303240741</v>
      </c>
      <c r="F76" s="7" t="s">
        <v>128</v>
      </c>
      <c r="G76" s="5" t="s">
        <v>16</v>
      </c>
      <c r="K76" s="2" t="s">
        <v>18</v>
      </c>
      <c r="L76" s="2"/>
    </row>
    <row r="77">
      <c r="A77" s="1" t="s">
        <v>129</v>
      </c>
      <c r="B77" s="1" t="s">
        <v>129</v>
      </c>
      <c r="C77" s="5" t="s">
        <v>109</v>
      </c>
      <c r="D77" s="5" t="s">
        <v>110</v>
      </c>
      <c r="E77" s="6">
        <v>45586.55097222222</v>
      </c>
      <c r="F77" s="7" t="s">
        <v>111</v>
      </c>
      <c r="G77" s="5" t="s">
        <v>16</v>
      </c>
      <c r="K77" s="2" t="s">
        <v>18</v>
      </c>
      <c r="L77" s="2"/>
    </row>
    <row r="78">
      <c r="A78" s="1" t="s">
        <v>130</v>
      </c>
      <c r="B78" s="1" t="s">
        <v>130</v>
      </c>
      <c r="C78" s="5" t="s">
        <v>131</v>
      </c>
      <c r="D78" s="5" t="s">
        <v>132</v>
      </c>
      <c r="E78" s="6">
        <v>45586.585740740746</v>
      </c>
      <c r="F78" s="7" t="s">
        <v>133</v>
      </c>
      <c r="G78" s="5" t="s">
        <v>16</v>
      </c>
      <c r="K78" s="2" t="s">
        <v>18</v>
      </c>
      <c r="L78" s="2"/>
    </row>
    <row r="79">
      <c r="A79" s="1" t="s">
        <v>134</v>
      </c>
      <c r="B79" s="1" t="s">
        <v>134</v>
      </c>
      <c r="C79" s="5" t="s">
        <v>109</v>
      </c>
      <c r="D79" s="5" t="s">
        <v>110</v>
      </c>
      <c r="E79" s="6">
        <v>45586.724652777775</v>
      </c>
      <c r="F79" s="7" t="s">
        <v>111</v>
      </c>
      <c r="G79" s="5" t="s">
        <v>24</v>
      </c>
      <c r="K79" s="2" t="s">
        <v>18</v>
      </c>
      <c r="L79" s="2"/>
    </row>
    <row r="80">
      <c r="A80" s="1" t="s">
        <v>135</v>
      </c>
      <c r="B80" s="1" t="s">
        <v>135</v>
      </c>
      <c r="C80" s="5" t="s">
        <v>28</v>
      </c>
      <c r="D80" s="5" t="s">
        <v>29</v>
      </c>
      <c r="E80" s="6">
        <v>45587.417395833334</v>
      </c>
      <c r="F80" s="7" t="s">
        <v>30</v>
      </c>
      <c r="G80" s="5" t="s">
        <v>16</v>
      </c>
      <c r="K80" s="2" t="s">
        <v>18</v>
      </c>
      <c r="L80" s="2"/>
    </row>
    <row r="81">
      <c r="A81" s="1" t="s">
        <v>136</v>
      </c>
      <c r="B81" s="1" t="s">
        <v>136</v>
      </c>
      <c r="C81" s="5" t="s">
        <v>55</v>
      </c>
      <c r="D81" s="5" t="s">
        <v>56</v>
      </c>
      <c r="E81" s="6">
        <v>45587.472766203704</v>
      </c>
      <c r="F81" s="7" t="s">
        <v>57</v>
      </c>
      <c r="G81" s="5" t="s">
        <v>16</v>
      </c>
      <c r="I81" s="2" t="s">
        <v>17</v>
      </c>
      <c r="J81" s="2"/>
      <c r="K81" s="2" t="s">
        <v>18</v>
      </c>
      <c r="L81" s="2"/>
    </row>
    <row r="82">
      <c r="A82" s="1" t="s">
        <v>137</v>
      </c>
      <c r="B82" s="1" t="s">
        <v>137</v>
      </c>
      <c r="C82" s="5" t="s">
        <v>55</v>
      </c>
      <c r="D82" s="5" t="s">
        <v>56</v>
      </c>
      <c r="E82" s="6">
        <v>45587.581666666665</v>
      </c>
      <c r="F82" s="7" t="s">
        <v>57</v>
      </c>
      <c r="G82" s="5" t="s">
        <v>24</v>
      </c>
      <c r="K82" s="2" t="s">
        <v>18</v>
      </c>
      <c r="L82" s="2"/>
    </row>
    <row r="83">
      <c r="A83" s="1" t="s">
        <v>138</v>
      </c>
      <c r="B83" s="1" t="s">
        <v>138</v>
      </c>
      <c r="C83" s="5" t="s">
        <v>28</v>
      </c>
      <c r="D83" s="5" t="s">
        <v>29</v>
      </c>
      <c r="E83" s="6">
        <v>45587.585069444445</v>
      </c>
      <c r="F83" s="7" t="s">
        <v>30</v>
      </c>
      <c r="G83" s="5" t="s">
        <v>24</v>
      </c>
      <c r="K83" s="2" t="s">
        <v>18</v>
      </c>
      <c r="L83" s="2"/>
    </row>
    <row r="84">
      <c r="A84" s="1" t="s">
        <v>139</v>
      </c>
      <c r="B84" s="1" t="s">
        <v>139</v>
      </c>
      <c r="C84" s="5" t="s">
        <v>122</v>
      </c>
      <c r="D84" s="5" t="s">
        <v>123</v>
      </c>
      <c r="E84" s="6">
        <v>45588.412048611106</v>
      </c>
      <c r="F84" s="7" t="s">
        <v>124</v>
      </c>
      <c r="G84" s="5" t="s">
        <v>16</v>
      </c>
      <c r="K84" s="2" t="s">
        <v>18</v>
      </c>
      <c r="L84" s="2"/>
    </row>
    <row r="85">
      <c r="A85" s="1" t="s">
        <v>140</v>
      </c>
      <c r="B85" s="1" t="s">
        <v>140</v>
      </c>
      <c r="C85" s="5" t="s">
        <v>91</v>
      </c>
      <c r="D85" s="5" t="s">
        <v>92</v>
      </c>
      <c r="E85" s="6">
        <v>45589.414247685185</v>
      </c>
      <c r="F85" s="7" t="s">
        <v>93</v>
      </c>
      <c r="G85" s="5" t="s">
        <v>16</v>
      </c>
      <c r="K85" s="2" t="s">
        <v>18</v>
      </c>
      <c r="L85" s="2"/>
    </row>
    <row r="86">
      <c r="A86" s="1" t="s">
        <v>141</v>
      </c>
      <c r="B86" s="1" t="s">
        <v>141</v>
      </c>
      <c r="C86" s="5" t="s">
        <v>45</v>
      </c>
      <c r="D86" s="5" t="s">
        <v>46</v>
      </c>
      <c r="E86" s="6">
        <v>45589.41862268519</v>
      </c>
      <c r="F86" s="7" t="s">
        <v>47</v>
      </c>
      <c r="G86" s="5" t="s">
        <v>24</v>
      </c>
      <c r="K86" s="2" t="s">
        <v>18</v>
      </c>
      <c r="L86" s="2"/>
    </row>
    <row r="87">
      <c r="A87" s="1" t="s">
        <v>142</v>
      </c>
      <c r="B87" s="1" t="s">
        <v>142</v>
      </c>
      <c r="C87" s="5" t="s">
        <v>91</v>
      </c>
      <c r="D87" s="5" t="s">
        <v>92</v>
      </c>
      <c r="E87" s="6">
        <v>45589.44777777778</v>
      </c>
      <c r="F87" s="7" t="s">
        <v>93</v>
      </c>
      <c r="G87" s="5" t="s">
        <v>24</v>
      </c>
      <c r="K87" s="2" t="s">
        <v>18</v>
      </c>
      <c r="L87" s="2"/>
    </row>
    <row r="88">
      <c r="A88" s="1" t="s">
        <v>143</v>
      </c>
      <c r="B88" s="1" t="s">
        <v>143</v>
      </c>
      <c r="C88" s="5" t="s">
        <v>131</v>
      </c>
      <c r="D88" s="5" t="s">
        <v>132</v>
      </c>
      <c r="E88" s="6">
        <v>45589.44819444444</v>
      </c>
      <c r="F88" s="7" t="s">
        <v>133</v>
      </c>
      <c r="G88" s="5" t="s">
        <v>24</v>
      </c>
      <c r="K88" s="2" t="s">
        <v>18</v>
      </c>
      <c r="L88" s="2"/>
    </row>
    <row r="89">
      <c r="A89" s="1" t="s">
        <v>144</v>
      </c>
      <c r="B89" s="1" t="s">
        <v>144</v>
      </c>
      <c r="C89" s="5" t="s">
        <v>49</v>
      </c>
      <c r="D89" s="5" t="s">
        <v>50</v>
      </c>
      <c r="E89" s="6">
        <v>45590.43372685185</v>
      </c>
      <c r="F89" s="7" t="s">
        <v>51</v>
      </c>
      <c r="G89" s="5" t="s">
        <v>16</v>
      </c>
      <c r="K89" s="2" t="s">
        <v>18</v>
      </c>
      <c r="L89" s="2"/>
    </row>
    <row r="90">
      <c r="A90" s="1" t="s">
        <v>145</v>
      </c>
      <c r="B90" s="1" t="s">
        <v>145</v>
      </c>
      <c r="C90" s="5" t="s">
        <v>49</v>
      </c>
      <c r="D90" s="5" t="s">
        <v>50</v>
      </c>
      <c r="E90" s="6">
        <v>45590.45774305555</v>
      </c>
      <c r="F90" s="7" t="s">
        <v>51</v>
      </c>
      <c r="G90" s="5" t="s">
        <v>24</v>
      </c>
      <c r="K90" s="2" t="s">
        <v>18</v>
      </c>
      <c r="L90" s="2"/>
    </row>
    <row r="91">
      <c r="A91" s="1" t="s">
        <v>146</v>
      </c>
      <c r="B91" s="1" t="s">
        <v>146</v>
      </c>
      <c r="C91" s="5" t="s">
        <v>28</v>
      </c>
      <c r="D91" s="5" t="s">
        <v>29</v>
      </c>
      <c r="E91" s="6">
        <v>45591.400613425925</v>
      </c>
      <c r="F91" s="7" t="s">
        <v>30</v>
      </c>
      <c r="G91" s="5" t="s">
        <v>16</v>
      </c>
      <c r="K91" s="2" t="s">
        <v>18</v>
      </c>
      <c r="L91" s="2"/>
    </row>
    <row r="92">
      <c r="A92" s="1" t="s">
        <v>147</v>
      </c>
      <c r="B92" s="1" t="s">
        <v>147</v>
      </c>
      <c r="C92" s="5" t="s">
        <v>28</v>
      </c>
      <c r="D92" s="5" t="s">
        <v>29</v>
      </c>
      <c r="E92" s="6">
        <v>45591.555243055554</v>
      </c>
      <c r="F92" s="7" t="s">
        <v>30</v>
      </c>
      <c r="G92" s="5" t="s">
        <v>24</v>
      </c>
      <c r="K92" s="2" t="s">
        <v>18</v>
      </c>
      <c r="L92" s="2"/>
    </row>
    <row r="93">
      <c r="A93" s="1" t="s">
        <v>148</v>
      </c>
      <c r="B93" s="1" t="s">
        <v>148</v>
      </c>
      <c r="C93" s="5" t="s">
        <v>149</v>
      </c>
      <c r="D93" s="5" t="s">
        <v>150</v>
      </c>
      <c r="E93" s="6">
        <v>45593.455775462964</v>
      </c>
      <c r="F93" s="7" t="s">
        <v>151</v>
      </c>
      <c r="G93" s="5" t="s">
        <v>16</v>
      </c>
      <c r="K93" s="2" t="s">
        <v>18</v>
      </c>
      <c r="L93" s="2"/>
    </row>
    <row r="94">
      <c r="A94" s="1" t="s">
        <v>152</v>
      </c>
      <c r="B94" s="1" t="s">
        <v>152</v>
      </c>
      <c r="C94" s="5" t="s">
        <v>55</v>
      </c>
      <c r="D94" s="5" t="s">
        <v>56</v>
      </c>
      <c r="E94" s="6">
        <v>45593.45738425926</v>
      </c>
      <c r="F94" s="7" t="s">
        <v>57</v>
      </c>
      <c r="G94" s="5" t="s">
        <v>16</v>
      </c>
      <c r="I94" s="2" t="s">
        <v>17</v>
      </c>
      <c r="J94" s="2"/>
      <c r="K94" s="2" t="s">
        <v>18</v>
      </c>
      <c r="L94" s="2"/>
    </row>
    <row r="95">
      <c r="A95" s="1" t="s">
        <v>153</v>
      </c>
      <c r="B95" s="1" t="s">
        <v>153</v>
      </c>
      <c r="C95" s="5" t="s">
        <v>131</v>
      </c>
      <c r="D95" s="5" t="s">
        <v>132</v>
      </c>
      <c r="E95" s="6">
        <v>45593.63902777778</v>
      </c>
      <c r="F95" s="7" t="s">
        <v>133</v>
      </c>
      <c r="G95" s="5" t="s">
        <v>24</v>
      </c>
      <c r="K95" s="2" t="s">
        <v>18</v>
      </c>
      <c r="L95" s="2"/>
    </row>
    <row r="96">
      <c r="A96" s="1" t="s">
        <v>154</v>
      </c>
      <c r="B96" s="1" t="s">
        <v>154</v>
      </c>
      <c r="C96" s="5" t="s">
        <v>126</v>
      </c>
      <c r="D96" s="5" t="s">
        <v>127</v>
      </c>
      <c r="E96" s="6">
        <v>45593.6397337963</v>
      </c>
      <c r="F96" s="7" t="s">
        <v>128</v>
      </c>
      <c r="G96" s="5" t="s">
        <v>24</v>
      </c>
      <c r="K96" s="2" t="s">
        <v>18</v>
      </c>
      <c r="L96" s="2"/>
    </row>
    <row r="97">
      <c r="A97" s="1" t="s">
        <v>155</v>
      </c>
      <c r="B97" s="1" t="s">
        <v>155</v>
      </c>
      <c r="C97" s="5" t="s">
        <v>55</v>
      </c>
      <c r="D97" s="5" t="s">
        <v>56</v>
      </c>
      <c r="E97" s="6">
        <v>45593.69825231482</v>
      </c>
      <c r="F97" s="7" t="s">
        <v>57</v>
      </c>
      <c r="G97" s="5" t="s">
        <v>24</v>
      </c>
      <c r="K97" s="2" t="s">
        <v>18</v>
      </c>
      <c r="L97" s="2"/>
    </row>
    <row r="98">
      <c r="A98" s="1" t="s">
        <v>156</v>
      </c>
      <c r="B98" s="1" t="s">
        <v>156</v>
      </c>
      <c r="C98" s="5" t="s">
        <v>126</v>
      </c>
      <c r="D98" s="5" t="s">
        <v>127</v>
      </c>
      <c r="E98" s="6">
        <v>45594.41415509259</v>
      </c>
      <c r="F98" s="7" t="s">
        <v>128</v>
      </c>
      <c r="G98" s="5" t="s">
        <v>16</v>
      </c>
      <c r="K98" s="2" t="s">
        <v>18</v>
      </c>
      <c r="L98" s="2"/>
    </row>
    <row r="99">
      <c r="A99" s="1" t="s">
        <v>157</v>
      </c>
      <c r="B99" s="1" t="s">
        <v>157</v>
      </c>
      <c r="C99" s="5" t="s">
        <v>149</v>
      </c>
      <c r="D99" s="5" t="s">
        <v>150</v>
      </c>
      <c r="E99" s="6">
        <v>45594.45208333334</v>
      </c>
      <c r="F99" s="7" t="s">
        <v>151</v>
      </c>
      <c r="G99" s="5" t="s">
        <v>24</v>
      </c>
      <c r="K99" s="2" t="s">
        <v>18</v>
      </c>
      <c r="L99" s="2"/>
    </row>
    <row r="100">
      <c r="A100" s="1" t="s">
        <v>158</v>
      </c>
      <c r="B100" s="1" t="s">
        <v>158</v>
      </c>
      <c r="C100" s="5" t="s">
        <v>149</v>
      </c>
      <c r="D100" s="5" t="s">
        <v>150</v>
      </c>
      <c r="E100" s="6">
        <v>45594.45277777778</v>
      </c>
      <c r="F100" s="7" t="s">
        <v>151</v>
      </c>
      <c r="G100" s="5" t="s">
        <v>159</v>
      </c>
      <c r="K100" s="2" t="s">
        <v>18</v>
      </c>
      <c r="L100" s="2"/>
    </row>
    <row r="101">
      <c r="A101" s="1" t="s">
        <v>160</v>
      </c>
      <c r="B101" s="1" t="s">
        <v>160</v>
      </c>
      <c r="C101" s="5" t="s">
        <v>122</v>
      </c>
      <c r="D101" s="5" t="s">
        <v>123</v>
      </c>
      <c r="E101" s="6">
        <v>45594.47361111111</v>
      </c>
      <c r="F101" s="7" t="s">
        <v>124</v>
      </c>
      <c r="G101" s="5" t="s">
        <v>24</v>
      </c>
      <c r="K101" s="2" t="s">
        <v>18</v>
      </c>
      <c r="L101" s="2"/>
    </row>
    <row r="102">
      <c r="A102" s="1" t="s">
        <v>161</v>
      </c>
      <c r="B102" s="1" t="s">
        <v>161</v>
      </c>
      <c r="C102" s="5" t="s">
        <v>114</v>
      </c>
      <c r="D102" s="5" t="s">
        <v>115</v>
      </c>
      <c r="E102" s="6">
        <v>45594.51767361111</v>
      </c>
      <c r="F102" s="7" t="s">
        <v>116</v>
      </c>
      <c r="G102" s="5" t="s">
        <v>16</v>
      </c>
      <c r="K102" s="2" t="s">
        <v>18</v>
      </c>
      <c r="L102" s="2"/>
    </row>
    <row r="103">
      <c r="A103" s="1" t="s">
        <v>162</v>
      </c>
      <c r="B103" s="1" t="s">
        <v>162</v>
      </c>
      <c r="C103" s="5" t="s">
        <v>126</v>
      </c>
      <c r="D103" s="5" t="s">
        <v>127</v>
      </c>
      <c r="E103" s="6">
        <v>45594.522731481484</v>
      </c>
      <c r="F103" s="7" t="s">
        <v>128</v>
      </c>
      <c r="G103" s="5" t="s">
        <v>24</v>
      </c>
      <c r="K103" s="2" t="s">
        <v>18</v>
      </c>
      <c r="L103" s="2"/>
    </row>
    <row r="104">
      <c r="A104" s="1" t="s">
        <v>163</v>
      </c>
      <c r="B104" s="1" t="s">
        <v>163</v>
      </c>
      <c r="C104" s="5" t="s">
        <v>114</v>
      </c>
      <c r="D104" s="5" t="s">
        <v>115</v>
      </c>
      <c r="E104" s="6">
        <v>45594.589583333334</v>
      </c>
      <c r="F104" s="7" t="s">
        <v>116</v>
      </c>
      <c r="G104" s="5" t="s">
        <v>24</v>
      </c>
      <c r="K104" s="2" t="s">
        <v>18</v>
      </c>
      <c r="L104" s="2"/>
    </row>
    <row r="105">
      <c r="A105" s="1" t="s">
        <v>164</v>
      </c>
      <c r="B105" s="1" t="s">
        <v>164</v>
      </c>
      <c r="C105" s="5" t="s">
        <v>45</v>
      </c>
      <c r="D105" s="5" t="s">
        <v>46</v>
      </c>
      <c r="E105" s="6">
        <v>45595.44497685185</v>
      </c>
      <c r="F105" s="7" t="s">
        <v>47</v>
      </c>
      <c r="G105" s="5" t="s">
        <v>16</v>
      </c>
      <c r="I105" s="2" t="s">
        <v>17</v>
      </c>
      <c r="J105" s="2"/>
      <c r="K105" s="2" t="s">
        <v>18</v>
      </c>
      <c r="L105" s="2"/>
    </row>
    <row r="106">
      <c r="A106" s="1" t="s">
        <v>165</v>
      </c>
      <c r="B106" s="1" t="s">
        <v>165</v>
      </c>
      <c r="C106" s="5" t="s">
        <v>126</v>
      </c>
      <c r="D106" s="5" t="s">
        <v>127</v>
      </c>
      <c r="E106" s="6">
        <v>45595.45</v>
      </c>
      <c r="F106" s="7" t="s">
        <v>128</v>
      </c>
      <c r="G106" s="5" t="s">
        <v>159</v>
      </c>
      <c r="K106" s="2" t="s">
        <v>18</v>
      </c>
      <c r="L106" s="2"/>
    </row>
    <row r="107">
      <c r="A107" s="1" t="s">
        <v>166</v>
      </c>
      <c r="B107" s="1" t="s">
        <v>166</v>
      </c>
      <c r="C107" s="5" t="s">
        <v>28</v>
      </c>
      <c r="D107" s="5" t="s">
        <v>29</v>
      </c>
      <c r="E107" s="6">
        <v>45595.459189814814</v>
      </c>
      <c r="F107" s="7" t="s">
        <v>30</v>
      </c>
      <c r="G107" s="5" t="s">
        <v>16</v>
      </c>
      <c r="K107" s="2" t="s">
        <v>18</v>
      </c>
      <c r="L107" s="2"/>
    </row>
    <row r="108">
      <c r="A108" s="1" t="s">
        <v>167</v>
      </c>
      <c r="B108" s="1" t="s">
        <v>167</v>
      </c>
      <c r="C108" s="5" t="s">
        <v>126</v>
      </c>
      <c r="D108" s="5" t="s">
        <v>127</v>
      </c>
      <c r="E108" s="6">
        <v>45595.54305555555</v>
      </c>
      <c r="F108" s="7" t="s">
        <v>128</v>
      </c>
      <c r="G108" s="5" t="s">
        <v>16</v>
      </c>
      <c r="K108" s="2" t="s">
        <v>18</v>
      </c>
      <c r="L108" s="2"/>
    </row>
    <row r="109">
      <c r="A109" s="1" t="s">
        <v>168</v>
      </c>
      <c r="B109" s="1" t="s">
        <v>168</v>
      </c>
      <c r="C109" s="5" t="s">
        <v>169</v>
      </c>
      <c r="D109" s="5" t="s">
        <v>170</v>
      </c>
      <c r="E109" s="6">
        <v>45595.56525462963</v>
      </c>
      <c r="F109" s="7" t="s">
        <v>171</v>
      </c>
      <c r="G109" s="5" t="s">
        <v>16</v>
      </c>
      <c r="I109" s="2" t="s">
        <v>17</v>
      </c>
      <c r="J109" s="2"/>
      <c r="K109" s="2" t="s">
        <v>18</v>
      </c>
      <c r="L109" s="2"/>
    </row>
    <row r="110">
      <c r="A110" s="1" t="s">
        <v>172</v>
      </c>
      <c r="B110" s="1" t="s">
        <v>172</v>
      </c>
      <c r="C110" s="5" t="s">
        <v>28</v>
      </c>
      <c r="D110" s="5" t="s">
        <v>29</v>
      </c>
      <c r="E110" s="6">
        <v>45595.61206018519</v>
      </c>
      <c r="F110" s="7" t="s">
        <v>30</v>
      </c>
      <c r="G110" s="5" t="s">
        <v>24</v>
      </c>
      <c r="K110" s="2" t="s">
        <v>18</v>
      </c>
      <c r="L110" s="2"/>
    </row>
    <row r="111">
      <c r="A111" s="1" t="s">
        <v>173</v>
      </c>
      <c r="B111" s="1" t="s">
        <v>173</v>
      </c>
      <c r="C111" s="5" t="s">
        <v>109</v>
      </c>
      <c r="D111" s="5" t="s">
        <v>110</v>
      </c>
      <c r="E111" s="6">
        <v>45596.49217592593</v>
      </c>
      <c r="F111" s="7" t="s">
        <v>111</v>
      </c>
      <c r="G111" s="5" t="s">
        <v>16</v>
      </c>
      <c r="K111" s="2" t="s">
        <v>18</v>
      </c>
      <c r="L111" s="2"/>
    </row>
    <row r="112">
      <c r="A112" s="1" t="s">
        <v>174</v>
      </c>
      <c r="B112" s="1" t="s">
        <v>174</v>
      </c>
      <c r="C112" s="5" t="s">
        <v>109</v>
      </c>
      <c r="D112" s="5" t="s">
        <v>110</v>
      </c>
      <c r="E112" s="6">
        <v>45596.55403935185</v>
      </c>
      <c r="F112" s="7" t="s">
        <v>111</v>
      </c>
      <c r="G112" s="5" t="s">
        <v>24</v>
      </c>
      <c r="K112" s="2" t="s">
        <v>18</v>
      </c>
      <c r="L112" s="2"/>
    </row>
    <row r="113">
      <c r="A113" s="1" t="s">
        <v>175</v>
      </c>
      <c r="B113" s="1" t="s">
        <v>175</v>
      </c>
      <c r="C113" s="5" t="s">
        <v>122</v>
      </c>
      <c r="D113" s="5" t="s">
        <v>123</v>
      </c>
      <c r="E113" s="6">
        <v>45596.59950231481</v>
      </c>
      <c r="F113" s="7" t="s">
        <v>124</v>
      </c>
      <c r="G113" s="5" t="s">
        <v>16</v>
      </c>
      <c r="K113" s="2" t="s">
        <v>18</v>
      </c>
      <c r="L113" s="2"/>
    </row>
    <row r="114">
      <c r="A114" s="1" t="s">
        <v>176</v>
      </c>
      <c r="B114" s="1" t="s">
        <v>176</v>
      </c>
      <c r="C114" s="5" t="s">
        <v>122</v>
      </c>
      <c r="D114" s="5" t="s">
        <v>123</v>
      </c>
      <c r="E114" s="6">
        <v>45596.652442129634</v>
      </c>
      <c r="F114" s="7" t="s">
        <v>124</v>
      </c>
      <c r="G114" s="5" t="s">
        <v>24</v>
      </c>
      <c r="K114" s="2" t="s">
        <v>18</v>
      </c>
      <c r="L114" s="2"/>
    </row>
    <row r="115">
      <c r="A115" s="1" t="s">
        <v>177</v>
      </c>
      <c r="B115" s="1" t="s">
        <v>177</v>
      </c>
      <c r="C115" s="5" t="s">
        <v>131</v>
      </c>
      <c r="D115" s="5" t="s">
        <v>132</v>
      </c>
      <c r="E115" s="6">
        <v>45597.62666666666</v>
      </c>
      <c r="F115" s="7" t="s">
        <v>133</v>
      </c>
      <c r="G115" s="5" t="s">
        <v>16</v>
      </c>
      <c r="K115" s="2" t="s">
        <v>18</v>
      </c>
      <c r="L115" s="2"/>
    </row>
    <row r="116">
      <c r="A116" s="1" t="s">
        <v>178</v>
      </c>
      <c r="B116" s="1" t="s">
        <v>178</v>
      </c>
      <c r="C116" s="5" t="s">
        <v>126</v>
      </c>
      <c r="D116" s="5" t="s">
        <v>127</v>
      </c>
      <c r="E116" s="6">
        <v>45597.67671296296</v>
      </c>
      <c r="F116" s="7" t="s">
        <v>128</v>
      </c>
      <c r="G116" s="5" t="s">
        <v>24</v>
      </c>
      <c r="K116" s="2" t="s">
        <v>18</v>
      </c>
      <c r="L116" s="2"/>
    </row>
    <row r="117">
      <c r="A117" s="1" t="s">
        <v>179</v>
      </c>
      <c r="B117" s="1" t="s">
        <v>179</v>
      </c>
      <c r="C117" s="5" t="s">
        <v>55</v>
      </c>
      <c r="D117" s="5" t="s">
        <v>56</v>
      </c>
      <c r="E117" s="6">
        <v>45597.679131944446</v>
      </c>
      <c r="F117" s="7" t="s">
        <v>57</v>
      </c>
      <c r="G117" s="5" t="s">
        <v>24</v>
      </c>
      <c r="K117" s="2" t="s">
        <v>18</v>
      </c>
      <c r="L117" s="2"/>
    </row>
    <row r="118">
      <c r="A118" s="1" t="s">
        <v>180</v>
      </c>
      <c r="B118" s="1" t="s">
        <v>180</v>
      </c>
      <c r="C118" s="5" t="s">
        <v>131</v>
      </c>
      <c r="D118" s="5" t="s">
        <v>132</v>
      </c>
      <c r="E118" s="6">
        <v>45597.67953703704</v>
      </c>
      <c r="F118" s="7" t="s">
        <v>133</v>
      </c>
      <c r="G118" s="5" t="s">
        <v>24</v>
      </c>
      <c r="K118" s="2" t="s">
        <v>18</v>
      </c>
      <c r="L118" s="2"/>
    </row>
    <row r="119">
      <c r="A119" s="1" t="s">
        <v>181</v>
      </c>
      <c r="B119" s="1" t="s">
        <v>181</v>
      </c>
      <c r="C119" s="5" t="s">
        <v>122</v>
      </c>
      <c r="D119" s="5" t="s">
        <v>123</v>
      </c>
      <c r="E119" s="6">
        <v>45599.674305555556</v>
      </c>
      <c r="F119" s="7" t="s">
        <v>124</v>
      </c>
      <c r="G119" s="5" t="s">
        <v>16</v>
      </c>
      <c r="K119" s="2" t="s">
        <v>18</v>
      </c>
      <c r="L119" s="2"/>
    </row>
    <row r="120">
      <c r="A120" s="1" t="s">
        <v>182</v>
      </c>
      <c r="B120" s="1" t="s">
        <v>182</v>
      </c>
      <c r="C120" s="5" t="s">
        <v>122</v>
      </c>
      <c r="D120" s="5" t="s">
        <v>123</v>
      </c>
      <c r="E120" s="6">
        <v>45600.47986111111</v>
      </c>
      <c r="F120" s="7" t="s">
        <v>124</v>
      </c>
      <c r="G120" s="5" t="s">
        <v>24</v>
      </c>
      <c r="K120" s="2" t="s">
        <v>18</v>
      </c>
      <c r="L120" s="2"/>
    </row>
    <row r="121">
      <c r="A121" s="1" t="s">
        <v>183</v>
      </c>
      <c r="B121" s="1" t="s">
        <v>183</v>
      </c>
      <c r="C121" s="5" t="s">
        <v>126</v>
      </c>
      <c r="D121" s="5" t="s">
        <v>127</v>
      </c>
      <c r="E121" s="6">
        <v>45600.499502314815</v>
      </c>
      <c r="F121" s="7" t="s">
        <v>128</v>
      </c>
      <c r="G121" s="5" t="s">
        <v>16</v>
      </c>
      <c r="K121" s="2" t="s">
        <v>18</v>
      </c>
      <c r="L121" s="2"/>
    </row>
    <row r="122">
      <c r="A122" s="1" t="s">
        <v>184</v>
      </c>
      <c r="B122" s="1" t="s">
        <v>184</v>
      </c>
      <c r="C122" s="5" t="s">
        <v>126</v>
      </c>
      <c r="D122" s="5" t="s">
        <v>127</v>
      </c>
      <c r="E122" s="6">
        <v>45600.50396990741</v>
      </c>
      <c r="F122" s="7" t="s">
        <v>128</v>
      </c>
      <c r="G122" s="5" t="s">
        <v>24</v>
      </c>
      <c r="K122" s="2" t="s">
        <v>18</v>
      </c>
      <c r="L122" s="2"/>
    </row>
    <row r="123">
      <c r="A123" s="1" t="s">
        <v>185</v>
      </c>
      <c r="B123" s="1" t="s">
        <v>185</v>
      </c>
      <c r="C123" s="5" t="s">
        <v>126</v>
      </c>
      <c r="D123" s="5" t="s">
        <v>127</v>
      </c>
      <c r="E123" s="6">
        <v>45601.37986111111</v>
      </c>
      <c r="F123" s="7" t="s">
        <v>128</v>
      </c>
      <c r="G123" s="5" t="s">
        <v>24</v>
      </c>
      <c r="K123" s="2" t="s">
        <v>18</v>
      </c>
      <c r="L123" s="2"/>
    </row>
    <row r="124">
      <c r="A124" s="1" t="s">
        <v>186</v>
      </c>
      <c r="B124" s="1" t="s">
        <v>186</v>
      </c>
      <c r="C124" s="5" t="s">
        <v>122</v>
      </c>
      <c r="D124" s="5" t="s">
        <v>123</v>
      </c>
      <c r="E124" s="6">
        <v>45601.452465277776</v>
      </c>
      <c r="F124" s="7" t="s">
        <v>124</v>
      </c>
      <c r="G124" s="5" t="s">
        <v>24</v>
      </c>
      <c r="K124" s="2" t="s">
        <v>18</v>
      </c>
      <c r="L124" s="2"/>
    </row>
    <row r="125">
      <c r="A125" s="1" t="s">
        <v>187</v>
      </c>
      <c r="B125" s="1" t="s">
        <v>187</v>
      </c>
      <c r="C125" s="5" t="s">
        <v>91</v>
      </c>
      <c r="D125" s="5" t="s">
        <v>92</v>
      </c>
      <c r="E125" s="6">
        <v>45601.680613425924</v>
      </c>
      <c r="F125" s="7" t="s">
        <v>93</v>
      </c>
      <c r="G125" s="5" t="s">
        <v>24</v>
      </c>
      <c r="K125" s="2" t="s">
        <v>18</v>
      </c>
      <c r="L125" s="2"/>
    </row>
    <row r="126">
      <c r="A126" s="1" t="s">
        <v>188</v>
      </c>
      <c r="B126" s="1" t="s">
        <v>188</v>
      </c>
      <c r="C126" s="5" t="s">
        <v>122</v>
      </c>
      <c r="D126" s="5" t="s">
        <v>123</v>
      </c>
      <c r="E126" s="6">
        <v>45602.46842592592</v>
      </c>
      <c r="F126" s="7" t="s">
        <v>124</v>
      </c>
      <c r="G126" s="5" t="s">
        <v>16</v>
      </c>
      <c r="K126" s="2" t="s">
        <v>18</v>
      </c>
      <c r="L126" s="2"/>
    </row>
    <row r="127">
      <c r="A127" s="1" t="s">
        <v>189</v>
      </c>
      <c r="B127" s="1" t="s">
        <v>189</v>
      </c>
      <c r="C127" s="5" t="s">
        <v>20</v>
      </c>
      <c r="D127" s="5" t="s">
        <v>21</v>
      </c>
      <c r="E127" s="6">
        <v>45602.47520833333</v>
      </c>
      <c r="F127" s="7" t="s">
        <v>22</v>
      </c>
      <c r="G127" s="5" t="s">
        <v>24</v>
      </c>
      <c r="K127" s="2" t="s">
        <v>18</v>
      </c>
      <c r="L127" s="2"/>
    </row>
    <row r="128">
      <c r="A128" s="1" t="s">
        <v>190</v>
      </c>
      <c r="B128" s="1" t="s">
        <v>190</v>
      </c>
      <c r="C128" s="5" t="s">
        <v>122</v>
      </c>
      <c r="D128" s="5" t="s">
        <v>123</v>
      </c>
      <c r="E128" s="6">
        <v>45602.68225694445</v>
      </c>
      <c r="F128" s="7" t="s">
        <v>124</v>
      </c>
      <c r="G128" s="5" t="s">
        <v>24</v>
      </c>
      <c r="K128" s="2" t="s">
        <v>18</v>
      </c>
      <c r="L128" s="2"/>
    </row>
    <row r="129">
      <c r="A129" s="1" t="s">
        <v>191</v>
      </c>
      <c r="B129" s="1" t="s">
        <v>191</v>
      </c>
      <c r="C129" s="5" t="s">
        <v>28</v>
      </c>
      <c r="D129" s="5" t="s">
        <v>29</v>
      </c>
      <c r="E129" s="6">
        <v>45603.664814814816</v>
      </c>
      <c r="F129" s="7" t="s">
        <v>30</v>
      </c>
      <c r="G129" s="5" t="s">
        <v>16</v>
      </c>
      <c r="K129" s="2" t="s">
        <v>18</v>
      </c>
      <c r="L129" s="2"/>
    </row>
    <row r="130">
      <c r="A130" s="1" t="s">
        <v>192</v>
      </c>
      <c r="B130" s="1" t="s">
        <v>192</v>
      </c>
      <c r="C130" s="5" t="s">
        <v>126</v>
      </c>
      <c r="D130" s="5" t="s">
        <v>127</v>
      </c>
      <c r="E130" s="6">
        <v>45603.562210648146</v>
      </c>
      <c r="F130" s="7" t="s">
        <v>128</v>
      </c>
      <c r="G130" s="5" t="s">
        <v>24</v>
      </c>
      <c r="K130" s="2" t="s">
        <v>18</v>
      </c>
      <c r="L130" s="2"/>
    </row>
    <row r="131">
      <c r="A131" s="1" t="s">
        <v>193</v>
      </c>
      <c r="B131" s="1" t="s">
        <v>193</v>
      </c>
      <c r="C131" s="5" t="s">
        <v>122</v>
      </c>
      <c r="D131" s="5" t="s">
        <v>123</v>
      </c>
      <c r="E131" s="6">
        <v>45603.564409722225</v>
      </c>
      <c r="F131" s="7" t="s">
        <v>124</v>
      </c>
      <c r="G131" s="5" t="s">
        <v>16</v>
      </c>
      <c r="K131" s="2" t="s">
        <v>18</v>
      </c>
      <c r="L131" s="2"/>
    </row>
    <row r="132">
      <c r="A132" s="1" t="s">
        <v>194</v>
      </c>
      <c r="B132" s="1" t="s">
        <v>194</v>
      </c>
      <c r="C132" s="5" t="s">
        <v>28</v>
      </c>
      <c r="D132" s="5" t="s">
        <v>29</v>
      </c>
      <c r="E132" s="6">
        <v>45603.600370370375</v>
      </c>
      <c r="F132" s="7" t="s">
        <v>30</v>
      </c>
      <c r="G132" s="5" t="s">
        <v>24</v>
      </c>
      <c r="K132" s="2" t="s">
        <v>18</v>
      </c>
      <c r="L132" s="2"/>
    </row>
    <row r="133">
      <c r="A133" s="1" t="s">
        <v>195</v>
      </c>
      <c r="B133" s="1" t="s">
        <v>195</v>
      </c>
      <c r="C133" s="5" t="s">
        <v>122</v>
      </c>
      <c r="D133" s="5" t="s">
        <v>123</v>
      </c>
      <c r="E133" s="6">
        <v>45604.4287037037</v>
      </c>
      <c r="F133" s="7" t="s">
        <v>124</v>
      </c>
      <c r="G133" s="5" t="s">
        <v>24</v>
      </c>
      <c r="K133" s="2" t="s">
        <v>18</v>
      </c>
      <c r="L133" s="2"/>
    </row>
    <row r="134">
      <c r="A134" s="1" t="s">
        <v>196</v>
      </c>
      <c r="B134" s="1" t="s">
        <v>196</v>
      </c>
      <c r="C134" s="5" t="s">
        <v>126</v>
      </c>
      <c r="D134" s="5" t="s">
        <v>127</v>
      </c>
      <c r="E134" s="6">
        <v>45604.43355324074</v>
      </c>
      <c r="F134" s="7" t="s">
        <v>128</v>
      </c>
      <c r="G134" s="5" t="s">
        <v>16</v>
      </c>
      <c r="K134" s="2" t="s">
        <v>18</v>
      </c>
      <c r="L134" s="2"/>
    </row>
    <row r="135">
      <c r="A135" s="1" t="s">
        <v>197</v>
      </c>
      <c r="B135" s="1" t="s">
        <v>197</v>
      </c>
      <c r="C135" s="5" t="s">
        <v>149</v>
      </c>
      <c r="D135" s="5" t="s">
        <v>150</v>
      </c>
      <c r="E135" s="6">
        <v>45604.65200231482</v>
      </c>
      <c r="F135" s="7" t="s">
        <v>151</v>
      </c>
      <c r="G135" s="5" t="s">
        <v>16</v>
      </c>
      <c r="K135" s="2" t="s">
        <v>18</v>
      </c>
      <c r="L135" s="2"/>
    </row>
    <row r="136">
      <c r="A136" s="1" t="s">
        <v>198</v>
      </c>
      <c r="B136" s="1" t="s">
        <v>198</v>
      </c>
      <c r="C136" s="5" t="s">
        <v>126</v>
      </c>
      <c r="D136" s="5" t="s">
        <v>127</v>
      </c>
      <c r="E136" s="6">
        <v>45604.65760416667</v>
      </c>
      <c r="F136" s="7" t="s">
        <v>128</v>
      </c>
      <c r="G136" s="5" t="s">
        <v>24</v>
      </c>
      <c r="K136" s="2" t="s">
        <v>18</v>
      </c>
      <c r="L136" s="2"/>
    </row>
    <row r="137">
      <c r="A137" s="1" t="s">
        <v>199</v>
      </c>
      <c r="B137" s="1" t="s">
        <v>199</v>
      </c>
      <c r="C137" s="5" t="s">
        <v>149</v>
      </c>
      <c r="D137" s="5" t="s">
        <v>150</v>
      </c>
      <c r="E137" s="6">
        <v>45604.70388888889</v>
      </c>
      <c r="F137" s="7" t="s">
        <v>151</v>
      </c>
      <c r="G137" s="5" t="s">
        <v>24</v>
      </c>
      <c r="K137" s="2" t="s">
        <v>18</v>
      </c>
      <c r="L137" s="2"/>
    </row>
    <row r="138">
      <c r="A138" s="1" t="s">
        <v>200</v>
      </c>
      <c r="B138" s="1" t="s">
        <v>200</v>
      </c>
      <c r="C138" s="5" t="s">
        <v>45</v>
      </c>
      <c r="D138" s="5" t="s">
        <v>46</v>
      </c>
      <c r="E138" s="6">
        <v>45604.70505787037</v>
      </c>
      <c r="F138" s="7" t="s">
        <v>47</v>
      </c>
      <c r="G138" s="5" t="s">
        <v>16</v>
      </c>
      <c r="I138" s="2" t="s">
        <v>17</v>
      </c>
      <c r="J138" s="2"/>
      <c r="K138" s="2" t="s">
        <v>18</v>
      </c>
      <c r="L138" s="2"/>
    </row>
    <row r="139">
      <c r="A139" s="1" t="s">
        <v>201</v>
      </c>
      <c r="B139" s="1" t="s">
        <v>201</v>
      </c>
      <c r="C139" s="5" t="s">
        <v>122</v>
      </c>
      <c r="D139" s="5" t="s">
        <v>123</v>
      </c>
      <c r="E139" s="6">
        <v>45605.38143518519</v>
      </c>
      <c r="F139" s="7" t="s">
        <v>124</v>
      </c>
      <c r="G139" s="5" t="s">
        <v>16</v>
      </c>
      <c r="K139" s="2" t="s">
        <v>18</v>
      </c>
      <c r="L139" s="2"/>
    </row>
    <row r="140">
      <c r="A140" s="1" t="s">
        <v>202</v>
      </c>
      <c r="B140" s="1" t="s">
        <v>202</v>
      </c>
      <c r="C140" s="5" t="s">
        <v>131</v>
      </c>
      <c r="D140" s="5" t="s">
        <v>132</v>
      </c>
      <c r="E140" s="6">
        <v>45607.41091435185</v>
      </c>
      <c r="F140" s="7" t="s">
        <v>133</v>
      </c>
      <c r="G140" s="5" t="s">
        <v>24</v>
      </c>
      <c r="K140" s="2" t="s">
        <v>18</v>
      </c>
      <c r="L140" s="2"/>
    </row>
    <row r="141">
      <c r="A141" s="1" t="s">
        <v>203</v>
      </c>
      <c r="B141" s="1" t="s">
        <v>203</v>
      </c>
      <c r="C141" s="5" t="s">
        <v>122</v>
      </c>
      <c r="D141" s="5" t="s">
        <v>123</v>
      </c>
      <c r="E141" s="6">
        <v>45607.411261574074</v>
      </c>
      <c r="F141" s="7" t="s">
        <v>124</v>
      </c>
      <c r="G141" s="5" t="s">
        <v>24</v>
      </c>
      <c r="K141" s="2" t="s">
        <v>18</v>
      </c>
      <c r="L141" s="2"/>
    </row>
    <row r="142">
      <c r="A142" s="1" t="s">
        <v>204</v>
      </c>
      <c r="B142" s="1" t="s">
        <v>204</v>
      </c>
      <c r="C142" s="5" t="s">
        <v>149</v>
      </c>
      <c r="D142" s="5" t="s">
        <v>150</v>
      </c>
      <c r="E142" s="6">
        <v>45607.6362037037</v>
      </c>
      <c r="F142" s="7" t="s">
        <v>151</v>
      </c>
      <c r="G142" s="5" t="s">
        <v>16</v>
      </c>
      <c r="K142" s="2" t="s">
        <v>18</v>
      </c>
      <c r="L142" s="2"/>
    </row>
    <row r="143">
      <c r="A143" s="1" t="s">
        <v>205</v>
      </c>
      <c r="B143" s="1" t="s">
        <v>205</v>
      </c>
      <c r="C143" s="5" t="s">
        <v>49</v>
      </c>
      <c r="D143" s="5" t="s">
        <v>50</v>
      </c>
      <c r="E143" s="6">
        <v>45607.63998842593</v>
      </c>
      <c r="F143" s="7" t="s">
        <v>51</v>
      </c>
      <c r="G143" s="5" t="s">
        <v>16</v>
      </c>
      <c r="K143" s="2" t="s">
        <v>18</v>
      </c>
      <c r="L143" s="2"/>
    </row>
    <row r="144">
      <c r="A144" s="1" t="s">
        <v>206</v>
      </c>
      <c r="B144" s="1" t="s">
        <v>206</v>
      </c>
      <c r="C144" s="5" t="s">
        <v>49</v>
      </c>
      <c r="D144" s="5" t="s">
        <v>50</v>
      </c>
      <c r="E144" s="6">
        <v>45607.64891203704</v>
      </c>
      <c r="F144" s="7" t="s">
        <v>51</v>
      </c>
      <c r="G144" s="5" t="s">
        <v>24</v>
      </c>
      <c r="K144" s="2" t="s">
        <v>18</v>
      </c>
      <c r="L144" s="2"/>
    </row>
    <row r="145">
      <c r="A145" s="1" t="s">
        <v>207</v>
      </c>
      <c r="B145" s="1" t="s">
        <v>207</v>
      </c>
      <c r="C145" s="5" t="s">
        <v>126</v>
      </c>
      <c r="D145" s="5" t="s">
        <v>127</v>
      </c>
      <c r="E145" s="6">
        <v>45607.649305555555</v>
      </c>
      <c r="F145" s="7" t="s">
        <v>128</v>
      </c>
      <c r="G145" s="5" t="s">
        <v>24</v>
      </c>
      <c r="K145" s="2" t="s">
        <v>18</v>
      </c>
      <c r="L145" s="2"/>
    </row>
    <row r="146">
      <c r="A146" s="1" t="s">
        <v>208</v>
      </c>
      <c r="B146" s="1" t="s">
        <v>208</v>
      </c>
      <c r="C146" s="5" t="s">
        <v>114</v>
      </c>
      <c r="D146" s="5" t="s">
        <v>115</v>
      </c>
      <c r="E146" s="6">
        <v>45608.3875</v>
      </c>
      <c r="F146" s="7" t="s">
        <v>116</v>
      </c>
      <c r="G146" s="5" t="s">
        <v>16</v>
      </c>
      <c r="K146" s="2" t="s">
        <v>18</v>
      </c>
      <c r="L146" s="2"/>
    </row>
    <row r="147">
      <c r="A147" s="1" t="s">
        <v>209</v>
      </c>
      <c r="B147" s="1" t="s">
        <v>209</v>
      </c>
      <c r="C147" s="5" t="s">
        <v>114</v>
      </c>
      <c r="D147" s="5" t="s">
        <v>115</v>
      </c>
      <c r="E147" s="6">
        <v>45608.424942129626</v>
      </c>
      <c r="F147" s="7" t="s">
        <v>116</v>
      </c>
      <c r="G147" s="5" t="s">
        <v>24</v>
      </c>
      <c r="K147" s="2" t="s">
        <v>18</v>
      </c>
      <c r="L147" s="2"/>
    </row>
    <row r="148">
      <c r="A148" s="1" t="s">
        <v>210</v>
      </c>
      <c r="B148" s="1" t="s">
        <v>210</v>
      </c>
      <c r="C148" s="5" t="s">
        <v>126</v>
      </c>
      <c r="D148" s="5" t="s">
        <v>127</v>
      </c>
      <c r="E148" s="6">
        <v>45609.634722222225</v>
      </c>
      <c r="F148" s="7" t="s">
        <v>128</v>
      </c>
      <c r="G148" s="5" t="s">
        <v>16</v>
      </c>
      <c r="K148" s="2" t="s">
        <v>18</v>
      </c>
      <c r="L148" s="2"/>
    </row>
    <row r="149">
      <c r="A149" s="1" t="s">
        <v>211</v>
      </c>
      <c r="B149" s="1" t="s">
        <v>211</v>
      </c>
      <c r="C149" s="5" t="s">
        <v>45</v>
      </c>
      <c r="D149" s="5" t="s">
        <v>46</v>
      </c>
      <c r="E149" s="6">
        <v>45609.44362268518</v>
      </c>
      <c r="F149" s="7" t="s">
        <v>47</v>
      </c>
      <c r="G149" s="5" t="s">
        <v>24</v>
      </c>
      <c r="K149" s="2" t="s">
        <v>18</v>
      </c>
      <c r="L149" s="2"/>
    </row>
    <row r="150">
      <c r="A150" s="1" t="s">
        <v>212</v>
      </c>
      <c r="B150" s="1" t="s">
        <v>212</v>
      </c>
      <c r="C150" s="5" t="s">
        <v>213</v>
      </c>
      <c r="D150" s="5" t="s">
        <v>214</v>
      </c>
      <c r="E150" s="6">
        <v>45610.585</v>
      </c>
      <c r="F150" s="7" t="s">
        <v>215</v>
      </c>
      <c r="G150" s="5" t="s">
        <v>16</v>
      </c>
      <c r="I150" s="2" t="s">
        <v>17</v>
      </c>
      <c r="K150" s="2" t="s">
        <v>18</v>
      </c>
      <c r="L150" s="2"/>
    </row>
    <row r="151">
      <c r="A151" s="1" t="s">
        <v>216</v>
      </c>
      <c r="B151" s="1" t="s">
        <v>216</v>
      </c>
      <c r="C151" s="5" t="s">
        <v>122</v>
      </c>
      <c r="D151" s="5" t="s">
        <v>123</v>
      </c>
      <c r="E151" s="6">
        <v>45609.65662037037</v>
      </c>
      <c r="F151" s="7" t="s">
        <v>124</v>
      </c>
      <c r="G151" s="5" t="s">
        <v>16</v>
      </c>
      <c r="K151" s="2" t="s">
        <v>18</v>
      </c>
      <c r="L151" s="2"/>
    </row>
    <row r="152">
      <c r="A152" s="1" t="s">
        <v>217</v>
      </c>
      <c r="B152" s="1" t="s">
        <v>217</v>
      </c>
      <c r="C152" s="5" t="s">
        <v>122</v>
      </c>
      <c r="D152" s="5" t="s">
        <v>123</v>
      </c>
      <c r="E152" s="6">
        <v>45609.66645833333</v>
      </c>
      <c r="F152" s="7" t="s">
        <v>124</v>
      </c>
      <c r="G152" s="5" t="s">
        <v>24</v>
      </c>
      <c r="K152" s="2" t="s">
        <v>18</v>
      </c>
      <c r="L152" s="2"/>
    </row>
    <row r="153">
      <c r="A153" s="1" t="s">
        <v>218</v>
      </c>
      <c r="B153" s="1" t="s">
        <v>218</v>
      </c>
      <c r="C153" s="5" t="s">
        <v>126</v>
      </c>
      <c r="D153" s="5" t="s">
        <v>127</v>
      </c>
      <c r="E153" s="6">
        <v>45609.66736111111</v>
      </c>
      <c r="F153" s="7" t="s">
        <v>128</v>
      </c>
      <c r="G153" s="5" t="s">
        <v>24</v>
      </c>
      <c r="K153" s="2" t="s">
        <v>18</v>
      </c>
      <c r="L153" s="2"/>
    </row>
    <row r="154">
      <c r="A154" s="1" t="s">
        <v>219</v>
      </c>
      <c r="B154" s="1" t="s">
        <v>219</v>
      </c>
      <c r="C154" s="5" t="s">
        <v>28</v>
      </c>
      <c r="D154" s="5" t="s">
        <v>29</v>
      </c>
      <c r="E154" s="6">
        <v>45611.433495370366</v>
      </c>
      <c r="F154" s="7" t="s">
        <v>30</v>
      </c>
      <c r="G154" s="5" t="s">
        <v>16</v>
      </c>
      <c r="K154" s="2" t="s">
        <v>18</v>
      </c>
      <c r="L154" s="2"/>
    </row>
    <row r="155">
      <c r="A155" s="1" t="s">
        <v>220</v>
      </c>
      <c r="B155" s="1" t="s">
        <v>220</v>
      </c>
      <c r="C155" s="5" t="s">
        <v>122</v>
      </c>
      <c r="D155" s="5" t="s">
        <v>123</v>
      </c>
      <c r="E155" s="6">
        <v>45611.43462962963</v>
      </c>
      <c r="F155" s="7" t="s">
        <v>124</v>
      </c>
      <c r="G155" s="5" t="s">
        <v>16</v>
      </c>
      <c r="K155" s="2" t="s">
        <v>18</v>
      </c>
      <c r="L155" s="2"/>
    </row>
    <row r="156">
      <c r="A156" s="1" t="s">
        <v>221</v>
      </c>
      <c r="B156" s="1" t="s">
        <v>221</v>
      </c>
      <c r="C156" s="5" t="s">
        <v>122</v>
      </c>
      <c r="D156" s="5" t="s">
        <v>123</v>
      </c>
      <c r="E156" s="6">
        <v>45611.51111111111</v>
      </c>
      <c r="F156" s="7" t="s">
        <v>124</v>
      </c>
      <c r="G156" s="5" t="s">
        <v>24</v>
      </c>
      <c r="K156" s="2" t="s">
        <v>18</v>
      </c>
      <c r="L156" s="2"/>
    </row>
    <row r="157">
      <c r="A157" s="1" t="s">
        <v>222</v>
      </c>
      <c r="B157" s="1" t="s">
        <v>222</v>
      </c>
      <c r="C157" s="5" t="s">
        <v>28</v>
      </c>
      <c r="D157" s="5" t="s">
        <v>29</v>
      </c>
      <c r="E157" s="6">
        <v>45611.58704861111</v>
      </c>
      <c r="F157" s="7" t="s">
        <v>30</v>
      </c>
      <c r="G157" s="5" t="s">
        <v>24</v>
      </c>
      <c r="K157" s="2" t="s">
        <v>18</v>
      </c>
      <c r="L157" s="2"/>
    </row>
    <row r="158">
      <c r="A158" s="1" t="s">
        <v>223</v>
      </c>
      <c r="B158" s="1" t="s">
        <v>223</v>
      </c>
      <c r="C158" s="5" t="s">
        <v>122</v>
      </c>
      <c r="D158" s="5" t="s">
        <v>123</v>
      </c>
      <c r="E158" s="6">
        <v>45612.353356481486</v>
      </c>
      <c r="F158" s="7" t="s">
        <v>124</v>
      </c>
      <c r="G158" s="5" t="s">
        <v>16</v>
      </c>
      <c r="K158" s="2" t="s">
        <v>18</v>
      </c>
      <c r="L158" s="2"/>
    </row>
    <row r="159">
      <c r="A159" s="1" t="s">
        <v>224</v>
      </c>
      <c r="B159" s="1" t="s">
        <v>224</v>
      </c>
      <c r="C159" s="5" t="s">
        <v>122</v>
      </c>
      <c r="D159" s="5" t="s">
        <v>123</v>
      </c>
      <c r="E159" s="6">
        <v>45612.35555555555</v>
      </c>
      <c r="F159" s="7" t="s">
        <v>124</v>
      </c>
      <c r="G159" s="5" t="s">
        <v>159</v>
      </c>
      <c r="K159" s="2" t="s">
        <v>18</v>
      </c>
      <c r="L159" s="2"/>
    </row>
    <row r="160">
      <c r="A160" s="1" t="s">
        <v>225</v>
      </c>
      <c r="B160" s="1" t="s">
        <v>225</v>
      </c>
      <c r="C160" s="5" t="s">
        <v>126</v>
      </c>
      <c r="D160" s="5" t="s">
        <v>127</v>
      </c>
      <c r="E160" s="6">
        <v>45612.4825</v>
      </c>
      <c r="F160" s="7" t="s">
        <v>128</v>
      </c>
      <c r="G160" s="5" t="s">
        <v>24</v>
      </c>
      <c r="K160" s="2" t="s">
        <v>18</v>
      </c>
      <c r="L160" s="2"/>
    </row>
    <row r="161">
      <c r="A161" s="1" t="s">
        <v>226</v>
      </c>
      <c r="B161" s="1" t="s">
        <v>226</v>
      </c>
      <c r="C161" s="5" t="s">
        <v>122</v>
      </c>
      <c r="D161" s="5" t="s">
        <v>123</v>
      </c>
      <c r="E161" s="6">
        <v>45612.50064814815</v>
      </c>
      <c r="F161" s="7" t="s">
        <v>124</v>
      </c>
      <c r="G161" s="5" t="s">
        <v>24</v>
      </c>
      <c r="K161" s="2" t="s">
        <v>18</v>
      </c>
      <c r="L161" s="2"/>
    </row>
    <row r="162">
      <c r="A162" s="1" t="s">
        <v>227</v>
      </c>
      <c r="B162" s="1" t="s">
        <v>227</v>
      </c>
      <c r="C162" s="5" t="s">
        <v>126</v>
      </c>
      <c r="D162" s="5" t="s">
        <v>127</v>
      </c>
      <c r="E162" s="6">
        <v>45614.33052083333</v>
      </c>
      <c r="F162" s="7" t="s">
        <v>128</v>
      </c>
      <c r="G162" s="5" t="s">
        <v>16</v>
      </c>
      <c r="K162" s="2" t="s">
        <v>18</v>
      </c>
      <c r="L162" s="2"/>
    </row>
    <row r="163">
      <c r="A163" s="1" t="s">
        <v>228</v>
      </c>
      <c r="B163" s="1" t="s">
        <v>228</v>
      </c>
      <c r="C163" s="5" t="s">
        <v>126</v>
      </c>
      <c r="D163" s="5" t="s">
        <v>127</v>
      </c>
      <c r="E163" s="6">
        <v>45614.62232638889</v>
      </c>
      <c r="F163" s="7" t="s">
        <v>128</v>
      </c>
      <c r="G163" s="5" t="s">
        <v>24</v>
      </c>
      <c r="K163" s="2" t="s">
        <v>18</v>
      </c>
      <c r="L163" s="2"/>
    </row>
    <row r="164">
      <c r="A164" s="1" t="s">
        <v>229</v>
      </c>
      <c r="B164" s="1" t="s">
        <v>229</v>
      </c>
      <c r="C164" s="5" t="s">
        <v>114</v>
      </c>
      <c r="D164" s="5" t="s">
        <v>115</v>
      </c>
      <c r="E164" s="6">
        <v>45614.62439814815</v>
      </c>
      <c r="F164" s="7" t="s">
        <v>116</v>
      </c>
      <c r="G164" s="5" t="s">
        <v>24</v>
      </c>
      <c r="K164" s="2" t="s">
        <v>18</v>
      </c>
      <c r="L164" s="2"/>
    </row>
    <row r="165">
      <c r="A165" s="1" t="s">
        <v>230</v>
      </c>
      <c r="B165" s="1" t="s">
        <v>230</v>
      </c>
      <c r="C165" s="5" t="s">
        <v>122</v>
      </c>
      <c r="D165" s="5" t="s">
        <v>123</v>
      </c>
      <c r="E165" s="6">
        <v>45615.321747685186</v>
      </c>
      <c r="F165" s="7" t="s">
        <v>124</v>
      </c>
      <c r="G165" s="5" t="s">
        <v>16</v>
      </c>
      <c r="K165" s="2" t="s">
        <v>18</v>
      </c>
      <c r="L165" s="2"/>
    </row>
    <row r="166">
      <c r="A166" s="1" t="s">
        <v>231</v>
      </c>
      <c r="B166" s="1" t="s">
        <v>231</v>
      </c>
      <c r="C166" s="5" t="s">
        <v>149</v>
      </c>
      <c r="D166" s="5" t="s">
        <v>150</v>
      </c>
      <c r="E166" s="6">
        <v>45615.44127314815</v>
      </c>
      <c r="F166" s="7" t="s">
        <v>151</v>
      </c>
      <c r="G166" s="5" t="s">
        <v>16</v>
      </c>
      <c r="K166" s="2" t="s">
        <v>18</v>
      </c>
      <c r="L166" s="2"/>
    </row>
    <row r="167">
      <c r="A167" s="1" t="s">
        <v>232</v>
      </c>
      <c r="B167" s="1" t="s">
        <v>232</v>
      </c>
      <c r="C167" s="5" t="s">
        <v>122</v>
      </c>
      <c r="D167" s="5" t="s">
        <v>123</v>
      </c>
      <c r="E167" s="6">
        <v>45615.48768518519</v>
      </c>
      <c r="F167" s="7" t="s">
        <v>124</v>
      </c>
      <c r="G167" s="5" t="s">
        <v>24</v>
      </c>
      <c r="K167" s="2" t="s">
        <v>18</v>
      </c>
      <c r="L167" s="2"/>
    </row>
    <row r="168">
      <c r="A168" s="1" t="s">
        <v>233</v>
      </c>
      <c r="B168" s="1" t="s">
        <v>233</v>
      </c>
      <c r="C168" s="5" t="s">
        <v>126</v>
      </c>
      <c r="D168" s="5" t="s">
        <v>127</v>
      </c>
      <c r="E168" s="6">
        <v>45615.48949074074</v>
      </c>
      <c r="F168" s="7" t="s">
        <v>128</v>
      </c>
      <c r="G168" s="5" t="s">
        <v>16</v>
      </c>
      <c r="K168" s="2" t="s">
        <v>18</v>
      </c>
      <c r="L168" s="2"/>
    </row>
    <row r="169">
      <c r="A169" s="1" t="s">
        <v>234</v>
      </c>
      <c r="B169" s="1" t="s">
        <v>234</v>
      </c>
      <c r="C169" s="5" t="s">
        <v>149</v>
      </c>
      <c r="D169" s="5" t="s">
        <v>150</v>
      </c>
      <c r="E169" s="6">
        <v>45615.50586805555</v>
      </c>
      <c r="F169" s="7" t="s">
        <v>151</v>
      </c>
      <c r="G169" s="5" t="s">
        <v>24</v>
      </c>
      <c r="K169" s="2" t="s">
        <v>18</v>
      </c>
      <c r="L169" s="2"/>
    </row>
    <row r="170">
      <c r="A170" s="1" t="s">
        <v>235</v>
      </c>
      <c r="B170" s="1" t="s">
        <v>235</v>
      </c>
      <c r="C170" s="5" t="s">
        <v>122</v>
      </c>
      <c r="D170" s="5" t="s">
        <v>123</v>
      </c>
      <c r="E170" s="6">
        <v>45616.319814814815</v>
      </c>
      <c r="F170" s="7" t="s">
        <v>124</v>
      </c>
      <c r="G170" s="5" t="s">
        <v>16</v>
      </c>
      <c r="K170" s="2" t="s">
        <v>18</v>
      </c>
      <c r="L170" s="2"/>
    </row>
    <row r="171">
      <c r="A171" s="1" t="s">
        <v>236</v>
      </c>
      <c r="B171" s="1" t="s">
        <v>236</v>
      </c>
      <c r="C171" s="5" t="s">
        <v>114</v>
      </c>
      <c r="D171" s="5" t="s">
        <v>115</v>
      </c>
      <c r="E171" s="6">
        <v>45616.32665509259</v>
      </c>
      <c r="F171" s="7" t="s">
        <v>116</v>
      </c>
      <c r="G171" s="5" t="s">
        <v>16</v>
      </c>
      <c r="K171" s="2" t="s">
        <v>18</v>
      </c>
      <c r="L171" s="2"/>
    </row>
    <row r="172">
      <c r="A172" s="1" t="s">
        <v>237</v>
      </c>
      <c r="B172" s="1" t="s">
        <v>237</v>
      </c>
      <c r="C172" s="5" t="s">
        <v>114</v>
      </c>
      <c r="D172" s="5" t="s">
        <v>115</v>
      </c>
      <c r="E172" s="6">
        <v>45616.470555555556</v>
      </c>
      <c r="F172" s="7" t="s">
        <v>116</v>
      </c>
      <c r="G172" s="5" t="s">
        <v>24</v>
      </c>
      <c r="K172" s="2" t="s">
        <v>18</v>
      </c>
      <c r="L172" s="2"/>
    </row>
    <row r="173">
      <c r="A173" s="1" t="s">
        <v>238</v>
      </c>
      <c r="B173" s="1" t="s">
        <v>238</v>
      </c>
      <c r="C173" s="5" t="s">
        <v>122</v>
      </c>
      <c r="D173" s="5" t="s">
        <v>123</v>
      </c>
      <c r="E173" s="6">
        <v>45616.47148148148</v>
      </c>
      <c r="F173" s="7" t="s">
        <v>124</v>
      </c>
      <c r="G173" s="5" t="s">
        <v>24</v>
      </c>
      <c r="K173" s="2" t="s">
        <v>18</v>
      </c>
      <c r="L173" s="2"/>
    </row>
    <row r="174">
      <c r="A174" s="1" t="s">
        <v>239</v>
      </c>
      <c r="B174" s="1" t="s">
        <v>239</v>
      </c>
      <c r="C174" s="5" t="s">
        <v>126</v>
      </c>
      <c r="D174" s="5" t="s">
        <v>127</v>
      </c>
      <c r="E174" s="6">
        <v>45617.658067129625</v>
      </c>
      <c r="F174" s="7" t="s">
        <v>128</v>
      </c>
      <c r="G174" s="5" t="s">
        <v>16</v>
      </c>
      <c r="K174" s="2" t="s">
        <v>18</v>
      </c>
      <c r="L174" s="2"/>
    </row>
    <row r="175">
      <c r="A175" s="1" t="s">
        <v>240</v>
      </c>
      <c r="B175" s="1" t="s">
        <v>240</v>
      </c>
      <c r="C175" s="5" t="s">
        <v>28</v>
      </c>
      <c r="D175" s="5" t="s">
        <v>29</v>
      </c>
      <c r="E175" s="6">
        <v>45617.66458333333</v>
      </c>
      <c r="F175" s="7" t="s">
        <v>30</v>
      </c>
      <c r="G175" s="5" t="s">
        <v>16</v>
      </c>
      <c r="K175" s="2" t="s">
        <v>18</v>
      </c>
      <c r="L175" s="2"/>
    </row>
    <row r="176">
      <c r="A176" s="1" t="s">
        <v>241</v>
      </c>
      <c r="B176" s="1" t="s">
        <v>241</v>
      </c>
      <c r="C176" s="5" t="s">
        <v>126</v>
      </c>
      <c r="D176" s="5" t="s">
        <v>127</v>
      </c>
      <c r="E176" s="6">
        <v>45617.448958333334</v>
      </c>
      <c r="F176" s="7" t="s">
        <v>128</v>
      </c>
      <c r="G176" s="5" t="s">
        <v>24</v>
      </c>
      <c r="K176" s="2" t="s">
        <v>18</v>
      </c>
      <c r="L176" s="2"/>
    </row>
    <row r="177">
      <c r="A177" s="1" t="s">
        <v>242</v>
      </c>
      <c r="B177" s="1" t="s">
        <v>242</v>
      </c>
      <c r="C177" s="5" t="s">
        <v>109</v>
      </c>
      <c r="D177" s="5" t="s">
        <v>110</v>
      </c>
      <c r="E177" s="6">
        <v>45617.45196759259</v>
      </c>
      <c r="F177" s="7" t="s">
        <v>111</v>
      </c>
      <c r="G177" s="5" t="s">
        <v>16</v>
      </c>
      <c r="K177" s="2" t="s">
        <v>18</v>
      </c>
      <c r="L177" s="2"/>
    </row>
    <row r="178">
      <c r="A178" s="1" t="s">
        <v>243</v>
      </c>
      <c r="B178" s="1" t="s">
        <v>243</v>
      </c>
      <c r="C178" s="5" t="s">
        <v>28</v>
      </c>
      <c r="D178" s="5" t="s">
        <v>29</v>
      </c>
      <c r="E178" s="6">
        <v>45617.46548611111</v>
      </c>
      <c r="F178" s="7" t="s">
        <v>30</v>
      </c>
      <c r="G178" s="5" t="s">
        <v>24</v>
      </c>
      <c r="K178" s="2" t="s">
        <v>18</v>
      </c>
      <c r="L178" s="2"/>
    </row>
    <row r="179">
      <c r="A179" s="1" t="s">
        <v>244</v>
      </c>
      <c r="B179" s="1" t="s">
        <v>244</v>
      </c>
      <c r="C179" s="5" t="s">
        <v>149</v>
      </c>
      <c r="D179" s="5" t="s">
        <v>150</v>
      </c>
      <c r="E179" s="6">
        <v>45617.51784722222</v>
      </c>
      <c r="F179" s="7" t="s">
        <v>151</v>
      </c>
      <c r="G179" s="5" t="s">
        <v>16</v>
      </c>
      <c r="K179" s="2" t="s">
        <v>18</v>
      </c>
      <c r="L179" s="2"/>
    </row>
    <row r="180">
      <c r="A180" s="1" t="s">
        <v>245</v>
      </c>
      <c r="B180" s="1" t="s">
        <v>245</v>
      </c>
      <c r="C180" s="5" t="s">
        <v>109</v>
      </c>
      <c r="D180" s="5" t="s">
        <v>110</v>
      </c>
      <c r="E180" s="6">
        <v>45617.53554398148</v>
      </c>
      <c r="F180" s="7" t="s">
        <v>111</v>
      </c>
      <c r="G180" s="5" t="s">
        <v>24</v>
      </c>
      <c r="K180" s="2" t="s">
        <v>18</v>
      </c>
      <c r="L180" s="2"/>
    </row>
    <row r="181">
      <c r="A181" s="1" t="s">
        <v>246</v>
      </c>
      <c r="B181" s="1" t="s">
        <v>246</v>
      </c>
      <c r="C181" s="5" t="s">
        <v>20</v>
      </c>
      <c r="D181" s="5" t="s">
        <v>21</v>
      </c>
      <c r="E181" s="6">
        <v>45617.536099537036</v>
      </c>
      <c r="F181" s="7" t="s">
        <v>22</v>
      </c>
      <c r="G181" s="5" t="s">
        <v>24</v>
      </c>
      <c r="K181" s="2" t="s">
        <v>18</v>
      </c>
      <c r="L181" s="2"/>
    </row>
    <row r="182">
      <c r="A182" s="1" t="s">
        <v>247</v>
      </c>
      <c r="B182" s="1" t="s">
        <v>247</v>
      </c>
      <c r="C182" s="5" t="s">
        <v>91</v>
      </c>
      <c r="D182" s="5" t="s">
        <v>92</v>
      </c>
      <c r="E182" s="6">
        <v>45617.536574074074</v>
      </c>
      <c r="F182" s="7" t="s">
        <v>93</v>
      </c>
      <c r="G182" s="5" t="s">
        <v>24</v>
      </c>
      <c r="K182" s="2" t="s">
        <v>18</v>
      </c>
      <c r="L182" s="2"/>
    </row>
    <row r="183">
      <c r="A183" s="1" t="s">
        <v>248</v>
      </c>
      <c r="B183" s="1" t="s">
        <v>248</v>
      </c>
      <c r="C183" s="5" t="s">
        <v>122</v>
      </c>
      <c r="D183" s="5" t="s">
        <v>123</v>
      </c>
      <c r="E183" s="6">
        <v>45617.53805555556</v>
      </c>
      <c r="F183" s="7" t="s">
        <v>124</v>
      </c>
      <c r="G183" s="5" t="s">
        <v>24</v>
      </c>
      <c r="K183" s="2" t="s">
        <v>18</v>
      </c>
      <c r="L183" s="2"/>
    </row>
    <row r="184">
      <c r="A184" s="1" t="s">
        <v>249</v>
      </c>
      <c r="B184" s="1" t="s">
        <v>249</v>
      </c>
      <c r="C184" s="5" t="s">
        <v>49</v>
      </c>
      <c r="D184" s="5" t="s">
        <v>50</v>
      </c>
      <c r="E184" s="6">
        <v>45617.53837962963</v>
      </c>
      <c r="F184" s="7" t="s">
        <v>51</v>
      </c>
      <c r="G184" s="5" t="s">
        <v>24</v>
      </c>
      <c r="K184" s="2" t="s">
        <v>18</v>
      </c>
      <c r="L184" s="2"/>
    </row>
    <row r="185">
      <c r="A185" s="1" t="s">
        <v>250</v>
      </c>
      <c r="B185" s="1" t="s">
        <v>250</v>
      </c>
      <c r="C185" s="5" t="s">
        <v>131</v>
      </c>
      <c r="D185" s="5" t="s">
        <v>132</v>
      </c>
      <c r="E185" s="6">
        <v>45617.613483796296</v>
      </c>
      <c r="F185" s="7" t="s">
        <v>133</v>
      </c>
      <c r="G185" s="5" t="s">
        <v>24</v>
      </c>
      <c r="K185" s="2" t="s">
        <v>18</v>
      </c>
      <c r="L185" s="2"/>
    </row>
    <row r="186">
      <c r="A186" s="1" t="s">
        <v>251</v>
      </c>
      <c r="B186" s="1" t="s">
        <v>251</v>
      </c>
      <c r="C186" s="5" t="s">
        <v>122</v>
      </c>
      <c r="D186" s="5" t="s">
        <v>123</v>
      </c>
      <c r="E186" s="6">
        <v>45618.45800925926</v>
      </c>
      <c r="F186" s="7" t="s">
        <v>124</v>
      </c>
      <c r="G186" s="5" t="s">
        <v>24</v>
      </c>
      <c r="K186" s="2" t="s">
        <v>18</v>
      </c>
      <c r="L186" s="2"/>
    </row>
    <row r="187">
      <c r="A187" s="1" t="s">
        <v>252</v>
      </c>
      <c r="B187" s="1" t="s">
        <v>252</v>
      </c>
      <c r="C187" s="5" t="s">
        <v>45</v>
      </c>
      <c r="D187" s="5" t="s">
        <v>46</v>
      </c>
      <c r="E187" s="6">
        <v>45619.72083333333</v>
      </c>
      <c r="F187" s="7" t="s">
        <v>47</v>
      </c>
      <c r="G187" s="5" t="s">
        <v>16</v>
      </c>
      <c r="I187" s="2" t="s">
        <v>17</v>
      </c>
      <c r="J187" s="2"/>
      <c r="K187" s="2" t="s">
        <v>18</v>
      </c>
      <c r="L187" s="2"/>
    </row>
    <row r="188">
      <c r="A188" s="1" t="s">
        <v>253</v>
      </c>
      <c r="B188" s="1" t="s">
        <v>253</v>
      </c>
      <c r="C188" s="5" t="s">
        <v>20</v>
      </c>
      <c r="D188" s="5" t="s">
        <v>21</v>
      </c>
      <c r="E188" s="6">
        <v>45619.32761574074</v>
      </c>
      <c r="F188" s="7" t="s">
        <v>22</v>
      </c>
      <c r="G188" s="5" t="s">
        <v>16</v>
      </c>
      <c r="I188" s="2" t="s">
        <v>17</v>
      </c>
      <c r="J188" s="2"/>
      <c r="K188" s="2" t="s">
        <v>18</v>
      </c>
      <c r="L188" s="2"/>
    </row>
    <row r="189">
      <c r="A189" s="1" t="s">
        <v>254</v>
      </c>
      <c r="B189" s="1" t="s">
        <v>254</v>
      </c>
      <c r="C189" s="5" t="s">
        <v>20</v>
      </c>
      <c r="D189" s="5" t="s">
        <v>21</v>
      </c>
      <c r="E189" s="6">
        <v>45619.32921296296</v>
      </c>
      <c r="F189" s="7" t="s">
        <v>22</v>
      </c>
      <c r="G189" s="5" t="s">
        <v>159</v>
      </c>
      <c r="K189" s="2" t="s">
        <v>18</v>
      </c>
      <c r="L189" s="2"/>
    </row>
    <row r="190">
      <c r="A190" s="1" t="s">
        <v>255</v>
      </c>
      <c r="B190" s="1" t="s">
        <v>255</v>
      </c>
      <c r="C190" s="5" t="s">
        <v>45</v>
      </c>
      <c r="D190" s="5" t="s">
        <v>46</v>
      </c>
      <c r="E190" s="6">
        <v>45619.4383912037</v>
      </c>
      <c r="F190" s="7" t="s">
        <v>47</v>
      </c>
      <c r="G190" s="5" t="s">
        <v>24</v>
      </c>
      <c r="K190" s="2" t="s">
        <v>18</v>
      </c>
      <c r="L190" s="2"/>
    </row>
    <row r="191">
      <c r="A191" s="1" t="s">
        <v>256</v>
      </c>
      <c r="B191" s="1" t="s">
        <v>256</v>
      </c>
      <c r="C191" s="5" t="s">
        <v>149</v>
      </c>
      <c r="D191" s="5" t="s">
        <v>150</v>
      </c>
      <c r="E191" s="6">
        <v>45619.44631944444</v>
      </c>
      <c r="F191" s="7" t="s">
        <v>151</v>
      </c>
      <c r="G191" s="5" t="s">
        <v>16</v>
      </c>
      <c r="K191" s="2" t="s">
        <v>18</v>
      </c>
      <c r="L191" s="2"/>
    </row>
    <row r="192">
      <c r="A192" s="1" t="s">
        <v>257</v>
      </c>
      <c r="B192" s="1" t="s">
        <v>257</v>
      </c>
      <c r="C192" s="5" t="s">
        <v>126</v>
      </c>
      <c r="D192" s="5" t="s">
        <v>127</v>
      </c>
      <c r="E192" s="6">
        <v>45621.51041666667</v>
      </c>
      <c r="F192" s="7" t="s">
        <v>128</v>
      </c>
      <c r="G192" s="5" t="s">
        <v>16</v>
      </c>
      <c r="K192" s="2" t="s">
        <v>18</v>
      </c>
      <c r="L192" s="2"/>
    </row>
    <row r="193">
      <c r="A193" s="1" t="s">
        <v>258</v>
      </c>
      <c r="B193" s="1" t="s">
        <v>258</v>
      </c>
      <c r="C193" s="5" t="s">
        <v>28</v>
      </c>
      <c r="D193" s="5" t="s">
        <v>29</v>
      </c>
      <c r="E193" s="6">
        <v>45621.53047453704</v>
      </c>
      <c r="F193" s="7" t="s">
        <v>30</v>
      </c>
      <c r="G193" s="5" t="s">
        <v>16</v>
      </c>
      <c r="K193" s="2" t="s">
        <v>18</v>
      </c>
      <c r="L193" s="2"/>
    </row>
    <row r="194">
      <c r="A194" s="1" t="s">
        <v>259</v>
      </c>
      <c r="B194" s="1" t="s">
        <v>259</v>
      </c>
      <c r="C194" s="5" t="s">
        <v>126</v>
      </c>
      <c r="D194" s="5" t="s">
        <v>127</v>
      </c>
      <c r="E194" s="6">
        <v>45621.54766203703</v>
      </c>
      <c r="F194" s="7" t="s">
        <v>128</v>
      </c>
      <c r="G194" s="5" t="s">
        <v>24</v>
      </c>
      <c r="K194" s="2" t="s">
        <v>18</v>
      </c>
      <c r="L194" s="2"/>
    </row>
    <row r="195">
      <c r="A195" s="1" t="s">
        <v>260</v>
      </c>
      <c r="B195" s="1" t="s">
        <v>260</v>
      </c>
      <c r="C195" s="5" t="s">
        <v>28</v>
      </c>
      <c r="D195" s="5" t="s">
        <v>29</v>
      </c>
      <c r="E195" s="6">
        <v>45621.642372685186</v>
      </c>
      <c r="F195" s="7" t="s">
        <v>30</v>
      </c>
      <c r="G195" s="5" t="s">
        <v>24</v>
      </c>
      <c r="K195" s="2" t="s">
        <v>18</v>
      </c>
      <c r="L195" s="2"/>
    </row>
    <row r="196">
      <c r="A196" s="1" t="s">
        <v>261</v>
      </c>
      <c r="B196" s="1" t="s">
        <v>261</v>
      </c>
      <c r="C196" s="5" t="s">
        <v>213</v>
      </c>
      <c r="D196" s="5" t="s">
        <v>214</v>
      </c>
      <c r="E196" s="6">
        <v>45622.64319444445</v>
      </c>
      <c r="F196" s="7" t="s">
        <v>215</v>
      </c>
      <c r="G196" s="5" t="s">
        <v>16</v>
      </c>
      <c r="I196" s="2" t="s">
        <v>17</v>
      </c>
      <c r="K196" s="2" t="s">
        <v>18</v>
      </c>
      <c r="L196" s="2"/>
    </row>
    <row r="197">
      <c r="A197" s="1" t="s">
        <v>262</v>
      </c>
      <c r="B197" s="1" t="s">
        <v>262</v>
      </c>
      <c r="C197" s="5" t="s">
        <v>213</v>
      </c>
      <c r="D197" s="5" t="s">
        <v>214</v>
      </c>
      <c r="E197" s="6">
        <v>45622.64319444445</v>
      </c>
      <c r="F197" s="7" t="s">
        <v>215</v>
      </c>
      <c r="G197" s="5" t="s">
        <v>159</v>
      </c>
      <c r="K197" s="2" t="s">
        <v>18</v>
      </c>
      <c r="L197" s="2"/>
    </row>
    <row r="198">
      <c r="A198" s="1" t="s">
        <v>263</v>
      </c>
      <c r="B198" s="1" t="s">
        <v>263</v>
      </c>
      <c r="C198" s="5" t="s">
        <v>55</v>
      </c>
      <c r="D198" s="5" t="s">
        <v>56</v>
      </c>
      <c r="E198" s="6">
        <v>45622.47986111111</v>
      </c>
      <c r="F198" s="7" t="s">
        <v>57</v>
      </c>
      <c r="G198" s="5" t="s">
        <v>16</v>
      </c>
      <c r="I198" s="2" t="s">
        <v>17</v>
      </c>
      <c r="J198" s="2"/>
      <c r="K198" s="2" t="s">
        <v>18</v>
      </c>
      <c r="L198" s="2"/>
    </row>
    <row r="199">
      <c r="A199" s="1" t="s">
        <v>264</v>
      </c>
      <c r="B199" s="1" t="s">
        <v>264</v>
      </c>
      <c r="C199" s="5" t="s">
        <v>213</v>
      </c>
      <c r="D199" s="5" t="s">
        <v>214</v>
      </c>
      <c r="E199" s="6">
        <v>45622.61666666667</v>
      </c>
      <c r="F199" s="7" t="s">
        <v>215</v>
      </c>
      <c r="G199" s="5" t="s">
        <v>24</v>
      </c>
      <c r="K199" s="2" t="s">
        <v>18</v>
      </c>
      <c r="L199" s="2"/>
    </row>
    <row r="200">
      <c r="A200" s="1" t="s">
        <v>265</v>
      </c>
      <c r="B200" s="1" t="s">
        <v>265</v>
      </c>
      <c r="C200" s="5" t="s">
        <v>114</v>
      </c>
      <c r="D200" s="5" t="s">
        <v>115</v>
      </c>
      <c r="E200" s="6">
        <v>45622.618055555555</v>
      </c>
      <c r="F200" s="7" t="s">
        <v>116</v>
      </c>
      <c r="G200" s="5" t="s">
        <v>24</v>
      </c>
      <c r="K200" s="2" t="s">
        <v>18</v>
      </c>
      <c r="L200" s="2"/>
    </row>
    <row r="201">
      <c r="A201" s="1" t="s">
        <v>266</v>
      </c>
      <c r="B201" s="1" t="s">
        <v>266</v>
      </c>
      <c r="C201" s="5" t="s">
        <v>55</v>
      </c>
      <c r="D201" s="5" t="s">
        <v>56</v>
      </c>
      <c r="E201" s="6">
        <v>45622.61875</v>
      </c>
      <c r="F201" s="7" t="s">
        <v>57</v>
      </c>
      <c r="G201" s="5" t="s">
        <v>24</v>
      </c>
      <c r="K201" s="2" t="s">
        <v>18</v>
      </c>
      <c r="L201" s="2"/>
    </row>
    <row r="202">
      <c r="A202" s="1"/>
      <c r="B202" s="1"/>
      <c r="E202" s="6"/>
      <c r="F202" s="7"/>
    </row>
    <row r="203">
      <c r="A203" s="1" t="s">
        <v>267</v>
      </c>
      <c r="B203" s="1" t="s">
        <v>267</v>
      </c>
      <c r="C203" s="5" t="s">
        <v>49</v>
      </c>
      <c r="D203" s="5" t="s">
        <v>50</v>
      </c>
      <c r="E203" s="6">
        <v>45624.478472222225</v>
      </c>
      <c r="F203" s="7" t="s">
        <v>51</v>
      </c>
      <c r="G203" s="5" t="s">
        <v>16</v>
      </c>
      <c r="K203" s="2" t="s">
        <v>18</v>
      </c>
      <c r="L203" s="2"/>
    </row>
    <row r="204">
      <c r="A204" s="1" t="s">
        <v>268</v>
      </c>
      <c r="B204" s="1" t="s">
        <v>268</v>
      </c>
      <c r="C204" s="5" t="s">
        <v>49</v>
      </c>
      <c r="D204" s="5" t="s">
        <v>50</v>
      </c>
      <c r="E204" s="6">
        <v>45624.58472222222</v>
      </c>
      <c r="F204" s="7" t="s">
        <v>51</v>
      </c>
      <c r="G204" s="5" t="s">
        <v>24</v>
      </c>
      <c r="K204" s="2" t="s">
        <v>18</v>
      </c>
      <c r="L204" s="2"/>
    </row>
    <row r="205">
      <c r="A205" s="1" t="s">
        <v>269</v>
      </c>
      <c r="B205" s="1" t="s">
        <v>269</v>
      </c>
      <c r="C205" s="5" t="s">
        <v>109</v>
      </c>
      <c r="D205" s="5" t="s">
        <v>110</v>
      </c>
      <c r="E205" s="6">
        <v>45624.58472222222</v>
      </c>
      <c r="F205" s="7" t="s">
        <v>111</v>
      </c>
      <c r="G205" s="5" t="s">
        <v>24</v>
      </c>
      <c r="K205" s="2" t="s">
        <v>18</v>
      </c>
      <c r="L205" s="2"/>
    </row>
    <row r="206">
      <c r="A206" s="1" t="s">
        <v>270</v>
      </c>
      <c r="B206" s="1" t="s">
        <v>270</v>
      </c>
      <c r="C206" s="5" t="s">
        <v>126</v>
      </c>
      <c r="D206" s="5" t="s">
        <v>127</v>
      </c>
      <c r="E206" s="6">
        <v>45625.34513888889</v>
      </c>
      <c r="F206" s="7" t="s">
        <v>128</v>
      </c>
      <c r="G206" s="5" t="s">
        <v>16</v>
      </c>
      <c r="K206" s="2" t="s">
        <v>18</v>
      </c>
      <c r="L206" s="2"/>
    </row>
    <row r="207">
      <c r="A207" s="1" t="s">
        <v>271</v>
      </c>
      <c r="B207" s="1" t="s">
        <v>271</v>
      </c>
      <c r="C207" s="5" t="s">
        <v>20</v>
      </c>
      <c r="D207" s="5" t="s">
        <v>21</v>
      </c>
      <c r="E207" s="6">
        <v>45625.433333333334</v>
      </c>
      <c r="F207" s="7" t="s">
        <v>22</v>
      </c>
      <c r="G207" s="5" t="s">
        <v>16</v>
      </c>
      <c r="I207" s="2" t="s">
        <v>17</v>
      </c>
      <c r="J207" s="2"/>
      <c r="K207" s="2" t="s">
        <v>18</v>
      </c>
      <c r="L207" s="2"/>
    </row>
    <row r="208">
      <c r="A208" s="1" t="s">
        <v>272</v>
      </c>
      <c r="B208" s="1" t="s">
        <v>272</v>
      </c>
      <c r="C208" s="5" t="s">
        <v>126</v>
      </c>
      <c r="D208" s="5" t="s">
        <v>127</v>
      </c>
      <c r="E208" s="6">
        <v>45625.43958333333</v>
      </c>
      <c r="F208" s="7" t="s">
        <v>128</v>
      </c>
      <c r="G208" s="5" t="s">
        <v>24</v>
      </c>
      <c r="K208" s="2" t="s">
        <v>18</v>
      </c>
      <c r="L208" s="2"/>
    </row>
    <row r="209">
      <c r="A209" s="1" t="s">
        <v>273</v>
      </c>
      <c r="B209" s="1" t="s">
        <v>273</v>
      </c>
      <c r="C209" s="5" t="s">
        <v>20</v>
      </c>
      <c r="D209" s="5" t="s">
        <v>21</v>
      </c>
      <c r="E209" s="6">
        <v>45625.51388888889</v>
      </c>
      <c r="F209" s="7" t="s">
        <v>22</v>
      </c>
      <c r="G209" s="5" t="s">
        <v>24</v>
      </c>
      <c r="K209" s="2" t="s">
        <v>18</v>
      </c>
      <c r="L209" s="2"/>
    </row>
    <row r="210">
      <c r="A210" s="1" t="s">
        <v>274</v>
      </c>
      <c r="B210" s="1" t="s">
        <v>274</v>
      </c>
      <c r="C210" s="5" t="s">
        <v>75</v>
      </c>
      <c r="D210" s="5" t="s">
        <v>76</v>
      </c>
      <c r="E210" s="6">
        <v>45625.53472222222</v>
      </c>
      <c r="F210" s="7" t="s">
        <v>77</v>
      </c>
      <c r="G210" s="5" t="s">
        <v>16</v>
      </c>
      <c r="I210" s="2" t="s">
        <v>17</v>
      </c>
      <c r="J210" s="2"/>
      <c r="K210" s="2" t="s">
        <v>18</v>
      </c>
      <c r="L210" s="2"/>
    </row>
    <row r="211">
      <c r="A211" s="1" t="s">
        <v>275</v>
      </c>
      <c r="B211" s="1" t="s">
        <v>275</v>
      </c>
      <c r="C211" s="5" t="s">
        <v>122</v>
      </c>
      <c r="D211" s="5" t="s">
        <v>123</v>
      </c>
      <c r="E211" s="6">
        <v>45625.60277777778</v>
      </c>
      <c r="F211" s="7" t="s">
        <v>124</v>
      </c>
      <c r="G211" s="5" t="s">
        <v>24</v>
      </c>
      <c r="K211" s="2" t="s">
        <v>18</v>
      </c>
      <c r="L211" s="2"/>
    </row>
    <row r="212">
      <c r="A212" s="1" t="s">
        <v>276</v>
      </c>
      <c r="B212" s="1" t="s">
        <v>276</v>
      </c>
      <c r="C212" s="5" t="s">
        <v>75</v>
      </c>
      <c r="D212" s="5" t="s">
        <v>76</v>
      </c>
      <c r="E212" s="6">
        <v>45625.61111111111</v>
      </c>
      <c r="F212" s="7" t="s">
        <v>77</v>
      </c>
      <c r="G212" s="5" t="s">
        <v>24</v>
      </c>
      <c r="K212" s="2" t="s">
        <v>18</v>
      </c>
      <c r="L212" s="2"/>
    </row>
    <row r="213">
      <c r="A213" s="1" t="s">
        <v>277</v>
      </c>
      <c r="B213" s="1" t="s">
        <v>277</v>
      </c>
      <c r="C213" s="5" t="s">
        <v>49</v>
      </c>
      <c r="D213" s="5" t="s">
        <v>50</v>
      </c>
      <c r="E213" s="6">
        <v>45626.45208333334</v>
      </c>
      <c r="F213" s="7" t="s">
        <v>51</v>
      </c>
      <c r="G213" s="5" t="s">
        <v>16</v>
      </c>
      <c r="K213" s="2" t="s">
        <v>18</v>
      </c>
      <c r="L213" s="2"/>
    </row>
    <row r="214">
      <c r="A214" s="1" t="s">
        <v>278</v>
      </c>
      <c r="B214" s="1" t="s">
        <v>278</v>
      </c>
      <c r="C214" s="5" t="s">
        <v>131</v>
      </c>
      <c r="D214" s="5" t="s">
        <v>132</v>
      </c>
      <c r="E214" s="6">
        <v>45626.47013888889</v>
      </c>
      <c r="F214" s="7" t="s">
        <v>133</v>
      </c>
      <c r="G214" s="5" t="s">
        <v>16</v>
      </c>
      <c r="K214" s="2" t="s">
        <v>18</v>
      </c>
      <c r="L214" s="2"/>
    </row>
    <row r="215">
      <c r="A215" s="1" t="s">
        <v>279</v>
      </c>
      <c r="B215" s="1" t="s">
        <v>279</v>
      </c>
      <c r="C215" s="5" t="s">
        <v>49</v>
      </c>
      <c r="D215" s="5" t="s">
        <v>50</v>
      </c>
      <c r="E215" s="6">
        <v>45626.54375</v>
      </c>
      <c r="F215" s="7" t="s">
        <v>51</v>
      </c>
      <c r="G215" s="5" t="s">
        <v>24</v>
      </c>
      <c r="K215" s="2" t="s">
        <v>18</v>
      </c>
      <c r="L215" s="2"/>
    </row>
    <row r="216">
      <c r="A216" s="1" t="s">
        <v>280</v>
      </c>
      <c r="B216" s="1" t="s">
        <v>280</v>
      </c>
      <c r="C216" s="5" t="s">
        <v>131</v>
      </c>
      <c r="D216" s="5" t="s">
        <v>132</v>
      </c>
      <c r="E216" s="6">
        <v>45626.54375</v>
      </c>
      <c r="F216" s="7" t="s">
        <v>133</v>
      </c>
      <c r="G216" s="5" t="s">
        <v>24</v>
      </c>
      <c r="K216" s="2" t="s">
        <v>18</v>
      </c>
      <c r="L216" s="2"/>
    </row>
    <row r="217">
      <c r="A217" s="1" t="s">
        <v>281</v>
      </c>
      <c r="B217" s="1" t="s">
        <v>281</v>
      </c>
      <c r="C217" s="5" t="s">
        <v>45</v>
      </c>
      <c r="D217" s="5" t="s">
        <v>46</v>
      </c>
      <c r="E217" s="6">
        <v>45628.45208333334</v>
      </c>
      <c r="F217" s="7" t="s">
        <v>47</v>
      </c>
      <c r="G217" s="5" t="s">
        <v>16</v>
      </c>
      <c r="I217" s="2" t="s">
        <v>17</v>
      </c>
      <c r="J217" s="2"/>
      <c r="K217" s="2" t="s">
        <v>18</v>
      </c>
      <c r="L217" s="2"/>
    </row>
    <row r="218">
      <c r="A218" s="1" t="s">
        <v>282</v>
      </c>
      <c r="B218" s="1" t="s">
        <v>282</v>
      </c>
      <c r="C218" s="5" t="s">
        <v>283</v>
      </c>
      <c r="D218" s="5" t="s">
        <v>284</v>
      </c>
      <c r="E218" s="6">
        <v>45628.48819444445</v>
      </c>
      <c r="F218" s="7" t="s">
        <v>285</v>
      </c>
      <c r="G218" s="5" t="s">
        <v>16</v>
      </c>
      <c r="K218" s="2" t="s">
        <v>18</v>
      </c>
      <c r="L218" s="2"/>
    </row>
    <row r="219">
      <c r="A219" s="1" t="s">
        <v>286</v>
      </c>
      <c r="B219" s="1" t="s">
        <v>286</v>
      </c>
      <c r="C219" s="5" t="s">
        <v>283</v>
      </c>
      <c r="D219" s="5" t="s">
        <v>284</v>
      </c>
      <c r="E219" s="6">
        <v>45629.490277777775</v>
      </c>
      <c r="F219" s="7" t="s">
        <v>285</v>
      </c>
      <c r="G219" s="5" t="s">
        <v>16</v>
      </c>
      <c r="K219" s="2" t="s">
        <v>18</v>
      </c>
      <c r="L219" s="2"/>
    </row>
    <row r="220">
      <c r="A220" s="1" t="s">
        <v>287</v>
      </c>
      <c r="B220" s="1" t="s">
        <v>287</v>
      </c>
      <c r="C220" s="5" t="s">
        <v>109</v>
      </c>
      <c r="D220" s="5" t="s">
        <v>110</v>
      </c>
      <c r="E220" s="6">
        <v>45628.51111111111</v>
      </c>
      <c r="F220" s="7" t="s">
        <v>111</v>
      </c>
      <c r="G220" s="5" t="s">
        <v>16</v>
      </c>
      <c r="K220" s="2" t="s">
        <v>18</v>
      </c>
      <c r="L220" s="2"/>
    </row>
    <row r="221">
      <c r="A221" s="1" t="s">
        <v>288</v>
      </c>
      <c r="B221" s="1" t="s">
        <v>288</v>
      </c>
      <c r="C221" s="5" t="s">
        <v>213</v>
      </c>
      <c r="D221" s="5" t="s">
        <v>214</v>
      </c>
      <c r="E221" s="6">
        <v>45628.51111111111</v>
      </c>
      <c r="F221" s="7" t="s">
        <v>215</v>
      </c>
      <c r="G221" s="5" t="s">
        <v>16</v>
      </c>
      <c r="I221" s="2" t="s">
        <v>17</v>
      </c>
      <c r="K221" s="2" t="s">
        <v>18</v>
      </c>
      <c r="L221" s="2"/>
    </row>
    <row r="222">
      <c r="A222" s="1" t="s">
        <v>289</v>
      </c>
      <c r="B222" s="1" t="s">
        <v>289</v>
      </c>
      <c r="C222" s="5" t="s">
        <v>109</v>
      </c>
      <c r="D222" s="5" t="s">
        <v>110</v>
      </c>
      <c r="E222" s="6">
        <v>45628.6625</v>
      </c>
      <c r="F222" s="7" t="s">
        <v>111</v>
      </c>
      <c r="G222" s="5" t="s">
        <v>24</v>
      </c>
      <c r="K222" s="2" t="s">
        <v>18</v>
      </c>
      <c r="L222" s="2"/>
    </row>
    <row r="223">
      <c r="A223" s="1" t="s">
        <v>290</v>
      </c>
      <c r="B223" s="1" t="s">
        <v>290</v>
      </c>
      <c r="C223" s="5" t="s">
        <v>283</v>
      </c>
      <c r="D223" s="5" t="s">
        <v>284</v>
      </c>
      <c r="E223" s="6">
        <v>45628.663194444445</v>
      </c>
      <c r="F223" s="7" t="s">
        <v>285</v>
      </c>
      <c r="G223" s="5" t="s">
        <v>24</v>
      </c>
      <c r="K223" s="2" t="s">
        <v>18</v>
      </c>
      <c r="L223" s="2"/>
    </row>
    <row r="224">
      <c r="A224" s="1" t="s">
        <v>291</v>
      </c>
      <c r="B224" s="1" t="s">
        <v>291</v>
      </c>
      <c r="C224" s="5" t="s">
        <v>213</v>
      </c>
      <c r="D224" s="5" t="s">
        <v>214</v>
      </c>
      <c r="E224" s="6">
        <v>45628.669444444444</v>
      </c>
      <c r="F224" s="7" t="s">
        <v>215</v>
      </c>
      <c r="G224" s="5" t="s">
        <v>24</v>
      </c>
      <c r="K224" s="2" t="s">
        <v>18</v>
      </c>
      <c r="L224" s="2"/>
    </row>
    <row r="225">
      <c r="A225" s="1" t="s">
        <v>292</v>
      </c>
      <c r="B225" s="1" t="s">
        <v>292</v>
      </c>
      <c r="C225" s="5" t="s">
        <v>126</v>
      </c>
      <c r="D225" s="5" t="s">
        <v>127</v>
      </c>
      <c r="E225" s="6">
        <v>45629.52083333333</v>
      </c>
      <c r="F225" s="7" t="s">
        <v>128</v>
      </c>
      <c r="G225" s="5" t="s">
        <v>24</v>
      </c>
      <c r="K225" s="2" t="s">
        <v>18</v>
      </c>
      <c r="L225" s="2"/>
    </row>
    <row r="226">
      <c r="A226" s="1" t="s">
        <v>293</v>
      </c>
      <c r="B226" s="1" t="s">
        <v>293</v>
      </c>
      <c r="C226" s="5" t="s">
        <v>45</v>
      </c>
      <c r="D226" s="5" t="s">
        <v>46</v>
      </c>
      <c r="E226" s="6">
        <v>45628.54166666667</v>
      </c>
      <c r="F226" s="7" t="s">
        <v>47</v>
      </c>
      <c r="G226" s="5" t="s">
        <v>24</v>
      </c>
      <c r="K226" s="2" t="s">
        <v>18</v>
      </c>
      <c r="L226" s="2"/>
    </row>
    <row r="227">
      <c r="A227" s="1" t="s">
        <v>294</v>
      </c>
      <c r="B227" s="1" t="s">
        <v>294</v>
      </c>
      <c r="C227" s="5" t="s">
        <v>131</v>
      </c>
      <c r="D227" s="5" t="s">
        <v>132</v>
      </c>
      <c r="E227" s="6">
        <v>45629.59444444445</v>
      </c>
      <c r="F227" s="7" t="s">
        <v>133</v>
      </c>
      <c r="G227" s="5" t="s">
        <v>16</v>
      </c>
      <c r="K227" s="2" t="s">
        <v>18</v>
      </c>
      <c r="L227" s="2"/>
    </row>
    <row r="228">
      <c r="A228" s="1" t="s">
        <v>295</v>
      </c>
      <c r="B228" s="1" t="s">
        <v>295</v>
      </c>
      <c r="C228" s="5" t="s">
        <v>131</v>
      </c>
      <c r="D228" s="5" t="s">
        <v>132</v>
      </c>
      <c r="E228" s="6">
        <v>45629.68680555555</v>
      </c>
      <c r="F228" s="7" t="s">
        <v>133</v>
      </c>
      <c r="G228" s="5" t="s">
        <v>24</v>
      </c>
      <c r="K228" s="2" t="s">
        <v>18</v>
      </c>
      <c r="L228" s="2"/>
    </row>
    <row r="229">
      <c r="A229" s="1" t="s">
        <v>296</v>
      </c>
      <c r="B229" s="1" t="s">
        <v>296</v>
      </c>
      <c r="C229" s="5" t="s">
        <v>28</v>
      </c>
      <c r="D229" s="5" t="s">
        <v>29</v>
      </c>
      <c r="E229" s="6">
        <v>45630.48541666666</v>
      </c>
      <c r="F229" s="7" t="s">
        <v>30</v>
      </c>
      <c r="G229" s="5" t="s">
        <v>24</v>
      </c>
      <c r="K229" s="2" t="s">
        <v>18</v>
      </c>
      <c r="L229" s="2"/>
    </row>
    <row r="230">
      <c r="A230" s="1" t="s">
        <v>297</v>
      </c>
      <c r="B230" s="1" t="s">
        <v>297</v>
      </c>
      <c r="C230" s="5" t="s">
        <v>213</v>
      </c>
      <c r="D230" s="5" t="s">
        <v>214</v>
      </c>
      <c r="E230" s="6">
        <v>45630.52916666667</v>
      </c>
      <c r="F230" s="7" t="s">
        <v>215</v>
      </c>
      <c r="G230" s="5" t="s">
        <v>16</v>
      </c>
      <c r="I230" s="2" t="s">
        <v>17</v>
      </c>
      <c r="K230" s="2" t="s">
        <v>18</v>
      </c>
      <c r="L230" s="2"/>
    </row>
    <row r="231">
      <c r="A231" s="1" t="s">
        <v>298</v>
      </c>
      <c r="B231" s="1" t="s">
        <v>298</v>
      </c>
      <c r="C231" s="5" t="s">
        <v>114</v>
      </c>
      <c r="D231" s="5" t="s">
        <v>115</v>
      </c>
      <c r="E231" s="6">
        <v>45630.53125</v>
      </c>
      <c r="F231" s="7" t="s">
        <v>116</v>
      </c>
      <c r="G231" s="5" t="s">
        <v>16</v>
      </c>
      <c r="K231" s="2" t="s">
        <v>18</v>
      </c>
      <c r="L231" s="2"/>
    </row>
    <row r="232">
      <c r="A232" s="1" t="s">
        <v>299</v>
      </c>
      <c r="B232" s="1" t="s">
        <v>299</v>
      </c>
      <c r="C232" s="5" t="s">
        <v>131</v>
      </c>
      <c r="D232" s="5" t="s">
        <v>132</v>
      </c>
      <c r="E232" s="6">
        <v>45630.55763888889</v>
      </c>
      <c r="F232" s="7" t="s">
        <v>133</v>
      </c>
      <c r="G232" s="5" t="s">
        <v>16</v>
      </c>
      <c r="K232" s="2" t="s">
        <v>18</v>
      </c>
      <c r="L232" s="2"/>
    </row>
    <row r="233">
      <c r="A233" s="1" t="s">
        <v>300</v>
      </c>
      <c r="B233" s="1" t="s">
        <v>300</v>
      </c>
      <c r="C233" s="5" t="s">
        <v>114</v>
      </c>
      <c r="D233" s="5" t="s">
        <v>115</v>
      </c>
      <c r="E233" s="6">
        <v>45630.61458333333</v>
      </c>
      <c r="F233" s="7" t="s">
        <v>116</v>
      </c>
      <c r="G233" s="5" t="s">
        <v>24</v>
      </c>
      <c r="K233" s="2" t="s">
        <v>18</v>
      </c>
      <c r="L233" s="2"/>
    </row>
    <row r="234">
      <c r="A234" s="1" t="s">
        <v>301</v>
      </c>
      <c r="B234" s="1" t="s">
        <v>301</v>
      </c>
      <c r="C234" s="5" t="s">
        <v>49</v>
      </c>
      <c r="D234" s="5" t="s">
        <v>50</v>
      </c>
      <c r="E234" s="6">
        <v>45630.615277777775</v>
      </c>
      <c r="F234" s="7" t="s">
        <v>51</v>
      </c>
      <c r="G234" s="5" t="s">
        <v>24</v>
      </c>
      <c r="K234" s="2" t="s">
        <v>18</v>
      </c>
      <c r="L234" s="2"/>
    </row>
    <row r="235">
      <c r="A235" s="1" t="s">
        <v>302</v>
      </c>
      <c r="B235" s="1" t="s">
        <v>302</v>
      </c>
      <c r="C235" s="5" t="s">
        <v>20</v>
      </c>
      <c r="D235" s="5" t="s">
        <v>21</v>
      </c>
      <c r="E235" s="6">
        <v>45630.61597222222</v>
      </c>
      <c r="F235" s="7" t="s">
        <v>22</v>
      </c>
      <c r="G235" s="5" t="s">
        <v>24</v>
      </c>
      <c r="K235" s="2" t="s">
        <v>18</v>
      </c>
      <c r="L235" s="2"/>
    </row>
    <row r="236">
      <c r="A236" s="1" t="s">
        <v>303</v>
      </c>
      <c r="B236" s="1" t="s">
        <v>303</v>
      </c>
      <c r="C236" s="5" t="s">
        <v>131</v>
      </c>
      <c r="D236" s="5" t="s">
        <v>132</v>
      </c>
      <c r="E236" s="6">
        <v>45630.67291666666</v>
      </c>
      <c r="F236" s="7" t="s">
        <v>133</v>
      </c>
      <c r="G236" s="5" t="s">
        <v>24</v>
      </c>
      <c r="K236" s="2" t="s">
        <v>18</v>
      </c>
      <c r="L236" s="2"/>
    </row>
    <row r="237">
      <c r="A237" s="1" t="s">
        <v>304</v>
      </c>
      <c r="B237" s="1" t="s">
        <v>304</v>
      </c>
      <c r="C237" s="5" t="s">
        <v>305</v>
      </c>
      <c r="D237" s="5" t="s">
        <v>306</v>
      </c>
      <c r="E237" s="6">
        <v>45631.41805555555</v>
      </c>
      <c r="F237" s="7" t="s">
        <v>307</v>
      </c>
      <c r="G237" s="5" t="s">
        <v>16</v>
      </c>
      <c r="K237" s="2" t="s">
        <v>18</v>
      </c>
      <c r="L237" s="2"/>
    </row>
    <row r="238">
      <c r="A238" s="1" t="s">
        <v>308</v>
      </c>
      <c r="B238" s="1" t="s">
        <v>308</v>
      </c>
      <c r="C238" s="5" t="s">
        <v>309</v>
      </c>
      <c r="D238" s="5" t="s">
        <v>310</v>
      </c>
      <c r="E238" s="6">
        <v>45631.430555555555</v>
      </c>
      <c r="F238" s="7" t="s">
        <v>311</v>
      </c>
      <c r="G238" s="5" t="s">
        <v>16</v>
      </c>
      <c r="K238" s="2" t="s">
        <v>18</v>
      </c>
      <c r="L238" s="2"/>
    </row>
    <row r="239">
      <c r="A239" s="1" t="s">
        <v>312</v>
      </c>
      <c r="B239" s="1" t="s">
        <v>312</v>
      </c>
      <c r="C239" s="5" t="s">
        <v>55</v>
      </c>
      <c r="D239" s="5" t="s">
        <v>56</v>
      </c>
      <c r="E239" s="6">
        <v>45631.56736111111</v>
      </c>
      <c r="F239" s="7" t="s">
        <v>57</v>
      </c>
      <c r="G239" s="5" t="s">
        <v>16</v>
      </c>
      <c r="I239" s="2" t="s">
        <v>17</v>
      </c>
      <c r="J239" s="2"/>
      <c r="K239" s="2" t="s">
        <v>18</v>
      </c>
      <c r="L239" s="2"/>
    </row>
    <row r="240">
      <c r="A240" s="1" t="s">
        <v>313</v>
      </c>
      <c r="B240" s="1" t="s">
        <v>313</v>
      </c>
      <c r="C240" s="5" t="s">
        <v>309</v>
      </c>
      <c r="D240" s="5" t="s">
        <v>310</v>
      </c>
      <c r="E240" s="6">
        <v>45631.57291666667</v>
      </c>
      <c r="F240" s="7" t="s">
        <v>311</v>
      </c>
      <c r="G240" s="5" t="s">
        <v>24</v>
      </c>
      <c r="K240" s="2" t="s">
        <v>18</v>
      </c>
      <c r="L240" s="2"/>
    </row>
    <row r="241">
      <c r="A241" s="1" t="s">
        <v>314</v>
      </c>
      <c r="B241" s="1" t="s">
        <v>314</v>
      </c>
      <c r="C241" s="5" t="s">
        <v>126</v>
      </c>
      <c r="D241" s="5" t="s">
        <v>127</v>
      </c>
      <c r="E241" s="6">
        <v>45632.433333333334</v>
      </c>
      <c r="F241" s="7" t="s">
        <v>128</v>
      </c>
      <c r="G241" s="5" t="s">
        <v>16</v>
      </c>
      <c r="K241" s="2" t="s">
        <v>18</v>
      </c>
      <c r="L241" s="2"/>
    </row>
    <row r="242">
      <c r="A242" s="1" t="s">
        <v>315</v>
      </c>
      <c r="B242" s="1" t="s">
        <v>315</v>
      </c>
      <c r="C242" s="5" t="s">
        <v>55</v>
      </c>
      <c r="D242" s="5" t="s">
        <v>56</v>
      </c>
      <c r="E242" s="6">
        <v>45632.43888888889</v>
      </c>
      <c r="F242" s="7" t="s">
        <v>57</v>
      </c>
      <c r="G242" s="5" t="s">
        <v>24</v>
      </c>
      <c r="K242" s="2" t="s">
        <v>18</v>
      </c>
      <c r="L242" s="2"/>
    </row>
    <row r="243">
      <c r="A243" s="1" t="s">
        <v>316</v>
      </c>
      <c r="B243" s="1" t="s">
        <v>316</v>
      </c>
      <c r="C243" s="5" t="s">
        <v>126</v>
      </c>
      <c r="D243" s="5" t="s">
        <v>127</v>
      </c>
      <c r="E243" s="6">
        <v>45632.44027777778</v>
      </c>
      <c r="F243" s="7" t="s">
        <v>128</v>
      </c>
      <c r="G243" s="5" t="s">
        <v>24</v>
      </c>
      <c r="K243" s="2" t="s">
        <v>18</v>
      </c>
      <c r="L243" s="2"/>
    </row>
    <row r="244">
      <c r="A244" s="1" t="s">
        <v>317</v>
      </c>
      <c r="B244" s="1" t="s">
        <v>317</v>
      </c>
      <c r="C244" s="5" t="s">
        <v>114</v>
      </c>
      <c r="D244" s="5" t="s">
        <v>115</v>
      </c>
      <c r="E244" s="6">
        <v>45632.62291666667</v>
      </c>
      <c r="F244" s="7" t="s">
        <v>116</v>
      </c>
      <c r="G244" s="5" t="s">
        <v>16</v>
      </c>
      <c r="K244" s="2" t="s">
        <v>18</v>
      </c>
      <c r="L244" s="2"/>
    </row>
    <row r="245">
      <c r="A245" s="1" t="s">
        <v>318</v>
      </c>
      <c r="B245" s="1" t="s">
        <v>318</v>
      </c>
      <c r="C245" s="5" t="s">
        <v>114</v>
      </c>
      <c r="D245" s="5" t="s">
        <v>115</v>
      </c>
      <c r="E245" s="6">
        <v>45632.675</v>
      </c>
      <c r="F245" s="7" t="s">
        <v>116</v>
      </c>
      <c r="G245" s="5" t="s">
        <v>24</v>
      </c>
      <c r="K245" s="2" t="s">
        <v>18</v>
      </c>
      <c r="L245" s="2"/>
    </row>
    <row r="246">
      <c r="A246" s="1" t="s">
        <v>319</v>
      </c>
      <c r="B246" s="1" t="s">
        <v>319</v>
      </c>
      <c r="C246" s="5" t="s">
        <v>320</v>
      </c>
      <c r="D246" s="5" t="s">
        <v>321</v>
      </c>
      <c r="E246" s="6">
        <v>45633.45208333334</v>
      </c>
      <c r="F246" s="7" t="s">
        <v>322</v>
      </c>
      <c r="G246" s="5" t="s">
        <v>16</v>
      </c>
      <c r="I246" s="2" t="s">
        <v>17</v>
      </c>
      <c r="K246" s="2" t="s">
        <v>18</v>
      </c>
      <c r="L246" s="2"/>
    </row>
    <row r="247">
      <c r="A247" s="1" t="s">
        <v>323</v>
      </c>
      <c r="B247" s="1" t="s">
        <v>323</v>
      </c>
      <c r="C247" s="5" t="s">
        <v>131</v>
      </c>
      <c r="D247" s="5" t="s">
        <v>132</v>
      </c>
      <c r="E247" s="6">
        <v>45633.45277777778</v>
      </c>
      <c r="F247" s="7" t="s">
        <v>133</v>
      </c>
      <c r="G247" s="5" t="s">
        <v>16</v>
      </c>
      <c r="K247" s="2" t="s">
        <v>18</v>
      </c>
      <c r="L247" s="2"/>
    </row>
    <row r="248">
      <c r="A248" s="1" t="s">
        <v>324</v>
      </c>
      <c r="B248" s="1" t="s">
        <v>324</v>
      </c>
      <c r="C248" s="5" t="s">
        <v>131</v>
      </c>
      <c r="D248" s="5" t="s">
        <v>132</v>
      </c>
      <c r="E248" s="6">
        <v>45633.524305555555</v>
      </c>
      <c r="F248" s="7" t="s">
        <v>133</v>
      </c>
      <c r="G248" s="5" t="s">
        <v>24</v>
      </c>
      <c r="K248" s="2" t="s">
        <v>18</v>
      </c>
      <c r="L248" s="2"/>
    </row>
    <row r="249">
      <c r="A249" s="1" t="s">
        <v>325</v>
      </c>
      <c r="B249" s="1" t="s">
        <v>325</v>
      </c>
      <c r="C249" s="5" t="s">
        <v>326</v>
      </c>
      <c r="D249" s="5" t="s">
        <v>327</v>
      </c>
      <c r="E249" s="6">
        <v>45633.53055555555</v>
      </c>
      <c r="F249" s="7" t="s">
        <v>328</v>
      </c>
      <c r="G249" s="5" t="s">
        <v>16</v>
      </c>
      <c r="K249" s="2" t="s">
        <v>18</v>
      </c>
      <c r="L249" s="2"/>
    </row>
    <row r="250">
      <c r="A250" s="1" t="s">
        <v>329</v>
      </c>
      <c r="B250" s="1" t="s">
        <v>329</v>
      </c>
      <c r="C250" s="5" t="s">
        <v>28</v>
      </c>
      <c r="D250" s="5" t="s">
        <v>29</v>
      </c>
      <c r="E250" s="6">
        <v>45636.46875</v>
      </c>
      <c r="F250" s="7" t="s">
        <v>30</v>
      </c>
      <c r="G250" s="5" t="s">
        <v>16</v>
      </c>
      <c r="K250" s="2" t="s">
        <v>18</v>
      </c>
      <c r="L250" s="2"/>
    </row>
    <row r="251">
      <c r="A251" s="1" t="s">
        <v>330</v>
      </c>
      <c r="B251" s="1" t="s">
        <v>330</v>
      </c>
      <c r="C251" s="5" t="s">
        <v>114</v>
      </c>
      <c r="D251" s="5" t="s">
        <v>115</v>
      </c>
      <c r="E251" s="6">
        <v>45636.47777777778</v>
      </c>
      <c r="F251" s="7" t="s">
        <v>116</v>
      </c>
      <c r="G251" s="5" t="s">
        <v>24</v>
      </c>
      <c r="K251" s="2" t="s">
        <v>18</v>
      </c>
      <c r="L251" s="2"/>
    </row>
    <row r="252">
      <c r="A252" s="1" t="s">
        <v>331</v>
      </c>
      <c r="B252" s="1" t="s">
        <v>331</v>
      </c>
      <c r="C252" s="5" t="s">
        <v>109</v>
      </c>
      <c r="D252" s="5" t="s">
        <v>110</v>
      </c>
      <c r="E252" s="6">
        <v>45636.478472222225</v>
      </c>
      <c r="F252" s="7" t="s">
        <v>111</v>
      </c>
      <c r="G252" s="5" t="s">
        <v>24</v>
      </c>
      <c r="K252" s="2" t="s">
        <v>18</v>
      </c>
      <c r="L252" s="2"/>
    </row>
    <row r="253">
      <c r="A253" s="1" t="s">
        <v>332</v>
      </c>
      <c r="B253" s="1" t="s">
        <v>332</v>
      </c>
      <c r="C253" s="5" t="s">
        <v>55</v>
      </c>
      <c r="D253" s="5" t="s">
        <v>56</v>
      </c>
      <c r="E253" s="6">
        <v>45636.48055555555</v>
      </c>
      <c r="F253" s="7" t="s">
        <v>57</v>
      </c>
      <c r="G253" s="5" t="s">
        <v>24</v>
      </c>
      <c r="K253" s="2" t="s">
        <v>18</v>
      </c>
      <c r="L253" s="2"/>
    </row>
    <row r="254">
      <c r="A254" s="1" t="s">
        <v>333</v>
      </c>
      <c r="B254" s="1" t="s">
        <v>333</v>
      </c>
      <c r="C254" s="5" t="s">
        <v>131</v>
      </c>
      <c r="D254" s="5" t="s">
        <v>132</v>
      </c>
      <c r="E254" s="6">
        <v>45636.48055555555</v>
      </c>
      <c r="F254" s="7" t="s">
        <v>133</v>
      </c>
      <c r="G254" s="5" t="s">
        <v>24</v>
      </c>
      <c r="K254" s="2" t="s">
        <v>18</v>
      </c>
      <c r="L254" s="2"/>
    </row>
    <row r="255">
      <c r="A255" s="1" t="s">
        <v>334</v>
      </c>
      <c r="B255" s="1" t="s">
        <v>334</v>
      </c>
      <c r="C255" s="5" t="s">
        <v>28</v>
      </c>
      <c r="D255" s="5" t="s">
        <v>29</v>
      </c>
      <c r="E255" s="6">
        <v>45636.64444444445</v>
      </c>
      <c r="F255" s="7" t="s">
        <v>30</v>
      </c>
      <c r="G255" s="5" t="s">
        <v>24</v>
      </c>
      <c r="K255" s="2" t="s">
        <v>18</v>
      </c>
      <c r="L255" s="2"/>
    </row>
    <row r="256">
      <c r="A256" s="1" t="s">
        <v>335</v>
      </c>
      <c r="B256" s="1" t="s">
        <v>335</v>
      </c>
      <c r="C256" s="5" t="s">
        <v>126</v>
      </c>
      <c r="D256" s="5" t="s">
        <v>127</v>
      </c>
      <c r="E256" s="6">
        <v>45636.77013888889</v>
      </c>
      <c r="F256" s="7" t="s">
        <v>128</v>
      </c>
      <c r="G256" s="5" t="s">
        <v>24</v>
      </c>
      <c r="K256" s="2" t="s">
        <v>18</v>
      </c>
      <c r="L256" s="2"/>
    </row>
    <row r="257">
      <c r="A257" s="1" t="s">
        <v>336</v>
      </c>
      <c r="B257" s="1" t="s">
        <v>336</v>
      </c>
      <c r="C257" s="5" t="s">
        <v>28</v>
      </c>
      <c r="D257" s="5" t="s">
        <v>29</v>
      </c>
      <c r="E257" s="6">
        <v>45638.57152777778</v>
      </c>
      <c r="F257" s="7" t="s">
        <v>30</v>
      </c>
      <c r="G257" s="5" t="s">
        <v>16</v>
      </c>
      <c r="K257" s="2" t="s">
        <v>18</v>
      </c>
      <c r="L257" s="2"/>
    </row>
    <row r="258">
      <c r="A258" s="1" t="s">
        <v>337</v>
      </c>
      <c r="B258" s="1" t="s">
        <v>337</v>
      </c>
      <c r="C258" s="5" t="s">
        <v>28</v>
      </c>
      <c r="D258" s="5" t="s">
        <v>29</v>
      </c>
      <c r="E258" s="6">
        <v>45638.66875</v>
      </c>
      <c r="F258" s="7" t="s">
        <v>30</v>
      </c>
      <c r="G258" s="5" t="s">
        <v>24</v>
      </c>
      <c r="K258" s="2" t="s">
        <v>18</v>
      </c>
      <c r="L258" s="2"/>
    </row>
    <row r="259">
      <c r="A259" s="1" t="s">
        <v>338</v>
      </c>
      <c r="B259" s="1" t="s">
        <v>338</v>
      </c>
      <c r="C259" s="5" t="s">
        <v>49</v>
      </c>
      <c r="D259" s="5" t="s">
        <v>50</v>
      </c>
      <c r="E259" s="6">
        <v>45639.51527777778</v>
      </c>
      <c r="F259" s="7" t="s">
        <v>51</v>
      </c>
      <c r="G259" s="5" t="s">
        <v>16</v>
      </c>
      <c r="K259" s="2" t="s">
        <v>18</v>
      </c>
      <c r="L259" s="2"/>
    </row>
    <row r="260">
      <c r="A260" s="1" t="s">
        <v>339</v>
      </c>
      <c r="B260" s="1" t="s">
        <v>339</v>
      </c>
      <c r="C260" s="5" t="s">
        <v>213</v>
      </c>
      <c r="D260" s="5" t="s">
        <v>214</v>
      </c>
      <c r="E260" s="6">
        <v>45639.51736111111</v>
      </c>
      <c r="F260" s="7" t="s">
        <v>215</v>
      </c>
      <c r="G260" s="5" t="s">
        <v>24</v>
      </c>
      <c r="K260" s="2" t="s">
        <v>18</v>
      </c>
      <c r="L260" s="2"/>
    </row>
    <row r="261">
      <c r="A261" s="1" t="s">
        <v>340</v>
      </c>
      <c r="B261" s="1" t="s">
        <v>340</v>
      </c>
      <c r="C261" s="5" t="s">
        <v>114</v>
      </c>
      <c r="D261" s="5" t="s">
        <v>115</v>
      </c>
      <c r="E261" s="6">
        <v>45639.518055555556</v>
      </c>
      <c r="F261" s="7" t="s">
        <v>116</v>
      </c>
      <c r="G261" s="5" t="s">
        <v>24</v>
      </c>
      <c r="K261" s="2" t="s">
        <v>18</v>
      </c>
      <c r="L261" s="2"/>
    </row>
    <row r="262">
      <c r="A262" s="1" t="s">
        <v>341</v>
      </c>
      <c r="B262" s="1" t="s">
        <v>341</v>
      </c>
      <c r="C262" s="5" t="s">
        <v>49</v>
      </c>
      <c r="D262" s="5" t="s">
        <v>50</v>
      </c>
      <c r="E262" s="6">
        <v>45639.51944444445</v>
      </c>
      <c r="F262" s="7" t="s">
        <v>51</v>
      </c>
      <c r="G262" s="5" t="s">
        <v>24</v>
      </c>
      <c r="K262" s="2" t="s">
        <v>18</v>
      </c>
      <c r="L262" s="2"/>
    </row>
    <row r="263">
      <c r="A263" s="1" t="s">
        <v>342</v>
      </c>
      <c r="B263" s="1" t="s">
        <v>342</v>
      </c>
      <c r="C263" s="5" t="s">
        <v>305</v>
      </c>
      <c r="D263" s="5" t="s">
        <v>306</v>
      </c>
      <c r="E263" s="6">
        <v>45640.84930555556</v>
      </c>
      <c r="F263" s="7" t="s">
        <v>307</v>
      </c>
      <c r="G263" s="5" t="s">
        <v>16</v>
      </c>
      <c r="K263" s="2" t="s">
        <v>18</v>
      </c>
      <c r="L263" s="2"/>
    </row>
    <row r="264">
      <c r="A264" s="1" t="s">
        <v>343</v>
      </c>
      <c r="B264" s="1" t="s">
        <v>343</v>
      </c>
      <c r="C264" s="5" t="s">
        <v>126</v>
      </c>
      <c r="D264" s="5" t="s">
        <v>127</v>
      </c>
      <c r="E264" s="6">
        <v>45640.51458333334</v>
      </c>
      <c r="F264" s="7" t="s">
        <v>128</v>
      </c>
      <c r="G264" s="5" t="s">
        <v>24</v>
      </c>
      <c r="K264" s="2" t="s">
        <v>18</v>
      </c>
      <c r="L264" s="2"/>
    </row>
    <row r="265">
      <c r="A265" s="1" t="s">
        <v>344</v>
      </c>
      <c r="B265" s="1" t="s">
        <v>344</v>
      </c>
      <c r="C265" s="5" t="s">
        <v>345</v>
      </c>
      <c r="D265" s="5" t="s">
        <v>346</v>
      </c>
      <c r="E265" s="6">
        <v>45642.441666666666</v>
      </c>
      <c r="F265" s="7" t="s">
        <v>347</v>
      </c>
      <c r="G265" s="5" t="s">
        <v>16</v>
      </c>
      <c r="K265" s="2" t="s">
        <v>18</v>
      </c>
      <c r="L265" s="2"/>
    </row>
    <row r="266">
      <c r="A266" s="1" t="s">
        <v>348</v>
      </c>
      <c r="B266" s="1" t="s">
        <v>348</v>
      </c>
      <c r="C266" s="5" t="s">
        <v>349</v>
      </c>
      <c r="D266" s="5" t="s">
        <v>350</v>
      </c>
      <c r="E266" s="6">
        <v>45643.37013888889</v>
      </c>
      <c r="F266" s="7" t="s">
        <v>351</v>
      </c>
      <c r="G266" s="5" t="s">
        <v>16</v>
      </c>
      <c r="K266" s="2" t="s">
        <v>18</v>
      </c>
      <c r="L266" s="2"/>
    </row>
    <row r="267">
      <c r="A267" s="1" t="s">
        <v>352</v>
      </c>
      <c r="B267" s="1" t="s">
        <v>352</v>
      </c>
      <c r="C267" s="2" t="s">
        <v>353</v>
      </c>
      <c r="D267" s="5" t="s">
        <v>354</v>
      </c>
      <c r="E267" s="6">
        <v>45643.55347222222</v>
      </c>
      <c r="F267" s="7" t="e">
        <v>#N/A</v>
      </c>
      <c r="G267" s="5" t="s">
        <v>16</v>
      </c>
      <c r="K267" s="2" t="s">
        <v>18</v>
      </c>
      <c r="L267" s="2"/>
    </row>
    <row r="268">
      <c r="A268" s="1" t="s">
        <v>355</v>
      </c>
      <c r="B268" s="1" t="s">
        <v>355</v>
      </c>
      <c r="C268" s="5" t="s">
        <v>349</v>
      </c>
      <c r="D268" s="5" t="s">
        <v>350</v>
      </c>
      <c r="E268" s="6">
        <v>45643.60763888889</v>
      </c>
      <c r="F268" s="7" t="s">
        <v>351</v>
      </c>
      <c r="G268" s="5" t="s">
        <v>24</v>
      </c>
      <c r="K268" s="2" t="s">
        <v>18</v>
      </c>
      <c r="L268" s="2"/>
    </row>
    <row r="269">
      <c r="A269" s="1" t="s">
        <v>356</v>
      </c>
      <c r="B269" s="1" t="s">
        <v>356</v>
      </c>
      <c r="C269" s="5" t="s">
        <v>28</v>
      </c>
      <c r="D269" s="5" t="s">
        <v>29</v>
      </c>
      <c r="E269" s="6">
        <v>45644.43680555555</v>
      </c>
      <c r="F269" s="7" t="s">
        <v>30</v>
      </c>
      <c r="G269" s="5" t="s">
        <v>24</v>
      </c>
      <c r="K269" s="2" t="s">
        <v>18</v>
      </c>
      <c r="L269" s="2"/>
    </row>
    <row r="270">
      <c r="A270" s="1" t="s">
        <v>357</v>
      </c>
      <c r="B270" s="1" t="s">
        <v>357</v>
      </c>
      <c r="C270" s="5" t="s">
        <v>213</v>
      </c>
      <c r="D270" s="5" t="s">
        <v>214</v>
      </c>
      <c r="E270" s="6">
        <v>45644.620833333334</v>
      </c>
      <c r="F270" s="7" t="s">
        <v>215</v>
      </c>
      <c r="G270" s="5" t="s">
        <v>24</v>
      </c>
      <c r="K270" s="2" t="s">
        <v>18</v>
      </c>
      <c r="L270" s="2"/>
    </row>
    <row r="271">
      <c r="A271" s="1" t="s">
        <v>358</v>
      </c>
      <c r="B271" s="1" t="s">
        <v>358</v>
      </c>
      <c r="C271" s="5" t="s">
        <v>114</v>
      </c>
      <c r="D271" s="5" t="s">
        <v>115</v>
      </c>
      <c r="E271" s="6">
        <v>45644.62222222222</v>
      </c>
      <c r="F271" s="7" t="s">
        <v>116</v>
      </c>
      <c r="G271" s="5" t="s">
        <v>24</v>
      </c>
      <c r="K271" s="2" t="s">
        <v>18</v>
      </c>
      <c r="L271" s="2"/>
    </row>
    <row r="272">
      <c r="A272" s="1" t="s">
        <v>359</v>
      </c>
      <c r="B272" s="1" t="s">
        <v>359</v>
      </c>
      <c r="C272" s="5" t="s">
        <v>109</v>
      </c>
      <c r="D272" s="5" t="s">
        <v>110</v>
      </c>
      <c r="E272" s="6">
        <v>45644.62361111111</v>
      </c>
      <c r="F272" s="7" t="s">
        <v>111</v>
      </c>
      <c r="G272" s="5" t="s">
        <v>24</v>
      </c>
      <c r="K272" s="2" t="s">
        <v>18</v>
      </c>
      <c r="L272" s="2"/>
    </row>
    <row r="273">
      <c r="A273" s="1" t="s">
        <v>360</v>
      </c>
      <c r="B273" s="1" t="s">
        <v>360</v>
      </c>
      <c r="C273" s="5" t="s">
        <v>131</v>
      </c>
      <c r="D273" s="5" t="s">
        <v>132</v>
      </c>
      <c r="E273" s="6">
        <v>45644.62430555555</v>
      </c>
      <c r="F273" s="7" t="s">
        <v>133</v>
      </c>
      <c r="G273" s="5" t="s">
        <v>24</v>
      </c>
      <c r="K273" s="2" t="s">
        <v>18</v>
      </c>
      <c r="L273" s="2"/>
    </row>
    <row r="274">
      <c r="A274" s="1" t="s">
        <v>361</v>
      </c>
      <c r="B274" s="1" t="s">
        <v>361</v>
      </c>
      <c r="C274" s="5" t="s">
        <v>305</v>
      </c>
      <c r="D274" s="5" t="s">
        <v>306</v>
      </c>
      <c r="E274" s="6">
        <v>45645.43125</v>
      </c>
      <c r="F274" s="7" t="s">
        <v>307</v>
      </c>
      <c r="G274" s="5" t="s">
        <v>16</v>
      </c>
      <c r="K274" s="2" t="s">
        <v>18</v>
      </c>
      <c r="L274" s="2"/>
    </row>
    <row r="275">
      <c r="A275" s="1" t="s">
        <v>362</v>
      </c>
      <c r="B275" s="1" t="s">
        <v>362</v>
      </c>
      <c r="C275" s="5" t="s">
        <v>114</v>
      </c>
      <c r="D275" s="5" t="s">
        <v>115</v>
      </c>
      <c r="E275" s="6">
        <v>45645.43680555555</v>
      </c>
      <c r="F275" s="7" t="s">
        <v>116</v>
      </c>
      <c r="G275" s="5" t="s">
        <v>16</v>
      </c>
      <c r="K275" s="2" t="s">
        <v>18</v>
      </c>
      <c r="L275" s="2"/>
    </row>
    <row r="276">
      <c r="A276" s="1" t="s">
        <v>363</v>
      </c>
      <c r="B276" s="1" t="s">
        <v>363</v>
      </c>
      <c r="C276" s="5" t="s">
        <v>114</v>
      </c>
      <c r="D276" s="5" t="s">
        <v>115</v>
      </c>
      <c r="E276" s="6">
        <v>45645.632638888885</v>
      </c>
      <c r="F276" s="7" t="s">
        <v>116</v>
      </c>
      <c r="G276" s="5" t="s">
        <v>24</v>
      </c>
      <c r="K276" s="2" t="s">
        <v>18</v>
      </c>
      <c r="L276" s="2"/>
    </row>
    <row r="277">
      <c r="A277" s="1" t="s">
        <v>364</v>
      </c>
      <c r="B277" s="1" t="s">
        <v>364</v>
      </c>
      <c r="C277" s="5" t="s">
        <v>345</v>
      </c>
      <c r="D277" s="5" t="s">
        <v>346</v>
      </c>
      <c r="E277" s="6">
        <v>45646.35</v>
      </c>
      <c r="F277" s="7" t="s">
        <v>347</v>
      </c>
      <c r="G277" s="5" t="s">
        <v>16</v>
      </c>
      <c r="K277" s="2" t="s">
        <v>18</v>
      </c>
      <c r="L277" s="2"/>
    </row>
    <row r="278">
      <c r="A278" s="1" t="s">
        <v>365</v>
      </c>
      <c r="B278" s="1" t="s">
        <v>365</v>
      </c>
      <c r="C278" s="5" t="s">
        <v>326</v>
      </c>
      <c r="D278" s="5" t="s">
        <v>327</v>
      </c>
      <c r="E278" s="6">
        <v>45646.43888888889</v>
      </c>
      <c r="F278" s="7" t="s">
        <v>328</v>
      </c>
      <c r="G278" s="5" t="s">
        <v>16</v>
      </c>
      <c r="K278" s="2" t="s">
        <v>18</v>
      </c>
      <c r="L278" s="2"/>
    </row>
    <row r="279">
      <c r="A279" s="1" t="s">
        <v>366</v>
      </c>
      <c r="B279" s="1" t="s">
        <v>366</v>
      </c>
      <c r="C279" s="5" t="s">
        <v>367</v>
      </c>
      <c r="D279" s="5" t="s">
        <v>368</v>
      </c>
      <c r="E279" s="6">
        <v>45646.43958333333</v>
      </c>
      <c r="F279" s="7" t="s">
        <v>369</v>
      </c>
      <c r="G279" s="5" t="s">
        <v>16</v>
      </c>
      <c r="K279" s="2" t="s">
        <v>18</v>
      </c>
      <c r="L279" s="2"/>
    </row>
    <row r="280">
      <c r="A280" s="1" t="s">
        <v>370</v>
      </c>
      <c r="B280" s="1" t="s">
        <v>370</v>
      </c>
      <c r="C280" s="5" t="s">
        <v>126</v>
      </c>
      <c r="D280" s="5" t="s">
        <v>127</v>
      </c>
      <c r="E280" s="6">
        <v>45646.46944444445</v>
      </c>
      <c r="F280" s="7" t="s">
        <v>128</v>
      </c>
      <c r="G280" s="5" t="s">
        <v>24</v>
      </c>
      <c r="K280" s="2" t="s">
        <v>18</v>
      </c>
      <c r="L280" s="2"/>
    </row>
    <row r="281">
      <c r="A281" s="1" t="s">
        <v>371</v>
      </c>
      <c r="B281" s="1" t="s">
        <v>371</v>
      </c>
      <c r="C281" s="5" t="s">
        <v>326</v>
      </c>
      <c r="D281" s="5" t="s">
        <v>327</v>
      </c>
      <c r="E281" s="6">
        <v>45646.43611111111</v>
      </c>
      <c r="F281" s="7" t="s">
        <v>328</v>
      </c>
      <c r="G281" s="5" t="s">
        <v>24</v>
      </c>
      <c r="K281" s="2" t="s">
        <v>18</v>
      </c>
      <c r="L281" s="2"/>
    </row>
    <row r="282">
      <c r="A282" s="1" t="s">
        <v>372</v>
      </c>
      <c r="B282" s="1" t="s">
        <v>372</v>
      </c>
      <c r="C282" s="5" t="s">
        <v>373</v>
      </c>
      <c r="D282" s="5" t="s">
        <v>374</v>
      </c>
      <c r="E282" s="6">
        <v>45647.45277777778</v>
      </c>
      <c r="F282" s="7" t="s">
        <v>375</v>
      </c>
      <c r="G282" s="5" t="s">
        <v>16</v>
      </c>
      <c r="K282" s="2" t="s">
        <v>18</v>
      </c>
      <c r="L282" s="2"/>
    </row>
    <row r="283">
      <c r="A283" s="1" t="s">
        <v>376</v>
      </c>
      <c r="B283" s="1" t="s">
        <v>376</v>
      </c>
      <c r="C283" s="5" t="s">
        <v>349</v>
      </c>
      <c r="D283" s="5" t="s">
        <v>350</v>
      </c>
      <c r="E283" s="6">
        <v>45649.367361111115</v>
      </c>
      <c r="F283" s="7" t="s">
        <v>351</v>
      </c>
      <c r="G283" s="5" t="s">
        <v>16</v>
      </c>
      <c r="K283" s="2" t="s">
        <v>18</v>
      </c>
      <c r="L283" s="2"/>
    </row>
    <row r="284">
      <c r="A284" s="1" t="s">
        <v>377</v>
      </c>
      <c r="B284" s="1" t="s">
        <v>377</v>
      </c>
      <c r="C284" s="5" t="s">
        <v>349</v>
      </c>
      <c r="D284" s="5" t="s">
        <v>350</v>
      </c>
      <c r="E284" s="6">
        <v>45649.56041666667</v>
      </c>
      <c r="F284" s="7" t="s">
        <v>351</v>
      </c>
      <c r="G284" s="5" t="s">
        <v>24</v>
      </c>
      <c r="K284" s="2" t="s">
        <v>18</v>
      </c>
      <c r="L284" s="2"/>
    </row>
    <row r="285">
      <c r="A285" s="1" t="s">
        <v>378</v>
      </c>
      <c r="B285" s="1" t="s">
        <v>378</v>
      </c>
      <c r="C285" s="5" t="s">
        <v>13</v>
      </c>
      <c r="D285" s="5" t="s">
        <v>14</v>
      </c>
      <c r="E285" s="6">
        <v>45650.85416666667</v>
      </c>
      <c r="F285" s="7" t="s">
        <v>15</v>
      </c>
      <c r="G285" s="5" t="s">
        <v>16</v>
      </c>
      <c r="I285" s="2" t="s">
        <v>17</v>
      </c>
      <c r="K285" s="2" t="s">
        <v>18</v>
      </c>
      <c r="L285" s="2"/>
    </row>
    <row r="286">
      <c r="A286" s="1" t="s">
        <v>379</v>
      </c>
      <c r="B286" s="1" t="s">
        <v>379</v>
      </c>
      <c r="C286" s="5" t="s">
        <v>213</v>
      </c>
      <c r="D286" s="5" t="s">
        <v>214</v>
      </c>
      <c r="E286" s="6">
        <v>45649.6875</v>
      </c>
      <c r="F286" s="7" t="s">
        <v>215</v>
      </c>
      <c r="G286" s="5" t="s">
        <v>24</v>
      </c>
      <c r="K286" s="2" t="s">
        <v>18</v>
      </c>
      <c r="L286" s="2"/>
    </row>
    <row r="287">
      <c r="A287" s="1" t="s">
        <v>380</v>
      </c>
      <c r="B287" s="1" t="s">
        <v>380</v>
      </c>
      <c r="C287" s="5" t="s">
        <v>49</v>
      </c>
      <c r="D287" s="5" t="s">
        <v>50</v>
      </c>
      <c r="E287" s="6">
        <v>45649.68819444445</v>
      </c>
      <c r="F287" s="7" t="s">
        <v>51</v>
      </c>
      <c r="G287" s="5" t="s">
        <v>24</v>
      </c>
      <c r="K287" s="2" t="s">
        <v>18</v>
      </c>
      <c r="L287" s="2"/>
    </row>
    <row r="288">
      <c r="A288" s="1" t="s">
        <v>381</v>
      </c>
      <c r="B288" s="1" t="s">
        <v>381</v>
      </c>
      <c r="C288" s="5" t="s">
        <v>349</v>
      </c>
      <c r="D288" s="5" t="s">
        <v>350</v>
      </c>
      <c r="E288" s="6">
        <v>45650.36111111111</v>
      </c>
      <c r="F288" s="7" t="s">
        <v>351</v>
      </c>
      <c r="G288" s="5" t="s">
        <v>16</v>
      </c>
      <c r="K288" s="2" t="s">
        <v>18</v>
      </c>
      <c r="L288" s="2"/>
    </row>
    <row r="289">
      <c r="A289" s="1" t="s">
        <v>382</v>
      </c>
      <c r="B289" s="1" t="s">
        <v>382</v>
      </c>
      <c r="C289" s="5" t="s">
        <v>383</v>
      </c>
      <c r="D289" s="5" t="s">
        <v>384</v>
      </c>
      <c r="E289" s="6">
        <v>45650.35416666667</v>
      </c>
      <c r="F289" s="7" t="s">
        <v>385</v>
      </c>
      <c r="G289" s="5" t="s">
        <v>16</v>
      </c>
      <c r="K289" s="2" t="s">
        <v>18</v>
      </c>
      <c r="L289" s="2"/>
    </row>
    <row r="290">
      <c r="A290" s="1" t="s">
        <v>386</v>
      </c>
      <c r="B290" s="1" t="s">
        <v>386</v>
      </c>
      <c r="C290" s="5" t="s">
        <v>126</v>
      </c>
      <c r="D290" s="5" t="s">
        <v>127</v>
      </c>
      <c r="E290" s="6">
        <v>45650.59583333333</v>
      </c>
      <c r="F290" s="7" t="s">
        <v>128</v>
      </c>
      <c r="G290" s="5" t="s">
        <v>24</v>
      </c>
      <c r="K290" s="2" t="s">
        <v>18</v>
      </c>
      <c r="L290" s="2"/>
    </row>
    <row r="291">
      <c r="A291" s="1" t="s">
        <v>387</v>
      </c>
      <c r="B291" s="1" t="s">
        <v>387</v>
      </c>
      <c r="C291" s="5" t="s">
        <v>349</v>
      </c>
      <c r="D291" s="5" t="s">
        <v>350</v>
      </c>
      <c r="E291" s="6">
        <v>45650.606944444444</v>
      </c>
      <c r="F291" s="7" t="s">
        <v>351</v>
      </c>
      <c r="G291" s="5" t="s">
        <v>24</v>
      </c>
      <c r="K291" s="2" t="s">
        <v>18</v>
      </c>
      <c r="L291" s="2"/>
    </row>
    <row r="292">
      <c r="A292" s="1" t="s">
        <v>388</v>
      </c>
      <c r="B292" s="1" t="s">
        <v>388</v>
      </c>
      <c r="C292" s="5" t="s">
        <v>109</v>
      </c>
      <c r="D292" s="5" t="s">
        <v>110</v>
      </c>
      <c r="E292" s="6">
        <v>45650.674305555556</v>
      </c>
      <c r="F292" s="7" t="s">
        <v>111</v>
      </c>
      <c r="G292" s="5" t="s">
        <v>16</v>
      </c>
      <c r="K292" s="2" t="s">
        <v>18</v>
      </c>
      <c r="L292" s="2"/>
    </row>
    <row r="293">
      <c r="A293" s="1" t="s">
        <v>389</v>
      </c>
      <c r="B293" s="1" t="s">
        <v>389</v>
      </c>
      <c r="C293" s="5" t="s">
        <v>326</v>
      </c>
      <c r="D293" s="5" t="s">
        <v>327</v>
      </c>
      <c r="E293" s="6">
        <v>45651.34513888889</v>
      </c>
      <c r="F293" s="7" t="s">
        <v>328</v>
      </c>
      <c r="G293" s="5" t="s">
        <v>16</v>
      </c>
      <c r="K293" s="2" t="s">
        <v>18</v>
      </c>
      <c r="L293" s="2"/>
    </row>
    <row r="294">
      <c r="A294" s="1" t="s">
        <v>390</v>
      </c>
      <c r="B294" s="1" t="s">
        <v>390</v>
      </c>
      <c r="C294" s="5" t="s">
        <v>213</v>
      </c>
      <c r="D294" s="5" t="s">
        <v>214</v>
      </c>
      <c r="E294" s="6">
        <v>45653.6375</v>
      </c>
      <c r="F294" s="7" t="s">
        <v>215</v>
      </c>
      <c r="G294" s="5" t="s">
        <v>16</v>
      </c>
      <c r="I294" s="2" t="s">
        <v>17</v>
      </c>
      <c r="K294" s="2" t="s">
        <v>18</v>
      </c>
      <c r="L294" s="2"/>
    </row>
    <row r="295">
      <c r="A295" s="1" t="s">
        <v>391</v>
      </c>
      <c r="B295" s="1" t="s">
        <v>391</v>
      </c>
      <c r="C295" s="5" t="s">
        <v>392</v>
      </c>
      <c r="D295" s="5" t="s">
        <v>393</v>
      </c>
      <c r="E295" s="6">
        <v>45654.36111111111</v>
      </c>
      <c r="F295" s="7" t="s">
        <v>394</v>
      </c>
      <c r="G295" s="5" t="s">
        <v>16</v>
      </c>
      <c r="I295" s="2" t="s">
        <v>395</v>
      </c>
      <c r="J295" s="2"/>
      <c r="K295" s="2" t="s">
        <v>18</v>
      </c>
      <c r="L295" s="2"/>
    </row>
    <row r="296">
      <c r="A296" s="1" t="s">
        <v>396</v>
      </c>
      <c r="B296" s="1" t="s">
        <v>396</v>
      </c>
      <c r="C296" s="5" t="s">
        <v>397</v>
      </c>
      <c r="D296" s="5" t="s">
        <v>398</v>
      </c>
      <c r="E296" s="6">
        <v>45654.36875</v>
      </c>
      <c r="F296" s="7" t="s">
        <v>399</v>
      </c>
      <c r="G296" s="5" t="s">
        <v>16</v>
      </c>
      <c r="K296" s="2" t="s">
        <v>18</v>
      </c>
      <c r="L296" s="2"/>
    </row>
    <row r="297">
      <c r="A297" s="1" t="s">
        <v>400</v>
      </c>
      <c r="B297" s="1" t="s">
        <v>400</v>
      </c>
      <c r="C297" s="5" t="s">
        <v>309</v>
      </c>
      <c r="D297" s="5" t="s">
        <v>310</v>
      </c>
      <c r="E297" s="6">
        <v>45654.62013888889</v>
      </c>
      <c r="F297" s="7" t="s">
        <v>311</v>
      </c>
      <c r="G297" s="5" t="s">
        <v>16</v>
      </c>
      <c r="K297" s="2" t="s">
        <v>18</v>
      </c>
      <c r="L297" s="2"/>
    </row>
    <row r="298">
      <c r="A298" s="1" t="s">
        <v>401</v>
      </c>
      <c r="B298" s="1" t="s">
        <v>401</v>
      </c>
      <c r="C298" s="5" t="s">
        <v>13</v>
      </c>
      <c r="D298" s="5" t="s">
        <v>14</v>
      </c>
      <c r="E298" s="6">
        <v>45655.35833333334</v>
      </c>
      <c r="F298" s="7" t="s">
        <v>15</v>
      </c>
      <c r="G298" s="5" t="s">
        <v>16</v>
      </c>
      <c r="I298" s="2" t="s">
        <v>17</v>
      </c>
      <c r="K298" s="2" t="s">
        <v>18</v>
      </c>
      <c r="L298" s="2"/>
    </row>
    <row r="299">
      <c r="A299" s="1" t="s">
        <v>402</v>
      </c>
      <c r="B299" s="1" t="s">
        <v>402</v>
      </c>
      <c r="C299" s="5" t="s">
        <v>213</v>
      </c>
      <c r="D299" s="5" t="s">
        <v>214</v>
      </c>
      <c r="E299" s="6">
        <v>45656.56597222222</v>
      </c>
      <c r="F299" s="7" t="s">
        <v>215</v>
      </c>
      <c r="G299" s="5" t="s">
        <v>159</v>
      </c>
      <c r="K299" s="2" t="s">
        <v>18</v>
      </c>
      <c r="L299" s="2"/>
    </row>
    <row r="300">
      <c r="A300" s="1" t="s">
        <v>403</v>
      </c>
      <c r="B300" s="1" t="s">
        <v>403</v>
      </c>
      <c r="C300" s="5" t="s">
        <v>213</v>
      </c>
      <c r="D300" s="5" t="s">
        <v>214</v>
      </c>
      <c r="E300" s="6">
        <v>45656.56597222222</v>
      </c>
      <c r="F300" s="7" t="s">
        <v>215</v>
      </c>
      <c r="G300" s="5" t="s">
        <v>16</v>
      </c>
      <c r="I300" s="2" t="s">
        <v>17</v>
      </c>
      <c r="K300" s="2" t="s">
        <v>18</v>
      </c>
      <c r="L300" s="2"/>
    </row>
    <row r="301">
      <c r="A301" s="1" t="s">
        <v>404</v>
      </c>
      <c r="B301" s="1" t="s">
        <v>404</v>
      </c>
      <c r="C301" s="5" t="s">
        <v>349</v>
      </c>
      <c r="D301" s="5" t="s">
        <v>350</v>
      </c>
      <c r="E301" s="6">
        <v>45657.34930555556</v>
      </c>
      <c r="F301" s="7" t="s">
        <v>351</v>
      </c>
      <c r="G301" s="5" t="s">
        <v>16</v>
      </c>
      <c r="K301" s="2" t="s">
        <v>18</v>
      </c>
      <c r="L301" s="2"/>
    </row>
    <row r="302">
      <c r="A302" s="1" t="s">
        <v>405</v>
      </c>
      <c r="B302" s="1" t="s">
        <v>405</v>
      </c>
      <c r="C302" s="5" t="s">
        <v>213</v>
      </c>
      <c r="D302" s="5" t="s">
        <v>214</v>
      </c>
      <c r="E302" s="6">
        <v>45659.38541666667</v>
      </c>
      <c r="F302" s="7" t="s">
        <v>215</v>
      </c>
      <c r="G302" s="5" t="s">
        <v>16</v>
      </c>
      <c r="I302" s="2" t="s">
        <v>17</v>
      </c>
      <c r="K302" s="2" t="s">
        <v>18</v>
      </c>
      <c r="L302" s="2"/>
    </row>
    <row r="303">
      <c r="A303" s="1" t="s">
        <v>406</v>
      </c>
      <c r="B303" s="1" t="s">
        <v>406</v>
      </c>
      <c r="C303" s="5" t="s">
        <v>397</v>
      </c>
      <c r="D303" s="5" t="s">
        <v>398</v>
      </c>
      <c r="E303" s="6">
        <v>45654.49722222222</v>
      </c>
      <c r="F303" s="7" t="s">
        <v>399</v>
      </c>
      <c r="G303" s="5" t="s">
        <v>24</v>
      </c>
      <c r="K303" s="2" t="s">
        <v>18</v>
      </c>
      <c r="L303" s="2"/>
    </row>
    <row r="304">
      <c r="A304" s="1" t="s">
        <v>407</v>
      </c>
      <c r="B304" s="1" t="s">
        <v>407</v>
      </c>
      <c r="C304" s="5" t="s">
        <v>326</v>
      </c>
      <c r="D304" s="5" t="s">
        <v>327</v>
      </c>
      <c r="E304" s="6">
        <v>45654.49791666667</v>
      </c>
      <c r="F304" s="7" t="s">
        <v>328</v>
      </c>
      <c r="G304" s="5" t="s">
        <v>24</v>
      </c>
      <c r="K304" s="2" t="s">
        <v>18</v>
      </c>
      <c r="L304" s="2"/>
    </row>
    <row r="305">
      <c r="A305" s="1" t="s">
        <v>408</v>
      </c>
      <c r="B305" s="1" t="s">
        <v>408</v>
      </c>
      <c r="C305" s="5" t="s">
        <v>326</v>
      </c>
      <c r="D305" s="5" t="s">
        <v>327</v>
      </c>
      <c r="E305" s="6">
        <v>45651.49930555555</v>
      </c>
      <c r="F305" s="7" t="s">
        <v>328</v>
      </c>
      <c r="G305" s="5" t="s">
        <v>24</v>
      </c>
      <c r="K305" s="2" t="s">
        <v>18</v>
      </c>
      <c r="L305" s="2"/>
    </row>
    <row r="306">
      <c r="A306" s="1" t="s">
        <v>409</v>
      </c>
      <c r="B306" s="1" t="s">
        <v>409</v>
      </c>
      <c r="C306" s="5" t="s">
        <v>213</v>
      </c>
      <c r="D306" s="5" t="s">
        <v>214</v>
      </c>
      <c r="E306" s="6">
        <v>45653.50138888889</v>
      </c>
      <c r="F306" s="7" t="s">
        <v>215</v>
      </c>
      <c r="G306" s="5" t="s">
        <v>24</v>
      </c>
      <c r="K306" s="2" t="s">
        <v>18</v>
      </c>
      <c r="L306" s="2"/>
    </row>
    <row r="307">
      <c r="A307" s="1" t="s">
        <v>410</v>
      </c>
      <c r="B307" s="1" t="s">
        <v>410</v>
      </c>
      <c r="C307" s="5" t="s">
        <v>45</v>
      </c>
      <c r="D307" s="5" t="s">
        <v>46</v>
      </c>
      <c r="E307" s="6">
        <v>45653.50208333333</v>
      </c>
      <c r="F307" s="7" t="s">
        <v>47</v>
      </c>
      <c r="G307" s="5" t="s">
        <v>24</v>
      </c>
      <c r="K307" s="2" t="s">
        <v>18</v>
      </c>
      <c r="L307" s="2"/>
    </row>
    <row r="308">
      <c r="A308" s="1" t="s">
        <v>411</v>
      </c>
      <c r="B308" s="1" t="s">
        <v>411</v>
      </c>
      <c r="C308" s="5" t="s">
        <v>114</v>
      </c>
      <c r="D308" s="5" t="s">
        <v>115</v>
      </c>
      <c r="E308" s="6">
        <v>45653.50347222222</v>
      </c>
      <c r="F308" s="7" t="s">
        <v>116</v>
      </c>
      <c r="G308" s="5" t="s">
        <v>24</v>
      </c>
      <c r="K308" s="2" t="s">
        <v>18</v>
      </c>
      <c r="L308" s="2"/>
    </row>
    <row r="309">
      <c r="A309" s="1" t="s">
        <v>412</v>
      </c>
      <c r="B309" s="1" t="s">
        <v>412</v>
      </c>
      <c r="C309" s="5" t="s">
        <v>131</v>
      </c>
      <c r="D309" s="5" t="s">
        <v>132</v>
      </c>
      <c r="E309" s="6">
        <v>45654.50486111111</v>
      </c>
      <c r="F309" s="7" t="s">
        <v>133</v>
      </c>
      <c r="G309" s="5" t="s">
        <v>24</v>
      </c>
      <c r="K309" s="2" t="s">
        <v>18</v>
      </c>
      <c r="L309" s="2"/>
    </row>
    <row r="310">
      <c r="A310" s="1" t="s">
        <v>413</v>
      </c>
      <c r="B310" s="1" t="s">
        <v>413</v>
      </c>
      <c r="C310" s="5" t="s">
        <v>392</v>
      </c>
      <c r="D310" s="5" t="s">
        <v>393</v>
      </c>
      <c r="E310" s="6">
        <v>45653.50625</v>
      </c>
      <c r="F310" s="7" t="s">
        <v>394</v>
      </c>
      <c r="G310" s="5" t="s">
        <v>24</v>
      </c>
      <c r="K310" s="2" t="s">
        <v>18</v>
      </c>
      <c r="L310" s="2"/>
    </row>
    <row r="311">
      <c r="A311" s="1" t="s">
        <v>414</v>
      </c>
      <c r="B311" s="1" t="s">
        <v>414</v>
      </c>
      <c r="C311" s="5" t="s">
        <v>309</v>
      </c>
      <c r="D311" s="5" t="s">
        <v>310</v>
      </c>
      <c r="E311" s="6">
        <v>45654.507638888885</v>
      </c>
      <c r="F311" s="7" t="s">
        <v>311</v>
      </c>
      <c r="G311" s="5" t="s">
        <v>24</v>
      </c>
      <c r="K311" s="2" t="s">
        <v>18</v>
      </c>
      <c r="L311" s="2"/>
    </row>
    <row r="312">
      <c r="A312" s="1" t="s">
        <v>415</v>
      </c>
      <c r="B312" s="1" t="s">
        <v>415</v>
      </c>
      <c r="C312" s="5" t="s">
        <v>13</v>
      </c>
      <c r="D312" s="5" t="s">
        <v>14</v>
      </c>
      <c r="E312" s="6">
        <v>45657.509722222225</v>
      </c>
      <c r="F312" s="7" t="s">
        <v>15</v>
      </c>
      <c r="G312" s="5" t="s">
        <v>24</v>
      </c>
      <c r="K312" s="2" t="s">
        <v>18</v>
      </c>
      <c r="L312" s="2"/>
    </row>
    <row r="313">
      <c r="A313" s="1" t="s">
        <v>416</v>
      </c>
      <c r="B313" s="1" t="s">
        <v>416</v>
      </c>
      <c r="C313" s="5" t="s">
        <v>126</v>
      </c>
      <c r="D313" s="5" t="s">
        <v>127</v>
      </c>
      <c r="E313" s="6">
        <v>45656.51388888889</v>
      </c>
      <c r="F313" s="7" t="s">
        <v>128</v>
      </c>
      <c r="G313" s="5" t="s">
        <v>24</v>
      </c>
      <c r="K313" s="2" t="s">
        <v>18</v>
      </c>
      <c r="L313" s="2"/>
    </row>
    <row r="314">
      <c r="A314" s="1" t="s">
        <v>417</v>
      </c>
      <c r="B314" s="1" t="s">
        <v>417</v>
      </c>
      <c r="C314" s="5" t="s">
        <v>213</v>
      </c>
      <c r="D314" s="5" t="s">
        <v>214</v>
      </c>
      <c r="E314" s="6">
        <v>45656.51458333334</v>
      </c>
      <c r="F314" s="7" t="s">
        <v>215</v>
      </c>
      <c r="G314" s="5" t="s">
        <v>24</v>
      </c>
      <c r="K314" s="2" t="s">
        <v>18</v>
      </c>
      <c r="L314" s="2"/>
    </row>
    <row r="315">
      <c r="A315" s="1" t="s">
        <v>418</v>
      </c>
      <c r="B315" s="1" t="s">
        <v>418</v>
      </c>
      <c r="C315" s="5" t="s">
        <v>114</v>
      </c>
      <c r="D315" s="5" t="s">
        <v>115</v>
      </c>
      <c r="E315" s="6">
        <v>45656.52083333333</v>
      </c>
      <c r="F315" s="7" t="s">
        <v>116</v>
      </c>
      <c r="G315" s="5" t="s">
        <v>24</v>
      </c>
      <c r="K315" s="2" t="s">
        <v>18</v>
      </c>
      <c r="L315" s="2"/>
    </row>
    <row r="316">
      <c r="A316" s="1" t="s">
        <v>419</v>
      </c>
      <c r="B316" s="1" t="s">
        <v>419</v>
      </c>
      <c r="C316" s="5" t="s">
        <v>349</v>
      </c>
      <c r="D316" s="5" t="s">
        <v>350</v>
      </c>
      <c r="E316" s="6">
        <v>45657.523611111115</v>
      </c>
      <c r="F316" s="7" t="s">
        <v>351</v>
      </c>
      <c r="G316" s="5" t="s">
        <v>24</v>
      </c>
      <c r="K316" s="2" t="s">
        <v>18</v>
      </c>
      <c r="L316" s="2"/>
    </row>
    <row r="317">
      <c r="A317" s="1" t="s">
        <v>420</v>
      </c>
      <c r="B317" s="1" t="s">
        <v>420</v>
      </c>
      <c r="C317" s="5" t="s">
        <v>213</v>
      </c>
      <c r="D317" s="5" t="s">
        <v>214</v>
      </c>
      <c r="E317" s="6">
        <v>45659.65763888889</v>
      </c>
      <c r="F317" s="7" t="s">
        <v>215</v>
      </c>
      <c r="G317" s="5" t="s">
        <v>24</v>
      </c>
      <c r="K317" s="2" t="s">
        <v>18</v>
      </c>
      <c r="L317" s="2"/>
    </row>
    <row r="318">
      <c r="A318" s="1" t="s">
        <v>421</v>
      </c>
      <c r="B318" s="1" t="s">
        <v>421</v>
      </c>
      <c r="C318" s="5" t="s">
        <v>55</v>
      </c>
      <c r="D318" s="5" t="s">
        <v>56</v>
      </c>
      <c r="E318" s="6">
        <v>45659.65833333333</v>
      </c>
      <c r="F318" s="7" t="s">
        <v>57</v>
      </c>
      <c r="G318" s="5" t="s">
        <v>24</v>
      </c>
      <c r="K318" s="2" t="s">
        <v>18</v>
      </c>
      <c r="L318" s="2"/>
    </row>
    <row r="319">
      <c r="A319" s="1" t="s">
        <v>422</v>
      </c>
      <c r="B319" s="1" t="s">
        <v>422</v>
      </c>
      <c r="C319" s="5" t="s">
        <v>28</v>
      </c>
      <c r="D319" s="5" t="s">
        <v>29</v>
      </c>
      <c r="E319" s="6">
        <v>45659.65833333333</v>
      </c>
      <c r="F319" s="7" t="s">
        <v>30</v>
      </c>
      <c r="G319" s="5" t="s">
        <v>24</v>
      </c>
      <c r="K319" s="2" t="s">
        <v>18</v>
      </c>
      <c r="L319" s="2"/>
    </row>
    <row r="320">
      <c r="A320" s="1" t="s">
        <v>423</v>
      </c>
      <c r="B320" s="1" t="s">
        <v>423</v>
      </c>
      <c r="C320" s="5" t="s">
        <v>345</v>
      </c>
      <c r="D320" s="5" t="s">
        <v>346</v>
      </c>
      <c r="E320" s="6">
        <v>45660.35555555555</v>
      </c>
      <c r="F320" s="7" t="s">
        <v>347</v>
      </c>
      <c r="G320" s="5" t="s">
        <v>16</v>
      </c>
      <c r="K320" s="2" t="s">
        <v>18</v>
      </c>
      <c r="L320" s="2"/>
    </row>
    <row r="321">
      <c r="A321" s="1" t="s">
        <v>424</v>
      </c>
      <c r="B321" s="1" t="s">
        <v>424</v>
      </c>
      <c r="C321" s="5" t="s">
        <v>326</v>
      </c>
      <c r="D321" s="5" t="s">
        <v>327</v>
      </c>
      <c r="E321" s="6">
        <v>45660.46319444444</v>
      </c>
      <c r="F321" s="7" t="s">
        <v>328</v>
      </c>
      <c r="G321" s="5" t="s">
        <v>16</v>
      </c>
      <c r="K321" s="2" t="s">
        <v>18</v>
      </c>
      <c r="L321" s="2"/>
    </row>
    <row r="322">
      <c r="A322" s="1" t="s">
        <v>425</v>
      </c>
      <c r="B322" s="1" t="s">
        <v>425</v>
      </c>
      <c r="C322" s="5" t="s">
        <v>75</v>
      </c>
      <c r="D322" s="5" t="s">
        <v>76</v>
      </c>
      <c r="E322" s="6">
        <v>45660.49722222222</v>
      </c>
      <c r="F322" s="7" t="s">
        <v>77</v>
      </c>
      <c r="G322" s="5" t="s">
        <v>24</v>
      </c>
      <c r="K322" s="2" t="s">
        <v>18</v>
      </c>
      <c r="L322" s="2"/>
    </row>
    <row r="323">
      <c r="A323" s="1" t="s">
        <v>426</v>
      </c>
      <c r="B323" s="1" t="s">
        <v>426</v>
      </c>
      <c r="C323" s="5" t="s">
        <v>49</v>
      </c>
      <c r="D323" s="5" t="s">
        <v>50</v>
      </c>
      <c r="E323" s="6">
        <v>45660.524305555555</v>
      </c>
      <c r="F323" s="7" t="s">
        <v>51</v>
      </c>
      <c r="G323" s="5" t="s">
        <v>16</v>
      </c>
      <c r="K323" s="2" t="s">
        <v>18</v>
      </c>
      <c r="L323" s="2"/>
    </row>
    <row r="324">
      <c r="A324" s="1" t="s">
        <v>427</v>
      </c>
      <c r="B324" s="1" t="s">
        <v>427</v>
      </c>
      <c r="C324" s="5" t="s">
        <v>91</v>
      </c>
      <c r="D324" s="5" t="s">
        <v>92</v>
      </c>
      <c r="E324" s="6">
        <v>45660.58263888889</v>
      </c>
      <c r="F324" s="7" t="s">
        <v>93</v>
      </c>
      <c r="G324" s="5" t="s">
        <v>24</v>
      </c>
      <c r="K324" s="2" t="s">
        <v>18</v>
      </c>
      <c r="L324" s="2"/>
    </row>
    <row r="325">
      <c r="A325" s="1" t="s">
        <v>428</v>
      </c>
      <c r="B325" s="1" t="s">
        <v>428</v>
      </c>
      <c r="C325" s="5" t="s">
        <v>49</v>
      </c>
      <c r="D325" s="5" t="s">
        <v>50</v>
      </c>
      <c r="E325" s="6">
        <v>45660.58263888889</v>
      </c>
      <c r="F325" s="7" t="s">
        <v>51</v>
      </c>
      <c r="G325" s="5" t="s">
        <v>24</v>
      </c>
      <c r="K325" s="2" t="s">
        <v>18</v>
      </c>
      <c r="L325" s="2"/>
    </row>
    <row r="326">
      <c r="A326" s="1" t="s">
        <v>429</v>
      </c>
      <c r="B326" s="1" t="s">
        <v>429</v>
      </c>
      <c r="C326" s="5" t="s">
        <v>326</v>
      </c>
      <c r="D326" s="5" t="s">
        <v>327</v>
      </c>
      <c r="E326" s="6">
        <v>45660.7</v>
      </c>
      <c r="F326" s="7" t="s">
        <v>328</v>
      </c>
      <c r="G326" s="5" t="s">
        <v>24</v>
      </c>
      <c r="K326" s="2" t="s">
        <v>18</v>
      </c>
      <c r="L326" s="2"/>
    </row>
    <row r="327">
      <c r="A327" s="1" t="s">
        <v>430</v>
      </c>
      <c r="B327" s="1" t="s">
        <v>430</v>
      </c>
      <c r="C327" s="5" t="s">
        <v>126</v>
      </c>
      <c r="D327" s="5" t="s">
        <v>127</v>
      </c>
      <c r="E327" s="6">
        <v>45660.70138888889</v>
      </c>
      <c r="F327" s="7" t="s">
        <v>128</v>
      </c>
      <c r="G327" s="5" t="s">
        <v>24</v>
      </c>
      <c r="K327" s="2" t="s">
        <v>18</v>
      </c>
      <c r="L327" s="2"/>
    </row>
    <row r="328">
      <c r="A328" s="1" t="s">
        <v>431</v>
      </c>
      <c r="B328" s="1" t="s">
        <v>431</v>
      </c>
      <c r="C328" s="5" t="s">
        <v>305</v>
      </c>
      <c r="D328" s="5" t="s">
        <v>306</v>
      </c>
      <c r="E328" s="6">
        <v>45661.44930555555</v>
      </c>
      <c r="F328" s="7" t="s">
        <v>307</v>
      </c>
      <c r="G328" s="5" t="s">
        <v>16</v>
      </c>
      <c r="K328" s="2" t="s">
        <v>18</v>
      </c>
      <c r="L328" s="2"/>
    </row>
    <row r="329">
      <c r="A329" s="1" t="s">
        <v>432</v>
      </c>
      <c r="B329" s="1" t="s">
        <v>432</v>
      </c>
      <c r="C329" s="5" t="s">
        <v>13</v>
      </c>
      <c r="D329" s="5" t="s">
        <v>14</v>
      </c>
      <c r="E329" s="6">
        <v>45663.388194444444</v>
      </c>
      <c r="F329" s="7" t="s">
        <v>15</v>
      </c>
      <c r="G329" s="5" t="s">
        <v>16</v>
      </c>
      <c r="I329" s="2" t="s">
        <v>17</v>
      </c>
      <c r="K329" s="2" t="s">
        <v>18</v>
      </c>
      <c r="L329" s="2"/>
    </row>
    <row r="330">
      <c r="A330" s="1" t="s">
        <v>433</v>
      </c>
      <c r="B330" s="1" t="s">
        <v>433</v>
      </c>
      <c r="C330" s="5" t="s">
        <v>434</v>
      </c>
      <c r="D330" s="5" t="s">
        <v>435</v>
      </c>
      <c r="E330" s="6">
        <v>45596.518055555556</v>
      </c>
      <c r="F330" s="7" t="e">
        <v>#N/A</v>
      </c>
      <c r="G330" s="5" t="s">
        <v>16</v>
      </c>
      <c r="K330" s="2" t="s">
        <v>18</v>
      </c>
      <c r="L330" s="2"/>
    </row>
    <row r="331">
      <c r="A331" s="1" t="s">
        <v>436</v>
      </c>
      <c r="B331" s="1" t="s">
        <v>436</v>
      </c>
      <c r="C331" s="5" t="s">
        <v>13</v>
      </c>
      <c r="D331" s="5" t="s">
        <v>14</v>
      </c>
      <c r="E331" s="6">
        <v>45663.55</v>
      </c>
      <c r="F331" s="7" t="s">
        <v>15</v>
      </c>
      <c r="G331" s="5" t="s">
        <v>24</v>
      </c>
      <c r="K331" s="2" t="s">
        <v>18</v>
      </c>
      <c r="L331" s="2"/>
    </row>
    <row r="332">
      <c r="A332" s="1" t="s">
        <v>437</v>
      </c>
      <c r="B332" s="1" t="s">
        <v>437</v>
      </c>
      <c r="C332" s="5" t="s">
        <v>349</v>
      </c>
      <c r="D332" s="5" t="s">
        <v>350</v>
      </c>
      <c r="E332" s="6">
        <v>45664.37152777778</v>
      </c>
      <c r="F332" s="7" t="s">
        <v>351</v>
      </c>
      <c r="G332" s="5" t="s">
        <v>16</v>
      </c>
      <c r="K332" s="2" t="s">
        <v>18</v>
      </c>
      <c r="L332" s="2"/>
    </row>
    <row r="333">
      <c r="A333" s="1" t="s">
        <v>438</v>
      </c>
      <c r="B333" s="1" t="s">
        <v>438</v>
      </c>
      <c r="C333" s="5" t="s">
        <v>349</v>
      </c>
      <c r="D333" s="5" t="s">
        <v>350</v>
      </c>
      <c r="E333" s="6">
        <v>45664.68472222222</v>
      </c>
      <c r="F333" s="7" t="s">
        <v>351</v>
      </c>
      <c r="G333" s="5" t="s">
        <v>24</v>
      </c>
      <c r="K333" s="2" t="s">
        <v>18</v>
      </c>
      <c r="L333" s="2"/>
    </row>
    <row r="334">
      <c r="A334" s="1" t="s">
        <v>439</v>
      </c>
      <c r="B334" s="1" t="s">
        <v>439</v>
      </c>
      <c r="C334" s="5" t="s">
        <v>114</v>
      </c>
      <c r="D334" s="5" t="s">
        <v>115</v>
      </c>
      <c r="E334" s="6">
        <v>45664.68611111111</v>
      </c>
      <c r="F334" s="7" t="s">
        <v>116</v>
      </c>
      <c r="G334" s="5" t="s">
        <v>24</v>
      </c>
      <c r="K334" s="2" t="s">
        <v>18</v>
      </c>
      <c r="L334" s="2"/>
    </row>
    <row r="335">
      <c r="A335" s="1" t="s">
        <v>440</v>
      </c>
      <c r="B335" s="1" t="s">
        <v>440</v>
      </c>
      <c r="C335" s="5" t="s">
        <v>441</v>
      </c>
      <c r="D335" s="5" t="s">
        <v>442</v>
      </c>
      <c r="E335" s="6">
        <v>45666.375</v>
      </c>
      <c r="F335" s="7" t="s">
        <v>443</v>
      </c>
      <c r="G335" s="5" t="s">
        <v>16</v>
      </c>
      <c r="K335" s="2" t="s">
        <v>18</v>
      </c>
      <c r="L335" s="2"/>
    </row>
    <row r="336">
      <c r="A336" s="1" t="s">
        <v>444</v>
      </c>
      <c r="B336" s="1" t="s">
        <v>444</v>
      </c>
      <c r="C336" s="5" t="s">
        <v>131</v>
      </c>
      <c r="D336" s="5" t="s">
        <v>132</v>
      </c>
      <c r="E336" s="6">
        <v>45666.51111111111</v>
      </c>
      <c r="F336" s="7" t="s">
        <v>133</v>
      </c>
      <c r="G336" s="5" t="s">
        <v>16</v>
      </c>
      <c r="K336" s="2" t="s">
        <v>18</v>
      </c>
      <c r="L336" s="2"/>
    </row>
    <row r="337">
      <c r="A337" s="1" t="s">
        <v>445</v>
      </c>
      <c r="B337" s="1" t="s">
        <v>445</v>
      </c>
      <c r="C337" s="5" t="s">
        <v>309</v>
      </c>
      <c r="D337" s="5" t="s">
        <v>310</v>
      </c>
      <c r="E337" s="6">
        <v>45667.42569444445</v>
      </c>
      <c r="F337" s="7" t="s">
        <v>311</v>
      </c>
      <c r="G337" s="5" t="s">
        <v>16</v>
      </c>
      <c r="K337" s="2" t="s">
        <v>18</v>
      </c>
      <c r="L337" s="2"/>
    </row>
    <row r="338">
      <c r="A338" s="1" t="s">
        <v>446</v>
      </c>
      <c r="B338" s="1" t="s">
        <v>446</v>
      </c>
      <c r="C338" s="5" t="s">
        <v>109</v>
      </c>
      <c r="D338" s="5" t="s">
        <v>110</v>
      </c>
      <c r="E338" s="6">
        <v>45667.606944444444</v>
      </c>
      <c r="F338" s="7" t="s">
        <v>111</v>
      </c>
      <c r="G338" s="5" t="s">
        <v>16</v>
      </c>
      <c r="K338" s="2" t="s">
        <v>18</v>
      </c>
      <c r="L338" s="2"/>
    </row>
    <row r="339">
      <c r="A339" s="1" t="s">
        <v>447</v>
      </c>
      <c r="B339" s="1" t="s">
        <v>447</v>
      </c>
      <c r="C339" s="5" t="s">
        <v>349</v>
      </c>
      <c r="D339" s="5" t="s">
        <v>350</v>
      </c>
      <c r="E339" s="6">
        <v>45668.48958333333</v>
      </c>
      <c r="F339" s="7" t="s">
        <v>351</v>
      </c>
      <c r="G339" s="5" t="s">
        <v>16</v>
      </c>
      <c r="K339" s="2" t="s">
        <v>18</v>
      </c>
      <c r="L339" s="2"/>
    </row>
    <row r="340">
      <c r="A340" s="1" t="s">
        <v>448</v>
      </c>
      <c r="B340" s="1" t="s">
        <v>448</v>
      </c>
      <c r="C340" s="5" t="s">
        <v>45</v>
      </c>
      <c r="D340" s="5" t="s">
        <v>46</v>
      </c>
      <c r="E340" s="6">
        <v>45670.36666666667</v>
      </c>
      <c r="F340" s="7" t="s">
        <v>47</v>
      </c>
      <c r="G340" s="5" t="s">
        <v>16</v>
      </c>
      <c r="I340" s="2" t="s">
        <v>17</v>
      </c>
      <c r="J340" s="2"/>
      <c r="K340" s="2" t="s">
        <v>18</v>
      </c>
      <c r="L340" s="2"/>
    </row>
    <row r="341">
      <c r="A341" s="1" t="s">
        <v>449</v>
      </c>
      <c r="B341" s="1" t="s">
        <v>449</v>
      </c>
      <c r="C341" s="5" t="s">
        <v>397</v>
      </c>
      <c r="D341" s="5" t="s">
        <v>398</v>
      </c>
      <c r="E341" s="6">
        <v>45670.367361111115</v>
      </c>
      <c r="F341" s="7" t="s">
        <v>399</v>
      </c>
      <c r="G341" s="5" t="s">
        <v>16</v>
      </c>
      <c r="K341" s="2" t="s">
        <v>18</v>
      </c>
      <c r="L341" s="2"/>
    </row>
    <row r="342">
      <c r="A342" s="1" t="s">
        <v>450</v>
      </c>
      <c r="B342" s="1" t="s">
        <v>450</v>
      </c>
      <c r="C342" s="5" t="s">
        <v>126</v>
      </c>
      <c r="D342" s="5" t="s">
        <v>127</v>
      </c>
      <c r="E342" s="6">
        <v>45665.43472222222</v>
      </c>
      <c r="F342" s="7" t="s">
        <v>128</v>
      </c>
      <c r="G342" s="5" t="s">
        <v>24</v>
      </c>
      <c r="K342" s="2" t="s">
        <v>18</v>
      </c>
      <c r="L342" s="2"/>
    </row>
    <row r="343">
      <c r="A343" s="1" t="s">
        <v>451</v>
      </c>
      <c r="B343" s="1" t="s">
        <v>451</v>
      </c>
      <c r="C343" s="5" t="s">
        <v>305</v>
      </c>
      <c r="D343" s="5" t="s">
        <v>306</v>
      </c>
      <c r="E343" s="6">
        <v>45665.43472222222</v>
      </c>
      <c r="F343" s="7" t="s">
        <v>307</v>
      </c>
      <c r="G343" s="5" t="s">
        <v>24</v>
      </c>
      <c r="K343" s="2" t="s">
        <v>18</v>
      </c>
      <c r="L343" s="2"/>
    </row>
    <row r="344">
      <c r="A344" s="1" t="s">
        <v>452</v>
      </c>
      <c r="B344" s="1" t="s">
        <v>452</v>
      </c>
      <c r="C344" s="5" t="s">
        <v>131</v>
      </c>
      <c r="D344" s="5" t="s">
        <v>132</v>
      </c>
      <c r="E344" s="6">
        <v>45666.43541666667</v>
      </c>
      <c r="F344" s="7" t="s">
        <v>133</v>
      </c>
      <c r="G344" s="5" t="s">
        <v>24</v>
      </c>
      <c r="K344" s="2" t="s">
        <v>18</v>
      </c>
      <c r="L344" s="2"/>
    </row>
    <row r="345">
      <c r="A345" s="1" t="s">
        <v>453</v>
      </c>
      <c r="B345" s="1" t="s">
        <v>453</v>
      </c>
      <c r="C345" s="5" t="s">
        <v>309</v>
      </c>
      <c r="D345" s="5" t="s">
        <v>310</v>
      </c>
      <c r="E345" s="6">
        <v>45667.4375</v>
      </c>
      <c r="F345" s="7" t="s">
        <v>311</v>
      </c>
      <c r="G345" s="5" t="s">
        <v>24</v>
      </c>
      <c r="K345" s="2" t="s">
        <v>18</v>
      </c>
      <c r="L345" s="2"/>
    </row>
    <row r="346">
      <c r="A346" s="1" t="s">
        <v>454</v>
      </c>
      <c r="B346" s="1" t="s">
        <v>454</v>
      </c>
      <c r="C346" s="5" t="s">
        <v>109</v>
      </c>
      <c r="D346" s="5" t="s">
        <v>110</v>
      </c>
      <c r="E346" s="6">
        <v>45667.43819444445</v>
      </c>
      <c r="F346" s="7" t="s">
        <v>111</v>
      </c>
      <c r="G346" s="5" t="s">
        <v>24</v>
      </c>
      <c r="K346" s="2" t="s">
        <v>18</v>
      </c>
      <c r="L346" s="2"/>
    </row>
    <row r="347">
      <c r="A347" s="1" t="s">
        <v>455</v>
      </c>
      <c r="B347" s="1" t="s">
        <v>455</v>
      </c>
      <c r="C347" s="5" t="s">
        <v>149</v>
      </c>
      <c r="D347" s="5" t="s">
        <v>150</v>
      </c>
      <c r="E347" s="6">
        <v>45668.44236111111</v>
      </c>
      <c r="F347" s="7" t="s">
        <v>151</v>
      </c>
      <c r="G347" s="5" t="s">
        <v>24</v>
      </c>
      <c r="K347" s="2" t="s">
        <v>18</v>
      </c>
      <c r="L347" s="2"/>
    </row>
    <row r="348">
      <c r="A348" s="1" t="s">
        <v>456</v>
      </c>
      <c r="B348" s="1" t="s">
        <v>456</v>
      </c>
      <c r="C348" s="5" t="s">
        <v>349</v>
      </c>
      <c r="D348" s="5" t="s">
        <v>350</v>
      </c>
      <c r="E348" s="6">
        <v>45668.44236111111</v>
      </c>
      <c r="F348" s="7" t="s">
        <v>351</v>
      </c>
      <c r="G348" s="5" t="s">
        <v>24</v>
      </c>
      <c r="K348" s="2" t="s">
        <v>18</v>
      </c>
      <c r="L348" s="2"/>
    </row>
    <row r="349">
      <c r="A349" s="1" t="s">
        <v>457</v>
      </c>
      <c r="B349" s="1" t="s">
        <v>457</v>
      </c>
      <c r="C349" s="5" t="s">
        <v>458</v>
      </c>
      <c r="D349" s="5" t="s">
        <v>459</v>
      </c>
      <c r="E349" s="6">
        <v>45670.48611111111</v>
      </c>
      <c r="F349" s="7"/>
      <c r="G349" s="5" t="s">
        <v>16</v>
      </c>
      <c r="K349" s="2" t="s">
        <v>18</v>
      </c>
      <c r="L349" s="2"/>
    </row>
    <row r="350">
      <c r="A350" s="1" t="s">
        <v>460</v>
      </c>
      <c r="B350" s="1" t="s">
        <v>460</v>
      </c>
      <c r="C350" s="5" t="s">
        <v>13</v>
      </c>
      <c r="D350" s="5" t="s">
        <v>14</v>
      </c>
      <c r="E350" s="6">
        <v>45670.513194444444</v>
      </c>
      <c r="F350" s="7" t="s">
        <v>15</v>
      </c>
      <c r="G350" s="5" t="s">
        <v>24</v>
      </c>
      <c r="K350" s="2" t="s">
        <v>18</v>
      </c>
      <c r="L350" s="2"/>
    </row>
    <row r="351">
      <c r="A351" s="1" t="s">
        <v>461</v>
      </c>
      <c r="B351" s="1" t="s">
        <v>461</v>
      </c>
      <c r="C351" s="5" t="s">
        <v>458</v>
      </c>
      <c r="D351" s="5" t="s">
        <v>459</v>
      </c>
      <c r="E351" s="6">
        <v>45670.51736111111</v>
      </c>
      <c r="F351" s="7"/>
      <c r="G351" s="5" t="s">
        <v>24</v>
      </c>
      <c r="K351" s="2" t="s">
        <v>18</v>
      </c>
      <c r="L351" s="2"/>
    </row>
    <row r="352">
      <c r="A352" s="1" t="s">
        <v>462</v>
      </c>
      <c r="B352" s="1" t="s">
        <v>462</v>
      </c>
      <c r="C352" s="5" t="s">
        <v>397</v>
      </c>
      <c r="D352" s="5" t="s">
        <v>398</v>
      </c>
      <c r="E352" s="6">
        <v>45670.52222222222</v>
      </c>
      <c r="F352" s="7" t="s">
        <v>399</v>
      </c>
      <c r="G352" s="5" t="s">
        <v>24</v>
      </c>
      <c r="K352" s="2" t="s">
        <v>18</v>
      </c>
      <c r="L352" s="2"/>
    </row>
    <row r="353">
      <c r="A353" s="1" t="s">
        <v>463</v>
      </c>
      <c r="B353" s="1" t="s">
        <v>463</v>
      </c>
      <c r="C353" s="5" t="s">
        <v>464</v>
      </c>
      <c r="D353" s="5" t="s">
        <v>465</v>
      </c>
      <c r="E353" s="6">
        <v>45671.35972222222</v>
      </c>
      <c r="F353" s="7" t="s">
        <v>466</v>
      </c>
      <c r="G353" s="5" t="s">
        <v>16</v>
      </c>
      <c r="I353" s="2" t="s">
        <v>17</v>
      </c>
      <c r="K353" s="2" t="s">
        <v>18</v>
      </c>
      <c r="L353" s="2"/>
    </row>
    <row r="354">
      <c r="A354" s="1" t="s">
        <v>467</v>
      </c>
      <c r="B354" s="1" t="s">
        <v>467</v>
      </c>
      <c r="C354" s="5" t="s">
        <v>305</v>
      </c>
      <c r="D354" s="5" t="s">
        <v>306</v>
      </c>
      <c r="E354" s="6">
        <v>45671.493055555555</v>
      </c>
      <c r="F354" s="7" t="s">
        <v>307</v>
      </c>
      <c r="G354" s="5" t="s">
        <v>24</v>
      </c>
      <c r="K354" s="2" t="s">
        <v>18</v>
      </c>
      <c r="L354" s="2"/>
    </row>
    <row r="355">
      <c r="A355" s="1" t="s">
        <v>468</v>
      </c>
      <c r="B355" s="1" t="s">
        <v>468</v>
      </c>
      <c r="C355" s="5" t="s">
        <v>28</v>
      </c>
      <c r="D355" s="5" t="s">
        <v>29</v>
      </c>
      <c r="E355" s="6">
        <v>45671.49375</v>
      </c>
      <c r="F355" s="7" t="s">
        <v>30</v>
      </c>
      <c r="G355" s="5" t="s">
        <v>24</v>
      </c>
      <c r="K355" s="2" t="s">
        <v>18</v>
      </c>
      <c r="L355" s="2"/>
    </row>
    <row r="356">
      <c r="A356" s="1" t="s">
        <v>469</v>
      </c>
      <c r="B356" s="1" t="s">
        <v>469</v>
      </c>
      <c r="C356" s="5" t="s">
        <v>309</v>
      </c>
      <c r="D356" s="5" t="s">
        <v>310</v>
      </c>
      <c r="E356" s="6">
        <v>45672.35972222222</v>
      </c>
      <c r="F356" s="7" t="s">
        <v>311</v>
      </c>
      <c r="G356" s="5" t="s">
        <v>16</v>
      </c>
      <c r="K356" s="2" t="s">
        <v>18</v>
      </c>
      <c r="L356" s="2"/>
    </row>
    <row r="357">
      <c r="A357" s="1" t="s">
        <v>470</v>
      </c>
      <c r="B357" s="1" t="s">
        <v>470</v>
      </c>
      <c r="C357" s="5" t="s">
        <v>114</v>
      </c>
      <c r="D357" s="5" t="s">
        <v>115</v>
      </c>
      <c r="E357" s="6">
        <v>45672.50138888889</v>
      </c>
      <c r="F357" s="7" t="s">
        <v>116</v>
      </c>
      <c r="G357" s="5" t="s">
        <v>24</v>
      </c>
      <c r="K357" s="2" t="s">
        <v>18</v>
      </c>
      <c r="L357" s="2"/>
    </row>
    <row r="358">
      <c r="A358" s="1" t="s">
        <v>471</v>
      </c>
      <c r="B358" s="1" t="s">
        <v>471</v>
      </c>
      <c r="C358" s="5" t="s">
        <v>309</v>
      </c>
      <c r="D358" s="5" t="s">
        <v>310</v>
      </c>
      <c r="E358" s="6">
        <v>45672.50277777778</v>
      </c>
      <c r="F358" s="7" t="s">
        <v>311</v>
      </c>
      <c r="G358" s="5" t="s">
        <v>24</v>
      </c>
      <c r="K358" s="2" t="s">
        <v>18</v>
      </c>
      <c r="L358" s="2"/>
    </row>
    <row r="359">
      <c r="A359" s="1" t="s">
        <v>472</v>
      </c>
      <c r="B359" s="1" t="s">
        <v>472</v>
      </c>
      <c r="C359" s="5" t="s">
        <v>213</v>
      </c>
      <c r="D359" s="5" t="s">
        <v>214</v>
      </c>
      <c r="E359" s="6">
        <v>45672.50555555556</v>
      </c>
      <c r="F359" s="7" t="s">
        <v>215</v>
      </c>
      <c r="G359" s="5" t="s">
        <v>24</v>
      </c>
      <c r="K359" s="2" t="s">
        <v>18</v>
      </c>
      <c r="L359" s="2"/>
    </row>
    <row r="360">
      <c r="A360" s="1" t="s">
        <v>473</v>
      </c>
      <c r="B360" s="1" t="s">
        <v>473</v>
      </c>
      <c r="C360" s="5" t="s">
        <v>45</v>
      </c>
      <c r="D360" s="5" t="s">
        <v>46</v>
      </c>
      <c r="E360" s="6">
        <v>45672.51944444445</v>
      </c>
      <c r="F360" s="7" t="s">
        <v>47</v>
      </c>
      <c r="G360" s="5" t="s">
        <v>16</v>
      </c>
      <c r="I360" s="2" t="s">
        <v>17</v>
      </c>
      <c r="J360" s="2"/>
      <c r="K360" s="2" t="s">
        <v>18</v>
      </c>
      <c r="L360" s="2"/>
    </row>
    <row r="361">
      <c r="A361" s="1" t="s">
        <v>474</v>
      </c>
      <c r="B361" s="1" t="s">
        <v>474</v>
      </c>
      <c r="C361" s="5" t="s">
        <v>349</v>
      </c>
      <c r="D361" s="5" t="s">
        <v>350</v>
      </c>
      <c r="E361" s="6">
        <v>45673.34444444445</v>
      </c>
      <c r="F361" s="7" t="s">
        <v>351</v>
      </c>
      <c r="G361" s="5" t="s">
        <v>16</v>
      </c>
      <c r="K361" s="2" t="s">
        <v>18</v>
      </c>
      <c r="L361" s="2"/>
    </row>
    <row r="362">
      <c r="A362" s="1" t="s">
        <v>475</v>
      </c>
      <c r="B362" s="1" t="s">
        <v>475</v>
      </c>
      <c r="C362" s="5" t="s">
        <v>45</v>
      </c>
      <c r="D362" s="5" t="s">
        <v>46</v>
      </c>
      <c r="E362" s="6">
        <v>45672.652083333334</v>
      </c>
      <c r="F362" s="7" t="s">
        <v>47</v>
      </c>
      <c r="G362" s="5" t="s">
        <v>24</v>
      </c>
      <c r="K362" s="2" t="s">
        <v>18</v>
      </c>
      <c r="L362" s="2"/>
    </row>
    <row r="363">
      <c r="A363" s="1" t="s">
        <v>476</v>
      </c>
      <c r="B363" s="1" t="s">
        <v>476</v>
      </c>
      <c r="C363" s="5" t="s">
        <v>383</v>
      </c>
      <c r="D363" s="5" t="s">
        <v>384</v>
      </c>
      <c r="E363" s="6">
        <v>45672.67222222222</v>
      </c>
      <c r="F363" s="7" t="s">
        <v>385</v>
      </c>
      <c r="G363" s="5" t="s">
        <v>16</v>
      </c>
      <c r="K363" s="2" t="s">
        <v>18</v>
      </c>
      <c r="L363" s="2"/>
    </row>
    <row r="364">
      <c r="A364" s="1" t="s">
        <v>477</v>
      </c>
      <c r="B364" s="1" t="s">
        <v>477</v>
      </c>
      <c r="C364" s="5" t="s">
        <v>326</v>
      </c>
      <c r="D364" s="5" t="s">
        <v>327</v>
      </c>
      <c r="E364" s="6">
        <v>45674.33541666667</v>
      </c>
      <c r="F364" s="7" t="s">
        <v>328</v>
      </c>
      <c r="G364" s="5" t="s">
        <v>16</v>
      </c>
      <c r="K364" s="2" t="s">
        <v>18</v>
      </c>
      <c r="L364" s="2"/>
    </row>
    <row r="365">
      <c r="A365" s="1" t="s">
        <v>478</v>
      </c>
      <c r="B365" s="1" t="s">
        <v>478</v>
      </c>
      <c r="C365" s="5" t="s">
        <v>45</v>
      </c>
      <c r="D365" s="5" t="s">
        <v>46</v>
      </c>
      <c r="E365" s="6">
        <v>45673.69930555555</v>
      </c>
      <c r="F365" s="7" t="s">
        <v>47</v>
      </c>
      <c r="G365" s="5" t="s">
        <v>16</v>
      </c>
      <c r="I365" s="2" t="s">
        <v>17</v>
      </c>
      <c r="J365" s="2"/>
      <c r="K365" s="2" t="s">
        <v>18</v>
      </c>
      <c r="L365" s="2"/>
    </row>
    <row r="366">
      <c r="A366" s="1" t="s">
        <v>479</v>
      </c>
      <c r="B366" s="1" t="s">
        <v>479</v>
      </c>
      <c r="C366" s="5" t="s">
        <v>126</v>
      </c>
      <c r="D366" s="5" t="s">
        <v>127</v>
      </c>
      <c r="E366" s="6">
        <v>45673.70347222222</v>
      </c>
      <c r="F366" s="7" t="s">
        <v>128</v>
      </c>
      <c r="G366" s="5" t="s">
        <v>24</v>
      </c>
      <c r="K366" s="2" t="s">
        <v>18</v>
      </c>
      <c r="L366" s="2"/>
    </row>
    <row r="367">
      <c r="A367" s="1" t="s">
        <v>480</v>
      </c>
      <c r="B367" s="1" t="s">
        <v>480</v>
      </c>
      <c r="C367" s="5" t="s">
        <v>349</v>
      </c>
      <c r="D367" s="5" t="s">
        <v>350</v>
      </c>
      <c r="E367" s="6">
        <v>45673.70347222222</v>
      </c>
      <c r="F367" s="7" t="s">
        <v>351</v>
      </c>
      <c r="G367" s="5" t="s">
        <v>24</v>
      </c>
      <c r="K367" s="2" t="s">
        <v>18</v>
      </c>
      <c r="L367" s="2"/>
    </row>
    <row r="368">
      <c r="A368" s="1" t="s">
        <v>481</v>
      </c>
      <c r="B368" s="1" t="s">
        <v>481</v>
      </c>
      <c r="C368" s="5" t="s">
        <v>326</v>
      </c>
      <c r="D368" s="5" t="s">
        <v>327</v>
      </c>
      <c r="E368" s="6">
        <v>45674.52013888889</v>
      </c>
      <c r="F368" s="7" t="s">
        <v>328</v>
      </c>
      <c r="G368" s="5" t="s">
        <v>24</v>
      </c>
      <c r="K368" s="2" t="s">
        <v>18</v>
      </c>
      <c r="L368" s="2"/>
    </row>
    <row r="369">
      <c r="A369" s="1" t="s">
        <v>482</v>
      </c>
      <c r="B369" s="1" t="s">
        <v>482</v>
      </c>
      <c r="C369" s="5" t="s">
        <v>13</v>
      </c>
      <c r="D369" s="5" t="s">
        <v>14</v>
      </c>
      <c r="E369" s="6">
        <v>45674.52083333333</v>
      </c>
      <c r="F369" s="7" t="s">
        <v>15</v>
      </c>
      <c r="G369" s="5" t="s">
        <v>24</v>
      </c>
      <c r="K369" s="2" t="s">
        <v>18</v>
      </c>
      <c r="L369" s="2"/>
    </row>
    <row r="370">
      <c r="A370" s="1" t="s">
        <v>483</v>
      </c>
      <c r="B370" s="1" t="s">
        <v>483</v>
      </c>
      <c r="C370" s="5" t="s">
        <v>305</v>
      </c>
      <c r="D370" s="5" t="s">
        <v>306</v>
      </c>
      <c r="E370" s="6">
        <v>45675.47708333333</v>
      </c>
      <c r="F370" s="7" t="s">
        <v>307</v>
      </c>
      <c r="G370" s="5" t="s">
        <v>24</v>
      </c>
      <c r="K370" s="2" t="s">
        <v>18</v>
      </c>
      <c r="L370" s="2"/>
    </row>
    <row r="371">
      <c r="A371" s="1" t="s">
        <v>484</v>
      </c>
      <c r="B371" s="1" t="s">
        <v>484</v>
      </c>
      <c r="C371" s="5" t="s">
        <v>213</v>
      </c>
      <c r="D371" s="5" t="s">
        <v>214</v>
      </c>
      <c r="E371" s="6">
        <v>45677.34513888889</v>
      </c>
      <c r="F371" s="7" t="s">
        <v>215</v>
      </c>
      <c r="G371" s="5" t="s">
        <v>16</v>
      </c>
      <c r="I371" s="2" t="s">
        <v>17</v>
      </c>
      <c r="K371" s="2" t="s">
        <v>18</v>
      </c>
      <c r="L371" s="2"/>
    </row>
    <row r="372">
      <c r="A372" s="1" t="s">
        <v>485</v>
      </c>
      <c r="B372" s="1" t="s">
        <v>485</v>
      </c>
      <c r="C372" s="5" t="s">
        <v>213</v>
      </c>
      <c r="D372" s="5" t="s">
        <v>214</v>
      </c>
      <c r="E372" s="6">
        <v>45677.663194444445</v>
      </c>
      <c r="F372" s="7" t="s">
        <v>215</v>
      </c>
      <c r="G372" s="5" t="s">
        <v>24</v>
      </c>
      <c r="K372" s="2" t="s">
        <v>18</v>
      </c>
      <c r="L372" s="2"/>
    </row>
    <row r="373">
      <c r="A373" s="1" t="s">
        <v>486</v>
      </c>
      <c r="B373" s="1" t="s">
        <v>486</v>
      </c>
      <c r="C373" s="5" t="s">
        <v>114</v>
      </c>
      <c r="D373" s="5" t="s">
        <v>115</v>
      </c>
      <c r="E373" s="6">
        <v>45677.66527777778</v>
      </c>
      <c r="F373" s="7" t="s">
        <v>116</v>
      </c>
      <c r="G373" s="5" t="s">
        <v>24</v>
      </c>
      <c r="K373" s="2" t="s">
        <v>18</v>
      </c>
      <c r="L373" s="2"/>
    </row>
    <row r="374">
      <c r="A374" s="1" t="s">
        <v>487</v>
      </c>
      <c r="B374" s="1" t="s">
        <v>487</v>
      </c>
      <c r="C374" s="5" t="s">
        <v>49</v>
      </c>
      <c r="D374" s="5" t="s">
        <v>50</v>
      </c>
      <c r="E374" s="6">
        <v>45678.493055555555</v>
      </c>
      <c r="F374" s="7" t="s">
        <v>51</v>
      </c>
      <c r="G374" s="5" t="s">
        <v>16</v>
      </c>
      <c r="K374" s="2" t="s">
        <v>18</v>
      </c>
      <c r="L374" s="2"/>
    </row>
    <row r="375">
      <c r="A375" s="1" t="s">
        <v>488</v>
      </c>
      <c r="B375" s="1" t="s">
        <v>488</v>
      </c>
      <c r="C375" s="5" t="s">
        <v>464</v>
      </c>
      <c r="D375" s="5" t="s">
        <v>465</v>
      </c>
      <c r="E375" s="6">
        <v>45678.56111111111</v>
      </c>
      <c r="F375" s="7" t="s">
        <v>466</v>
      </c>
      <c r="G375" s="5" t="s">
        <v>16</v>
      </c>
      <c r="I375" s="2" t="s">
        <v>17</v>
      </c>
      <c r="K375" s="2" t="s">
        <v>18</v>
      </c>
      <c r="L375" s="2"/>
    </row>
    <row r="376">
      <c r="A376" s="1" t="s">
        <v>489</v>
      </c>
      <c r="B376" s="1" t="s">
        <v>489</v>
      </c>
      <c r="C376" s="5" t="s">
        <v>464</v>
      </c>
      <c r="D376" s="5" t="s">
        <v>465</v>
      </c>
      <c r="E376" s="6">
        <v>45678.62013888889</v>
      </c>
      <c r="F376" s="7" t="s">
        <v>466</v>
      </c>
      <c r="G376" s="5" t="s">
        <v>24</v>
      </c>
      <c r="K376" s="2" t="s">
        <v>18</v>
      </c>
      <c r="L376" s="2"/>
    </row>
    <row r="377">
      <c r="A377" s="1" t="s">
        <v>490</v>
      </c>
      <c r="B377" s="1" t="s">
        <v>490</v>
      </c>
      <c r="C377" s="5" t="s">
        <v>49</v>
      </c>
      <c r="D377" s="5" t="s">
        <v>50</v>
      </c>
      <c r="E377" s="6">
        <v>45678.620833333334</v>
      </c>
      <c r="F377" s="7" t="s">
        <v>51</v>
      </c>
      <c r="G377" s="5" t="s">
        <v>24</v>
      </c>
      <c r="K377" s="2" t="s">
        <v>18</v>
      </c>
      <c r="L377" s="2"/>
    </row>
    <row r="378">
      <c r="A378" s="1" t="s">
        <v>491</v>
      </c>
      <c r="B378" s="1" t="s">
        <v>491</v>
      </c>
      <c r="C378" s="5" t="s">
        <v>349</v>
      </c>
      <c r="D378" s="5" t="s">
        <v>350</v>
      </c>
      <c r="E378" s="6">
        <v>45679.34027777778</v>
      </c>
      <c r="F378" s="7" t="s">
        <v>351</v>
      </c>
      <c r="G378" s="5" t="s">
        <v>16</v>
      </c>
      <c r="K378" s="2" t="s">
        <v>18</v>
      </c>
      <c r="L378" s="2"/>
    </row>
    <row r="379">
      <c r="A379" s="1" t="s">
        <v>492</v>
      </c>
      <c r="B379" s="1" t="s">
        <v>492</v>
      </c>
      <c r="C379" s="5" t="s">
        <v>493</v>
      </c>
      <c r="D379" s="5" t="s">
        <v>494</v>
      </c>
      <c r="E379" s="6">
        <v>45679.34166666667</v>
      </c>
      <c r="F379" s="7" t="s">
        <v>495</v>
      </c>
      <c r="G379" s="5" t="s">
        <v>16</v>
      </c>
      <c r="I379" s="2" t="s">
        <v>17</v>
      </c>
      <c r="K379" s="2" t="s">
        <v>18</v>
      </c>
      <c r="L379" s="2"/>
    </row>
    <row r="380">
      <c r="A380" s="1" t="s">
        <v>496</v>
      </c>
      <c r="B380" s="1" t="s">
        <v>496</v>
      </c>
      <c r="C380" s="5" t="s">
        <v>213</v>
      </c>
      <c r="D380" s="5" t="s">
        <v>214</v>
      </c>
      <c r="E380" s="6">
        <v>45679.3625</v>
      </c>
      <c r="F380" s="7" t="s">
        <v>215</v>
      </c>
      <c r="G380" s="5" t="s">
        <v>16</v>
      </c>
      <c r="I380" s="2" t="s">
        <v>17</v>
      </c>
      <c r="K380" s="2" t="s">
        <v>18</v>
      </c>
      <c r="L380" s="2"/>
    </row>
    <row r="381">
      <c r="A381" s="1" t="s">
        <v>497</v>
      </c>
      <c r="B381" s="1" t="s">
        <v>497</v>
      </c>
      <c r="C381" s="5" t="s">
        <v>213</v>
      </c>
      <c r="D381" s="5" t="s">
        <v>214</v>
      </c>
      <c r="E381" s="6">
        <v>45679.47222222222</v>
      </c>
      <c r="F381" s="7" t="s">
        <v>215</v>
      </c>
      <c r="G381" s="5" t="s">
        <v>24</v>
      </c>
      <c r="K381" s="2" t="s">
        <v>18</v>
      </c>
      <c r="L381" s="2"/>
    </row>
    <row r="382">
      <c r="A382" s="1" t="s">
        <v>498</v>
      </c>
      <c r="B382" s="1" t="s">
        <v>498</v>
      </c>
      <c r="C382" s="5" t="s">
        <v>493</v>
      </c>
      <c r="D382" s="5" t="s">
        <v>494</v>
      </c>
      <c r="E382" s="6">
        <v>45679.775</v>
      </c>
      <c r="F382" s="7" t="s">
        <v>495</v>
      </c>
      <c r="G382" s="5" t="s">
        <v>24</v>
      </c>
      <c r="K382" s="2" t="s">
        <v>18</v>
      </c>
      <c r="L382" s="2"/>
    </row>
    <row r="383">
      <c r="A383" s="1" t="s">
        <v>499</v>
      </c>
      <c r="B383" s="1" t="s">
        <v>499</v>
      </c>
      <c r="C383" s="5" t="s">
        <v>45</v>
      </c>
      <c r="D383" s="5" t="s">
        <v>46</v>
      </c>
      <c r="E383" s="6">
        <v>45680.393055555556</v>
      </c>
      <c r="F383" s="7" t="s">
        <v>47</v>
      </c>
      <c r="G383" s="5" t="s">
        <v>16</v>
      </c>
      <c r="I383" s="2" t="s">
        <v>17</v>
      </c>
      <c r="J383" s="2"/>
      <c r="K383" s="2" t="s">
        <v>18</v>
      </c>
      <c r="L383" s="2"/>
    </row>
    <row r="384">
      <c r="A384" s="1" t="s">
        <v>500</v>
      </c>
      <c r="B384" s="1" t="s">
        <v>500</v>
      </c>
      <c r="C384" s="5" t="s">
        <v>345</v>
      </c>
      <c r="D384" s="5" t="s">
        <v>346</v>
      </c>
      <c r="E384" s="6">
        <v>45680.40555555555</v>
      </c>
      <c r="F384" s="7" t="s">
        <v>347</v>
      </c>
      <c r="G384" s="5" t="s">
        <v>16</v>
      </c>
      <c r="K384" s="2" t="s">
        <v>18</v>
      </c>
      <c r="L384" s="2"/>
    </row>
    <row r="385">
      <c r="A385" s="1" t="s">
        <v>501</v>
      </c>
      <c r="B385" s="1" t="s">
        <v>501</v>
      </c>
      <c r="C385" s="5" t="s">
        <v>45</v>
      </c>
      <c r="D385" s="5" t="s">
        <v>46</v>
      </c>
      <c r="E385" s="6">
        <v>45680.50555555556</v>
      </c>
      <c r="F385" s="7" t="s">
        <v>47</v>
      </c>
      <c r="G385" s="5" t="s">
        <v>24</v>
      </c>
      <c r="K385" s="2" t="s">
        <v>18</v>
      </c>
      <c r="L385" s="2"/>
    </row>
    <row r="386">
      <c r="A386" s="1" t="s">
        <v>502</v>
      </c>
      <c r="B386" s="1" t="s">
        <v>502</v>
      </c>
      <c r="C386" s="5" t="s">
        <v>326</v>
      </c>
      <c r="D386" s="5" t="s">
        <v>327</v>
      </c>
      <c r="E386" s="6">
        <v>45680.50555555556</v>
      </c>
      <c r="F386" s="7" t="s">
        <v>328</v>
      </c>
      <c r="G386" s="5" t="s">
        <v>24</v>
      </c>
      <c r="K386" s="2" t="s">
        <v>18</v>
      </c>
      <c r="L386" s="2"/>
    </row>
    <row r="387">
      <c r="A387" s="1" t="s">
        <v>503</v>
      </c>
      <c r="B387" s="1" t="s">
        <v>503</v>
      </c>
      <c r="C387" s="5" t="s">
        <v>345</v>
      </c>
      <c r="D387" s="5" t="s">
        <v>346</v>
      </c>
      <c r="E387" s="6">
        <v>45680.73402777778</v>
      </c>
      <c r="F387" s="7" t="s">
        <v>347</v>
      </c>
      <c r="G387" s="5" t="s">
        <v>24</v>
      </c>
      <c r="K387" s="2" t="s">
        <v>18</v>
      </c>
      <c r="L387" s="2"/>
    </row>
    <row r="388">
      <c r="A388" s="1" t="s">
        <v>504</v>
      </c>
      <c r="B388" s="1" t="s">
        <v>504</v>
      </c>
      <c r="C388" s="5" t="s">
        <v>505</v>
      </c>
      <c r="D388" s="5" t="s">
        <v>506</v>
      </c>
      <c r="E388" s="6">
        <v>45681.36944444444</v>
      </c>
      <c r="F388" s="7" t="s">
        <v>507</v>
      </c>
      <c r="G388" s="5" t="s">
        <v>16</v>
      </c>
      <c r="K388" s="2" t="s">
        <v>18</v>
      </c>
      <c r="L388" s="2"/>
    </row>
    <row r="389">
      <c r="A389" s="1" t="s">
        <v>508</v>
      </c>
      <c r="B389" s="1" t="s">
        <v>508</v>
      </c>
      <c r="C389" s="5" t="s">
        <v>213</v>
      </c>
      <c r="D389" s="5" t="s">
        <v>214</v>
      </c>
      <c r="E389" s="6">
        <v>45681.47986111111</v>
      </c>
      <c r="F389" s="7" t="s">
        <v>215</v>
      </c>
      <c r="G389" s="5" t="s">
        <v>16</v>
      </c>
      <c r="I389" s="2" t="s">
        <v>17</v>
      </c>
      <c r="K389" s="2" t="s">
        <v>18</v>
      </c>
      <c r="L389" s="2"/>
    </row>
    <row r="390">
      <c r="A390" s="1" t="s">
        <v>509</v>
      </c>
      <c r="B390" s="1" t="s">
        <v>509</v>
      </c>
      <c r="C390" s="5" t="s">
        <v>109</v>
      </c>
      <c r="D390" s="5" t="s">
        <v>110</v>
      </c>
      <c r="E390" s="6">
        <v>45681.60625</v>
      </c>
      <c r="F390" s="7" t="s">
        <v>111</v>
      </c>
      <c r="G390" s="5" t="s">
        <v>24</v>
      </c>
      <c r="K390" s="2" t="s">
        <v>18</v>
      </c>
      <c r="L390" s="2"/>
    </row>
    <row r="391">
      <c r="A391" s="1" t="s">
        <v>510</v>
      </c>
      <c r="B391" s="1" t="s">
        <v>510</v>
      </c>
      <c r="C391" s="5" t="s">
        <v>505</v>
      </c>
      <c r="D391" s="5" t="s">
        <v>506</v>
      </c>
      <c r="E391" s="6">
        <v>45681.60625</v>
      </c>
      <c r="F391" s="7" t="s">
        <v>507</v>
      </c>
      <c r="G391" s="5" t="s">
        <v>24</v>
      </c>
      <c r="K391" s="2" t="s">
        <v>18</v>
      </c>
      <c r="L391" s="2"/>
    </row>
    <row r="392">
      <c r="A392" s="1" t="s">
        <v>511</v>
      </c>
      <c r="B392" s="1" t="s">
        <v>511</v>
      </c>
      <c r="C392" s="5" t="s">
        <v>349</v>
      </c>
      <c r="D392" s="5" t="s">
        <v>350</v>
      </c>
      <c r="E392" s="6">
        <v>45682.35208333333</v>
      </c>
      <c r="F392" s="7" t="s">
        <v>351</v>
      </c>
      <c r="G392" s="5" t="s">
        <v>16</v>
      </c>
      <c r="K392" s="2" t="s">
        <v>18</v>
      </c>
      <c r="L392" s="2"/>
    </row>
    <row r="393">
      <c r="A393" s="1" t="s">
        <v>512</v>
      </c>
      <c r="B393" s="1" t="s">
        <v>512</v>
      </c>
      <c r="C393" s="5" t="s">
        <v>213</v>
      </c>
      <c r="D393" s="5" t="s">
        <v>214</v>
      </c>
      <c r="E393" s="6">
        <v>45681.67222222222</v>
      </c>
      <c r="F393" s="7" t="s">
        <v>215</v>
      </c>
      <c r="G393" s="5" t="s">
        <v>24</v>
      </c>
      <c r="K393" s="2" t="s">
        <v>18</v>
      </c>
      <c r="L393" s="2"/>
    </row>
    <row r="394">
      <c r="A394" s="1" t="s">
        <v>513</v>
      </c>
      <c r="B394" s="1" t="s">
        <v>513</v>
      </c>
      <c r="C394" s="5" t="s">
        <v>493</v>
      </c>
      <c r="D394" s="5" t="s">
        <v>494</v>
      </c>
      <c r="E394" s="6">
        <v>45682.3625</v>
      </c>
      <c r="F394" s="7" t="s">
        <v>495</v>
      </c>
      <c r="G394" s="5" t="s">
        <v>16</v>
      </c>
      <c r="I394" s="2" t="s">
        <v>17</v>
      </c>
      <c r="K394" s="2" t="s">
        <v>18</v>
      </c>
      <c r="L394" s="2"/>
    </row>
    <row r="395">
      <c r="A395" s="1" t="s">
        <v>514</v>
      </c>
      <c r="B395" s="1" t="s">
        <v>514</v>
      </c>
      <c r="C395" s="5" t="s">
        <v>464</v>
      </c>
      <c r="D395" s="5" t="s">
        <v>465</v>
      </c>
      <c r="E395" s="6">
        <v>45682.44305555556</v>
      </c>
      <c r="F395" s="7" t="s">
        <v>466</v>
      </c>
      <c r="G395" s="5" t="s">
        <v>16</v>
      </c>
      <c r="I395" s="2" t="s">
        <v>17</v>
      </c>
      <c r="K395" s="2" t="s">
        <v>18</v>
      </c>
      <c r="L395" s="2"/>
    </row>
    <row r="396">
      <c r="A396" s="1" t="s">
        <v>515</v>
      </c>
      <c r="B396" s="1" t="s">
        <v>515</v>
      </c>
      <c r="C396" s="5" t="s">
        <v>349</v>
      </c>
      <c r="D396" s="5" t="s">
        <v>350</v>
      </c>
      <c r="E396" s="6">
        <v>45682.695138888885</v>
      </c>
      <c r="F396" s="7" t="s">
        <v>351</v>
      </c>
      <c r="G396" s="5" t="s">
        <v>24</v>
      </c>
      <c r="K396" s="2" t="s">
        <v>18</v>
      </c>
      <c r="L396" s="2"/>
    </row>
    <row r="397">
      <c r="A397" s="1" t="s">
        <v>516</v>
      </c>
      <c r="B397" s="1" t="s">
        <v>516</v>
      </c>
      <c r="C397" s="5" t="s">
        <v>349</v>
      </c>
      <c r="D397" s="5" t="s">
        <v>350</v>
      </c>
      <c r="E397" s="6">
        <v>45685.34444444445</v>
      </c>
      <c r="F397" s="7" t="s">
        <v>351</v>
      </c>
      <c r="G397" s="5" t="s">
        <v>16</v>
      </c>
      <c r="K397" s="2" t="s">
        <v>18</v>
      </c>
      <c r="L397" s="2"/>
    </row>
    <row r="398">
      <c r="A398" s="1" t="s">
        <v>517</v>
      </c>
      <c r="B398" s="1" t="s">
        <v>517</v>
      </c>
      <c r="C398" s="5" t="s">
        <v>326</v>
      </c>
      <c r="D398" s="5" t="s">
        <v>327</v>
      </c>
      <c r="E398" s="6">
        <v>45685.60972222222</v>
      </c>
      <c r="F398" s="7" t="s">
        <v>328</v>
      </c>
      <c r="G398" s="5" t="s">
        <v>16</v>
      </c>
      <c r="K398" s="2" t="s">
        <v>18</v>
      </c>
      <c r="L398" s="2"/>
    </row>
    <row r="399">
      <c r="A399" s="1" t="s">
        <v>518</v>
      </c>
      <c r="B399" s="1" t="s">
        <v>518</v>
      </c>
      <c r="C399" s="5" t="s">
        <v>213</v>
      </c>
      <c r="D399" s="5" t="s">
        <v>214</v>
      </c>
      <c r="E399" s="6">
        <v>45685.62708333333</v>
      </c>
      <c r="F399" s="7" t="s">
        <v>215</v>
      </c>
      <c r="G399" s="5" t="s">
        <v>16</v>
      </c>
      <c r="I399" s="2" t="s">
        <v>17</v>
      </c>
      <c r="K399" s="2" t="s">
        <v>18</v>
      </c>
      <c r="L399" s="2"/>
    </row>
    <row r="400">
      <c r="A400" s="1" t="s">
        <v>519</v>
      </c>
      <c r="B400" s="1" t="s">
        <v>519</v>
      </c>
      <c r="C400" s="5" t="s">
        <v>213</v>
      </c>
      <c r="D400" s="5" t="s">
        <v>214</v>
      </c>
      <c r="E400" s="6">
        <v>45685.62777777778</v>
      </c>
      <c r="F400" s="7" t="s">
        <v>215</v>
      </c>
      <c r="G400" s="5" t="s">
        <v>159</v>
      </c>
      <c r="K400" s="2" t="s">
        <v>18</v>
      </c>
      <c r="L400" s="2"/>
    </row>
    <row r="401">
      <c r="A401" s="1" t="s">
        <v>520</v>
      </c>
      <c r="B401" s="1" t="s">
        <v>520</v>
      </c>
      <c r="C401" s="5" t="s">
        <v>13</v>
      </c>
      <c r="D401" s="5" t="s">
        <v>14</v>
      </c>
      <c r="E401" s="6">
        <v>45687.34236111111</v>
      </c>
      <c r="F401" s="7" t="s">
        <v>15</v>
      </c>
      <c r="G401" s="5" t="s">
        <v>16</v>
      </c>
      <c r="I401" s="2" t="s">
        <v>17</v>
      </c>
      <c r="K401" s="2" t="s">
        <v>18</v>
      </c>
      <c r="L401" s="2"/>
    </row>
    <row r="402">
      <c r="A402" s="1" t="s">
        <v>521</v>
      </c>
      <c r="B402" s="1" t="s">
        <v>521</v>
      </c>
      <c r="C402" s="5" t="s">
        <v>213</v>
      </c>
      <c r="D402" s="5" t="s">
        <v>214</v>
      </c>
      <c r="E402" s="6">
        <v>45685.46597222222</v>
      </c>
      <c r="F402" s="7" t="s">
        <v>215</v>
      </c>
      <c r="G402" s="5" t="s">
        <v>24</v>
      </c>
      <c r="K402" s="2" t="s">
        <v>18</v>
      </c>
      <c r="L402" s="2"/>
    </row>
    <row r="403">
      <c r="A403" s="1" t="s">
        <v>522</v>
      </c>
      <c r="B403" s="1" t="s">
        <v>522</v>
      </c>
      <c r="C403" s="5" t="s">
        <v>464</v>
      </c>
      <c r="D403" s="5" t="s">
        <v>465</v>
      </c>
      <c r="E403" s="6">
        <v>45682.46805555555</v>
      </c>
      <c r="F403" s="7" t="s">
        <v>466</v>
      </c>
      <c r="G403" s="5" t="s">
        <v>24</v>
      </c>
      <c r="K403" s="2" t="s">
        <v>18</v>
      </c>
      <c r="L403" s="2"/>
    </row>
    <row r="404">
      <c r="A404" s="1" t="s">
        <v>523</v>
      </c>
      <c r="B404" s="1" t="s">
        <v>523</v>
      </c>
      <c r="C404" s="5" t="s">
        <v>349</v>
      </c>
      <c r="D404" s="5" t="s">
        <v>350</v>
      </c>
      <c r="E404" s="6">
        <v>45685.47083333333</v>
      </c>
      <c r="F404" s="7" t="s">
        <v>351</v>
      </c>
      <c r="G404" s="5" t="s">
        <v>24</v>
      </c>
      <c r="K404" s="2" t="s">
        <v>18</v>
      </c>
      <c r="L404" s="2"/>
    </row>
    <row r="405">
      <c r="A405" s="1" t="s">
        <v>524</v>
      </c>
      <c r="B405" s="1" t="s">
        <v>524</v>
      </c>
      <c r="C405" s="5" t="s">
        <v>349</v>
      </c>
      <c r="D405" s="5" t="s">
        <v>350</v>
      </c>
      <c r="E405" s="6">
        <v>45679.47777777778</v>
      </c>
      <c r="F405" s="7" t="s">
        <v>351</v>
      </c>
      <c r="G405" s="5" t="s">
        <v>24</v>
      </c>
      <c r="K405" s="2" t="s">
        <v>18</v>
      </c>
      <c r="L405" s="2"/>
    </row>
    <row r="406">
      <c r="A406" s="1" t="s">
        <v>525</v>
      </c>
      <c r="B406" s="1" t="s">
        <v>525</v>
      </c>
      <c r="C406" s="5" t="s">
        <v>326</v>
      </c>
      <c r="D406" s="5" t="s">
        <v>327</v>
      </c>
      <c r="E406" s="6">
        <v>45687.49166666667</v>
      </c>
      <c r="F406" s="7" t="s">
        <v>328</v>
      </c>
      <c r="G406" s="5" t="s">
        <v>24</v>
      </c>
      <c r="K406" s="2" t="s">
        <v>18</v>
      </c>
      <c r="L406" s="2"/>
    </row>
    <row r="407">
      <c r="A407" s="1" t="s">
        <v>526</v>
      </c>
      <c r="B407" s="1" t="s">
        <v>526</v>
      </c>
      <c r="C407" s="5" t="s">
        <v>45</v>
      </c>
      <c r="D407" s="5" t="s">
        <v>46</v>
      </c>
      <c r="E407" s="6">
        <v>45687.5</v>
      </c>
      <c r="F407" s="7" t="s">
        <v>47</v>
      </c>
      <c r="G407" s="5" t="s">
        <v>16</v>
      </c>
      <c r="I407" s="2" t="s">
        <v>17</v>
      </c>
      <c r="J407" s="2"/>
      <c r="K407" s="2" t="s">
        <v>18</v>
      </c>
      <c r="L407" s="2"/>
    </row>
    <row r="408">
      <c r="A408" s="1" t="s">
        <v>527</v>
      </c>
      <c r="B408" s="1" t="s">
        <v>527</v>
      </c>
      <c r="C408" s="5" t="s">
        <v>149</v>
      </c>
      <c r="D408" s="5" t="s">
        <v>150</v>
      </c>
      <c r="E408" s="6">
        <v>45688.461111111115</v>
      </c>
      <c r="F408" s="7" t="s">
        <v>151</v>
      </c>
      <c r="G408" s="5" t="s">
        <v>24</v>
      </c>
      <c r="K408" s="2" t="s">
        <v>18</v>
      </c>
      <c r="L408" s="2"/>
    </row>
    <row r="409">
      <c r="A409" s="1" t="s">
        <v>528</v>
      </c>
      <c r="B409" s="1" t="s">
        <v>528</v>
      </c>
      <c r="C409" s="5" t="s">
        <v>213</v>
      </c>
      <c r="D409" s="5" t="s">
        <v>214</v>
      </c>
      <c r="E409" s="6">
        <v>45688.46666666667</v>
      </c>
      <c r="F409" s="7" t="s">
        <v>215</v>
      </c>
      <c r="G409" s="5" t="s">
        <v>24</v>
      </c>
      <c r="K409" s="2" t="s">
        <v>18</v>
      </c>
      <c r="L409" s="2"/>
    </row>
    <row r="410">
      <c r="A410" s="1" t="s">
        <v>529</v>
      </c>
      <c r="B410" s="1" t="s">
        <v>529</v>
      </c>
      <c r="C410" s="5" t="s">
        <v>114</v>
      </c>
      <c r="D410" s="5" t="s">
        <v>115</v>
      </c>
      <c r="E410" s="6">
        <v>45688.46736111111</v>
      </c>
      <c r="F410" s="7" t="s">
        <v>116</v>
      </c>
      <c r="G410" s="5" t="s">
        <v>24</v>
      </c>
      <c r="K410" s="2" t="s">
        <v>18</v>
      </c>
      <c r="L410" s="2"/>
    </row>
    <row r="411">
      <c r="A411" s="1" t="s">
        <v>530</v>
      </c>
      <c r="B411" s="1" t="s">
        <v>530</v>
      </c>
      <c r="C411" s="5" t="s">
        <v>213</v>
      </c>
      <c r="D411" s="5" t="s">
        <v>214</v>
      </c>
      <c r="E411" s="6">
        <v>45689.558333333334</v>
      </c>
      <c r="F411" s="7" t="s">
        <v>215</v>
      </c>
      <c r="G411" s="5" t="s">
        <v>16</v>
      </c>
      <c r="I411" s="2" t="s">
        <v>17</v>
      </c>
      <c r="K411" s="2" t="s">
        <v>18</v>
      </c>
      <c r="L411" s="2"/>
    </row>
    <row r="412">
      <c r="A412" s="1" t="s">
        <v>531</v>
      </c>
      <c r="B412" s="1" t="s">
        <v>531</v>
      </c>
      <c r="C412" s="5" t="s">
        <v>326</v>
      </c>
      <c r="D412" s="5" t="s">
        <v>327</v>
      </c>
      <c r="E412" s="6">
        <v>45689.57708333334</v>
      </c>
      <c r="F412" s="7" t="s">
        <v>328</v>
      </c>
      <c r="G412" s="5" t="s">
        <v>24</v>
      </c>
      <c r="K412" s="2" t="s">
        <v>18</v>
      </c>
      <c r="L412" s="2"/>
    </row>
    <row r="413">
      <c r="A413" s="1" t="s">
        <v>532</v>
      </c>
      <c r="B413" s="1" t="s">
        <v>532</v>
      </c>
      <c r="C413" s="5" t="s">
        <v>213</v>
      </c>
      <c r="D413" s="5" t="s">
        <v>214</v>
      </c>
      <c r="E413" s="6">
        <v>45689.67569444445</v>
      </c>
      <c r="F413" s="7" t="s">
        <v>215</v>
      </c>
      <c r="G413" s="5" t="s">
        <v>24</v>
      </c>
      <c r="K413" s="2" t="s">
        <v>18</v>
      </c>
      <c r="L413" s="2"/>
    </row>
    <row r="414">
      <c r="A414" s="1" t="s">
        <v>533</v>
      </c>
      <c r="B414" s="1" t="s">
        <v>533</v>
      </c>
      <c r="C414" s="5" t="s">
        <v>149</v>
      </c>
      <c r="D414" s="5" t="s">
        <v>150</v>
      </c>
      <c r="E414" s="6">
        <v>45691.45486111111</v>
      </c>
      <c r="F414" s="7" t="s">
        <v>151</v>
      </c>
      <c r="G414" s="5" t="s">
        <v>24</v>
      </c>
      <c r="K414" s="2" t="s">
        <v>18</v>
      </c>
      <c r="L414" s="2"/>
    </row>
    <row r="415">
      <c r="A415" s="1" t="s">
        <v>534</v>
      </c>
      <c r="B415" s="1" t="s">
        <v>534</v>
      </c>
      <c r="C415" s="5" t="s">
        <v>109</v>
      </c>
      <c r="D415" s="5" t="s">
        <v>110</v>
      </c>
      <c r="E415" s="6">
        <v>45691.46666666667</v>
      </c>
      <c r="F415" s="7" t="s">
        <v>111</v>
      </c>
      <c r="G415" s="5" t="s">
        <v>24</v>
      </c>
      <c r="K415" s="2" t="s">
        <v>18</v>
      </c>
      <c r="L415" s="2"/>
    </row>
    <row r="416">
      <c r="A416" s="1" t="s">
        <v>535</v>
      </c>
      <c r="B416" s="1" t="s">
        <v>535</v>
      </c>
      <c r="C416" s="5" t="s">
        <v>320</v>
      </c>
      <c r="D416" s="5" t="s">
        <v>321</v>
      </c>
      <c r="E416" s="6">
        <v>45691.46944444445</v>
      </c>
      <c r="F416" s="7" t="s">
        <v>322</v>
      </c>
      <c r="G416" s="5" t="s">
        <v>24</v>
      </c>
      <c r="K416" s="2" t="s">
        <v>18</v>
      </c>
      <c r="L416" s="2"/>
    </row>
    <row r="417">
      <c r="A417" s="1" t="s">
        <v>536</v>
      </c>
      <c r="B417" s="1" t="s">
        <v>536</v>
      </c>
      <c r="C417" s="5" t="s">
        <v>309</v>
      </c>
      <c r="D417" s="5" t="s">
        <v>310</v>
      </c>
      <c r="E417" s="6">
        <v>45692.35833333334</v>
      </c>
      <c r="F417" s="7" t="s">
        <v>311</v>
      </c>
      <c r="G417" s="5" t="s">
        <v>159</v>
      </c>
      <c r="K417" s="2" t="s">
        <v>18</v>
      </c>
      <c r="L417" s="2"/>
    </row>
    <row r="418">
      <c r="A418" s="1" t="s">
        <v>537</v>
      </c>
      <c r="B418" s="1" t="s">
        <v>537</v>
      </c>
      <c r="C418" s="5" t="s">
        <v>309</v>
      </c>
      <c r="D418" s="5" t="s">
        <v>310</v>
      </c>
      <c r="E418" s="6">
        <v>45692.35833333334</v>
      </c>
      <c r="F418" s="7" t="s">
        <v>311</v>
      </c>
      <c r="G418" s="5" t="s">
        <v>16</v>
      </c>
      <c r="K418" s="2" t="s">
        <v>18</v>
      </c>
      <c r="L418" s="2"/>
    </row>
    <row r="419">
      <c r="A419" s="1" t="s">
        <v>538</v>
      </c>
      <c r="B419" s="1" t="s">
        <v>538</v>
      </c>
      <c r="C419" s="5" t="s">
        <v>349</v>
      </c>
      <c r="D419" s="5" t="s">
        <v>350</v>
      </c>
      <c r="E419" s="6">
        <v>45692.35902777778</v>
      </c>
      <c r="F419" s="7" t="s">
        <v>351</v>
      </c>
      <c r="G419" s="5" t="s">
        <v>16</v>
      </c>
      <c r="K419" s="2" t="s">
        <v>18</v>
      </c>
      <c r="L419" s="2"/>
    </row>
    <row r="420">
      <c r="A420" s="1" t="s">
        <v>539</v>
      </c>
      <c r="B420" s="1" t="s">
        <v>539</v>
      </c>
      <c r="C420" s="5" t="s">
        <v>305</v>
      </c>
      <c r="D420" s="5" t="s">
        <v>306</v>
      </c>
      <c r="E420" s="6">
        <v>45692.361805555556</v>
      </c>
      <c r="F420" s="7" t="s">
        <v>307</v>
      </c>
      <c r="G420" s="5" t="s">
        <v>16</v>
      </c>
      <c r="K420" s="2" t="s">
        <v>18</v>
      </c>
      <c r="L420" s="2"/>
    </row>
    <row r="421">
      <c r="A421" s="1" t="s">
        <v>540</v>
      </c>
      <c r="B421" s="1" t="s">
        <v>540</v>
      </c>
      <c r="C421" s="5" t="s">
        <v>131</v>
      </c>
      <c r="D421" s="5" t="s">
        <v>132</v>
      </c>
      <c r="E421" s="6">
        <v>45692.4</v>
      </c>
      <c r="F421" s="7" t="s">
        <v>133</v>
      </c>
      <c r="G421" s="5" t="s">
        <v>16</v>
      </c>
      <c r="K421" s="2" t="s">
        <v>18</v>
      </c>
      <c r="L421" s="2"/>
    </row>
    <row r="422">
      <c r="A422" s="1" t="s">
        <v>541</v>
      </c>
      <c r="B422" s="1" t="s">
        <v>541</v>
      </c>
      <c r="C422" s="5" t="s">
        <v>309</v>
      </c>
      <c r="D422" s="5" t="s">
        <v>310</v>
      </c>
      <c r="E422" s="6">
        <v>45691.429861111115</v>
      </c>
      <c r="F422" s="7" t="s">
        <v>311</v>
      </c>
      <c r="G422" s="5" t="s">
        <v>24</v>
      </c>
      <c r="K422" s="2" t="s">
        <v>18</v>
      </c>
      <c r="L422" s="2"/>
    </row>
    <row r="423">
      <c r="A423" s="1" t="s">
        <v>542</v>
      </c>
      <c r="B423" s="1" t="s">
        <v>542</v>
      </c>
      <c r="C423" s="5" t="s">
        <v>131</v>
      </c>
      <c r="D423" s="5" t="s">
        <v>132</v>
      </c>
      <c r="E423" s="6">
        <v>45692.43194444444</v>
      </c>
      <c r="F423" s="7" t="s">
        <v>133</v>
      </c>
      <c r="G423" s="5" t="s">
        <v>24</v>
      </c>
      <c r="K423" s="2" t="s">
        <v>18</v>
      </c>
      <c r="L423" s="2"/>
    </row>
    <row r="424">
      <c r="A424" s="1" t="s">
        <v>543</v>
      </c>
      <c r="B424" s="1" t="s">
        <v>543</v>
      </c>
      <c r="C424" s="5" t="s">
        <v>213</v>
      </c>
      <c r="D424" s="5" t="s">
        <v>214</v>
      </c>
      <c r="E424" s="6">
        <v>45692.53958333333</v>
      </c>
      <c r="F424" s="7" t="s">
        <v>215</v>
      </c>
      <c r="G424" s="5" t="s">
        <v>24</v>
      </c>
      <c r="K424" s="2" t="s">
        <v>18</v>
      </c>
      <c r="L424" s="2"/>
    </row>
    <row r="425">
      <c r="A425" s="1" t="s">
        <v>544</v>
      </c>
      <c r="B425" s="1" t="s">
        <v>544</v>
      </c>
      <c r="C425" s="5" t="s">
        <v>13</v>
      </c>
      <c r="D425" s="5" t="s">
        <v>14</v>
      </c>
      <c r="E425" s="6">
        <v>45692.65833333333</v>
      </c>
      <c r="F425" s="7" t="s">
        <v>15</v>
      </c>
      <c r="G425" s="5" t="s">
        <v>24</v>
      </c>
      <c r="K425" s="2" t="s">
        <v>18</v>
      </c>
      <c r="L425" s="2"/>
    </row>
    <row r="426">
      <c r="A426" s="1" t="s">
        <v>545</v>
      </c>
      <c r="B426" s="1" t="s">
        <v>545</v>
      </c>
      <c r="C426" s="5" t="s">
        <v>464</v>
      </c>
      <c r="D426" s="5" t="s">
        <v>465</v>
      </c>
      <c r="E426" s="6">
        <v>45692.66111111111</v>
      </c>
      <c r="F426" s="7" t="s">
        <v>466</v>
      </c>
      <c r="G426" s="5" t="s">
        <v>24</v>
      </c>
      <c r="K426" s="2" t="s">
        <v>18</v>
      </c>
      <c r="L426" s="2"/>
    </row>
    <row r="427">
      <c r="A427" s="1" t="s">
        <v>546</v>
      </c>
      <c r="B427" s="1" t="s">
        <v>546</v>
      </c>
      <c r="C427" s="5" t="s">
        <v>349</v>
      </c>
      <c r="D427" s="5" t="s">
        <v>350</v>
      </c>
      <c r="E427" s="6">
        <v>45692.6625</v>
      </c>
      <c r="F427" s="7" t="s">
        <v>351</v>
      </c>
      <c r="G427" s="5" t="s">
        <v>24</v>
      </c>
      <c r="K427" s="2" t="s">
        <v>18</v>
      </c>
      <c r="L427" s="2"/>
    </row>
    <row r="428">
      <c r="A428" s="1" t="s">
        <v>547</v>
      </c>
      <c r="B428" s="1" t="s">
        <v>547</v>
      </c>
      <c r="C428" s="5" t="s">
        <v>109</v>
      </c>
      <c r="D428" s="5" t="s">
        <v>110</v>
      </c>
      <c r="E428" s="6">
        <v>45693.34861111111</v>
      </c>
      <c r="F428" s="7" t="s">
        <v>111</v>
      </c>
      <c r="G428" s="5" t="s">
        <v>16</v>
      </c>
      <c r="K428" s="2" t="s">
        <v>18</v>
      </c>
      <c r="L428" s="2"/>
    </row>
    <row r="429">
      <c r="A429" s="1" t="s">
        <v>548</v>
      </c>
      <c r="B429" s="1" t="s">
        <v>548</v>
      </c>
      <c r="C429" s="5" t="s">
        <v>213</v>
      </c>
      <c r="D429" s="5" t="s">
        <v>214</v>
      </c>
      <c r="E429" s="6">
        <v>45693.57638888889</v>
      </c>
      <c r="F429" s="7" t="s">
        <v>215</v>
      </c>
      <c r="G429" s="5" t="s">
        <v>16</v>
      </c>
      <c r="I429" s="2" t="s">
        <v>17</v>
      </c>
      <c r="K429" s="2" t="s">
        <v>18</v>
      </c>
      <c r="L429" s="2"/>
    </row>
    <row r="430">
      <c r="A430" s="1" t="s">
        <v>549</v>
      </c>
      <c r="B430" s="1" t="s">
        <v>549</v>
      </c>
      <c r="C430" s="5" t="s">
        <v>109</v>
      </c>
      <c r="D430" s="5" t="s">
        <v>110</v>
      </c>
      <c r="E430" s="6">
        <v>45693.58819444444</v>
      </c>
      <c r="F430" s="7" t="s">
        <v>111</v>
      </c>
      <c r="G430" s="5" t="s">
        <v>24</v>
      </c>
      <c r="K430" s="2" t="s">
        <v>18</v>
      </c>
      <c r="L430" s="2"/>
    </row>
    <row r="431">
      <c r="A431" s="1" t="s">
        <v>550</v>
      </c>
      <c r="B431" s="1" t="s">
        <v>550</v>
      </c>
      <c r="C431" s="5" t="s">
        <v>45</v>
      </c>
      <c r="D431" s="5" t="s">
        <v>46</v>
      </c>
      <c r="E431" s="6">
        <v>45693.58888888889</v>
      </c>
      <c r="F431" s="7" t="s">
        <v>47</v>
      </c>
      <c r="G431" s="5" t="s">
        <v>24</v>
      </c>
      <c r="K431" s="2" t="s">
        <v>18</v>
      </c>
      <c r="L431" s="2"/>
    </row>
    <row r="432">
      <c r="A432" s="1" t="s">
        <v>551</v>
      </c>
      <c r="B432" s="1" t="s">
        <v>551</v>
      </c>
      <c r="C432" s="5" t="s">
        <v>552</v>
      </c>
      <c r="D432" s="5" t="s">
        <v>553</v>
      </c>
      <c r="E432" s="6">
        <v>45693.70277777778</v>
      </c>
      <c r="F432" s="7"/>
      <c r="G432" s="5" t="s">
        <v>16</v>
      </c>
      <c r="K432" s="2" t="s">
        <v>18</v>
      </c>
      <c r="L432" s="2"/>
    </row>
    <row r="433">
      <c r="A433" s="1" t="s">
        <v>554</v>
      </c>
      <c r="B433" s="1" t="s">
        <v>554</v>
      </c>
      <c r="C433" s="5" t="s">
        <v>213</v>
      </c>
      <c r="D433" s="5" t="s">
        <v>214</v>
      </c>
      <c r="E433" s="6">
        <v>45693.709027777775</v>
      </c>
      <c r="F433" s="7" t="s">
        <v>215</v>
      </c>
      <c r="G433" s="5" t="s">
        <v>24</v>
      </c>
      <c r="K433" s="2" t="s">
        <v>18</v>
      </c>
      <c r="L433" s="2"/>
    </row>
    <row r="434">
      <c r="A434" s="1" t="s">
        <v>555</v>
      </c>
      <c r="B434" s="1" t="s">
        <v>555</v>
      </c>
      <c r="C434" s="5" t="s">
        <v>464</v>
      </c>
      <c r="D434" s="5" t="s">
        <v>465</v>
      </c>
      <c r="E434" s="6">
        <v>45694.37291666667</v>
      </c>
      <c r="F434" s="7" t="s">
        <v>466</v>
      </c>
      <c r="G434" s="5" t="s">
        <v>16</v>
      </c>
      <c r="I434" s="2" t="s">
        <v>17</v>
      </c>
      <c r="K434" s="2" t="s">
        <v>18</v>
      </c>
      <c r="L434" s="2"/>
    </row>
    <row r="435">
      <c r="A435" s="1" t="s">
        <v>556</v>
      </c>
      <c r="B435" s="1" t="s">
        <v>556</v>
      </c>
      <c r="C435" s="5" t="s">
        <v>326</v>
      </c>
      <c r="D435" s="5" t="s">
        <v>327</v>
      </c>
      <c r="E435" s="6">
        <v>45694.375</v>
      </c>
      <c r="F435" s="7" t="s">
        <v>328</v>
      </c>
      <c r="G435" s="5" t="s">
        <v>16</v>
      </c>
      <c r="K435" s="2" t="s">
        <v>18</v>
      </c>
      <c r="L435" s="2"/>
    </row>
    <row r="436">
      <c r="A436" s="1" t="s">
        <v>557</v>
      </c>
      <c r="B436" s="1" t="s">
        <v>557</v>
      </c>
      <c r="C436" s="5" t="s">
        <v>326</v>
      </c>
      <c r="D436" s="5" t="s">
        <v>327</v>
      </c>
      <c r="E436" s="6">
        <v>45694.506944444445</v>
      </c>
      <c r="F436" s="7" t="s">
        <v>328</v>
      </c>
      <c r="G436" s="5" t="s">
        <v>24</v>
      </c>
      <c r="K436" s="2" t="s">
        <v>18</v>
      </c>
      <c r="L436" s="2"/>
    </row>
    <row r="437">
      <c r="A437" s="1" t="s">
        <v>558</v>
      </c>
      <c r="B437" s="1" t="s">
        <v>558</v>
      </c>
      <c r="C437" s="5" t="s">
        <v>505</v>
      </c>
      <c r="D437" s="5" t="s">
        <v>506</v>
      </c>
      <c r="E437" s="6">
        <v>45694.51597222222</v>
      </c>
      <c r="F437" s="7" t="s">
        <v>507</v>
      </c>
      <c r="G437" s="5" t="s">
        <v>16</v>
      </c>
      <c r="K437" s="2" t="s">
        <v>18</v>
      </c>
      <c r="L437" s="2"/>
    </row>
    <row r="438">
      <c r="A438" s="1" t="s">
        <v>559</v>
      </c>
      <c r="B438" s="1" t="s">
        <v>559</v>
      </c>
      <c r="C438" s="5" t="s">
        <v>392</v>
      </c>
      <c r="D438" s="5" t="s">
        <v>393</v>
      </c>
      <c r="E438" s="6">
        <v>45694.65</v>
      </c>
      <c r="F438" s="7" t="s">
        <v>394</v>
      </c>
      <c r="G438" s="5" t="s">
        <v>24</v>
      </c>
      <c r="K438" s="2" t="s">
        <v>18</v>
      </c>
      <c r="L438" s="2"/>
    </row>
    <row r="439">
      <c r="A439" s="1" t="s">
        <v>560</v>
      </c>
      <c r="B439" s="1" t="s">
        <v>560</v>
      </c>
      <c r="C439" s="5" t="s">
        <v>397</v>
      </c>
      <c r="D439" s="5" t="s">
        <v>398</v>
      </c>
      <c r="E439" s="6">
        <v>45694.65069444444</v>
      </c>
      <c r="F439" s="7" t="s">
        <v>399</v>
      </c>
      <c r="G439" s="5" t="s">
        <v>24</v>
      </c>
      <c r="K439" s="2" t="s">
        <v>18</v>
      </c>
      <c r="L439" s="2"/>
    </row>
    <row r="440">
      <c r="A440" s="1" t="s">
        <v>561</v>
      </c>
      <c r="B440" s="1" t="s">
        <v>561</v>
      </c>
      <c r="C440" s="5" t="s">
        <v>109</v>
      </c>
      <c r="D440" s="5" t="s">
        <v>110</v>
      </c>
      <c r="E440" s="6">
        <v>45695.37430555555</v>
      </c>
      <c r="F440" s="7" t="s">
        <v>111</v>
      </c>
      <c r="G440" s="5" t="s">
        <v>16</v>
      </c>
      <c r="K440" s="2" t="s">
        <v>18</v>
      </c>
      <c r="L440" s="2"/>
    </row>
    <row r="441">
      <c r="A441" s="1" t="s">
        <v>562</v>
      </c>
      <c r="B441" s="1" t="s">
        <v>562</v>
      </c>
      <c r="C441" s="5" t="s">
        <v>126</v>
      </c>
      <c r="D441" s="5" t="s">
        <v>127</v>
      </c>
      <c r="E441" s="6">
        <v>45695.37430555555</v>
      </c>
      <c r="F441" s="7" t="s">
        <v>128</v>
      </c>
      <c r="G441" s="5" t="s">
        <v>159</v>
      </c>
      <c r="K441" s="2" t="s">
        <v>18</v>
      </c>
      <c r="L441" s="2"/>
    </row>
    <row r="442">
      <c r="A442" s="1" t="s">
        <v>563</v>
      </c>
      <c r="B442" s="1" t="s">
        <v>563</v>
      </c>
      <c r="C442" s="5" t="s">
        <v>213</v>
      </c>
      <c r="D442" s="5" t="s">
        <v>214</v>
      </c>
      <c r="E442" s="6">
        <v>45695.521527777775</v>
      </c>
      <c r="F442" s="7" t="s">
        <v>215</v>
      </c>
      <c r="G442" s="5" t="s">
        <v>24</v>
      </c>
      <c r="K442" s="2" t="s">
        <v>18</v>
      </c>
      <c r="L442" s="2"/>
    </row>
    <row r="443">
      <c r="A443" s="1" t="s">
        <v>564</v>
      </c>
      <c r="B443" s="1" t="s">
        <v>564</v>
      </c>
      <c r="C443" s="5" t="s">
        <v>114</v>
      </c>
      <c r="D443" s="5" t="s">
        <v>115</v>
      </c>
      <c r="E443" s="6">
        <v>45695.52222222222</v>
      </c>
      <c r="F443" s="7" t="s">
        <v>116</v>
      </c>
      <c r="G443" s="5" t="s">
        <v>24</v>
      </c>
      <c r="K443" s="2" t="s">
        <v>18</v>
      </c>
      <c r="L443" s="2"/>
    </row>
    <row r="444">
      <c r="A444" s="1" t="s">
        <v>565</v>
      </c>
      <c r="B444" s="1" t="s">
        <v>565</v>
      </c>
      <c r="C444" s="5" t="s">
        <v>109</v>
      </c>
      <c r="D444" s="5" t="s">
        <v>110</v>
      </c>
      <c r="E444" s="6">
        <v>45695.52291666667</v>
      </c>
      <c r="F444" s="7" t="s">
        <v>111</v>
      </c>
      <c r="G444" s="5" t="s">
        <v>24</v>
      </c>
      <c r="K444" s="2" t="s">
        <v>18</v>
      </c>
      <c r="L444" s="2"/>
    </row>
    <row r="445">
      <c r="A445" s="1" t="s">
        <v>566</v>
      </c>
      <c r="B445" s="1" t="s">
        <v>566</v>
      </c>
      <c r="C445" s="5" t="s">
        <v>126</v>
      </c>
      <c r="D445" s="5" t="s">
        <v>127</v>
      </c>
      <c r="E445" s="6">
        <v>45695.56180555555</v>
      </c>
      <c r="F445" s="7" t="s">
        <v>128</v>
      </c>
      <c r="G445" s="5" t="s">
        <v>24</v>
      </c>
      <c r="K445" s="2" t="s">
        <v>18</v>
      </c>
      <c r="L445" s="2"/>
    </row>
    <row r="446">
      <c r="A446" s="1" t="s">
        <v>567</v>
      </c>
      <c r="B446" s="1" t="s">
        <v>567</v>
      </c>
      <c r="C446" s="5" t="s">
        <v>13</v>
      </c>
      <c r="D446" s="5" t="s">
        <v>14</v>
      </c>
      <c r="E446" s="6">
        <v>45695.56319444445</v>
      </c>
      <c r="F446" s="7" t="s">
        <v>15</v>
      </c>
      <c r="G446" s="5" t="s">
        <v>24</v>
      </c>
      <c r="K446" s="2" t="s">
        <v>18</v>
      </c>
      <c r="L446" s="2"/>
    </row>
    <row r="447">
      <c r="A447" s="1" t="s">
        <v>568</v>
      </c>
      <c r="B447" s="1" t="s">
        <v>568</v>
      </c>
      <c r="C447" s="5" t="s">
        <v>45</v>
      </c>
      <c r="D447" s="5" t="s">
        <v>46</v>
      </c>
      <c r="E447" s="6">
        <v>45696.41875</v>
      </c>
      <c r="F447" s="7" t="s">
        <v>47</v>
      </c>
      <c r="G447" s="5" t="s">
        <v>16</v>
      </c>
      <c r="I447" s="2" t="s">
        <v>17</v>
      </c>
      <c r="J447" s="2"/>
      <c r="K447" s="2" t="s">
        <v>18</v>
      </c>
      <c r="L447" s="2"/>
    </row>
    <row r="448">
      <c r="A448" s="1" t="s">
        <v>569</v>
      </c>
      <c r="B448" s="1" t="s">
        <v>569</v>
      </c>
      <c r="C448" s="5" t="s">
        <v>305</v>
      </c>
      <c r="D448" s="5" t="s">
        <v>306</v>
      </c>
      <c r="E448" s="6">
        <v>45696.603472222225</v>
      </c>
      <c r="F448" s="7" t="s">
        <v>307</v>
      </c>
      <c r="G448" s="5" t="s">
        <v>24</v>
      </c>
      <c r="K448" s="2" t="s">
        <v>18</v>
      </c>
      <c r="L448" s="2"/>
    </row>
    <row r="449">
      <c r="A449" s="1" t="s">
        <v>570</v>
      </c>
      <c r="B449" s="1" t="s">
        <v>570</v>
      </c>
      <c r="C449" s="5" t="s">
        <v>326</v>
      </c>
      <c r="D449" s="5" t="s">
        <v>327</v>
      </c>
      <c r="E449" s="6">
        <v>45696.60416666667</v>
      </c>
      <c r="F449" s="7" t="s">
        <v>328</v>
      </c>
      <c r="G449" s="5" t="s">
        <v>24</v>
      </c>
      <c r="K449" s="2" t="s">
        <v>18</v>
      </c>
      <c r="L449" s="2"/>
    </row>
    <row r="450">
      <c r="A450" s="1" t="s">
        <v>571</v>
      </c>
      <c r="B450" s="1" t="s">
        <v>571</v>
      </c>
      <c r="C450" s="5" t="s">
        <v>131</v>
      </c>
      <c r="D450" s="5" t="s">
        <v>132</v>
      </c>
      <c r="E450" s="6">
        <v>45698.36458333333</v>
      </c>
      <c r="F450" s="7" t="s">
        <v>133</v>
      </c>
      <c r="G450" s="5" t="s">
        <v>16</v>
      </c>
      <c r="K450" s="2" t="s">
        <v>18</v>
      </c>
      <c r="L450" s="2"/>
    </row>
    <row r="451">
      <c r="A451" s="1" t="s">
        <v>572</v>
      </c>
      <c r="B451" s="1" t="s">
        <v>572</v>
      </c>
      <c r="C451" s="5" t="s">
        <v>49</v>
      </c>
      <c r="D451" s="5" t="s">
        <v>50</v>
      </c>
      <c r="E451" s="6">
        <v>45698.41180555556</v>
      </c>
      <c r="F451" s="7" t="s">
        <v>51</v>
      </c>
      <c r="G451" s="5" t="s">
        <v>16</v>
      </c>
      <c r="K451" s="2" t="s">
        <v>18</v>
      </c>
      <c r="L451" s="2"/>
    </row>
    <row r="452">
      <c r="A452" s="1" t="s">
        <v>573</v>
      </c>
      <c r="B452" s="1" t="s">
        <v>573</v>
      </c>
      <c r="C452" s="5" t="s">
        <v>49</v>
      </c>
      <c r="D452" s="5" t="s">
        <v>50</v>
      </c>
      <c r="E452" s="6">
        <v>45698.47152777778</v>
      </c>
      <c r="F452" s="7" t="s">
        <v>51</v>
      </c>
      <c r="G452" s="5" t="s">
        <v>24</v>
      </c>
      <c r="K452" s="2" t="s">
        <v>18</v>
      </c>
      <c r="L452" s="2"/>
    </row>
    <row r="453">
      <c r="A453" s="1" t="s">
        <v>574</v>
      </c>
      <c r="B453" s="1" t="s">
        <v>574</v>
      </c>
      <c r="C453" s="5" t="s">
        <v>13</v>
      </c>
      <c r="D453" s="5" t="s">
        <v>14</v>
      </c>
      <c r="E453" s="6">
        <v>45698.5</v>
      </c>
      <c r="F453" s="7" t="s">
        <v>15</v>
      </c>
      <c r="G453" s="5" t="s">
        <v>24</v>
      </c>
      <c r="K453" s="2" t="s">
        <v>18</v>
      </c>
      <c r="L453" s="2"/>
    </row>
    <row r="454">
      <c r="A454" s="1" t="s">
        <v>575</v>
      </c>
      <c r="B454" s="1" t="s">
        <v>575</v>
      </c>
      <c r="C454" s="5" t="s">
        <v>309</v>
      </c>
      <c r="D454" s="5" t="s">
        <v>310</v>
      </c>
      <c r="E454" s="6">
        <v>45698.5</v>
      </c>
      <c r="F454" s="7" t="s">
        <v>311</v>
      </c>
      <c r="G454" s="5" t="s">
        <v>24</v>
      </c>
      <c r="K454" s="2" t="s">
        <v>18</v>
      </c>
      <c r="L454" s="2"/>
    </row>
    <row r="455">
      <c r="A455" s="1" t="s">
        <v>576</v>
      </c>
      <c r="B455" s="1" t="s">
        <v>576</v>
      </c>
      <c r="C455" s="5" t="s">
        <v>213</v>
      </c>
      <c r="D455" s="5" t="s">
        <v>214</v>
      </c>
      <c r="E455" s="6">
        <v>45698.50069444445</v>
      </c>
      <c r="F455" s="7" t="s">
        <v>215</v>
      </c>
      <c r="G455" s="5" t="s">
        <v>24</v>
      </c>
      <c r="K455" s="2" t="s">
        <v>18</v>
      </c>
      <c r="L455" s="2"/>
    </row>
    <row r="456">
      <c r="A456" s="1" t="s">
        <v>577</v>
      </c>
      <c r="B456" s="1" t="s">
        <v>577</v>
      </c>
      <c r="C456" s="5" t="s">
        <v>131</v>
      </c>
      <c r="D456" s="5" t="s">
        <v>132</v>
      </c>
      <c r="E456" s="6">
        <v>45698.50208333333</v>
      </c>
      <c r="F456" s="7" t="s">
        <v>133</v>
      </c>
      <c r="G456" s="5" t="s">
        <v>24</v>
      </c>
      <c r="K456" s="2" t="s">
        <v>18</v>
      </c>
      <c r="L456" s="2"/>
    </row>
    <row r="457">
      <c r="A457" s="1" t="s">
        <v>578</v>
      </c>
      <c r="B457" s="1" t="s">
        <v>578</v>
      </c>
      <c r="C457" s="5" t="s">
        <v>213</v>
      </c>
      <c r="D457" s="5" t="s">
        <v>214</v>
      </c>
      <c r="E457" s="6">
        <v>45699.36388888889</v>
      </c>
      <c r="F457" s="7" t="s">
        <v>215</v>
      </c>
      <c r="G457" s="5" t="s">
        <v>16</v>
      </c>
      <c r="I457" s="2" t="s">
        <v>17</v>
      </c>
      <c r="K457" s="2" t="s">
        <v>18</v>
      </c>
      <c r="L457" s="2"/>
    </row>
    <row r="458">
      <c r="A458" s="1" t="s">
        <v>579</v>
      </c>
      <c r="B458" s="1" t="s">
        <v>579</v>
      </c>
      <c r="C458" s="5" t="s">
        <v>109</v>
      </c>
      <c r="D458" s="5" t="s">
        <v>110</v>
      </c>
      <c r="E458" s="6">
        <v>45699.48055555555</v>
      </c>
      <c r="F458" s="7" t="s">
        <v>111</v>
      </c>
      <c r="G458" s="5" t="s">
        <v>16</v>
      </c>
      <c r="K458" s="2" t="s">
        <v>18</v>
      </c>
      <c r="L458" s="2"/>
    </row>
    <row r="459">
      <c r="A459" s="1" t="s">
        <v>580</v>
      </c>
      <c r="B459" s="1" t="s">
        <v>580</v>
      </c>
      <c r="C459" s="5" t="s">
        <v>131</v>
      </c>
      <c r="D459" s="5" t="s">
        <v>132</v>
      </c>
      <c r="E459" s="6">
        <v>45700.37222222222</v>
      </c>
      <c r="F459" s="7" t="s">
        <v>133</v>
      </c>
      <c r="G459" s="5" t="s">
        <v>16</v>
      </c>
      <c r="K459" s="2" t="s">
        <v>18</v>
      </c>
      <c r="L459" s="2"/>
    </row>
    <row r="460">
      <c r="A460" s="1" t="s">
        <v>581</v>
      </c>
      <c r="B460" s="1" t="s">
        <v>581</v>
      </c>
      <c r="C460" s="5" t="s">
        <v>131</v>
      </c>
      <c r="D460" s="5" t="s">
        <v>132</v>
      </c>
      <c r="E460" s="6">
        <v>45700.48541666666</v>
      </c>
      <c r="F460" s="7" t="s">
        <v>133</v>
      </c>
      <c r="G460" s="5" t="s">
        <v>24</v>
      </c>
      <c r="K460" s="2" t="s">
        <v>18</v>
      </c>
      <c r="L460" s="2"/>
    </row>
    <row r="461">
      <c r="A461" s="1" t="s">
        <v>582</v>
      </c>
      <c r="B461" s="1" t="s">
        <v>582</v>
      </c>
      <c r="C461" s="5" t="s">
        <v>55</v>
      </c>
      <c r="D461" s="5" t="s">
        <v>56</v>
      </c>
      <c r="E461" s="6">
        <v>45700.490277777775</v>
      </c>
      <c r="F461" s="7" t="s">
        <v>57</v>
      </c>
      <c r="G461" s="5" t="s">
        <v>24</v>
      </c>
      <c r="K461" s="2" t="s">
        <v>18</v>
      </c>
      <c r="L461" s="2"/>
    </row>
    <row r="462">
      <c r="A462" s="1" t="s">
        <v>583</v>
      </c>
      <c r="B462" s="1" t="s">
        <v>583</v>
      </c>
      <c r="C462" s="5" t="s">
        <v>75</v>
      </c>
      <c r="D462" s="5" t="s">
        <v>76</v>
      </c>
      <c r="E462" s="6">
        <v>45700.490277777775</v>
      </c>
      <c r="F462" s="7" t="s">
        <v>77</v>
      </c>
      <c r="G462" s="5" t="s">
        <v>24</v>
      </c>
      <c r="K462" s="2" t="s">
        <v>18</v>
      </c>
      <c r="L462" s="2"/>
    </row>
    <row r="463">
      <c r="A463" s="1" t="s">
        <v>584</v>
      </c>
      <c r="B463" s="1" t="s">
        <v>584</v>
      </c>
      <c r="C463" s="5" t="s">
        <v>109</v>
      </c>
      <c r="D463" s="5" t="s">
        <v>110</v>
      </c>
      <c r="E463" s="6">
        <v>45699.49166666667</v>
      </c>
      <c r="F463" s="7" t="s">
        <v>111</v>
      </c>
      <c r="G463" s="5" t="s">
        <v>24</v>
      </c>
      <c r="K463" s="2" t="s">
        <v>18</v>
      </c>
      <c r="L463" s="2"/>
    </row>
    <row r="464">
      <c r="A464" s="1" t="s">
        <v>585</v>
      </c>
      <c r="B464" s="1" t="s">
        <v>585</v>
      </c>
      <c r="C464" s="5" t="s">
        <v>131</v>
      </c>
      <c r="D464" s="5" t="s">
        <v>132</v>
      </c>
      <c r="E464" s="6">
        <v>45699.492361111115</v>
      </c>
      <c r="F464" s="7" t="s">
        <v>133</v>
      </c>
      <c r="G464" s="5" t="s">
        <v>24</v>
      </c>
      <c r="K464" s="2" t="s">
        <v>18</v>
      </c>
      <c r="L464" s="2"/>
    </row>
    <row r="465">
      <c r="A465" s="1" t="s">
        <v>586</v>
      </c>
      <c r="B465" s="1" t="s">
        <v>586</v>
      </c>
      <c r="C465" s="5" t="s">
        <v>213</v>
      </c>
      <c r="D465" s="5" t="s">
        <v>214</v>
      </c>
      <c r="E465" s="6">
        <v>45699.493055555555</v>
      </c>
      <c r="F465" s="7" t="s">
        <v>215</v>
      </c>
      <c r="G465" s="5" t="s">
        <v>24</v>
      </c>
      <c r="K465" s="2" t="s">
        <v>18</v>
      </c>
      <c r="L465" s="2"/>
    </row>
    <row r="466">
      <c r="A466" s="1" t="s">
        <v>587</v>
      </c>
      <c r="B466" s="1" t="s">
        <v>587</v>
      </c>
      <c r="C466" s="5" t="s">
        <v>464</v>
      </c>
      <c r="D466" s="5" t="s">
        <v>465</v>
      </c>
      <c r="E466" s="6">
        <v>45699.49375</v>
      </c>
      <c r="F466" s="7" t="s">
        <v>466</v>
      </c>
      <c r="G466" s="5" t="s">
        <v>24</v>
      </c>
      <c r="K466" s="2" t="s">
        <v>18</v>
      </c>
      <c r="L466" s="2"/>
    </row>
    <row r="467">
      <c r="A467" s="1" t="s">
        <v>588</v>
      </c>
      <c r="B467" s="1" t="s">
        <v>588</v>
      </c>
      <c r="C467" s="5" t="s">
        <v>326</v>
      </c>
      <c r="D467" s="5" t="s">
        <v>327</v>
      </c>
      <c r="E467" s="6">
        <v>45699.49444444444</v>
      </c>
      <c r="F467" s="7" t="s">
        <v>328</v>
      </c>
      <c r="G467" s="5" t="s">
        <v>24</v>
      </c>
      <c r="K467" s="2" t="s">
        <v>18</v>
      </c>
      <c r="L467" s="2"/>
    </row>
    <row r="468">
      <c r="A468" s="1" t="s">
        <v>589</v>
      </c>
      <c r="B468" s="1" t="s">
        <v>589</v>
      </c>
      <c r="C468" s="5" t="s">
        <v>20</v>
      </c>
      <c r="D468" s="5" t="s">
        <v>21</v>
      </c>
      <c r="E468" s="6">
        <v>45700.64236111111</v>
      </c>
      <c r="F468" s="7" t="s">
        <v>22</v>
      </c>
      <c r="G468" s="5" t="s">
        <v>24</v>
      </c>
      <c r="K468" s="2" t="s">
        <v>18</v>
      </c>
      <c r="L468" s="2"/>
    </row>
    <row r="469">
      <c r="A469" s="1" t="s">
        <v>590</v>
      </c>
      <c r="B469" s="1" t="s">
        <v>590</v>
      </c>
      <c r="C469" s="5" t="s">
        <v>114</v>
      </c>
      <c r="D469" s="5" t="s">
        <v>115</v>
      </c>
      <c r="E469" s="6">
        <v>45700.64236111111</v>
      </c>
      <c r="F469" s="7" t="s">
        <v>116</v>
      </c>
      <c r="G469" s="5" t="s">
        <v>24</v>
      </c>
      <c r="K469" s="2" t="s">
        <v>18</v>
      </c>
      <c r="L469" s="2"/>
    </row>
    <row r="470">
      <c r="A470" s="1" t="s">
        <v>591</v>
      </c>
      <c r="B470" s="1" t="s">
        <v>591</v>
      </c>
      <c r="C470" s="5" t="s">
        <v>213</v>
      </c>
      <c r="D470" s="5" t="s">
        <v>214</v>
      </c>
      <c r="E470" s="6">
        <v>45700.643055555556</v>
      </c>
      <c r="F470" s="7" t="s">
        <v>215</v>
      </c>
      <c r="G470" s="5" t="s">
        <v>24</v>
      </c>
      <c r="K470" s="2" t="s">
        <v>18</v>
      </c>
      <c r="L470" s="2"/>
    </row>
    <row r="471">
      <c r="A471" s="1" t="s">
        <v>592</v>
      </c>
      <c r="B471" s="1" t="s">
        <v>592</v>
      </c>
      <c r="C471" s="5" t="s">
        <v>326</v>
      </c>
      <c r="D471" s="5" t="s">
        <v>327</v>
      </c>
      <c r="E471" s="6">
        <v>45701.441666666666</v>
      </c>
      <c r="F471" s="7" t="s">
        <v>328</v>
      </c>
      <c r="G471" s="5" t="s">
        <v>16</v>
      </c>
      <c r="K471" s="2" t="s">
        <v>18</v>
      </c>
      <c r="L471" s="2"/>
    </row>
    <row r="472">
      <c r="A472" s="1" t="s">
        <v>593</v>
      </c>
      <c r="B472" s="1" t="s">
        <v>593</v>
      </c>
      <c r="C472" s="5" t="s">
        <v>213</v>
      </c>
      <c r="D472" s="5" t="s">
        <v>214</v>
      </c>
      <c r="E472" s="6">
        <v>45701.62430555555</v>
      </c>
      <c r="F472" s="7" t="s">
        <v>215</v>
      </c>
      <c r="G472" s="5" t="s">
        <v>24</v>
      </c>
      <c r="K472" s="2" t="s">
        <v>18</v>
      </c>
      <c r="L472" s="2"/>
    </row>
    <row r="473">
      <c r="A473" s="1" t="s">
        <v>594</v>
      </c>
      <c r="B473" s="1" t="s">
        <v>594</v>
      </c>
      <c r="C473" s="5" t="s">
        <v>326</v>
      </c>
      <c r="D473" s="5" t="s">
        <v>327</v>
      </c>
      <c r="E473" s="6">
        <v>45701.62569444445</v>
      </c>
      <c r="F473" s="7" t="s">
        <v>328</v>
      </c>
      <c r="G473" s="5" t="s">
        <v>24</v>
      </c>
      <c r="K473" s="2" t="s">
        <v>18</v>
      </c>
      <c r="L473" s="2"/>
    </row>
    <row r="474">
      <c r="A474" s="1" t="s">
        <v>595</v>
      </c>
      <c r="B474" s="1" t="s">
        <v>595</v>
      </c>
      <c r="C474" s="5" t="s">
        <v>131</v>
      </c>
      <c r="D474" s="5" t="s">
        <v>132</v>
      </c>
      <c r="E474" s="6">
        <v>45702.40069444444</v>
      </c>
      <c r="F474" s="7" t="s">
        <v>133</v>
      </c>
      <c r="G474" s="5" t="s">
        <v>16</v>
      </c>
      <c r="K474" s="2" t="s">
        <v>18</v>
      </c>
      <c r="L474" s="2"/>
    </row>
    <row r="475">
      <c r="A475" s="1" t="s">
        <v>596</v>
      </c>
      <c r="B475" s="1" t="s">
        <v>596</v>
      </c>
      <c r="C475" s="5" t="s">
        <v>309</v>
      </c>
      <c r="D475" s="5" t="s">
        <v>310</v>
      </c>
      <c r="E475" s="6">
        <v>45702.402083333334</v>
      </c>
      <c r="F475" s="7" t="s">
        <v>311</v>
      </c>
      <c r="G475" s="5" t="s">
        <v>16</v>
      </c>
      <c r="K475" s="2" t="s">
        <v>18</v>
      </c>
      <c r="L475" s="2"/>
    </row>
    <row r="476">
      <c r="A476" s="1" t="s">
        <v>597</v>
      </c>
      <c r="B476" s="1" t="s">
        <v>597</v>
      </c>
      <c r="C476" s="5" t="s">
        <v>49</v>
      </c>
      <c r="D476" s="5" t="s">
        <v>50</v>
      </c>
      <c r="E476" s="6">
        <v>45702.475</v>
      </c>
      <c r="F476" s="7" t="s">
        <v>51</v>
      </c>
      <c r="G476" s="5" t="s">
        <v>16</v>
      </c>
      <c r="K476" s="2" t="s">
        <v>18</v>
      </c>
      <c r="L476" s="2"/>
    </row>
    <row r="477">
      <c r="A477" s="1" t="s">
        <v>598</v>
      </c>
      <c r="B477" s="1" t="s">
        <v>598</v>
      </c>
      <c r="C477" s="5" t="s">
        <v>131</v>
      </c>
      <c r="D477" s="5" t="s">
        <v>132</v>
      </c>
      <c r="E477" s="6">
        <v>45702.48055555555</v>
      </c>
      <c r="F477" s="7" t="s">
        <v>133</v>
      </c>
      <c r="G477" s="5" t="s">
        <v>24</v>
      </c>
      <c r="K477" s="2" t="s">
        <v>18</v>
      </c>
      <c r="L477" s="2"/>
    </row>
    <row r="478">
      <c r="A478" s="1" t="s">
        <v>599</v>
      </c>
      <c r="B478" s="1" t="s">
        <v>599</v>
      </c>
      <c r="C478" s="5" t="s">
        <v>49</v>
      </c>
      <c r="D478" s="5" t="s">
        <v>50</v>
      </c>
      <c r="E478" s="6">
        <v>45702.48125</v>
      </c>
      <c r="F478" s="7" t="s">
        <v>51</v>
      </c>
      <c r="G478" s="5" t="s">
        <v>24</v>
      </c>
      <c r="K478" s="2" t="s">
        <v>18</v>
      </c>
      <c r="L478" s="2"/>
    </row>
    <row r="479">
      <c r="A479" s="1" t="s">
        <v>600</v>
      </c>
      <c r="B479" s="1" t="s">
        <v>600</v>
      </c>
      <c r="C479" s="5" t="s">
        <v>309</v>
      </c>
      <c r="D479" s="5" t="s">
        <v>310</v>
      </c>
      <c r="E479" s="6">
        <v>45702.589583333334</v>
      </c>
      <c r="F479" s="7" t="s">
        <v>311</v>
      </c>
      <c r="G479" s="5" t="s">
        <v>24</v>
      </c>
      <c r="K479" s="2" t="s">
        <v>18</v>
      </c>
      <c r="L479" s="2"/>
    </row>
    <row r="480">
      <c r="A480" s="1" t="s">
        <v>601</v>
      </c>
      <c r="B480" s="1" t="s">
        <v>601</v>
      </c>
      <c r="C480" s="5" t="s">
        <v>213</v>
      </c>
      <c r="D480" s="5" t="s">
        <v>214</v>
      </c>
      <c r="E480" s="6">
        <v>45702.65486111111</v>
      </c>
      <c r="F480" s="7" t="s">
        <v>215</v>
      </c>
      <c r="G480" s="5" t="s">
        <v>16</v>
      </c>
      <c r="I480" s="2" t="s">
        <v>17</v>
      </c>
      <c r="K480" s="2" t="s">
        <v>18</v>
      </c>
      <c r="L480" s="2"/>
    </row>
    <row r="481">
      <c r="A481" s="1" t="s">
        <v>602</v>
      </c>
      <c r="B481" s="1" t="s">
        <v>602</v>
      </c>
      <c r="C481" s="5" t="s">
        <v>305</v>
      </c>
      <c r="D481" s="5" t="s">
        <v>306</v>
      </c>
      <c r="E481" s="6">
        <v>45703.47430555556</v>
      </c>
      <c r="F481" s="7" t="s">
        <v>307</v>
      </c>
      <c r="G481" s="5" t="s">
        <v>24</v>
      </c>
      <c r="K481" s="2" t="s">
        <v>18</v>
      </c>
      <c r="L481" s="2"/>
    </row>
    <row r="482">
      <c r="A482" s="1" t="s">
        <v>603</v>
      </c>
      <c r="B482" s="1" t="s">
        <v>603</v>
      </c>
      <c r="C482" s="5" t="s">
        <v>45</v>
      </c>
      <c r="D482" s="5" t="s">
        <v>46</v>
      </c>
      <c r="E482" s="6">
        <v>45705.441666666666</v>
      </c>
      <c r="F482" s="7" t="s">
        <v>47</v>
      </c>
      <c r="G482" s="5" t="s">
        <v>16</v>
      </c>
      <c r="I482" s="2" t="s">
        <v>17</v>
      </c>
      <c r="J482" s="2"/>
      <c r="K482" s="2" t="s">
        <v>18</v>
      </c>
      <c r="L482" s="2"/>
    </row>
    <row r="483">
      <c r="A483" s="1" t="s">
        <v>604</v>
      </c>
      <c r="B483" s="1" t="s">
        <v>604</v>
      </c>
      <c r="C483" s="5" t="s">
        <v>131</v>
      </c>
      <c r="D483" s="5" t="s">
        <v>132</v>
      </c>
      <c r="E483" s="6">
        <v>45705.44375</v>
      </c>
      <c r="F483" s="7" t="s">
        <v>133</v>
      </c>
      <c r="G483" s="5" t="s">
        <v>24</v>
      </c>
      <c r="K483" s="2" t="s">
        <v>18</v>
      </c>
      <c r="L483" s="2"/>
    </row>
    <row r="484">
      <c r="A484" s="1" t="s">
        <v>605</v>
      </c>
      <c r="B484" s="1" t="s">
        <v>605</v>
      </c>
      <c r="C484" s="5" t="s">
        <v>505</v>
      </c>
      <c r="D484" s="5" t="s">
        <v>506</v>
      </c>
      <c r="E484" s="6">
        <v>45706.475</v>
      </c>
      <c r="F484" s="7" t="s">
        <v>507</v>
      </c>
      <c r="G484" s="5" t="s">
        <v>24</v>
      </c>
      <c r="K484" s="2" t="s">
        <v>18</v>
      </c>
      <c r="L484" s="2"/>
    </row>
    <row r="485">
      <c r="A485" s="1" t="s">
        <v>606</v>
      </c>
      <c r="B485" s="1" t="s">
        <v>606</v>
      </c>
      <c r="C485" s="5" t="s">
        <v>326</v>
      </c>
      <c r="D485" s="5" t="s">
        <v>327</v>
      </c>
      <c r="E485" s="6">
        <v>45706.476388888885</v>
      </c>
      <c r="F485" s="7" t="s">
        <v>328</v>
      </c>
      <c r="G485" s="5" t="s">
        <v>24</v>
      </c>
      <c r="K485" s="2" t="s">
        <v>18</v>
      </c>
      <c r="L485" s="2"/>
    </row>
    <row r="486">
      <c r="A486" s="1" t="s">
        <v>607</v>
      </c>
      <c r="B486" s="1" t="s">
        <v>607</v>
      </c>
      <c r="C486" s="5" t="s">
        <v>213</v>
      </c>
      <c r="D486" s="5" t="s">
        <v>214</v>
      </c>
      <c r="E486" s="6">
        <v>45706.48402777778</v>
      </c>
      <c r="F486" s="7" t="s">
        <v>215</v>
      </c>
      <c r="G486" s="5" t="s">
        <v>24</v>
      </c>
      <c r="K486" s="2" t="s">
        <v>18</v>
      </c>
      <c r="L486" s="2"/>
    </row>
    <row r="487">
      <c r="A487" s="1" t="s">
        <v>608</v>
      </c>
      <c r="B487" s="1" t="s">
        <v>608</v>
      </c>
      <c r="C487" s="5" t="s">
        <v>45</v>
      </c>
      <c r="D487" s="5" t="s">
        <v>46</v>
      </c>
      <c r="E487" s="6">
        <v>45706.48541666666</v>
      </c>
      <c r="F487" s="7" t="s">
        <v>47</v>
      </c>
      <c r="G487" s="5" t="s">
        <v>24</v>
      </c>
      <c r="K487" s="2" t="s">
        <v>18</v>
      </c>
      <c r="L487" s="2"/>
    </row>
    <row r="488">
      <c r="A488" s="1" t="s">
        <v>609</v>
      </c>
      <c r="B488" s="1" t="s">
        <v>609</v>
      </c>
      <c r="C488" s="5" t="s">
        <v>109</v>
      </c>
      <c r="D488" s="5" t="s">
        <v>110</v>
      </c>
      <c r="E488" s="6">
        <v>45707.49444444444</v>
      </c>
      <c r="F488" s="7" t="s">
        <v>111</v>
      </c>
      <c r="G488" s="5" t="s">
        <v>24</v>
      </c>
      <c r="K488" s="2" t="s">
        <v>18</v>
      </c>
      <c r="L488" s="2"/>
    </row>
    <row r="489">
      <c r="A489" s="1" t="s">
        <v>610</v>
      </c>
      <c r="B489" s="1" t="s">
        <v>610</v>
      </c>
      <c r="C489" s="5" t="s">
        <v>131</v>
      </c>
      <c r="D489" s="5" t="s">
        <v>132</v>
      </c>
      <c r="E489" s="6">
        <v>45707.49444444444</v>
      </c>
      <c r="F489" s="7" t="s">
        <v>133</v>
      </c>
      <c r="G489" s="5" t="s">
        <v>24</v>
      </c>
      <c r="K489" s="2" t="s">
        <v>18</v>
      </c>
      <c r="L489" s="2"/>
    </row>
    <row r="490">
      <c r="A490" s="1" t="s">
        <v>611</v>
      </c>
      <c r="B490" s="1" t="s">
        <v>611</v>
      </c>
      <c r="C490" s="5" t="s">
        <v>49</v>
      </c>
      <c r="D490" s="5" t="s">
        <v>50</v>
      </c>
      <c r="E490" s="6">
        <v>45707.495833333334</v>
      </c>
      <c r="F490" s="7" t="s">
        <v>51</v>
      </c>
      <c r="G490" s="5" t="s">
        <v>24</v>
      </c>
      <c r="K490" s="2" t="s">
        <v>18</v>
      </c>
      <c r="L490" s="2"/>
    </row>
    <row r="491">
      <c r="A491" s="1" t="s">
        <v>612</v>
      </c>
      <c r="B491" s="1" t="s">
        <v>612</v>
      </c>
      <c r="C491" s="5" t="s">
        <v>305</v>
      </c>
      <c r="D491" s="5" t="s">
        <v>306</v>
      </c>
      <c r="E491" s="6">
        <v>45708.35277777778</v>
      </c>
      <c r="F491" s="7" t="s">
        <v>307</v>
      </c>
      <c r="G491" s="5" t="s">
        <v>16</v>
      </c>
      <c r="K491" s="2" t="s">
        <v>18</v>
      </c>
      <c r="L491" s="2"/>
    </row>
    <row r="492">
      <c r="A492" s="1" t="s">
        <v>613</v>
      </c>
      <c r="B492" s="1" t="s">
        <v>613</v>
      </c>
      <c r="C492" s="5" t="s">
        <v>126</v>
      </c>
      <c r="D492" s="5" t="s">
        <v>127</v>
      </c>
      <c r="E492" s="6">
        <v>45707.71527777778</v>
      </c>
      <c r="F492" s="7" t="s">
        <v>128</v>
      </c>
      <c r="G492" s="5" t="s">
        <v>24</v>
      </c>
      <c r="K492" s="2" t="s">
        <v>18</v>
      </c>
      <c r="L492" s="2"/>
    </row>
    <row r="493">
      <c r="A493" s="1" t="s">
        <v>614</v>
      </c>
      <c r="B493" s="1" t="s">
        <v>614</v>
      </c>
      <c r="C493" s="5" t="s">
        <v>305</v>
      </c>
      <c r="D493" s="5" t="s">
        <v>306</v>
      </c>
      <c r="E493" s="6">
        <v>45707.71527777778</v>
      </c>
      <c r="F493" s="7" t="s">
        <v>307</v>
      </c>
      <c r="G493" s="5" t="s">
        <v>24</v>
      </c>
      <c r="K493" s="2" t="s">
        <v>18</v>
      </c>
      <c r="L493" s="2"/>
    </row>
    <row r="494">
      <c r="A494" s="1" t="s">
        <v>615</v>
      </c>
      <c r="B494" s="1" t="s">
        <v>615</v>
      </c>
      <c r="C494" s="5" t="s">
        <v>309</v>
      </c>
      <c r="D494" s="5" t="s">
        <v>310</v>
      </c>
      <c r="E494" s="6">
        <v>45708.464583333334</v>
      </c>
      <c r="F494" s="7" t="s">
        <v>311</v>
      </c>
      <c r="G494" s="5" t="s">
        <v>16</v>
      </c>
      <c r="K494" s="2" t="s">
        <v>18</v>
      </c>
      <c r="L494" s="2"/>
    </row>
    <row r="495">
      <c r="A495" s="8" t="s">
        <v>616</v>
      </c>
      <c r="B495" s="8" t="s">
        <v>616</v>
      </c>
      <c r="C495" s="2" t="s">
        <v>309</v>
      </c>
      <c r="D495" s="2" t="s">
        <v>310</v>
      </c>
      <c r="E495" s="6">
        <v>45708.464583333334</v>
      </c>
      <c r="F495" s="7" t="s">
        <v>617</v>
      </c>
      <c r="G495" s="5" t="s">
        <v>16</v>
      </c>
      <c r="K495" s="2" t="s">
        <v>18</v>
      </c>
      <c r="L495" s="2"/>
    </row>
    <row r="496">
      <c r="A496" s="1" t="s">
        <v>618</v>
      </c>
      <c r="B496" s="1" t="s">
        <v>618</v>
      </c>
      <c r="C496" s="5" t="s">
        <v>213</v>
      </c>
      <c r="D496" s="5" t="s">
        <v>214</v>
      </c>
      <c r="E496" s="6">
        <v>45708.475</v>
      </c>
      <c r="F496" s="7" t="s">
        <v>215</v>
      </c>
      <c r="G496" s="5" t="s">
        <v>24</v>
      </c>
      <c r="K496" s="2" t="s">
        <v>18</v>
      </c>
      <c r="L496" s="2"/>
    </row>
    <row r="497">
      <c r="A497" s="1" t="s">
        <v>619</v>
      </c>
      <c r="B497" s="1" t="s">
        <v>619</v>
      </c>
      <c r="C497" s="5" t="s">
        <v>309</v>
      </c>
      <c r="D497" s="5" t="s">
        <v>310</v>
      </c>
      <c r="E497" s="6">
        <v>45708.600694444445</v>
      </c>
      <c r="F497" s="7" t="s">
        <v>311</v>
      </c>
      <c r="G497" s="5" t="s">
        <v>24</v>
      </c>
      <c r="K497" s="2" t="s">
        <v>18</v>
      </c>
      <c r="L497" s="2"/>
    </row>
    <row r="498">
      <c r="A498" s="1" t="s">
        <v>620</v>
      </c>
      <c r="B498" s="1" t="s">
        <v>620</v>
      </c>
      <c r="C498" s="2" t="s">
        <v>309</v>
      </c>
      <c r="D498" s="2" t="s">
        <v>310</v>
      </c>
      <c r="E498" s="6">
        <v>45708.600694444445</v>
      </c>
      <c r="F498" s="7" t="s">
        <v>617</v>
      </c>
      <c r="G498" s="5" t="s">
        <v>24</v>
      </c>
      <c r="K498" s="2" t="s">
        <v>18</v>
      </c>
      <c r="L498" s="2"/>
    </row>
    <row r="499">
      <c r="A499" s="1" t="s">
        <v>621</v>
      </c>
      <c r="B499" s="1" t="s">
        <v>621</v>
      </c>
      <c r="C499" s="5" t="s">
        <v>213</v>
      </c>
      <c r="D499" s="5" t="s">
        <v>214</v>
      </c>
      <c r="E499" s="6">
        <v>45709.37152777778</v>
      </c>
      <c r="F499" s="7" t="s">
        <v>215</v>
      </c>
      <c r="G499" s="5" t="s">
        <v>16</v>
      </c>
      <c r="I499" s="2" t="s">
        <v>17</v>
      </c>
      <c r="K499" s="2" t="s">
        <v>18</v>
      </c>
      <c r="L499" s="2"/>
    </row>
    <row r="500">
      <c r="A500" s="1" t="s">
        <v>622</v>
      </c>
      <c r="B500" s="1" t="s">
        <v>622</v>
      </c>
      <c r="C500" s="5" t="s">
        <v>45</v>
      </c>
      <c r="D500" s="5" t="s">
        <v>46</v>
      </c>
      <c r="E500" s="6">
        <v>45709.375</v>
      </c>
      <c r="F500" s="7" t="s">
        <v>47</v>
      </c>
      <c r="G500" s="5" t="s">
        <v>16</v>
      </c>
      <c r="I500" s="2" t="s">
        <v>17</v>
      </c>
      <c r="J500" s="2"/>
      <c r="K500" s="2" t="s">
        <v>18</v>
      </c>
      <c r="L500" s="2"/>
    </row>
    <row r="501">
      <c r="A501" s="1" t="s">
        <v>623</v>
      </c>
      <c r="B501" s="1" t="s">
        <v>623</v>
      </c>
      <c r="C501" s="5" t="s">
        <v>213</v>
      </c>
      <c r="D501" s="5" t="s">
        <v>214</v>
      </c>
      <c r="E501" s="6">
        <v>45709.535416666666</v>
      </c>
      <c r="F501" s="7" t="s">
        <v>215</v>
      </c>
      <c r="G501" s="5" t="s">
        <v>24</v>
      </c>
      <c r="K501" s="2" t="s">
        <v>18</v>
      </c>
      <c r="L501" s="2"/>
    </row>
    <row r="502">
      <c r="A502" s="1" t="s">
        <v>624</v>
      </c>
      <c r="B502" s="1" t="s">
        <v>624</v>
      </c>
      <c r="C502" s="5" t="s">
        <v>326</v>
      </c>
      <c r="D502" s="5" t="s">
        <v>327</v>
      </c>
      <c r="E502" s="6">
        <v>45709.65486111111</v>
      </c>
      <c r="F502" s="7" t="s">
        <v>328</v>
      </c>
      <c r="G502" s="5" t="s">
        <v>24</v>
      </c>
      <c r="K502" s="2" t="s">
        <v>18</v>
      </c>
      <c r="L502" s="2"/>
    </row>
    <row r="503">
      <c r="A503" s="1" t="s">
        <v>625</v>
      </c>
      <c r="B503" s="1" t="s">
        <v>625</v>
      </c>
      <c r="C503" s="5" t="s">
        <v>49</v>
      </c>
      <c r="D503" s="5" t="s">
        <v>50</v>
      </c>
      <c r="E503" s="6">
        <v>45709.65694444445</v>
      </c>
      <c r="F503" s="7" t="s">
        <v>51</v>
      </c>
      <c r="G503" s="5" t="s">
        <v>24</v>
      </c>
      <c r="K503" s="2" t="s">
        <v>18</v>
      </c>
      <c r="L503" s="2"/>
    </row>
    <row r="504">
      <c r="A504" s="1" t="s">
        <v>626</v>
      </c>
      <c r="B504" s="1" t="s">
        <v>626</v>
      </c>
      <c r="C504" s="5" t="s">
        <v>131</v>
      </c>
      <c r="D504" s="5" t="s">
        <v>132</v>
      </c>
      <c r="E504" s="6">
        <v>45709.65763888889</v>
      </c>
      <c r="F504" s="7" t="s">
        <v>133</v>
      </c>
      <c r="G504" s="5" t="s">
        <v>24</v>
      </c>
      <c r="K504" s="2" t="s">
        <v>18</v>
      </c>
      <c r="L504" s="2"/>
    </row>
    <row r="505">
      <c r="A505" s="1" t="s">
        <v>627</v>
      </c>
      <c r="B505" s="1" t="s">
        <v>627</v>
      </c>
      <c r="C505" s="5" t="s">
        <v>109</v>
      </c>
      <c r="D505" s="5" t="s">
        <v>110</v>
      </c>
      <c r="E505" s="6">
        <v>45710.37222222222</v>
      </c>
      <c r="F505" s="7" t="s">
        <v>111</v>
      </c>
      <c r="G505" s="5" t="s">
        <v>16</v>
      </c>
      <c r="K505" s="2" t="s">
        <v>18</v>
      </c>
      <c r="L505" s="2"/>
    </row>
    <row r="506">
      <c r="A506" s="1" t="s">
        <v>628</v>
      </c>
      <c r="B506" s="1" t="s">
        <v>628</v>
      </c>
      <c r="C506" s="5" t="s">
        <v>109</v>
      </c>
      <c r="D506" s="5" t="s">
        <v>110</v>
      </c>
      <c r="E506" s="6">
        <v>45710.459027777775</v>
      </c>
      <c r="F506" s="7" t="s">
        <v>111</v>
      </c>
      <c r="G506" s="5" t="s">
        <v>24</v>
      </c>
      <c r="K506" s="2" t="s">
        <v>18</v>
      </c>
      <c r="L506" s="2"/>
    </row>
    <row r="507">
      <c r="A507" s="1" t="s">
        <v>629</v>
      </c>
      <c r="B507" s="1" t="s">
        <v>629</v>
      </c>
      <c r="C507" s="5" t="s">
        <v>114</v>
      </c>
      <c r="D507" s="5" t="s">
        <v>115</v>
      </c>
      <c r="E507" s="6">
        <v>45712.45833333333</v>
      </c>
      <c r="F507" s="7" t="s">
        <v>116</v>
      </c>
      <c r="G507" s="5" t="s">
        <v>24</v>
      </c>
      <c r="K507" s="2" t="s">
        <v>18</v>
      </c>
      <c r="L507" s="2"/>
    </row>
    <row r="508">
      <c r="A508" s="1" t="s">
        <v>630</v>
      </c>
      <c r="B508" s="1" t="s">
        <v>630</v>
      </c>
      <c r="C508" s="5" t="s">
        <v>213</v>
      </c>
      <c r="D508" s="5" t="s">
        <v>214</v>
      </c>
      <c r="E508" s="6">
        <v>45712.45833333333</v>
      </c>
      <c r="F508" s="7" t="s">
        <v>215</v>
      </c>
      <c r="G508" s="5" t="s">
        <v>24</v>
      </c>
      <c r="K508" s="2" t="s">
        <v>18</v>
      </c>
      <c r="L508" s="2"/>
    </row>
    <row r="509">
      <c r="A509" s="1" t="s">
        <v>631</v>
      </c>
      <c r="B509" s="1" t="s">
        <v>631</v>
      </c>
      <c r="C509" s="5" t="s">
        <v>326</v>
      </c>
      <c r="D509" s="5" t="s">
        <v>327</v>
      </c>
      <c r="E509" s="6">
        <v>45712.57638888889</v>
      </c>
      <c r="F509" s="7" t="s">
        <v>328</v>
      </c>
      <c r="G509" s="5" t="s">
        <v>16</v>
      </c>
      <c r="K509" s="2" t="s">
        <v>18</v>
      </c>
      <c r="L509" s="2"/>
    </row>
    <row r="510">
      <c r="A510" s="1" t="s">
        <v>632</v>
      </c>
      <c r="B510" s="1" t="s">
        <v>632</v>
      </c>
      <c r="C510" s="5" t="s">
        <v>305</v>
      </c>
      <c r="D510" s="5" t="s">
        <v>306</v>
      </c>
      <c r="E510" s="6">
        <v>45712.580555555556</v>
      </c>
      <c r="F510" s="7" t="s">
        <v>307</v>
      </c>
      <c r="G510" s="5" t="s">
        <v>24</v>
      </c>
      <c r="K510" s="2" t="s">
        <v>18</v>
      </c>
      <c r="L510" s="2"/>
    </row>
    <row r="511">
      <c r="A511" s="1" t="s">
        <v>633</v>
      </c>
      <c r="B511" s="1" t="s">
        <v>633</v>
      </c>
      <c r="C511" s="5" t="s">
        <v>49</v>
      </c>
      <c r="D511" s="5" t="s">
        <v>50</v>
      </c>
      <c r="E511" s="6">
        <v>45713.42013888889</v>
      </c>
      <c r="F511" s="7" t="s">
        <v>51</v>
      </c>
      <c r="G511" s="5" t="s">
        <v>16</v>
      </c>
      <c r="K511" s="2" t="s">
        <v>18</v>
      </c>
      <c r="L511" s="2"/>
    </row>
    <row r="512">
      <c r="A512" s="1" t="s">
        <v>634</v>
      </c>
      <c r="B512" s="1" t="s">
        <v>634</v>
      </c>
      <c r="C512" s="5" t="s">
        <v>505</v>
      </c>
      <c r="D512" s="5" t="s">
        <v>506</v>
      </c>
      <c r="E512" s="6">
        <v>45713.54861111111</v>
      </c>
      <c r="F512" s="7" t="s">
        <v>507</v>
      </c>
      <c r="G512" s="5" t="s">
        <v>24</v>
      </c>
      <c r="K512" s="2" t="s">
        <v>18</v>
      </c>
      <c r="L512" s="2"/>
    </row>
    <row r="513">
      <c r="A513" s="1" t="s">
        <v>635</v>
      </c>
      <c r="B513" s="1" t="s">
        <v>635</v>
      </c>
      <c r="C513" s="5" t="s">
        <v>131</v>
      </c>
      <c r="D513" s="5" t="s">
        <v>132</v>
      </c>
      <c r="E513" s="6">
        <v>45713.549305555556</v>
      </c>
      <c r="F513" s="7" t="s">
        <v>133</v>
      </c>
      <c r="G513" s="5" t="s">
        <v>24</v>
      </c>
      <c r="K513" s="2" t="s">
        <v>18</v>
      </c>
      <c r="L513" s="2"/>
    </row>
    <row r="514">
      <c r="A514" s="1" t="s">
        <v>636</v>
      </c>
      <c r="B514" s="1" t="s">
        <v>636</v>
      </c>
      <c r="C514" s="5" t="s">
        <v>49</v>
      </c>
      <c r="D514" s="5" t="s">
        <v>50</v>
      </c>
      <c r="E514" s="6">
        <v>45713.55</v>
      </c>
      <c r="F514" s="7" t="s">
        <v>51</v>
      </c>
      <c r="G514" s="5" t="s">
        <v>24</v>
      </c>
      <c r="K514" s="2" t="s">
        <v>18</v>
      </c>
      <c r="L514" s="2"/>
    </row>
    <row r="515">
      <c r="A515" s="1" t="s">
        <v>637</v>
      </c>
      <c r="B515" s="1" t="s">
        <v>637</v>
      </c>
      <c r="C515" s="5" t="s">
        <v>326</v>
      </c>
      <c r="D515" s="5" t="s">
        <v>327</v>
      </c>
      <c r="E515" s="6">
        <v>45713.55</v>
      </c>
      <c r="F515" s="7" t="s">
        <v>328</v>
      </c>
      <c r="G515" s="5" t="s">
        <v>24</v>
      </c>
      <c r="K515" s="2" t="s">
        <v>18</v>
      </c>
      <c r="L515" s="2"/>
    </row>
    <row r="516">
      <c r="A516" s="1" t="s">
        <v>638</v>
      </c>
      <c r="B516" s="1" t="s">
        <v>638</v>
      </c>
      <c r="C516" s="5" t="s">
        <v>213</v>
      </c>
      <c r="D516" s="5" t="s">
        <v>214</v>
      </c>
      <c r="E516" s="6">
        <v>45713.70138888889</v>
      </c>
      <c r="F516" s="7" t="s">
        <v>215</v>
      </c>
      <c r="G516" s="5" t="s">
        <v>16</v>
      </c>
      <c r="I516" s="2" t="s">
        <v>17</v>
      </c>
      <c r="K516" s="2" t="s">
        <v>18</v>
      </c>
      <c r="L516" s="2"/>
    </row>
    <row r="517">
      <c r="A517" s="1" t="s">
        <v>639</v>
      </c>
      <c r="B517" s="1" t="s">
        <v>639</v>
      </c>
      <c r="C517" s="5" t="s">
        <v>213</v>
      </c>
      <c r="D517" s="5" t="s">
        <v>214</v>
      </c>
      <c r="E517" s="6">
        <v>45714.51527777778</v>
      </c>
      <c r="F517" s="7" t="s">
        <v>215</v>
      </c>
      <c r="G517" s="5" t="s">
        <v>24</v>
      </c>
      <c r="K517" s="2" t="s">
        <v>18</v>
      </c>
      <c r="L517" s="2"/>
    </row>
    <row r="518">
      <c r="A518" s="1" t="s">
        <v>640</v>
      </c>
      <c r="B518" s="1" t="s">
        <v>640</v>
      </c>
      <c r="C518" s="5" t="s">
        <v>309</v>
      </c>
      <c r="D518" s="5" t="s">
        <v>310</v>
      </c>
      <c r="E518" s="6">
        <v>45714.67222222222</v>
      </c>
      <c r="F518" s="7" t="s">
        <v>311</v>
      </c>
      <c r="G518" s="5" t="s">
        <v>24</v>
      </c>
      <c r="K518" s="2" t="s">
        <v>18</v>
      </c>
      <c r="L518" s="2"/>
    </row>
    <row r="519">
      <c r="A519" s="1" t="s">
        <v>641</v>
      </c>
      <c r="B519" s="1" t="s">
        <v>641</v>
      </c>
      <c r="C519" s="5" t="s">
        <v>305</v>
      </c>
      <c r="D519" s="5" t="s">
        <v>306</v>
      </c>
      <c r="E519" s="6">
        <v>45714.67291666666</v>
      </c>
      <c r="F519" s="7" t="s">
        <v>307</v>
      </c>
      <c r="G519" s="5" t="s">
        <v>24</v>
      </c>
      <c r="K519" s="2" t="s">
        <v>18</v>
      </c>
      <c r="L519" s="2"/>
    </row>
    <row r="520">
      <c r="A520" s="1" t="s">
        <v>642</v>
      </c>
      <c r="B520" s="1" t="s">
        <v>642</v>
      </c>
      <c r="C520" s="5" t="s">
        <v>493</v>
      </c>
      <c r="D520" s="5" t="s">
        <v>494</v>
      </c>
      <c r="E520" s="6">
        <v>45715.40486111111</v>
      </c>
      <c r="F520" s="7" t="s">
        <v>495</v>
      </c>
      <c r="G520" s="5" t="s">
        <v>16</v>
      </c>
      <c r="I520" s="2" t="s">
        <v>17</v>
      </c>
      <c r="K520" s="2" t="s">
        <v>18</v>
      </c>
      <c r="L520" s="2"/>
    </row>
    <row r="521">
      <c r="A521" s="1" t="s">
        <v>643</v>
      </c>
      <c r="B521" s="1" t="s">
        <v>643</v>
      </c>
      <c r="C521" s="5" t="s">
        <v>326</v>
      </c>
      <c r="D521" s="5" t="s">
        <v>327</v>
      </c>
      <c r="E521" s="6">
        <v>45715.40625</v>
      </c>
      <c r="F521" s="7" t="s">
        <v>328</v>
      </c>
      <c r="G521" s="5" t="s">
        <v>16</v>
      </c>
      <c r="K521" s="2" t="s">
        <v>18</v>
      </c>
      <c r="L521" s="2"/>
    </row>
    <row r="522">
      <c r="A522" s="1" t="s">
        <v>644</v>
      </c>
      <c r="B522" s="1" t="s">
        <v>644</v>
      </c>
      <c r="C522" s="5" t="s">
        <v>45</v>
      </c>
      <c r="D522" s="5" t="s">
        <v>46</v>
      </c>
      <c r="E522" s="6">
        <v>45715.48611111111</v>
      </c>
      <c r="F522" s="7" t="s">
        <v>47</v>
      </c>
      <c r="G522" s="5" t="s">
        <v>24</v>
      </c>
      <c r="K522" s="2" t="s">
        <v>18</v>
      </c>
      <c r="L522" s="2"/>
    </row>
    <row r="523">
      <c r="A523" s="1" t="s">
        <v>645</v>
      </c>
      <c r="B523" s="1" t="s">
        <v>645</v>
      </c>
      <c r="C523" s="5" t="s">
        <v>326</v>
      </c>
      <c r="D523" s="5" t="s">
        <v>327</v>
      </c>
      <c r="E523" s="6">
        <v>45715.65</v>
      </c>
      <c r="F523" s="7" t="s">
        <v>328</v>
      </c>
      <c r="G523" s="5" t="s">
        <v>24</v>
      </c>
      <c r="K523" s="2" t="s">
        <v>18</v>
      </c>
      <c r="L523" s="2"/>
    </row>
    <row r="524">
      <c r="A524" s="1" t="s">
        <v>646</v>
      </c>
      <c r="B524" s="1" t="s">
        <v>646</v>
      </c>
      <c r="C524" s="5" t="s">
        <v>493</v>
      </c>
      <c r="D524" s="5" t="s">
        <v>494</v>
      </c>
      <c r="E524" s="6">
        <v>45715.65</v>
      </c>
      <c r="F524" s="7" t="s">
        <v>495</v>
      </c>
      <c r="G524" s="5" t="s">
        <v>24</v>
      </c>
      <c r="K524" s="2" t="s">
        <v>18</v>
      </c>
      <c r="L524" s="2"/>
    </row>
    <row r="525">
      <c r="A525" s="1" t="s">
        <v>647</v>
      </c>
      <c r="B525" s="1" t="s">
        <v>647</v>
      </c>
      <c r="C525" s="5" t="s">
        <v>213</v>
      </c>
      <c r="D525" s="5" t="s">
        <v>214</v>
      </c>
      <c r="E525" s="6">
        <v>45716.3875</v>
      </c>
      <c r="F525" s="7" t="s">
        <v>215</v>
      </c>
      <c r="G525" s="5" t="s">
        <v>16</v>
      </c>
      <c r="I525" s="2" t="s">
        <v>17</v>
      </c>
      <c r="K525" s="2" t="s">
        <v>18</v>
      </c>
      <c r="L525" s="2"/>
    </row>
    <row r="526">
      <c r="A526" s="1" t="s">
        <v>648</v>
      </c>
      <c r="B526" s="1" t="s">
        <v>648</v>
      </c>
      <c r="C526" s="5" t="s">
        <v>213</v>
      </c>
      <c r="D526" s="5" t="s">
        <v>214</v>
      </c>
      <c r="E526" s="6">
        <v>45716.49791666667</v>
      </c>
      <c r="F526" s="7" t="s">
        <v>215</v>
      </c>
      <c r="G526" s="5" t="s">
        <v>24</v>
      </c>
      <c r="K526" s="2" t="s">
        <v>18</v>
      </c>
      <c r="L526" s="2"/>
    </row>
    <row r="527">
      <c r="A527" s="1" t="s">
        <v>649</v>
      </c>
      <c r="B527" s="1" t="s">
        <v>649</v>
      </c>
      <c r="C527" s="5" t="s">
        <v>345</v>
      </c>
      <c r="D527" s="5" t="s">
        <v>346</v>
      </c>
      <c r="E527" s="6">
        <v>45716.68888888889</v>
      </c>
      <c r="F527" s="7" t="s">
        <v>347</v>
      </c>
      <c r="G527" s="5" t="s">
        <v>24</v>
      </c>
      <c r="K527" s="2" t="s">
        <v>18</v>
      </c>
      <c r="L527" s="2"/>
    </row>
    <row r="528">
      <c r="A528" s="1" t="s">
        <v>650</v>
      </c>
      <c r="B528" s="1" t="s">
        <v>650</v>
      </c>
      <c r="C528" s="5" t="s">
        <v>213</v>
      </c>
      <c r="D528" s="5" t="s">
        <v>214</v>
      </c>
      <c r="E528" s="6">
        <v>45717.38958333334</v>
      </c>
      <c r="F528" s="7" t="s">
        <v>215</v>
      </c>
      <c r="G528" s="5" t="s">
        <v>16</v>
      </c>
      <c r="I528" s="2" t="s">
        <v>17</v>
      </c>
      <c r="K528" s="2" t="s">
        <v>18</v>
      </c>
      <c r="L528" s="2"/>
    </row>
    <row r="529">
      <c r="A529" s="1" t="s">
        <v>651</v>
      </c>
      <c r="B529" s="1" t="s">
        <v>651</v>
      </c>
      <c r="C529" s="5" t="s">
        <v>45</v>
      </c>
      <c r="D529" s="5" t="s">
        <v>46</v>
      </c>
      <c r="E529" s="6">
        <v>45717.40138888889</v>
      </c>
      <c r="F529" s="7" t="s">
        <v>47</v>
      </c>
      <c r="G529" s="5" t="s">
        <v>16</v>
      </c>
      <c r="I529" s="2" t="s">
        <v>17</v>
      </c>
      <c r="J529" s="2"/>
      <c r="K529" s="2" t="s">
        <v>18</v>
      </c>
      <c r="L529" s="2"/>
    </row>
    <row r="530">
      <c r="A530" s="1" t="s">
        <v>652</v>
      </c>
      <c r="B530" s="1" t="s">
        <v>652</v>
      </c>
      <c r="C530" s="5" t="s">
        <v>213</v>
      </c>
      <c r="D530" s="5" t="s">
        <v>214</v>
      </c>
      <c r="E530" s="6">
        <v>45717.60416666667</v>
      </c>
      <c r="F530" s="7" t="s">
        <v>215</v>
      </c>
      <c r="G530" s="5" t="s">
        <v>24</v>
      </c>
      <c r="K530" s="2" t="s">
        <v>18</v>
      </c>
      <c r="L530" s="2"/>
    </row>
    <row r="531">
      <c r="A531" s="1" t="s">
        <v>653</v>
      </c>
      <c r="B531" s="1" t="s">
        <v>653</v>
      </c>
      <c r="C531" s="5" t="s">
        <v>654</v>
      </c>
      <c r="D531" s="5" t="s">
        <v>655</v>
      </c>
      <c r="E531" s="6">
        <v>45719.39236111111</v>
      </c>
      <c r="F531" s="7" t="s">
        <v>656</v>
      </c>
      <c r="G531" s="5" t="s">
        <v>16</v>
      </c>
      <c r="K531" s="2" t="s">
        <v>18</v>
      </c>
      <c r="L531" s="2"/>
    </row>
    <row r="532">
      <c r="A532" s="1" t="s">
        <v>657</v>
      </c>
      <c r="B532" s="1" t="s">
        <v>657</v>
      </c>
      <c r="C532" s="5" t="s">
        <v>49</v>
      </c>
      <c r="D532" s="5" t="s">
        <v>50</v>
      </c>
      <c r="E532" s="6">
        <v>45719.63888888889</v>
      </c>
      <c r="F532" s="7" t="s">
        <v>51</v>
      </c>
      <c r="G532" s="5" t="s">
        <v>24</v>
      </c>
      <c r="K532" s="2" t="s">
        <v>18</v>
      </c>
      <c r="L532" s="2"/>
    </row>
    <row r="533">
      <c r="A533" s="1" t="s">
        <v>658</v>
      </c>
      <c r="B533" s="1" t="s">
        <v>658</v>
      </c>
      <c r="C533" s="5" t="s">
        <v>131</v>
      </c>
      <c r="D533" s="5" t="s">
        <v>132</v>
      </c>
      <c r="E533" s="6">
        <v>45719.63888888889</v>
      </c>
      <c r="F533" s="7" t="s">
        <v>133</v>
      </c>
      <c r="G533" s="5" t="s">
        <v>24</v>
      </c>
      <c r="K533" s="2" t="s">
        <v>18</v>
      </c>
      <c r="L533" s="2"/>
    </row>
    <row r="534">
      <c r="A534" s="1" t="s">
        <v>659</v>
      </c>
      <c r="B534" s="1" t="s">
        <v>659</v>
      </c>
      <c r="C534" s="5" t="s">
        <v>109</v>
      </c>
      <c r="D534" s="5" t="s">
        <v>110</v>
      </c>
      <c r="E534" s="6">
        <v>45719.63958333334</v>
      </c>
      <c r="F534" s="7" t="s">
        <v>111</v>
      </c>
      <c r="G534" s="5" t="s">
        <v>24</v>
      </c>
      <c r="K534" s="2" t="s">
        <v>18</v>
      </c>
      <c r="L534" s="2"/>
    </row>
    <row r="535">
      <c r="A535" s="1" t="s">
        <v>660</v>
      </c>
      <c r="B535" s="1" t="s">
        <v>660</v>
      </c>
      <c r="C535" s="5" t="s">
        <v>45</v>
      </c>
      <c r="D535" s="5" t="s">
        <v>46</v>
      </c>
      <c r="E535" s="6">
        <v>45720.427777777775</v>
      </c>
      <c r="F535" s="7" t="s">
        <v>47</v>
      </c>
      <c r="G535" s="5" t="s">
        <v>16</v>
      </c>
      <c r="I535" s="2" t="s">
        <v>17</v>
      </c>
      <c r="J535" s="2"/>
      <c r="K535" s="2" t="s">
        <v>18</v>
      </c>
      <c r="L535" s="2"/>
    </row>
    <row r="536">
      <c r="A536" s="1" t="s">
        <v>661</v>
      </c>
      <c r="B536" s="1" t="s">
        <v>661</v>
      </c>
      <c r="C536" s="5" t="s">
        <v>309</v>
      </c>
      <c r="D536" s="5" t="s">
        <v>310</v>
      </c>
      <c r="E536" s="6">
        <v>45720.430555555555</v>
      </c>
      <c r="F536" s="7" t="s">
        <v>311</v>
      </c>
      <c r="G536" s="5" t="s">
        <v>16</v>
      </c>
      <c r="K536" s="2" t="s">
        <v>18</v>
      </c>
      <c r="L536" s="2"/>
    </row>
    <row r="537">
      <c r="A537" s="1" t="s">
        <v>662</v>
      </c>
      <c r="B537" s="1" t="s">
        <v>662</v>
      </c>
      <c r="C537" s="5" t="s">
        <v>309</v>
      </c>
      <c r="D537" s="5" t="s">
        <v>310</v>
      </c>
      <c r="E537" s="6">
        <v>45720.52222222222</v>
      </c>
      <c r="F537" s="7" t="s">
        <v>311</v>
      </c>
      <c r="G537" s="5" t="s">
        <v>24</v>
      </c>
      <c r="K537" s="2" t="s">
        <v>18</v>
      </c>
      <c r="L537" s="2"/>
    </row>
    <row r="538">
      <c r="A538" s="1" t="s">
        <v>663</v>
      </c>
      <c r="B538" s="1" t="s">
        <v>663</v>
      </c>
      <c r="C538" s="5" t="s">
        <v>213</v>
      </c>
      <c r="D538" s="5" t="s">
        <v>214</v>
      </c>
      <c r="E538" s="6">
        <v>45720.52222222222</v>
      </c>
      <c r="F538" s="7" t="s">
        <v>215</v>
      </c>
      <c r="G538" s="5" t="s">
        <v>24</v>
      </c>
      <c r="K538" s="2" t="s">
        <v>18</v>
      </c>
      <c r="L538" s="2"/>
    </row>
    <row r="539">
      <c r="A539" s="1" t="s">
        <v>664</v>
      </c>
      <c r="B539" s="1" t="s">
        <v>664</v>
      </c>
      <c r="C539" s="5" t="s">
        <v>55</v>
      </c>
      <c r="D539" s="5" t="s">
        <v>56</v>
      </c>
      <c r="E539" s="6">
        <v>45720.52638888889</v>
      </c>
      <c r="F539" s="7" t="s">
        <v>57</v>
      </c>
      <c r="G539" s="5" t="s">
        <v>16</v>
      </c>
      <c r="I539" s="2" t="s">
        <v>17</v>
      </c>
      <c r="J539" s="2"/>
      <c r="K539" s="2" t="s">
        <v>18</v>
      </c>
      <c r="L539" s="2"/>
    </row>
    <row r="540">
      <c r="A540" s="1" t="s">
        <v>665</v>
      </c>
      <c r="B540" s="1" t="s">
        <v>665</v>
      </c>
      <c r="C540" s="5" t="s">
        <v>55</v>
      </c>
      <c r="D540" s="5" t="s">
        <v>56</v>
      </c>
      <c r="E540" s="6">
        <v>45720.65277777778</v>
      </c>
      <c r="F540" s="7" t="s">
        <v>57</v>
      </c>
      <c r="G540" s="5" t="s">
        <v>24</v>
      </c>
      <c r="K540" s="2" t="s">
        <v>18</v>
      </c>
      <c r="L540" s="2"/>
    </row>
    <row r="541">
      <c r="A541" s="1" t="s">
        <v>666</v>
      </c>
      <c r="B541" s="1" t="s">
        <v>666</v>
      </c>
      <c r="C541" s="5" t="s">
        <v>326</v>
      </c>
      <c r="D541" s="5" t="s">
        <v>327</v>
      </c>
      <c r="E541" s="6">
        <v>45720.65833333333</v>
      </c>
      <c r="F541" s="7" t="s">
        <v>328</v>
      </c>
      <c r="G541" s="5" t="s">
        <v>24</v>
      </c>
      <c r="K541" s="2" t="s">
        <v>18</v>
      </c>
      <c r="L541" s="2"/>
    </row>
    <row r="542">
      <c r="A542" s="1" t="s">
        <v>667</v>
      </c>
      <c r="B542" s="1" t="s">
        <v>667</v>
      </c>
      <c r="C542" s="5" t="s">
        <v>45</v>
      </c>
      <c r="D542" s="5" t="s">
        <v>46</v>
      </c>
      <c r="E542" s="6">
        <v>45720.65833333333</v>
      </c>
      <c r="F542" s="7" t="s">
        <v>47</v>
      </c>
      <c r="G542" s="5" t="s">
        <v>24</v>
      </c>
      <c r="K542" s="2" t="s">
        <v>18</v>
      </c>
      <c r="L542" s="2"/>
    </row>
    <row r="543">
      <c r="A543" s="1" t="s">
        <v>668</v>
      </c>
      <c r="B543" s="1" t="s">
        <v>668</v>
      </c>
      <c r="C543" s="5" t="s">
        <v>305</v>
      </c>
      <c r="D543" s="5" t="s">
        <v>306</v>
      </c>
      <c r="E543" s="6">
        <v>45720.660416666666</v>
      </c>
      <c r="F543" s="7" t="s">
        <v>307</v>
      </c>
      <c r="G543" s="5" t="s">
        <v>24</v>
      </c>
      <c r="K543" s="2" t="s">
        <v>18</v>
      </c>
      <c r="L543" s="2"/>
    </row>
    <row r="544">
      <c r="A544" s="1" t="s">
        <v>669</v>
      </c>
      <c r="B544" s="1" t="s">
        <v>669</v>
      </c>
      <c r="C544" s="5" t="s">
        <v>326</v>
      </c>
      <c r="D544" s="5" t="s">
        <v>327</v>
      </c>
      <c r="E544" s="6">
        <v>45721.42569444445</v>
      </c>
      <c r="F544" s="7" t="s">
        <v>328</v>
      </c>
      <c r="G544" s="5" t="s">
        <v>16</v>
      </c>
      <c r="K544" s="2" t="s">
        <v>18</v>
      </c>
      <c r="L544" s="2"/>
    </row>
    <row r="545">
      <c r="A545" s="1" t="s">
        <v>670</v>
      </c>
      <c r="B545" s="1" t="s">
        <v>670</v>
      </c>
      <c r="C545" s="5" t="s">
        <v>213</v>
      </c>
      <c r="D545" s="5" t="s">
        <v>214</v>
      </c>
      <c r="E545" s="6">
        <v>45721.51944444445</v>
      </c>
      <c r="F545" s="7" t="s">
        <v>215</v>
      </c>
      <c r="G545" s="5" t="s">
        <v>16</v>
      </c>
      <c r="I545" s="2" t="s">
        <v>17</v>
      </c>
      <c r="K545" s="2" t="s">
        <v>18</v>
      </c>
      <c r="L545" s="2"/>
    </row>
    <row r="546">
      <c r="A546" s="1" t="s">
        <v>671</v>
      </c>
      <c r="B546" s="1" t="s">
        <v>671</v>
      </c>
      <c r="C546" s="5" t="s">
        <v>45</v>
      </c>
      <c r="D546" s="5" t="s">
        <v>46</v>
      </c>
      <c r="E546" s="6">
        <v>45721.646527777775</v>
      </c>
      <c r="F546" s="7" t="s">
        <v>47</v>
      </c>
      <c r="G546" s="5" t="s">
        <v>24</v>
      </c>
      <c r="K546" s="2" t="s">
        <v>18</v>
      </c>
      <c r="L546" s="2"/>
    </row>
    <row r="547">
      <c r="A547" s="1" t="s">
        <v>672</v>
      </c>
      <c r="B547" s="1" t="s">
        <v>672</v>
      </c>
      <c r="C547" s="5" t="s">
        <v>326</v>
      </c>
      <c r="D547" s="5" t="s">
        <v>327</v>
      </c>
      <c r="E547" s="6">
        <v>45721.67708333333</v>
      </c>
      <c r="F547" s="7" t="s">
        <v>328</v>
      </c>
      <c r="G547" s="5" t="s">
        <v>24</v>
      </c>
      <c r="K547" s="2" t="s">
        <v>18</v>
      </c>
      <c r="L547" s="2"/>
    </row>
    <row r="548">
      <c r="A548" s="1" t="s">
        <v>673</v>
      </c>
      <c r="B548" s="1" t="s">
        <v>673</v>
      </c>
      <c r="C548" s="5" t="s">
        <v>305</v>
      </c>
      <c r="D548" s="5" t="s">
        <v>306</v>
      </c>
      <c r="E548" s="6">
        <v>45722.35555555555</v>
      </c>
      <c r="F548" s="7" t="s">
        <v>307</v>
      </c>
      <c r="G548" s="5" t="s">
        <v>16</v>
      </c>
      <c r="K548" s="2" t="s">
        <v>18</v>
      </c>
      <c r="L548" s="2"/>
    </row>
    <row r="549">
      <c r="A549" s="1" t="s">
        <v>674</v>
      </c>
      <c r="B549" s="1" t="s">
        <v>674</v>
      </c>
      <c r="C549" s="5" t="s">
        <v>213</v>
      </c>
      <c r="D549" s="5" t="s">
        <v>214</v>
      </c>
      <c r="E549" s="6">
        <v>45722.51111111111</v>
      </c>
      <c r="F549" s="7" t="s">
        <v>215</v>
      </c>
      <c r="G549" s="5" t="s">
        <v>24</v>
      </c>
      <c r="K549" s="2" t="s">
        <v>18</v>
      </c>
      <c r="L549" s="2"/>
    </row>
    <row r="550">
      <c r="A550" s="1" t="s">
        <v>675</v>
      </c>
      <c r="B550" s="1" t="s">
        <v>675</v>
      </c>
      <c r="C550" s="5" t="s">
        <v>349</v>
      </c>
      <c r="D550" s="5" t="s">
        <v>350</v>
      </c>
      <c r="E550" s="6">
        <v>45722.518055555556</v>
      </c>
      <c r="F550" s="7" t="s">
        <v>351</v>
      </c>
      <c r="G550" s="5" t="s">
        <v>16</v>
      </c>
      <c r="K550" s="2" t="s">
        <v>18</v>
      </c>
      <c r="L550" s="2"/>
    </row>
    <row r="551">
      <c r="A551" s="1" t="s">
        <v>676</v>
      </c>
      <c r="B551" s="1" t="s">
        <v>676</v>
      </c>
      <c r="C551" s="5" t="s">
        <v>654</v>
      </c>
      <c r="D551" s="5" t="s">
        <v>655</v>
      </c>
      <c r="E551" s="6">
        <v>45722.55694444444</v>
      </c>
      <c r="F551" s="7" t="s">
        <v>656</v>
      </c>
      <c r="G551" s="5" t="s">
        <v>16</v>
      </c>
      <c r="K551" s="2" t="s">
        <v>18</v>
      </c>
      <c r="L551" s="2"/>
    </row>
    <row r="552">
      <c r="A552" s="1" t="s">
        <v>677</v>
      </c>
      <c r="B552" s="1" t="s">
        <v>677</v>
      </c>
      <c r="C552" s="5" t="s">
        <v>654</v>
      </c>
      <c r="D552" s="5" t="s">
        <v>655</v>
      </c>
      <c r="E552" s="6">
        <v>45723.35208333333</v>
      </c>
      <c r="F552" s="7" t="s">
        <v>656</v>
      </c>
      <c r="G552" s="5" t="s">
        <v>16</v>
      </c>
      <c r="K552" s="2" t="s">
        <v>18</v>
      </c>
      <c r="L552" s="2"/>
    </row>
    <row r="553">
      <c r="A553" s="1" t="s">
        <v>678</v>
      </c>
      <c r="B553" s="1" t="s">
        <v>678</v>
      </c>
      <c r="C553" s="5" t="s">
        <v>679</v>
      </c>
      <c r="D553" s="5" t="s">
        <v>680</v>
      </c>
      <c r="E553" s="6">
        <v>45723.37152777778</v>
      </c>
      <c r="F553" s="7" t="s">
        <v>681</v>
      </c>
      <c r="G553" s="5" t="s">
        <v>16</v>
      </c>
      <c r="I553" s="2" t="s">
        <v>17</v>
      </c>
      <c r="J553" s="2"/>
      <c r="K553" s="2" t="s">
        <v>18</v>
      </c>
      <c r="L553" s="2"/>
    </row>
    <row r="554">
      <c r="A554" s="1" t="s">
        <v>682</v>
      </c>
      <c r="B554" s="1" t="s">
        <v>682</v>
      </c>
      <c r="C554" s="5" t="s">
        <v>654</v>
      </c>
      <c r="D554" s="5" t="s">
        <v>655</v>
      </c>
      <c r="E554" s="6">
        <v>45723.445138888885</v>
      </c>
      <c r="F554" s="7" t="s">
        <v>656</v>
      </c>
      <c r="G554" s="5" t="s">
        <v>24</v>
      </c>
      <c r="K554" s="2" t="s">
        <v>18</v>
      </c>
      <c r="L554" s="2"/>
    </row>
    <row r="555">
      <c r="A555" s="1" t="s">
        <v>683</v>
      </c>
      <c r="B555" s="1" t="s">
        <v>683</v>
      </c>
      <c r="C555" s="5" t="s">
        <v>305</v>
      </c>
      <c r="D555" s="5" t="s">
        <v>306</v>
      </c>
      <c r="E555" s="6">
        <v>45723.44583333333</v>
      </c>
      <c r="F555" s="7" t="s">
        <v>307</v>
      </c>
      <c r="G555" s="5" t="s">
        <v>24</v>
      </c>
      <c r="K555" s="2" t="s">
        <v>18</v>
      </c>
      <c r="L555" s="2"/>
    </row>
    <row r="556">
      <c r="A556" s="1" t="s">
        <v>684</v>
      </c>
      <c r="B556" s="1" t="s">
        <v>684</v>
      </c>
      <c r="C556" s="5" t="s">
        <v>685</v>
      </c>
      <c r="D556" s="5" t="s">
        <v>686</v>
      </c>
      <c r="E556" s="6">
        <v>45723.57777777778</v>
      </c>
      <c r="F556" s="7" t="s">
        <v>687</v>
      </c>
      <c r="G556" s="5" t="s">
        <v>16</v>
      </c>
      <c r="I556" s="2" t="s">
        <v>17</v>
      </c>
      <c r="J556" s="2"/>
      <c r="K556" s="2" t="s">
        <v>18</v>
      </c>
      <c r="L556" s="2"/>
    </row>
    <row r="557">
      <c r="A557" s="1" t="s">
        <v>688</v>
      </c>
      <c r="B557" s="1" t="s">
        <v>688</v>
      </c>
      <c r="C557" s="5" t="s">
        <v>685</v>
      </c>
      <c r="D557" s="5" t="s">
        <v>686</v>
      </c>
      <c r="E557" s="6">
        <v>45723.63402777778</v>
      </c>
      <c r="F557" s="7" t="s">
        <v>687</v>
      </c>
      <c r="G557" s="5" t="s">
        <v>24</v>
      </c>
      <c r="K557" s="2" t="s">
        <v>18</v>
      </c>
      <c r="L557" s="2"/>
    </row>
    <row r="558">
      <c r="A558" s="1" t="s">
        <v>689</v>
      </c>
      <c r="B558" s="1" t="s">
        <v>689</v>
      </c>
      <c r="C558" s="2" t="s">
        <v>690</v>
      </c>
      <c r="D558" s="5" t="s">
        <v>691</v>
      </c>
      <c r="E558" s="6">
        <v>45723.63888888889</v>
      </c>
      <c r="F558" s="7" t="e">
        <v>#N/A</v>
      </c>
      <c r="G558" s="5" t="s">
        <v>16</v>
      </c>
      <c r="K558" s="2" t="s">
        <v>18</v>
      </c>
      <c r="L558" s="2"/>
    </row>
    <row r="559">
      <c r="A559" s="1" t="s">
        <v>692</v>
      </c>
      <c r="B559" s="1" t="s">
        <v>692</v>
      </c>
      <c r="C559" s="5" t="s">
        <v>654</v>
      </c>
      <c r="D559" s="5" t="s">
        <v>655</v>
      </c>
      <c r="E559" s="6">
        <v>45724.36944444444</v>
      </c>
      <c r="F559" s="7" t="s">
        <v>656</v>
      </c>
      <c r="G559" s="5" t="s">
        <v>16</v>
      </c>
      <c r="K559" s="2" t="s">
        <v>18</v>
      </c>
      <c r="L559" s="2"/>
    </row>
    <row r="560">
      <c r="A560" s="1" t="s">
        <v>693</v>
      </c>
      <c r="B560" s="1" t="s">
        <v>693</v>
      </c>
      <c r="C560" s="5" t="s">
        <v>213</v>
      </c>
      <c r="D560" s="5" t="s">
        <v>214</v>
      </c>
      <c r="E560" s="6">
        <v>45724.461805555555</v>
      </c>
      <c r="F560" s="7" t="s">
        <v>215</v>
      </c>
      <c r="G560" s="5" t="s">
        <v>24</v>
      </c>
      <c r="K560" s="2" t="s">
        <v>18</v>
      </c>
      <c r="L560" s="2"/>
    </row>
    <row r="561">
      <c r="A561" s="1" t="s">
        <v>694</v>
      </c>
      <c r="B561" s="1" t="s">
        <v>694</v>
      </c>
      <c r="C561" s="5" t="s">
        <v>679</v>
      </c>
      <c r="D561" s="5" t="s">
        <v>680</v>
      </c>
      <c r="E561" s="6">
        <v>45724.589583333334</v>
      </c>
      <c r="F561" s="7" t="s">
        <v>681</v>
      </c>
      <c r="G561" s="5" t="s">
        <v>16</v>
      </c>
      <c r="I561" s="2" t="s">
        <v>17</v>
      </c>
      <c r="J561" s="2"/>
      <c r="K561" s="2" t="s">
        <v>18</v>
      </c>
      <c r="L561" s="2"/>
    </row>
    <row r="562">
      <c r="A562" s="1" t="s">
        <v>695</v>
      </c>
      <c r="B562" s="1" t="s">
        <v>695</v>
      </c>
      <c r="C562" s="5" t="s">
        <v>654</v>
      </c>
      <c r="D562" s="5" t="s">
        <v>655</v>
      </c>
      <c r="E562" s="6">
        <v>45724.65347222222</v>
      </c>
      <c r="F562" s="7" t="s">
        <v>656</v>
      </c>
      <c r="G562" s="5" t="s">
        <v>24</v>
      </c>
      <c r="K562" s="2" t="s">
        <v>18</v>
      </c>
      <c r="L562" s="2"/>
    </row>
    <row r="563">
      <c r="A563" s="1" t="s">
        <v>696</v>
      </c>
      <c r="B563" s="1" t="s">
        <v>696</v>
      </c>
      <c r="C563" s="5" t="s">
        <v>326</v>
      </c>
      <c r="D563" s="5" t="s">
        <v>327</v>
      </c>
      <c r="E563" s="6">
        <v>45726.48055555555</v>
      </c>
      <c r="F563" s="7" t="s">
        <v>328</v>
      </c>
      <c r="G563" s="5" t="s">
        <v>16</v>
      </c>
      <c r="K563" s="2" t="s">
        <v>18</v>
      </c>
      <c r="L563" s="2"/>
    </row>
    <row r="564">
      <c r="A564" s="1" t="s">
        <v>697</v>
      </c>
      <c r="B564" s="1" t="s">
        <v>697</v>
      </c>
      <c r="C564" s="5" t="s">
        <v>320</v>
      </c>
      <c r="D564" s="5" t="s">
        <v>321</v>
      </c>
      <c r="E564" s="6">
        <v>45726.48333333334</v>
      </c>
      <c r="F564" s="7" t="s">
        <v>322</v>
      </c>
      <c r="G564" s="5" t="s">
        <v>16</v>
      </c>
      <c r="I564" s="2" t="s">
        <v>17</v>
      </c>
      <c r="K564" s="2" t="s">
        <v>18</v>
      </c>
      <c r="L564" s="2"/>
    </row>
    <row r="565">
      <c r="A565" s="1" t="s">
        <v>698</v>
      </c>
      <c r="B565" s="1" t="s">
        <v>698</v>
      </c>
      <c r="C565" s="5" t="s">
        <v>654</v>
      </c>
      <c r="D565" s="5" t="s">
        <v>655</v>
      </c>
      <c r="E565" s="6">
        <v>45726.54166666667</v>
      </c>
      <c r="F565" s="7" t="s">
        <v>656</v>
      </c>
      <c r="G565" s="5" t="s">
        <v>24</v>
      </c>
      <c r="K565" s="2" t="s">
        <v>18</v>
      </c>
      <c r="L565" s="2"/>
    </row>
    <row r="566">
      <c r="A566" s="1" t="s">
        <v>699</v>
      </c>
      <c r="B566" s="1" t="s">
        <v>699</v>
      </c>
      <c r="C566" s="5" t="s">
        <v>493</v>
      </c>
      <c r="D566" s="5" t="s">
        <v>494</v>
      </c>
      <c r="E566" s="6">
        <v>45726.54166666667</v>
      </c>
      <c r="F566" s="7" t="s">
        <v>495</v>
      </c>
      <c r="G566" s="5" t="s">
        <v>24</v>
      </c>
      <c r="K566" s="2" t="s">
        <v>18</v>
      </c>
      <c r="L566" s="2"/>
    </row>
    <row r="567">
      <c r="A567" s="1" t="s">
        <v>700</v>
      </c>
      <c r="B567" s="1" t="s">
        <v>700</v>
      </c>
      <c r="C567" s="5" t="s">
        <v>213</v>
      </c>
      <c r="D567" s="5" t="s">
        <v>214</v>
      </c>
      <c r="E567" s="6">
        <v>45726.64027777778</v>
      </c>
      <c r="F567" s="7" t="s">
        <v>215</v>
      </c>
      <c r="G567" s="5" t="s">
        <v>24</v>
      </c>
      <c r="K567" s="2" t="s">
        <v>18</v>
      </c>
      <c r="L567" s="2"/>
    </row>
    <row r="568">
      <c r="A568" s="1" t="s">
        <v>701</v>
      </c>
      <c r="B568" s="1" t="s">
        <v>701</v>
      </c>
      <c r="C568" s="5" t="s">
        <v>109</v>
      </c>
      <c r="D568" s="5" t="s">
        <v>110</v>
      </c>
      <c r="E568" s="6">
        <v>45726.64097222222</v>
      </c>
      <c r="F568" s="7" t="s">
        <v>111</v>
      </c>
      <c r="G568" s="5" t="s">
        <v>24</v>
      </c>
      <c r="K568" s="2" t="s">
        <v>18</v>
      </c>
      <c r="L568" s="2"/>
    </row>
    <row r="569">
      <c r="A569" s="1" t="s">
        <v>702</v>
      </c>
      <c r="B569" s="1" t="s">
        <v>702</v>
      </c>
      <c r="C569" s="5" t="s">
        <v>320</v>
      </c>
      <c r="D569" s="5" t="s">
        <v>321</v>
      </c>
      <c r="E569" s="6">
        <v>45726.64236111111</v>
      </c>
      <c r="F569" s="7" t="s">
        <v>322</v>
      </c>
      <c r="G569" s="5" t="s">
        <v>24</v>
      </c>
      <c r="K569" s="2" t="s">
        <v>18</v>
      </c>
      <c r="L569" s="2"/>
    </row>
    <row r="570">
      <c r="A570" s="1" t="s">
        <v>703</v>
      </c>
      <c r="B570" s="1" t="s">
        <v>703</v>
      </c>
      <c r="C570" s="5" t="s">
        <v>326</v>
      </c>
      <c r="D570" s="5" t="s">
        <v>327</v>
      </c>
      <c r="E570" s="6">
        <v>45726.6625</v>
      </c>
      <c r="F570" s="7" t="s">
        <v>328</v>
      </c>
      <c r="G570" s="5" t="s">
        <v>24</v>
      </c>
      <c r="K570" s="2" t="s">
        <v>18</v>
      </c>
      <c r="L570" s="2"/>
    </row>
    <row r="571">
      <c r="A571" s="1" t="s">
        <v>704</v>
      </c>
      <c r="B571" s="1" t="s">
        <v>704</v>
      </c>
      <c r="C571" s="5" t="s">
        <v>309</v>
      </c>
      <c r="D571" s="5" t="s">
        <v>310</v>
      </c>
      <c r="E571" s="6">
        <v>45727.37430555555</v>
      </c>
      <c r="F571" s="7" t="s">
        <v>311</v>
      </c>
      <c r="G571" s="5" t="s">
        <v>16</v>
      </c>
      <c r="K571" s="2" t="s">
        <v>18</v>
      </c>
      <c r="L571" s="2"/>
    </row>
    <row r="572">
      <c r="A572" s="1" t="s">
        <v>705</v>
      </c>
      <c r="B572" s="1" t="s">
        <v>705</v>
      </c>
      <c r="C572" s="5" t="s">
        <v>505</v>
      </c>
      <c r="D572" s="5" t="s">
        <v>506</v>
      </c>
      <c r="E572" s="6">
        <v>45727.33541666667</v>
      </c>
      <c r="F572" s="7" t="s">
        <v>507</v>
      </c>
      <c r="G572" s="5" t="s">
        <v>16</v>
      </c>
      <c r="K572" s="2" t="s">
        <v>18</v>
      </c>
      <c r="L572" s="2"/>
    </row>
    <row r="573">
      <c r="A573" s="1" t="s">
        <v>706</v>
      </c>
      <c r="B573" s="1" t="s">
        <v>706</v>
      </c>
      <c r="C573" s="5" t="s">
        <v>493</v>
      </c>
      <c r="D573" s="5" t="s">
        <v>494</v>
      </c>
      <c r="E573" s="6">
        <v>45727.34236111111</v>
      </c>
      <c r="F573" s="7" t="s">
        <v>495</v>
      </c>
      <c r="G573" s="5" t="s">
        <v>16</v>
      </c>
      <c r="I573" s="2" t="s">
        <v>17</v>
      </c>
      <c r="K573" s="2" t="s">
        <v>18</v>
      </c>
      <c r="L573" s="2"/>
    </row>
    <row r="574">
      <c r="A574" s="1" t="s">
        <v>707</v>
      </c>
      <c r="B574" s="1" t="s">
        <v>707</v>
      </c>
      <c r="C574" s="5" t="s">
        <v>654</v>
      </c>
      <c r="D574" s="5" t="s">
        <v>655</v>
      </c>
      <c r="E574" s="6">
        <v>45727.56736111111</v>
      </c>
      <c r="F574" s="7" t="s">
        <v>656</v>
      </c>
      <c r="G574" s="5" t="s">
        <v>16</v>
      </c>
      <c r="K574" s="2" t="s">
        <v>18</v>
      </c>
      <c r="L574" s="2"/>
    </row>
    <row r="575">
      <c r="A575" s="1" t="s">
        <v>708</v>
      </c>
      <c r="B575" s="1" t="s">
        <v>708</v>
      </c>
      <c r="C575" s="5" t="s">
        <v>309</v>
      </c>
      <c r="D575" s="5" t="s">
        <v>310</v>
      </c>
      <c r="E575" s="6">
        <v>45727.57708333334</v>
      </c>
      <c r="F575" s="7" t="s">
        <v>311</v>
      </c>
      <c r="G575" s="5" t="s">
        <v>24</v>
      </c>
      <c r="K575" s="2" t="s">
        <v>18</v>
      </c>
      <c r="L575" s="2"/>
    </row>
    <row r="576">
      <c r="A576" s="1" t="s">
        <v>709</v>
      </c>
      <c r="B576" s="1" t="s">
        <v>709</v>
      </c>
      <c r="C576" s="5" t="s">
        <v>505</v>
      </c>
      <c r="D576" s="5" t="s">
        <v>506</v>
      </c>
      <c r="E576" s="6">
        <v>45727.57777777778</v>
      </c>
      <c r="F576" s="7" t="s">
        <v>507</v>
      </c>
      <c r="G576" s="5" t="s">
        <v>24</v>
      </c>
      <c r="K576" s="2" t="s">
        <v>18</v>
      </c>
      <c r="L576" s="2"/>
    </row>
    <row r="577">
      <c r="A577" s="1" t="s">
        <v>710</v>
      </c>
      <c r="B577" s="1" t="s">
        <v>710</v>
      </c>
      <c r="C577" s="5" t="s">
        <v>685</v>
      </c>
      <c r="D577" s="5" t="s">
        <v>686</v>
      </c>
      <c r="E577" s="6">
        <v>45727.64722222222</v>
      </c>
      <c r="F577" s="7" t="s">
        <v>687</v>
      </c>
      <c r="G577" s="5" t="s">
        <v>24</v>
      </c>
      <c r="K577" s="2" t="s">
        <v>18</v>
      </c>
      <c r="L577" s="2"/>
    </row>
    <row r="578">
      <c r="A578" s="1" t="s">
        <v>711</v>
      </c>
      <c r="B578" s="1" t="s">
        <v>711</v>
      </c>
      <c r="C578" s="5" t="s">
        <v>45</v>
      </c>
      <c r="D578" s="5" t="s">
        <v>46</v>
      </c>
      <c r="E578" s="6">
        <v>45727.67847222222</v>
      </c>
      <c r="F578" s="7" t="s">
        <v>47</v>
      </c>
      <c r="G578" s="5" t="s">
        <v>24</v>
      </c>
      <c r="K578" s="2" t="s">
        <v>18</v>
      </c>
      <c r="L578" s="2"/>
    </row>
    <row r="579">
      <c r="A579" s="1" t="s">
        <v>712</v>
      </c>
      <c r="B579" s="1" t="s">
        <v>712</v>
      </c>
      <c r="C579" s="5" t="s">
        <v>505</v>
      </c>
      <c r="D579" s="5" t="s">
        <v>506</v>
      </c>
      <c r="E579" s="6">
        <v>45728.35763888889</v>
      </c>
      <c r="F579" s="7" t="s">
        <v>507</v>
      </c>
      <c r="G579" s="5" t="s">
        <v>159</v>
      </c>
      <c r="K579" s="2" t="s">
        <v>18</v>
      </c>
      <c r="L579" s="2"/>
    </row>
    <row r="580">
      <c r="A580" s="1" t="s">
        <v>713</v>
      </c>
      <c r="B580" s="1" t="s">
        <v>713</v>
      </c>
      <c r="C580" s="5" t="s">
        <v>654</v>
      </c>
      <c r="D580" s="5" t="s">
        <v>655</v>
      </c>
      <c r="E580" s="6">
        <v>45728.464583333334</v>
      </c>
      <c r="F580" s="7" t="s">
        <v>656</v>
      </c>
      <c r="G580" s="5" t="s">
        <v>24</v>
      </c>
      <c r="K580" s="2" t="s">
        <v>18</v>
      </c>
      <c r="L580" s="2"/>
    </row>
    <row r="581">
      <c r="A581" s="1" t="s">
        <v>714</v>
      </c>
      <c r="B581" s="1" t="s">
        <v>714</v>
      </c>
      <c r="C581" s="5" t="s">
        <v>493</v>
      </c>
      <c r="D581" s="5" t="s">
        <v>494</v>
      </c>
      <c r="E581" s="6">
        <v>45726.48263888889</v>
      </c>
      <c r="F581" s="7" t="s">
        <v>495</v>
      </c>
      <c r="G581" s="5" t="s">
        <v>159</v>
      </c>
      <c r="K581" s="2" t="s">
        <v>18</v>
      </c>
      <c r="L581" s="2"/>
    </row>
    <row r="582">
      <c r="A582" s="1" t="s">
        <v>715</v>
      </c>
      <c r="B582" s="1" t="s">
        <v>715</v>
      </c>
      <c r="C582" s="5" t="s">
        <v>213</v>
      </c>
      <c r="D582" s="5" t="s">
        <v>214</v>
      </c>
      <c r="E582" s="6">
        <v>45728.51597222222</v>
      </c>
      <c r="F582" s="7" t="s">
        <v>215</v>
      </c>
      <c r="G582" s="5" t="s">
        <v>16</v>
      </c>
      <c r="I582" s="2" t="s">
        <v>17</v>
      </c>
      <c r="K582" s="2" t="s">
        <v>18</v>
      </c>
      <c r="L582" s="2"/>
    </row>
    <row r="583">
      <c r="A583" s="1" t="s">
        <v>716</v>
      </c>
      <c r="B583" s="1" t="s">
        <v>716</v>
      </c>
      <c r="C583" s="5" t="s">
        <v>305</v>
      </c>
      <c r="D583" s="5" t="s">
        <v>306</v>
      </c>
      <c r="E583" s="6">
        <v>45729.35208333333</v>
      </c>
      <c r="F583" s="7" t="s">
        <v>307</v>
      </c>
      <c r="G583" s="5" t="s">
        <v>16</v>
      </c>
      <c r="K583" s="2" t="s">
        <v>18</v>
      </c>
      <c r="L583" s="2"/>
    </row>
    <row r="584">
      <c r="A584" s="1" t="s">
        <v>717</v>
      </c>
      <c r="B584" s="1" t="s">
        <v>717</v>
      </c>
      <c r="C584" s="5" t="s">
        <v>326</v>
      </c>
      <c r="D584" s="5" t="s">
        <v>327</v>
      </c>
      <c r="E584" s="6">
        <v>45728.68680555555</v>
      </c>
      <c r="F584" s="7" t="s">
        <v>328</v>
      </c>
      <c r="G584" s="5" t="s">
        <v>24</v>
      </c>
      <c r="K584" s="2" t="s">
        <v>18</v>
      </c>
      <c r="L584" s="2"/>
    </row>
    <row r="585">
      <c r="A585" s="1" t="s">
        <v>718</v>
      </c>
      <c r="B585" s="1" t="s">
        <v>718</v>
      </c>
      <c r="C585" s="5" t="s">
        <v>213</v>
      </c>
      <c r="D585" s="5" t="s">
        <v>214</v>
      </c>
      <c r="E585" s="6">
        <v>45728.6875</v>
      </c>
      <c r="F585" s="7" t="s">
        <v>215</v>
      </c>
      <c r="G585" s="5" t="s">
        <v>24</v>
      </c>
      <c r="K585" s="2" t="s">
        <v>18</v>
      </c>
      <c r="L585" s="2"/>
    </row>
    <row r="586">
      <c r="A586" s="1" t="s">
        <v>719</v>
      </c>
      <c r="B586" s="1" t="s">
        <v>719</v>
      </c>
      <c r="C586" s="5" t="s">
        <v>49</v>
      </c>
      <c r="D586" s="5" t="s">
        <v>50</v>
      </c>
      <c r="E586" s="6">
        <v>45728.68888888889</v>
      </c>
      <c r="F586" s="7" t="s">
        <v>51</v>
      </c>
      <c r="G586" s="5" t="s">
        <v>24</v>
      </c>
      <c r="K586" s="2" t="s">
        <v>18</v>
      </c>
      <c r="L586" s="2"/>
    </row>
    <row r="587">
      <c r="A587" s="1" t="s">
        <v>720</v>
      </c>
      <c r="B587" s="1" t="s">
        <v>720</v>
      </c>
      <c r="C587" s="5" t="s">
        <v>49</v>
      </c>
      <c r="D587" s="5" t="s">
        <v>50</v>
      </c>
      <c r="E587" s="6">
        <v>45729.35416666667</v>
      </c>
      <c r="F587" s="7" t="s">
        <v>51</v>
      </c>
      <c r="G587" s="5" t="s">
        <v>16</v>
      </c>
      <c r="K587" s="2" t="s">
        <v>18</v>
      </c>
      <c r="L587" s="2"/>
    </row>
    <row r="588">
      <c r="A588" s="1" t="s">
        <v>721</v>
      </c>
      <c r="B588" s="1" t="s">
        <v>721</v>
      </c>
      <c r="C588" s="5" t="s">
        <v>654</v>
      </c>
      <c r="D588" s="5" t="s">
        <v>655</v>
      </c>
      <c r="E588" s="6">
        <v>45729.36111111111</v>
      </c>
      <c r="F588" s="7" t="s">
        <v>656</v>
      </c>
      <c r="G588" s="5" t="s">
        <v>16</v>
      </c>
      <c r="K588" s="2" t="s">
        <v>18</v>
      </c>
      <c r="L588" s="2"/>
    </row>
    <row r="589">
      <c r="A589" s="1" t="s">
        <v>722</v>
      </c>
      <c r="B589" s="1" t="s">
        <v>722</v>
      </c>
      <c r="C589" s="5" t="s">
        <v>654</v>
      </c>
      <c r="D589" s="5" t="s">
        <v>655</v>
      </c>
      <c r="E589" s="6">
        <v>45729.36111111111</v>
      </c>
      <c r="F589" s="7" t="s">
        <v>656</v>
      </c>
      <c r="G589" s="5" t="s">
        <v>159</v>
      </c>
      <c r="K589" s="2" t="s">
        <v>18</v>
      </c>
      <c r="L589" s="2"/>
    </row>
    <row r="590">
      <c r="A590" s="1" t="s">
        <v>723</v>
      </c>
      <c r="B590" s="1" t="s">
        <v>723</v>
      </c>
      <c r="C590" s="5" t="s">
        <v>149</v>
      </c>
      <c r="D590" s="5" t="s">
        <v>150</v>
      </c>
      <c r="E590" s="6">
        <v>45729.47013888889</v>
      </c>
      <c r="F590" s="7" t="s">
        <v>151</v>
      </c>
      <c r="G590" s="5" t="s">
        <v>24</v>
      </c>
      <c r="K590" s="2" t="s">
        <v>18</v>
      </c>
      <c r="L590" s="2"/>
    </row>
    <row r="591">
      <c r="A591" s="1" t="s">
        <v>724</v>
      </c>
      <c r="B591" s="1" t="s">
        <v>724</v>
      </c>
      <c r="C591" s="5" t="s">
        <v>392</v>
      </c>
      <c r="D591" s="5" t="s">
        <v>393</v>
      </c>
      <c r="E591" s="6">
        <v>45729.50902777778</v>
      </c>
      <c r="F591" s="7" t="s">
        <v>394</v>
      </c>
      <c r="G591" s="5" t="s">
        <v>24</v>
      </c>
      <c r="K591" s="2" t="s">
        <v>18</v>
      </c>
      <c r="L591" s="2"/>
    </row>
    <row r="592">
      <c r="A592" s="1" t="s">
        <v>725</v>
      </c>
      <c r="B592" s="1" t="s">
        <v>725</v>
      </c>
      <c r="C592" s="5" t="s">
        <v>654</v>
      </c>
      <c r="D592" s="5" t="s">
        <v>655</v>
      </c>
      <c r="E592" s="6">
        <v>45729.61944444444</v>
      </c>
      <c r="F592" s="7" t="s">
        <v>656</v>
      </c>
      <c r="G592" s="5" t="s">
        <v>24</v>
      </c>
      <c r="K592" s="2" t="s">
        <v>18</v>
      </c>
      <c r="L592" s="2"/>
    </row>
    <row r="593">
      <c r="A593" s="1" t="s">
        <v>726</v>
      </c>
      <c r="B593" s="1" t="s">
        <v>726</v>
      </c>
      <c r="C593" s="5" t="s">
        <v>349</v>
      </c>
      <c r="D593" s="5" t="s">
        <v>350</v>
      </c>
      <c r="E593" s="6">
        <v>45729.62013888889</v>
      </c>
      <c r="F593" s="7" t="s">
        <v>351</v>
      </c>
      <c r="G593" s="5" t="s">
        <v>24</v>
      </c>
      <c r="K593" s="2" t="s">
        <v>18</v>
      </c>
      <c r="L593" s="2"/>
    </row>
    <row r="594">
      <c r="A594" s="1" t="s">
        <v>727</v>
      </c>
      <c r="B594" s="1" t="s">
        <v>727</v>
      </c>
      <c r="C594" s="5" t="s">
        <v>392</v>
      </c>
      <c r="D594" s="5" t="s">
        <v>393</v>
      </c>
      <c r="E594" s="6">
        <v>45730.39166666666</v>
      </c>
      <c r="F594" s="7" t="s">
        <v>394</v>
      </c>
      <c r="G594" s="5" t="s">
        <v>16</v>
      </c>
      <c r="I594" s="2" t="s">
        <v>395</v>
      </c>
      <c r="J594" s="2"/>
      <c r="K594" s="2" t="s">
        <v>18</v>
      </c>
      <c r="L594" s="2"/>
    </row>
    <row r="595">
      <c r="A595" s="1" t="s">
        <v>728</v>
      </c>
      <c r="B595" s="1" t="s">
        <v>728</v>
      </c>
      <c r="C595" s="5" t="s">
        <v>213</v>
      </c>
      <c r="D595" s="5" t="s">
        <v>214</v>
      </c>
      <c r="E595" s="6">
        <v>45730.39236111111</v>
      </c>
      <c r="F595" s="7" t="s">
        <v>215</v>
      </c>
      <c r="G595" s="5" t="s">
        <v>16</v>
      </c>
      <c r="I595" s="2" t="s">
        <v>17</v>
      </c>
      <c r="K595" s="2" t="s">
        <v>18</v>
      </c>
      <c r="L595" s="2"/>
    </row>
    <row r="596">
      <c r="A596" s="1" t="s">
        <v>729</v>
      </c>
      <c r="B596" s="1" t="s">
        <v>729</v>
      </c>
      <c r="C596" s="5" t="s">
        <v>505</v>
      </c>
      <c r="D596" s="5" t="s">
        <v>506</v>
      </c>
      <c r="E596" s="6">
        <v>45730.39236111111</v>
      </c>
      <c r="F596" s="7" t="s">
        <v>507</v>
      </c>
      <c r="G596" s="5" t="s">
        <v>159</v>
      </c>
      <c r="K596" s="2" t="s">
        <v>18</v>
      </c>
      <c r="L596" s="2"/>
    </row>
    <row r="597">
      <c r="A597" s="1" t="s">
        <v>730</v>
      </c>
      <c r="B597" s="1" t="s">
        <v>730</v>
      </c>
      <c r="C597" s="5" t="s">
        <v>505</v>
      </c>
      <c r="D597" s="5" t="s">
        <v>506</v>
      </c>
      <c r="E597" s="6">
        <v>45730.35833333334</v>
      </c>
      <c r="F597" s="7" t="s">
        <v>507</v>
      </c>
      <c r="G597" s="5" t="s">
        <v>24</v>
      </c>
      <c r="K597" s="2" t="s">
        <v>18</v>
      </c>
      <c r="L597" s="2"/>
    </row>
    <row r="598">
      <c r="A598" s="1" t="s">
        <v>731</v>
      </c>
      <c r="B598" s="1" t="s">
        <v>731</v>
      </c>
      <c r="C598" s="5" t="s">
        <v>213</v>
      </c>
      <c r="D598" s="5" t="s">
        <v>214</v>
      </c>
      <c r="E598" s="6">
        <v>45730.52291666667</v>
      </c>
      <c r="F598" s="7" t="s">
        <v>215</v>
      </c>
      <c r="G598" s="5" t="s">
        <v>24</v>
      </c>
      <c r="K598" s="2" t="s">
        <v>18</v>
      </c>
      <c r="L598" s="2"/>
    </row>
    <row r="599">
      <c r="A599" s="1" t="s">
        <v>732</v>
      </c>
      <c r="B599" s="1" t="s">
        <v>732</v>
      </c>
      <c r="C599" s="5" t="s">
        <v>326</v>
      </c>
      <c r="D599" s="5" t="s">
        <v>327</v>
      </c>
      <c r="E599" s="6">
        <v>45730.66111111111</v>
      </c>
      <c r="F599" s="7" t="s">
        <v>328</v>
      </c>
      <c r="G599" s="5" t="s">
        <v>24</v>
      </c>
      <c r="K599" s="2" t="s">
        <v>18</v>
      </c>
      <c r="L599" s="2"/>
    </row>
    <row r="600">
      <c r="A600" s="1" t="s">
        <v>733</v>
      </c>
      <c r="B600" s="1" t="s">
        <v>733</v>
      </c>
      <c r="C600" s="5" t="s">
        <v>464</v>
      </c>
      <c r="D600" s="5" t="s">
        <v>465</v>
      </c>
      <c r="E600" s="6">
        <v>45731.42291666666</v>
      </c>
      <c r="F600" s="7" t="s">
        <v>466</v>
      </c>
      <c r="G600" s="5" t="s">
        <v>16</v>
      </c>
      <c r="I600" s="2" t="s">
        <v>17</v>
      </c>
      <c r="K600" s="2" t="s">
        <v>18</v>
      </c>
      <c r="L600" s="2"/>
    </row>
    <row r="601">
      <c r="A601" s="1" t="s">
        <v>734</v>
      </c>
      <c r="B601" s="1" t="s">
        <v>734</v>
      </c>
      <c r="C601" s="5" t="s">
        <v>654</v>
      </c>
      <c r="D601" s="5" t="s">
        <v>655</v>
      </c>
      <c r="E601" s="6">
        <v>45731.46736111111</v>
      </c>
      <c r="F601" s="7" t="s">
        <v>656</v>
      </c>
      <c r="G601" s="5" t="s">
        <v>24</v>
      </c>
      <c r="K601" s="2" t="s">
        <v>18</v>
      </c>
      <c r="L601" s="2"/>
    </row>
    <row r="602">
      <c r="A602" s="1" t="s">
        <v>735</v>
      </c>
      <c r="B602" s="1" t="s">
        <v>735</v>
      </c>
      <c r="C602" s="5" t="s">
        <v>464</v>
      </c>
      <c r="D602" s="5" t="s">
        <v>465</v>
      </c>
      <c r="E602" s="6">
        <v>45731.572222222225</v>
      </c>
      <c r="F602" s="7" t="s">
        <v>466</v>
      </c>
      <c r="G602" s="5" t="s">
        <v>24</v>
      </c>
      <c r="K602" s="2" t="s">
        <v>18</v>
      </c>
      <c r="L602" s="2"/>
    </row>
    <row r="603">
      <c r="A603" s="1" t="s">
        <v>736</v>
      </c>
      <c r="B603" s="1" t="s">
        <v>736</v>
      </c>
      <c r="C603" s="5" t="s">
        <v>654</v>
      </c>
      <c r="D603" s="5" t="s">
        <v>655</v>
      </c>
      <c r="E603" s="6">
        <v>45733.48472222222</v>
      </c>
      <c r="F603" s="7" t="s">
        <v>656</v>
      </c>
      <c r="G603" s="5" t="s">
        <v>24</v>
      </c>
      <c r="K603" s="2" t="s">
        <v>18</v>
      </c>
      <c r="L603" s="2"/>
    </row>
    <row r="604">
      <c r="A604" s="1" t="s">
        <v>737</v>
      </c>
      <c r="B604" s="1" t="s">
        <v>737</v>
      </c>
      <c r="C604" s="5" t="s">
        <v>213</v>
      </c>
      <c r="D604" s="5" t="s">
        <v>214</v>
      </c>
      <c r="E604" s="6">
        <v>45733.51458333334</v>
      </c>
      <c r="F604" s="7" t="s">
        <v>215</v>
      </c>
      <c r="G604" s="5" t="s">
        <v>16</v>
      </c>
      <c r="I604" s="2" t="s">
        <v>17</v>
      </c>
      <c r="K604" s="2" t="s">
        <v>18</v>
      </c>
      <c r="L604" s="2"/>
    </row>
    <row r="605">
      <c r="A605" s="1" t="s">
        <v>738</v>
      </c>
      <c r="B605" s="1" t="s">
        <v>738</v>
      </c>
      <c r="C605" s="5" t="s">
        <v>309</v>
      </c>
      <c r="D605" s="5" t="s">
        <v>310</v>
      </c>
      <c r="E605" s="6">
        <v>45733.51527777778</v>
      </c>
      <c r="F605" s="7" t="s">
        <v>311</v>
      </c>
      <c r="G605" s="5" t="s">
        <v>16</v>
      </c>
      <c r="K605" s="2" t="s">
        <v>18</v>
      </c>
      <c r="L605" s="2"/>
    </row>
    <row r="606">
      <c r="A606" s="8" t="s">
        <v>739</v>
      </c>
      <c r="B606" s="8" t="s">
        <v>739</v>
      </c>
      <c r="C606" s="2" t="s">
        <v>309</v>
      </c>
      <c r="D606" s="2" t="s">
        <v>310</v>
      </c>
      <c r="E606" s="6">
        <v>45733.51527777778</v>
      </c>
      <c r="F606" s="7" t="s">
        <v>617</v>
      </c>
      <c r="G606" s="5" t="s">
        <v>16</v>
      </c>
      <c r="K606" s="2" t="s">
        <v>18</v>
      </c>
      <c r="L606" s="2"/>
    </row>
    <row r="607">
      <c r="A607" s="1" t="s">
        <v>740</v>
      </c>
      <c r="B607" s="1" t="s">
        <v>740</v>
      </c>
      <c r="C607" s="5" t="s">
        <v>349</v>
      </c>
      <c r="D607" s="5" t="s">
        <v>350</v>
      </c>
      <c r="E607" s="6">
        <v>45733.51597222222</v>
      </c>
      <c r="F607" s="7" t="s">
        <v>351</v>
      </c>
      <c r="G607" s="5" t="s">
        <v>16</v>
      </c>
      <c r="K607" s="2" t="s">
        <v>18</v>
      </c>
      <c r="L607" s="2"/>
    </row>
    <row r="608">
      <c r="A608" s="1" t="s">
        <v>741</v>
      </c>
      <c r="B608" s="1" t="s">
        <v>741</v>
      </c>
      <c r="C608" s="5" t="s">
        <v>326</v>
      </c>
      <c r="D608" s="5" t="s">
        <v>327</v>
      </c>
      <c r="E608" s="6">
        <v>45734.368055555555</v>
      </c>
      <c r="F608" s="7" t="s">
        <v>328</v>
      </c>
      <c r="G608" s="5" t="s">
        <v>16</v>
      </c>
      <c r="K608" s="2" t="s">
        <v>18</v>
      </c>
      <c r="L608" s="2"/>
    </row>
    <row r="609">
      <c r="A609" s="1" t="s">
        <v>742</v>
      </c>
      <c r="B609" s="1" t="s">
        <v>742</v>
      </c>
      <c r="C609" s="5" t="s">
        <v>685</v>
      </c>
      <c r="D609" s="5" t="s">
        <v>686</v>
      </c>
      <c r="E609" s="6">
        <v>45734.34583333333</v>
      </c>
      <c r="F609" s="7" t="s">
        <v>687</v>
      </c>
      <c r="G609" s="5" t="s">
        <v>159</v>
      </c>
      <c r="K609" s="2" t="s">
        <v>18</v>
      </c>
      <c r="L609" s="2"/>
    </row>
    <row r="610">
      <c r="A610" s="1" t="s">
        <v>743</v>
      </c>
      <c r="B610" s="1" t="s">
        <v>743</v>
      </c>
      <c r="C610" s="5" t="s">
        <v>309</v>
      </c>
      <c r="D610" s="5" t="s">
        <v>310</v>
      </c>
      <c r="E610" s="6">
        <v>45733.70694444445</v>
      </c>
      <c r="F610" s="7" t="s">
        <v>311</v>
      </c>
      <c r="G610" s="5" t="s">
        <v>24</v>
      </c>
      <c r="K610" s="2" t="s">
        <v>18</v>
      </c>
      <c r="L610" s="2"/>
    </row>
    <row r="611">
      <c r="A611" s="1" t="s">
        <v>744</v>
      </c>
      <c r="B611" s="1" t="s">
        <v>744</v>
      </c>
      <c r="C611" s="2" t="s">
        <v>309</v>
      </c>
      <c r="D611" s="2" t="s">
        <v>310</v>
      </c>
      <c r="E611" s="6">
        <v>45733.70972222222</v>
      </c>
      <c r="F611" s="7" t="s">
        <v>617</v>
      </c>
      <c r="G611" s="5" t="s">
        <v>24</v>
      </c>
      <c r="K611" s="2" t="s">
        <v>18</v>
      </c>
      <c r="L611" s="2"/>
    </row>
    <row r="612">
      <c r="A612" s="1" t="s">
        <v>745</v>
      </c>
      <c r="B612" s="1" t="s">
        <v>745</v>
      </c>
      <c r="C612" s="5" t="s">
        <v>349</v>
      </c>
      <c r="D612" s="5" t="s">
        <v>350</v>
      </c>
      <c r="E612" s="6">
        <v>45733.711805555555</v>
      </c>
      <c r="F612" s="7" t="s">
        <v>351</v>
      </c>
      <c r="G612" s="5" t="s">
        <v>24</v>
      </c>
      <c r="K612" s="2" t="s">
        <v>18</v>
      </c>
      <c r="L612" s="2"/>
    </row>
    <row r="613">
      <c r="A613" s="1" t="s">
        <v>746</v>
      </c>
      <c r="B613" s="1" t="s">
        <v>746</v>
      </c>
      <c r="C613" s="5" t="s">
        <v>213</v>
      </c>
      <c r="D613" s="5" t="s">
        <v>214</v>
      </c>
      <c r="E613" s="6">
        <v>45733.71388888889</v>
      </c>
      <c r="F613" s="7" t="s">
        <v>215</v>
      </c>
      <c r="G613" s="5" t="s">
        <v>24</v>
      </c>
      <c r="K613" s="2" t="s">
        <v>18</v>
      </c>
      <c r="L613" s="2"/>
    </row>
    <row r="614">
      <c r="A614" s="1" t="s">
        <v>747</v>
      </c>
      <c r="B614" s="1" t="s">
        <v>747</v>
      </c>
      <c r="C614" s="5" t="s">
        <v>685</v>
      </c>
      <c r="D614" s="5" t="s">
        <v>686</v>
      </c>
      <c r="E614" s="6">
        <v>45734.44791666667</v>
      </c>
      <c r="F614" s="7" t="s">
        <v>687</v>
      </c>
      <c r="G614" s="5" t="s">
        <v>24</v>
      </c>
      <c r="K614" s="2" t="s">
        <v>18</v>
      </c>
      <c r="L614" s="2"/>
    </row>
    <row r="615">
      <c r="A615" s="1" t="s">
        <v>748</v>
      </c>
      <c r="B615" s="1" t="s">
        <v>748</v>
      </c>
      <c r="C615" s="5" t="s">
        <v>305</v>
      </c>
      <c r="D615" s="5" t="s">
        <v>306</v>
      </c>
      <c r="E615" s="6">
        <v>45735.34930555556</v>
      </c>
      <c r="F615" s="7" t="s">
        <v>307</v>
      </c>
      <c r="G615" s="5" t="s">
        <v>16</v>
      </c>
      <c r="K615" s="2" t="s">
        <v>18</v>
      </c>
      <c r="L615" s="2"/>
    </row>
    <row r="616">
      <c r="A616" s="1" t="s">
        <v>749</v>
      </c>
      <c r="B616" s="1" t="s">
        <v>749</v>
      </c>
      <c r="C616" s="5" t="s">
        <v>326</v>
      </c>
      <c r="D616" s="5" t="s">
        <v>327</v>
      </c>
      <c r="E616" s="6">
        <v>45734.64791666667</v>
      </c>
      <c r="F616" s="7" t="s">
        <v>328</v>
      </c>
      <c r="G616" s="5" t="s">
        <v>24</v>
      </c>
      <c r="K616" s="2" t="s">
        <v>18</v>
      </c>
      <c r="L616" s="2"/>
    </row>
    <row r="617">
      <c r="A617" s="1" t="s">
        <v>750</v>
      </c>
      <c r="B617" s="1" t="s">
        <v>750</v>
      </c>
      <c r="C617" s="5" t="s">
        <v>213</v>
      </c>
      <c r="D617" s="5" t="s">
        <v>214</v>
      </c>
      <c r="E617" s="6">
        <v>45735.370833333334</v>
      </c>
      <c r="F617" s="7" t="s">
        <v>215</v>
      </c>
      <c r="G617" s="5" t="s">
        <v>16</v>
      </c>
      <c r="I617" s="2" t="s">
        <v>17</v>
      </c>
      <c r="K617" s="2" t="s">
        <v>18</v>
      </c>
      <c r="L617" s="2"/>
    </row>
    <row r="618">
      <c r="A618" s="1" t="s">
        <v>751</v>
      </c>
      <c r="B618" s="1" t="s">
        <v>751</v>
      </c>
      <c r="C618" s="5" t="s">
        <v>679</v>
      </c>
      <c r="D618" s="5" t="s">
        <v>680</v>
      </c>
      <c r="E618" s="6">
        <v>45735.69861111111</v>
      </c>
      <c r="F618" s="7" t="s">
        <v>681</v>
      </c>
      <c r="G618" s="5" t="s">
        <v>24</v>
      </c>
      <c r="K618" s="2" t="s">
        <v>18</v>
      </c>
      <c r="L618" s="2"/>
    </row>
    <row r="619">
      <c r="A619" s="1" t="s">
        <v>752</v>
      </c>
      <c r="B619" s="1" t="s">
        <v>752</v>
      </c>
      <c r="C619" s="5" t="s">
        <v>213</v>
      </c>
      <c r="D619" s="5" t="s">
        <v>214</v>
      </c>
      <c r="E619" s="6">
        <v>45735.69861111111</v>
      </c>
      <c r="F619" s="7" t="s">
        <v>215</v>
      </c>
      <c r="G619" s="5" t="s">
        <v>24</v>
      </c>
      <c r="K619" s="2" t="s">
        <v>18</v>
      </c>
      <c r="L619" s="2"/>
    </row>
    <row r="620">
      <c r="A620" s="1" t="s">
        <v>753</v>
      </c>
      <c r="B620" s="1" t="s">
        <v>753</v>
      </c>
      <c r="C620" s="5" t="s">
        <v>309</v>
      </c>
      <c r="D620" s="5" t="s">
        <v>310</v>
      </c>
      <c r="E620" s="6">
        <v>45736.37013888889</v>
      </c>
      <c r="F620" s="7" t="s">
        <v>311</v>
      </c>
      <c r="G620" s="5" t="s">
        <v>16</v>
      </c>
      <c r="K620" s="2" t="s">
        <v>18</v>
      </c>
      <c r="L620" s="2"/>
    </row>
    <row r="621">
      <c r="A621" s="1" t="s">
        <v>754</v>
      </c>
      <c r="B621" s="1" t="s">
        <v>754</v>
      </c>
      <c r="C621" s="5" t="s">
        <v>305</v>
      </c>
      <c r="D621" s="5" t="s">
        <v>306</v>
      </c>
      <c r="E621" s="6">
        <v>45736.46805555555</v>
      </c>
      <c r="F621" s="7" t="s">
        <v>307</v>
      </c>
      <c r="G621" s="5" t="s">
        <v>24</v>
      </c>
      <c r="K621" s="2" t="s">
        <v>18</v>
      </c>
      <c r="L621" s="2"/>
    </row>
    <row r="622">
      <c r="A622" s="1" t="s">
        <v>755</v>
      </c>
      <c r="B622" s="1" t="s">
        <v>755</v>
      </c>
      <c r="C622" s="5" t="s">
        <v>373</v>
      </c>
      <c r="D622" s="5" t="s">
        <v>374</v>
      </c>
      <c r="E622" s="6">
        <v>45736.475694444445</v>
      </c>
      <c r="F622" s="7" t="s">
        <v>375</v>
      </c>
      <c r="G622" s="5" t="s">
        <v>24</v>
      </c>
      <c r="K622" s="2" t="s">
        <v>18</v>
      </c>
      <c r="L622" s="2"/>
    </row>
    <row r="623">
      <c r="A623" s="1" t="s">
        <v>756</v>
      </c>
      <c r="B623" s="1" t="s">
        <v>756</v>
      </c>
      <c r="C623" s="5" t="s">
        <v>679</v>
      </c>
      <c r="D623" s="5" t="s">
        <v>680</v>
      </c>
      <c r="E623" s="6">
        <v>45736.476388888885</v>
      </c>
      <c r="F623" s="7" t="s">
        <v>681</v>
      </c>
      <c r="G623" s="5" t="s">
        <v>24</v>
      </c>
      <c r="K623" s="2" t="s">
        <v>18</v>
      </c>
      <c r="L623" s="2"/>
    </row>
    <row r="624">
      <c r="A624" s="1" t="s">
        <v>757</v>
      </c>
      <c r="B624" s="1" t="s">
        <v>757</v>
      </c>
      <c r="C624" s="5" t="s">
        <v>213</v>
      </c>
      <c r="D624" s="5" t="s">
        <v>214</v>
      </c>
      <c r="E624" s="6">
        <v>45736.476388888885</v>
      </c>
      <c r="F624" s="7" t="s">
        <v>215</v>
      </c>
      <c r="G624" s="5" t="s">
        <v>24</v>
      </c>
      <c r="K624" s="2" t="s">
        <v>18</v>
      </c>
      <c r="L624" s="2"/>
    </row>
    <row r="625">
      <c r="A625" s="1" t="s">
        <v>758</v>
      </c>
      <c r="B625" s="1" t="s">
        <v>758</v>
      </c>
      <c r="C625" s="5" t="s">
        <v>45</v>
      </c>
      <c r="D625" s="5" t="s">
        <v>46</v>
      </c>
      <c r="E625" s="6">
        <v>45736.507638888885</v>
      </c>
      <c r="F625" s="7" t="s">
        <v>47</v>
      </c>
      <c r="G625" s="5" t="s">
        <v>16</v>
      </c>
      <c r="I625" s="2" t="s">
        <v>17</v>
      </c>
      <c r="J625" s="2"/>
      <c r="K625" s="2" t="s">
        <v>18</v>
      </c>
      <c r="L625" s="2"/>
    </row>
    <row r="626">
      <c r="A626" s="1" t="s">
        <v>759</v>
      </c>
      <c r="B626" s="1" t="s">
        <v>759</v>
      </c>
      <c r="C626" s="5" t="s">
        <v>49</v>
      </c>
      <c r="D626" s="5" t="s">
        <v>50</v>
      </c>
      <c r="E626" s="6">
        <v>45737.34097222222</v>
      </c>
      <c r="F626" s="7" t="s">
        <v>51</v>
      </c>
      <c r="G626" s="5" t="s">
        <v>16</v>
      </c>
      <c r="K626" s="2" t="s">
        <v>18</v>
      </c>
      <c r="L626" s="2"/>
    </row>
    <row r="627">
      <c r="A627" s="1" t="s">
        <v>760</v>
      </c>
      <c r="B627" s="1" t="s">
        <v>760</v>
      </c>
      <c r="C627" s="5" t="s">
        <v>109</v>
      </c>
      <c r="D627" s="5" t="s">
        <v>110</v>
      </c>
      <c r="E627" s="6">
        <v>45736.61319444445</v>
      </c>
      <c r="F627" s="7" t="s">
        <v>111</v>
      </c>
      <c r="G627" s="5" t="s">
        <v>16</v>
      </c>
      <c r="K627" s="2" t="s">
        <v>18</v>
      </c>
      <c r="L627" s="2"/>
    </row>
    <row r="628">
      <c r="A628" s="1" t="s">
        <v>761</v>
      </c>
      <c r="B628" s="1" t="s">
        <v>761</v>
      </c>
      <c r="C628" s="5" t="s">
        <v>49</v>
      </c>
      <c r="D628" s="5" t="s">
        <v>50</v>
      </c>
      <c r="E628" s="6">
        <v>45737.48611111111</v>
      </c>
      <c r="F628" s="7" t="s">
        <v>51</v>
      </c>
      <c r="G628" s="5" t="s">
        <v>24</v>
      </c>
      <c r="K628" s="2" t="s">
        <v>18</v>
      </c>
      <c r="L628" s="2"/>
    </row>
    <row r="629">
      <c r="A629" s="1" t="s">
        <v>762</v>
      </c>
      <c r="B629" s="1" t="s">
        <v>762</v>
      </c>
      <c r="C629" s="5" t="s">
        <v>305</v>
      </c>
      <c r="D629" s="5" t="s">
        <v>306</v>
      </c>
      <c r="E629" s="6">
        <v>45740.33888888889</v>
      </c>
      <c r="F629" s="7" t="s">
        <v>307</v>
      </c>
      <c r="G629" s="5" t="s">
        <v>16</v>
      </c>
      <c r="K629" s="2" t="s">
        <v>18</v>
      </c>
      <c r="L629" s="2"/>
    </row>
    <row r="630">
      <c r="A630" s="1" t="s">
        <v>763</v>
      </c>
      <c r="B630" s="1" t="s">
        <v>763</v>
      </c>
      <c r="C630" s="5" t="s">
        <v>213</v>
      </c>
      <c r="D630" s="5" t="s">
        <v>214</v>
      </c>
      <c r="E630" s="6">
        <v>45738.57430555555</v>
      </c>
      <c r="F630" s="7" t="s">
        <v>215</v>
      </c>
      <c r="G630" s="5" t="s">
        <v>24</v>
      </c>
      <c r="K630" s="2" t="s">
        <v>18</v>
      </c>
      <c r="L630" s="2"/>
    </row>
    <row r="631">
      <c r="A631" s="1" t="s">
        <v>764</v>
      </c>
      <c r="B631" s="1" t="s">
        <v>764</v>
      </c>
      <c r="C631" s="5" t="s">
        <v>213</v>
      </c>
      <c r="D631" s="5" t="s">
        <v>214</v>
      </c>
      <c r="E631" s="6">
        <v>45740.37777777778</v>
      </c>
      <c r="F631" s="7" t="s">
        <v>215</v>
      </c>
      <c r="G631" s="5" t="s">
        <v>16</v>
      </c>
      <c r="I631" s="2" t="s">
        <v>17</v>
      </c>
      <c r="K631" s="2" t="s">
        <v>18</v>
      </c>
      <c r="L631" s="2"/>
    </row>
    <row r="632">
      <c r="A632" s="1" t="s">
        <v>765</v>
      </c>
      <c r="B632" s="1" t="s">
        <v>765</v>
      </c>
      <c r="C632" s="5" t="s">
        <v>309</v>
      </c>
      <c r="D632" s="5" t="s">
        <v>310</v>
      </c>
      <c r="E632" s="6">
        <v>45740.49444444444</v>
      </c>
      <c r="F632" s="7" t="s">
        <v>311</v>
      </c>
      <c r="G632" s="5" t="s">
        <v>24</v>
      </c>
      <c r="K632" s="2" t="s">
        <v>18</v>
      </c>
      <c r="L632" s="2"/>
    </row>
    <row r="633">
      <c r="A633" s="1" t="s">
        <v>766</v>
      </c>
      <c r="B633" s="1" t="s">
        <v>766</v>
      </c>
      <c r="C633" s="5" t="s">
        <v>213</v>
      </c>
      <c r="D633" s="5" t="s">
        <v>214</v>
      </c>
      <c r="E633" s="6">
        <v>45740.49513888889</v>
      </c>
      <c r="F633" s="7" t="s">
        <v>215</v>
      </c>
      <c r="G633" s="5" t="s">
        <v>24</v>
      </c>
      <c r="K633" s="2" t="s">
        <v>18</v>
      </c>
      <c r="L633" s="2"/>
    </row>
    <row r="634">
      <c r="A634" s="1" t="s">
        <v>767</v>
      </c>
      <c r="B634" s="1" t="s">
        <v>767</v>
      </c>
      <c r="C634" s="5" t="s">
        <v>45</v>
      </c>
      <c r="D634" s="5" t="s">
        <v>46</v>
      </c>
      <c r="E634" s="6">
        <v>45741.65069444444</v>
      </c>
      <c r="F634" s="7" t="s">
        <v>47</v>
      </c>
      <c r="G634" s="5" t="s">
        <v>24</v>
      </c>
      <c r="K634" s="2" t="s">
        <v>18</v>
      </c>
      <c r="L634" s="2"/>
    </row>
    <row r="635">
      <c r="A635" s="1" t="s">
        <v>768</v>
      </c>
      <c r="B635" s="1" t="s">
        <v>768</v>
      </c>
      <c r="C635" s="5" t="s">
        <v>309</v>
      </c>
      <c r="D635" s="5" t="s">
        <v>310</v>
      </c>
      <c r="E635" s="6">
        <v>45742.399305555555</v>
      </c>
      <c r="F635" s="7" t="s">
        <v>311</v>
      </c>
      <c r="G635" s="5" t="s">
        <v>16</v>
      </c>
      <c r="K635" s="2" t="s">
        <v>18</v>
      </c>
      <c r="L635" s="2"/>
    </row>
    <row r="636">
      <c r="A636" s="1" t="s">
        <v>769</v>
      </c>
      <c r="B636" s="1" t="s">
        <v>769</v>
      </c>
      <c r="C636" s="5" t="s">
        <v>349</v>
      </c>
      <c r="D636" s="5" t="s">
        <v>350</v>
      </c>
      <c r="E636" s="6">
        <v>45743.34305555555</v>
      </c>
      <c r="F636" s="7" t="s">
        <v>351</v>
      </c>
      <c r="G636" s="5" t="s">
        <v>16</v>
      </c>
      <c r="K636" s="2" t="s">
        <v>18</v>
      </c>
      <c r="L636" s="2"/>
    </row>
    <row r="637">
      <c r="A637" s="1" t="s">
        <v>770</v>
      </c>
      <c r="B637" s="1" t="s">
        <v>770</v>
      </c>
      <c r="C637" s="5" t="s">
        <v>213</v>
      </c>
      <c r="D637" s="5" t="s">
        <v>214</v>
      </c>
      <c r="E637" s="6">
        <v>45742.49861111111</v>
      </c>
      <c r="F637" s="7" t="s">
        <v>215</v>
      </c>
      <c r="G637" s="5" t="s">
        <v>24</v>
      </c>
      <c r="K637" s="2" t="s">
        <v>18</v>
      </c>
      <c r="L637" s="2"/>
    </row>
    <row r="638">
      <c r="A638" s="1" t="s">
        <v>771</v>
      </c>
      <c r="B638" s="1" t="s">
        <v>771</v>
      </c>
      <c r="C638" s="5" t="s">
        <v>305</v>
      </c>
      <c r="D638" s="5" t="s">
        <v>306</v>
      </c>
      <c r="E638" s="6">
        <v>45742.49930555555</v>
      </c>
      <c r="F638" s="7" t="s">
        <v>307</v>
      </c>
      <c r="G638" s="5" t="s">
        <v>24</v>
      </c>
      <c r="K638" s="2" t="s">
        <v>18</v>
      </c>
      <c r="L638" s="2"/>
    </row>
    <row r="639">
      <c r="A639" s="1" t="s">
        <v>772</v>
      </c>
      <c r="B639" s="1" t="s">
        <v>772</v>
      </c>
      <c r="C639" s="5" t="s">
        <v>552</v>
      </c>
      <c r="D639" s="5" t="s">
        <v>553</v>
      </c>
      <c r="E639" s="6">
        <v>45742.53125</v>
      </c>
      <c r="F639" s="7"/>
      <c r="G639" s="5" t="s">
        <v>16</v>
      </c>
      <c r="K639" s="2" t="s">
        <v>18</v>
      </c>
      <c r="L639" s="2"/>
    </row>
    <row r="640">
      <c r="A640" s="1" t="s">
        <v>773</v>
      </c>
      <c r="B640" s="1" t="s">
        <v>773</v>
      </c>
      <c r="C640" s="2" t="s">
        <v>774</v>
      </c>
      <c r="D640" s="5" t="s">
        <v>775</v>
      </c>
      <c r="E640" s="6">
        <v>45743.45208333334</v>
      </c>
      <c r="F640" s="7" t="e">
        <v>#N/A</v>
      </c>
      <c r="G640" s="5" t="s">
        <v>16</v>
      </c>
      <c r="K640" s="2" t="s">
        <v>18</v>
      </c>
      <c r="L640" s="2"/>
    </row>
    <row r="641">
      <c r="A641" s="1" t="s">
        <v>776</v>
      </c>
      <c r="B641" s="1" t="s">
        <v>776</v>
      </c>
      <c r="C641" s="5" t="s">
        <v>464</v>
      </c>
      <c r="D641" s="5" t="s">
        <v>465</v>
      </c>
      <c r="E641" s="6">
        <v>45743.49097222222</v>
      </c>
      <c r="F641" s="7" t="s">
        <v>466</v>
      </c>
      <c r="G641" s="5" t="s">
        <v>24</v>
      </c>
      <c r="K641" s="2" t="s">
        <v>18</v>
      </c>
      <c r="L641" s="2"/>
    </row>
    <row r="642">
      <c r="A642" s="1" t="s">
        <v>777</v>
      </c>
      <c r="B642" s="1" t="s">
        <v>777</v>
      </c>
      <c r="C642" s="5" t="s">
        <v>349</v>
      </c>
      <c r="D642" s="5" t="s">
        <v>350</v>
      </c>
      <c r="E642" s="6">
        <v>45743.49097222222</v>
      </c>
      <c r="F642" s="7" t="s">
        <v>351</v>
      </c>
      <c r="G642" s="5" t="s">
        <v>24</v>
      </c>
      <c r="K642" s="2" t="s">
        <v>18</v>
      </c>
      <c r="L642" s="2"/>
    </row>
    <row r="643">
      <c r="A643" s="1" t="s">
        <v>778</v>
      </c>
      <c r="B643" s="1" t="s">
        <v>778</v>
      </c>
      <c r="C643" s="5" t="s">
        <v>383</v>
      </c>
      <c r="D643" s="5" t="s">
        <v>384</v>
      </c>
      <c r="E643" s="6">
        <v>45754.3375</v>
      </c>
      <c r="F643" s="7" t="s">
        <v>385</v>
      </c>
      <c r="G643" s="5" t="s">
        <v>16</v>
      </c>
      <c r="K643" s="2" t="s">
        <v>18</v>
      </c>
      <c r="L643" s="2"/>
    </row>
    <row r="644">
      <c r="A644" s="1" t="s">
        <v>779</v>
      </c>
      <c r="B644" s="1" t="s">
        <v>779</v>
      </c>
      <c r="C644" s="5" t="s">
        <v>109</v>
      </c>
      <c r="D644" s="5" t="s">
        <v>110</v>
      </c>
      <c r="E644" s="6">
        <v>45755.45347222222</v>
      </c>
      <c r="F644" s="7" t="s">
        <v>111</v>
      </c>
      <c r="G644" s="5" t="s">
        <v>16</v>
      </c>
      <c r="K644" s="2" t="s">
        <v>18</v>
      </c>
      <c r="L644" s="2"/>
    </row>
    <row r="645">
      <c r="A645" s="1" t="s">
        <v>780</v>
      </c>
      <c r="B645" s="1" t="s">
        <v>780</v>
      </c>
      <c r="C645" s="5" t="s">
        <v>109</v>
      </c>
      <c r="D645" s="5" t="s">
        <v>110</v>
      </c>
      <c r="E645" s="6">
        <v>45755.50625</v>
      </c>
      <c r="F645" s="7" t="s">
        <v>111</v>
      </c>
      <c r="G645" s="5" t="s">
        <v>24</v>
      </c>
      <c r="K645" s="2" t="s">
        <v>18</v>
      </c>
      <c r="L645" s="2"/>
    </row>
    <row r="646">
      <c r="A646" s="1" t="s">
        <v>781</v>
      </c>
      <c r="B646" s="1" t="s">
        <v>781</v>
      </c>
      <c r="C646" s="5" t="s">
        <v>345</v>
      </c>
      <c r="D646" s="5" t="s">
        <v>346</v>
      </c>
      <c r="E646" s="6">
        <v>45755.584027777775</v>
      </c>
      <c r="F646" s="7" t="s">
        <v>347</v>
      </c>
      <c r="G646" s="5" t="s">
        <v>16</v>
      </c>
      <c r="K646" s="2" t="s">
        <v>18</v>
      </c>
      <c r="L646" s="2"/>
    </row>
    <row r="647">
      <c r="A647" s="1" t="s">
        <v>782</v>
      </c>
      <c r="B647" s="1" t="s">
        <v>782</v>
      </c>
      <c r="C647" s="2" t="s">
        <v>690</v>
      </c>
      <c r="D647" s="5" t="s">
        <v>691</v>
      </c>
      <c r="E647" s="6">
        <v>45755.625</v>
      </c>
      <c r="F647" s="7" t="e">
        <v>#N/A</v>
      </c>
      <c r="G647" s="5" t="s">
        <v>24</v>
      </c>
      <c r="K647" s="2" t="s">
        <v>18</v>
      </c>
      <c r="L647" s="2"/>
    </row>
    <row r="648">
      <c r="A648" s="1" t="s">
        <v>783</v>
      </c>
      <c r="B648" s="1" t="s">
        <v>783</v>
      </c>
      <c r="C648" s="5" t="s">
        <v>305</v>
      </c>
      <c r="D648" s="5" t="s">
        <v>306</v>
      </c>
      <c r="E648" s="6">
        <v>45756.32708333334</v>
      </c>
      <c r="F648" s="7" t="s">
        <v>307</v>
      </c>
      <c r="G648" s="5" t="s">
        <v>16</v>
      </c>
      <c r="K648" s="2" t="s">
        <v>18</v>
      </c>
      <c r="L648" s="2"/>
    </row>
    <row r="649">
      <c r="A649" s="1" t="s">
        <v>784</v>
      </c>
      <c r="B649" s="1" t="s">
        <v>784</v>
      </c>
      <c r="C649" s="5" t="s">
        <v>345</v>
      </c>
      <c r="D649" s="5" t="s">
        <v>346</v>
      </c>
      <c r="E649" s="6">
        <v>45755.70277777778</v>
      </c>
      <c r="F649" s="7" t="s">
        <v>347</v>
      </c>
      <c r="G649" s="5" t="s">
        <v>24</v>
      </c>
      <c r="K649" s="2" t="s">
        <v>18</v>
      </c>
      <c r="L649" s="2"/>
    </row>
    <row r="650">
      <c r="A650" s="1" t="s">
        <v>785</v>
      </c>
      <c r="B650" s="1" t="s">
        <v>785</v>
      </c>
      <c r="C650" s="5" t="s">
        <v>786</v>
      </c>
      <c r="D650" s="5" t="s">
        <v>787</v>
      </c>
      <c r="E650" s="6">
        <v>45756.38402777778</v>
      </c>
      <c r="F650" s="7" t="s">
        <v>788</v>
      </c>
      <c r="G650" s="5" t="s">
        <v>16</v>
      </c>
      <c r="K650" s="2" t="s">
        <v>18</v>
      </c>
      <c r="L650" s="2"/>
    </row>
    <row r="651">
      <c r="A651" s="1" t="s">
        <v>789</v>
      </c>
      <c r="B651" s="1" t="s">
        <v>789</v>
      </c>
      <c r="C651" s="5" t="s">
        <v>326</v>
      </c>
      <c r="D651" s="5" t="s">
        <v>327</v>
      </c>
      <c r="E651" s="6">
        <v>45756.42847222222</v>
      </c>
      <c r="F651" s="7" t="s">
        <v>328</v>
      </c>
      <c r="G651" s="5" t="s">
        <v>16</v>
      </c>
      <c r="K651" s="2" t="s">
        <v>18</v>
      </c>
      <c r="L651" s="2"/>
    </row>
    <row r="652">
      <c r="A652" s="1" t="s">
        <v>790</v>
      </c>
      <c r="B652" s="1" t="s">
        <v>790</v>
      </c>
      <c r="C652" s="5" t="s">
        <v>326</v>
      </c>
      <c r="D652" s="5" t="s">
        <v>327</v>
      </c>
      <c r="E652" s="6">
        <v>45756.625</v>
      </c>
      <c r="F652" s="7" t="s">
        <v>328</v>
      </c>
      <c r="G652" s="5" t="s">
        <v>24</v>
      </c>
      <c r="K652" s="2" t="s">
        <v>18</v>
      </c>
      <c r="L652" s="2"/>
    </row>
    <row r="653">
      <c r="A653" s="1" t="s">
        <v>791</v>
      </c>
      <c r="B653" s="1" t="s">
        <v>791</v>
      </c>
      <c r="C653" s="5" t="s">
        <v>464</v>
      </c>
      <c r="D653" s="5" t="s">
        <v>465</v>
      </c>
      <c r="E653" s="6">
        <v>45757.37847222222</v>
      </c>
      <c r="F653" s="7" t="s">
        <v>466</v>
      </c>
      <c r="G653" s="5" t="s">
        <v>16</v>
      </c>
      <c r="I653" s="2" t="s">
        <v>17</v>
      </c>
      <c r="K653" s="2" t="s">
        <v>18</v>
      </c>
      <c r="L653" s="2"/>
    </row>
    <row r="654">
      <c r="A654" s="1" t="s">
        <v>792</v>
      </c>
      <c r="B654" s="1" t="s">
        <v>792</v>
      </c>
      <c r="C654" s="5" t="s">
        <v>383</v>
      </c>
      <c r="D654" s="5" t="s">
        <v>384</v>
      </c>
      <c r="E654" s="6">
        <v>45757.518055555556</v>
      </c>
      <c r="F654" s="7" t="s">
        <v>385</v>
      </c>
      <c r="G654" s="5" t="s">
        <v>16</v>
      </c>
      <c r="K654" s="2" t="s">
        <v>18</v>
      </c>
      <c r="L654" s="2"/>
    </row>
    <row r="655">
      <c r="A655" s="1" t="s">
        <v>793</v>
      </c>
      <c r="B655" s="1" t="s">
        <v>793</v>
      </c>
      <c r="C655" s="5" t="s">
        <v>383</v>
      </c>
      <c r="D655" s="5" t="s">
        <v>384</v>
      </c>
      <c r="E655" s="6">
        <v>45757.64027777778</v>
      </c>
      <c r="F655" s="7" t="s">
        <v>385</v>
      </c>
      <c r="G655" s="5" t="s">
        <v>24</v>
      </c>
      <c r="K655" s="2" t="s">
        <v>18</v>
      </c>
      <c r="L655" s="2"/>
    </row>
    <row r="656">
      <c r="A656" s="1" t="s">
        <v>794</v>
      </c>
      <c r="B656" s="1" t="s">
        <v>794</v>
      </c>
      <c r="C656" s="5" t="s">
        <v>305</v>
      </c>
      <c r="D656" s="5" t="s">
        <v>306</v>
      </c>
      <c r="E656" s="6">
        <v>45757.64097222222</v>
      </c>
      <c r="F656" s="7" t="s">
        <v>307</v>
      </c>
      <c r="G656" s="5" t="s">
        <v>24</v>
      </c>
      <c r="K656" s="2" t="s">
        <v>18</v>
      </c>
      <c r="L656" s="2"/>
    </row>
    <row r="657">
      <c r="A657" s="1" t="s">
        <v>795</v>
      </c>
      <c r="B657" s="1" t="s">
        <v>795</v>
      </c>
      <c r="C657" s="5" t="s">
        <v>45</v>
      </c>
      <c r="D657" s="5" t="s">
        <v>46</v>
      </c>
      <c r="E657" s="6">
        <v>45758.35833333334</v>
      </c>
      <c r="F657" s="7" t="s">
        <v>47</v>
      </c>
      <c r="G657" s="5" t="s">
        <v>16</v>
      </c>
      <c r="I657" s="2" t="s">
        <v>17</v>
      </c>
      <c r="J657" s="2"/>
      <c r="K657" s="2" t="s">
        <v>18</v>
      </c>
      <c r="L657" s="2"/>
    </row>
    <row r="658">
      <c r="A658" s="1" t="s">
        <v>796</v>
      </c>
      <c r="B658" s="1" t="s">
        <v>796</v>
      </c>
      <c r="C658" s="5" t="s">
        <v>45</v>
      </c>
      <c r="D658" s="5" t="s">
        <v>46</v>
      </c>
      <c r="E658" s="6">
        <v>45761.48402777778</v>
      </c>
      <c r="F658" s="7" t="s">
        <v>47</v>
      </c>
      <c r="G658" s="5" t="s">
        <v>16</v>
      </c>
      <c r="I658" s="2" t="s">
        <v>17</v>
      </c>
      <c r="J658" s="2"/>
      <c r="K658" s="2" t="s">
        <v>18</v>
      </c>
      <c r="L658" s="2"/>
    </row>
    <row r="659">
      <c r="A659" s="1" t="s">
        <v>797</v>
      </c>
      <c r="B659" s="1" t="s">
        <v>797</v>
      </c>
      <c r="C659" s="5" t="s">
        <v>349</v>
      </c>
      <c r="D659" s="5" t="s">
        <v>350</v>
      </c>
      <c r="E659" s="6">
        <v>45762.34027777778</v>
      </c>
      <c r="F659" s="7" t="s">
        <v>351</v>
      </c>
      <c r="G659" s="5" t="s">
        <v>16</v>
      </c>
      <c r="K659" s="2" t="s">
        <v>18</v>
      </c>
      <c r="L659" s="2"/>
    </row>
    <row r="660">
      <c r="A660" s="1" t="s">
        <v>798</v>
      </c>
      <c r="B660" s="1" t="s">
        <v>798</v>
      </c>
      <c r="C660" s="5" t="s">
        <v>799</v>
      </c>
      <c r="D660" s="5" t="s">
        <v>800</v>
      </c>
      <c r="E660" s="6">
        <v>45762.38888888889</v>
      </c>
      <c r="F660" s="7" t="s">
        <v>801</v>
      </c>
      <c r="G660" s="5" t="s">
        <v>16</v>
      </c>
      <c r="K660" s="2" t="s">
        <v>18</v>
      </c>
      <c r="L660" s="2"/>
    </row>
    <row r="661">
      <c r="A661" s="1" t="s">
        <v>802</v>
      </c>
      <c r="B661" s="1" t="s">
        <v>802</v>
      </c>
      <c r="C661" s="5" t="s">
        <v>349</v>
      </c>
      <c r="D661" s="5" t="s">
        <v>350</v>
      </c>
      <c r="E661" s="6">
        <v>45762.45208333334</v>
      </c>
      <c r="F661" s="7" t="s">
        <v>351</v>
      </c>
      <c r="G661" s="5" t="s">
        <v>24</v>
      </c>
      <c r="K661" s="2" t="s">
        <v>18</v>
      </c>
      <c r="L661" s="2"/>
    </row>
    <row r="662">
      <c r="A662" s="1" t="s">
        <v>803</v>
      </c>
      <c r="B662" s="1" t="s">
        <v>803</v>
      </c>
      <c r="C662" s="5" t="s">
        <v>799</v>
      </c>
      <c r="D662" s="5" t="s">
        <v>800</v>
      </c>
      <c r="E662" s="6">
        <v>45762.45277777778</v>
      </c>
      <c r="F662" s="7" t="s">
        <v>801</v>
      </c>
      <c r="G662" s="5" t="s">
        <v>24</v>
      </c>
      <c r="K662" s="2" t="s">
        <v>18</v>
      </c>
      <c r="L662" s="2"/>
    </row>
    <row r="663">
      <c r="A663" s="1" t="s">
        <v>804</v>
      </c>
      <c r="B663" s="1" t="s">
        <v>804</v>
      </c>
      <c r="C663" s="2" t="s">
        <v>805</v>
      </c>
      <c r="D663" s="5" t="s">
        <v>806</v>
      </c>
      <c r="E663" s="6">
        <v>45762.46041666667</v>
      </c>
      <c r="F663" s="7" t="e">
        <v>#N/A</v>
      </c>
      <c r="G663" s="5" t="s">
        <v>16</v>
      </c>
      <c r="K663" s="2" t="s">
        <v>18</v>
      </c>
      <c r="L663" s="2"/>
    </row>
    <row r="664">
      <c r="A664" s="1" t="s">
        <v>807</v>
      </c>
      <c r="B664" s="1" t="s">
        <v>807</v>
      </c>
      <c r="C664" s="2" t="s">
        <v>805</v>
      </c>
      <c r="D664" s="5" t="s">
        <v>806</v>
      </c>
      <c r="E664" s="6">
        <v>45762.46319444444</v>
      </c>
      <c r="F664" s="7" t="e">
        <v>#N/A</v>
      </c>
      <c r="G664" s="5" t="s">
        <v>24</v>
      </c>
      <c r="K664" s="2" t="s">
        <v>18</v>
      </c>
      <c r="L664" s="2"/>
    </row>
    <row r="665">
      <c r="A665" s="1" t="s">
        <v>808</v>
      </c>
      <c r="B665" s="1" t="s">
        <v>808</v>
      </c>
      <c r="C665" s="5" t="s">
        <v>786</v>
      </c>
      <c r="D665" s="5" t="s">
        <v>787</v>
      </c>
      <c r="E665" s="6">
        <v>45763.3625</v>
      </c>
      <c r="F665" s="7" t="s">
        <v>788</v>
      </c>
      <c r="G665" s="5" t="s">
        <v>16</v>
      </c>
      <c r="K665" s="2" t="s">
        <v>18</v>
      </c>
      <c r="L665" s="2"/>
    </row>
    <row r="666">
      <c r="A666" s="1" t="s">
        <v>809</v>
      </c>
      <c r="B666" s="1" t="s">
        <v>809</v>
      </c>
      <c r="C666" s="5" t="s">
        <v>49</v>
      </c>
      <c r="D666" s="5" t="s">
        <v>50</v>
      </c>
      <c r="E666" s="6">
        <v>45763.398611111115</v>
      </c>
      <c r="F666" s="7" t="s">
        <v>51</v>
      </c>
      <c r="G666" s="5" t="s">
        <v>16</v>
      </c>
      <c r="K666" s="2" t="s">
        <v>18</v>
      </c>
      <c r="L666" s="2"/>
    </row>
    <row r="667">
      <c r="A667" s="1" t="s">
        <v>810</v>
      </c>
      <c r="B667" s="1" t="s">
        <v>810</v>
      </c>
      <c r="C667" s="5" t="s">
        <v>49</v>
      </c>
      <c r="D667" s="5" t="s">
        <v>50</v>
      </c>
      <c r="E667" s="6">
        <v>45763.450694444444</v>
      </c>
      <c r="F667" s="7" t="s">
        <v>51</v>
      </c>
      <c r="G667" s="5" t="s">
        <v>24</v>
      </c>
      <c r="K667" s="2" t="s">
        <v>18</v>
      </c>
      <c r="L667" s="2"/>
    </row>
    <row r="668">
      <c r="A668" s="1" t="s">
        <v>811</v>
      </c>
      <c r="B668" s="1" t="s">
        <v>811</v>
      </c>
      <c r="C668" s="5" t="s">
        <v>812</v>
      </c>
      <c r="D668" s="5" t="s">
        <v>813</v>
      </c>
      <c r="E668" s="6">
        <v>45763.51875</v>
      </c>
      <c r="F668" s="7" t="s">
        <v>814</v>
      </c>
      <c r="G668" s="5" t="s">
        <v>24</v>
      </c>
      <c r="K668" s="2" t="s">
        <v>18</v>
      </c>
      <c r="L668" s="2"/>
    </row>
    <row r="669">
      <c r="A669" s="1" t="s">
        <v>815</v>
      </c>
      <c r="B669" s="1" t="s">
        <v>815</v>
      </c>
      <c r="C669" s="5" t="s">
        <v>786</v>
      </c>
      <c r="D669" s="5" t="s">
        <v>787</v>
      </c>
      <c r="E669" s="6">
        <v>45763.52777777778</v>
      </c>
      <c r="F669" s="7" t="s">
        <v>788</v>
      </c>
      <c r="G669" s="5" t="s">
        <v>24</v>
      </c>
      <c r="K669" s="2" t="s">
        <v>18</v>
      </c>
      <c r="L669" s="2"/>
    </row>
    <row r="670">
      <c r="A670" s="1" t="s">
        <v>816</v>
      </c>
      <c r="B670" s="1" t="s">
        <v>816</v>
      </c>
      <c r="C670" s="5" t="s">
        <v>213</v>
      </c>
      <c r="D670" s="5" t="s">
        <v>214</v>
      </c>
      <c r="E670" s="6">
        <v>45763.569444444445</v>
      </c>
      <c r="F670" s="7" t="s">
        <v>215</v>
      </c>
      <c r="G670" s="5" t="s">
        <v>16</v>
      </c>
      <c r="I670" s="2" t="s">
        <v>17</v>
      </c>
      <c r="K670" s="2" t="s">
        <v>18</v>
      </c>
      <c r="L670" s="2"/>
    </row>
    <row r="671">
      <c r="A671" s="1" t="s">
        <v>817</v>
      </c>
      <c r="B671" s="1" t="s">
        <v>817</v>
      </c>
      <c r="C671" s="5" t="s">
        <v>305</v>
      </c>
      <c r="D671" s="5" t="s">
        <v>306</v>
      </c>
      <c r="E671" s="6">
        <v>45764.34444444445</v>
      </c>
      <c r="F671" s="7" t="s">
        <v>307</v>
      </c>
      <c r="G671" s="5" t="s">
        <v>16</v>
      </c>
      <c r="K671" s="2" t="s">
        <v>18</v>
      </c>
      <c r="L671" s="2"/>
    </row>
    <row r="672">
      <c r="A672" s="1" t="s">
        <v>818</v>
      </c>
      <c r="B672" s="1" t="s">
        <v>818</v>
      </c>
      <c r="C672" s="5" t="s">
        <v>493</v>
      </c>
      <c r="D672" s="5" t="s">
        <v>494</v>
      </c>
      <c r="E672" s="6">
        <v>45764.39791666667</v>
      </c>
      <c r="F672" s="7" t="s">
        <v>495</v>
      </c>
      <c r="G672" s="5" t="s">
        <v>16</v>
      </c>
      <c r="I672" s="2" t="s">
        <v>17</v>
      </c>
      <c r="K672" s="2" t="s">
        <v>18</v>
      </c>
      <c r="L672" s="2"/>
    </row>
    <row r="673">
      <c r="A673" s="1" t="s">
        <v>819</v>
      </c>
      <c r="B673" s="1" t="s">
        <v>819</v>
      </c>
      <c r="C673" s="5" t="s">
        <v>383</v>
      </c>
      <c r="D673" s="5" t="s">
        <v>384</v>
      </c>
      <c r="E673" s="6">
        <v>45764.49930555555</v>
      </c>
      <c r="F673" s="7" t="s">
        <v>385</v>
      </c>
      <c r="G673" s="5" t="s">
        <v>24</v>
      </c>
      <c r="K673" s="2" t="s">
        <v>18</v>
      </c>
      <c r="L673" s="2"/>
    </row>
    <row r="674">
      <c r="A674" s="1" t="s">
        <v>820</v>
      </c>
      <c r="B674" s="1" t="s">
        <v>820</v>
      </c>
      <c r="C674" s="5" t="s">
        <v>326</v>
      </c>
      <c r="D674" s="5" t="s">
        <v>327</v>
      </c>
      <c r="E674" s="6">
        <v>45764.49930555555</v>
      </c>
      <c r="F674" s="7" t="s">
        <v>328</v>
      </c>
      <c r="G674" s="5" t="s">
        <v>24</v>
      </c>
      <c r="K674" s="2" t="s">
        <v>18</v>
      </c>
      <c r="L674" s="2"/>
    </row>
    <row r="675">
      <c r="A675" s="1" t="s">
        <v>821</v>
      </c>
      <c r="B675" s="1" t="s">
        <v>821</v>
      </c>
      <c r="C675" s="5" t="s">
        <v>305</v>
      </c>
      <c r="D675" s="5" t="s">
        <v>306</v>
      </c>
      <c r="E675" s="6">
        <v>45764.50069444445</v>
      </c>
      <c r="F675" s="7" t="s">
        <v>307</v>
      </c>
      <c r="G675" s="5" t="s">
        <v>24</v>
      </c>
      <c r="K675" s="2" t="s">
        <v>18</v>
      </c>
      <c r="L675" s="2"/>
    </row>
    <row r="676">
      <c r="A676" s="1" t="s">
        <v>822</v>
      </c>
      <c r="B676" s="1" t="s">
        <v>822</v>
      </c>
      <c r="C676" s="5" t="s">
        <v>213</v>
      </c>
      <c r="D676" s="5" t="s">
        <v>214</v>
      </c>
      <c r="E676" s="6">
        <v>45763.71041666667</v>
      </c>
      <c r="F676" s="7" t="s">
        <v>215</v>
      </c>
      <c r="G676" s="5" t="s">
        <v>24</v>
      </c>
      <c r="K676" s="2" t="s">
        <v>18</v>
      </c>
      <c r="L676" s="2"/>
    </row>
    <row r="677">
      <c r="A677" s="1" t="s">
        <v>823</v>
      </c>
      <c r="B677" s="1" t="s">
        <v>823</v>
      </c>
      <c r="C677" s="5" t="s">
        <v>326</v>
      </c>
      <c r="D677" s="5" t="s">
        <v>327</v>
      </c>
      <c r="E677" s="6">
        <v>45766.410416666666</v>
      </c>
      <c r="F677" s="7" t="s">
        <v>328</v>
      </c>
      <c r="G677" s="5" t="s">
        <v>16</v>
      </c>
      <c r="K677" s="2" t="s">
        <v>18</v>
      </c>
      <c r="L677" s="2"/>
    </row>
    <row r="678">
      <c r="A678" s="1" t="s">
        <v>824</v>
      </c>
      <c r="B678" s="1" t="s">
        <v>824</v>
      </c>
      <c r="C678" s="5" t="s">
        <v>786</v>
      </c>
      <c r="D678" s="5" t="s">
        <v>787</v>
      </c>
      <c r="E678" s="6">
        <v>45766.413888888885</v>
      </c>
      <c r="F678" s="7" t="s">
        <v>788</v>
      </c>
      <c r="G678" s="5" t="s">
        <v>16</v>
      </c>
      <c r="K678" s="2" t="s">
        <v>18</v>
      </c>
      <c r="L678" s="2"/>
    </row>
    <row r="679">
      <c r="A679" s="1" t="s">
        <v>825</v>
      </c>
      <c r="B679" s="1" t="s">
        <v>825</v>
      </c>
      <c r="C679" s="5" t="s">
        <v>493</v>
      </c>
      <c r="D679" s="5" t="s">
        <v>494</v>
      </c>
      <c r="E679" s="6">
        <v>45766.4875</v>
      </c>
      <c r="F679" s="7" t="s">
        <v>495</v>
      </c>
      <c r="G679" s="5" t="s">
        <v>24</v>
      </c>
      <c r="K679" s="2" t="s">
        <v>18</v>
      </c>
      <c r="L679" s="2"/>
    </row>
    <row r="680">
      <c r="A680" s="1" t="s">
        <v>826</v>
      </c>
      <c r="B680" s="1" t="s">
        <v>826</v>
      </c>
      <c r="C680" s="5" t="s">
        <v>326</v>
      </c>
      <c r="D680" s="5" t="s">
        <v>327</v>
      </c>
      <c r="E680" s="6">
        <v>45766.57361111111</v>
      </c>
      <c r="F680" s="7" t="s">
        <v>328</v>
      </c>
      <c r="G680" s="5" t="s">
        <v>24</v>
      </c>
      <c r="K680" s="2" t="s">
        <v>18</v>
      </c>
      <c r="L680" s="2"/>
    </row>
    <row r="681">
      <c r="A681" s="1" t="s">
        <v>827</v>
      </c>
      <c r="B681" s="1" t="s">
        <v>827</v>
      </c>
      <c r="C681" s="5" t="s">
        <v>786</v>
      </c>
      <c r="D681" s="5" t="s">
        <v>787</v>
      </c>
      <c r="E681" s="6">
        <v>45766.57361111111</v>
      </c>
      <c r="F681" s="7" t="s">
        <v>788</v>
      </c>
      <c r="G681" s="5" t="s">
        <v>24</v>
      </c>
      <c r="K681" s="2" t="s">
        <v>18</v>
      </c>
      <c r="L681" s="2"/>
    </row>
    <row r="682">
      <c r="A682" s="1" t="s">
        <v>828</v>
      </c>
      <c r="B682" s="1" t="s">
        <v>828</v>
      </c>
      <c r="C682" s="5" t="s">
        <v>349</v>
      </c>
      <c r="D682" s="5" t="s">
        <v>350</v>
      </c>
      <c r="E682" s="6">
        <v>45768.336111111115</v>
      </c>
      <c r="F682" s="7" t="s">
        <v>351</v>
      </c>
      <c r="G682" s="5" t="s">
        <v>16</v>
      </c>
      <c r="K682" s="2" t="s">
        <v>18</v>
      </c>
      <c r="L682" s="2"/>
    </row>
    <row r="683">
      <c r="A683" s="1" t="s">
        <v>829</v>
      </c>
      <c r="B683" s="1" t="s">
        <v>829</v>
      </c>
      <c r="C683" s="5" t="s">
        <v>464</v>
      </c>
      <c r="D683" s="5" t="s">
        <v>465</v>
      </c>
      <c r="E683" s="6">
        <v>45768.37708333333</v>
      </c>
      <c r="F683" s="7" t="s">
        <v>466</v>
      </c>
      <c r="G683" s="5" t="s">
        <v>16</v>
      </c>
      <c r="I683" s="2" t="s">
        <v>17</v>
      </c>
      <c r="K683" s="2" t="s">
        <v>18</v>
      </c>
      <c r="L683" s="2"/>
    </row>
    <row r="684">
      <c r="A684" s="1" t="s">
        <v>830</v>
      </c>
      <c r="B684" s="1" t="s">
        <v>830</v>
      </c>
      <c r="C684" s="5" t="s">
        <v>349</v>
      </c>
      <c r="D684" s="5" t="s">
        <v>350</v>
      </c>
      <c r="E684" s="6">
        <v>45768.4375</v>
      </c>
      <c r="F684" s="7" t="s">
        <v>351</v>
      </c>
      <c r="G684" s="5" t="s">
        <v>24</v>
      </c>
      <c r="K684" s="2" t="s">
        <v>18</v>
      </c>
      <c r="L684" s="2"/>
    </row>
    <row r="685">
      <c r="A685" s="1" t="s">
        <v>831</v>
      </c>
      <c r="B685" s="1" t="s">
        <v>831</v>
      </c>
      <c r="C685" s="5" t="s">
        <v>45</v>
      </c>
      <c r="D685" s="5" t="s">
        <v>46</v>
      </c>
      <c r="E685" s="6">
        <v>45768.509722222225</v>
      </c>
      <c r="F685" s="7" t="s">
        <v>47</v>
      </c>
      <c r="G685" s="5" t="s">
        <v>24</v>
      </c>
      <c r="K685" s="2" t="s">
        <v>18</v>
      </c>
      <c r="L685" s="2"/>
    </row>
    <row r="686">
      <c r="A686" s="1" t="s">
        <v>832</v>
      </c>
      <c r="B686" s="1" t="s">
        <v>832</v>
      </c>
      <c r="C686" s="5" t="s">
        <v>464</v>
      </c>
      <c r="D686" s="5" t="s">
        <v>465</v>
      </c>
      <c r="E686" s="6">
        <v>45768.51180555555</v>
      </c>
      <c r="F686" s="7" t="s">
        <v>466</v>
      </c>
      <c r="G686" s="5" t="s">
        <v>24</v>
      </c>
      <c r="K686" s="2" t="s">
        <v>18</v>
      </c>
      <c r="L686" s="2"/>
    </row>
    <row r="687">
      <c r="A687" s="1" t="s">
        <v>833</v>
      </c>
      <c r="B687" s="1" t="s">
        <v>833</v>
      </c>
      <c r="C687" s="5" t="s">
        <v>441</v>
      </c>
      <c r="D687" s="5" t="s">
        <v>442</v>
      </c>
      <c r="E687" s="6">
        <v>45768.5125</v>
      </c>
      <c r="F687" s="7" t="s">
        <v>443</v>
      </c>
      <c r="G687" s="5" t="s">
        <v>24</v>
      </c>
      <c r="K687" s="2" t="s">
        <v>18</v>
      </c>
      <c r="L687" s="2"/>
    </row>
    <row r="688">
      <c r="A688" s="1" t="s">
        <v>834</v>
      </c>
      <c r="B688" s="1" t="s">
        <v>834</v>
      </c>
      <c r="C688" s="5" t="s">
        <v>685</v>
      </c>
      <c r="D688" s="5" t="s">
        <v>686</v>
      </c>
      <c r="E688" s="6">
        <v>45768.618055555555</v>
      </c>
      <c r="F688" s="7" t="s">
        <v>687</v>
      </c>
      <c r="G688" s="5" t="s">
        <v>16</v>
      </c>
      <c r="I688" s="2" t="s">
        <v>17</v>
      </c>
      <c r="J688" s="2"/>
      <c r="K688" s="2" t="s">
        <v>18</v>
      </c>
      <c r="L688" s="2"/>
    </row>
    <row r="689">
      <c r="A689" s="1" t="s">
        <v>835</v>
      </c>
      <c r="B689" s="1" t="s">
        <v>835</v>
      </c>
      <c r="C689" s="5" t="s">
        <v>685</v>
      </c>
      <c r="D689" s="5" t="s">
        <v>686</v>
      </c>
      <c r="E689" s="6">
        <v>45768.71319444444</v>
      </c>
      <c r="F689" s="7" t="s">
        <v>687</v>
      </c>
      <c r="G689" s="5" t="s">
        <v>24</v>
      </c>
      <c r="K689" s="2" t="s">
        <v>18</v>
      </c>
      <c r="L689" s="2"/>
    </row>
    <row r="690">
      <c r="A690" s="1" t="s">
        <v>836</v>
      </c>
      <c r="B690" s="1" t="s">
        <v>836</v>
      </c>
      <c r="C690" s="5" t="s">
        <v>464</v>
      </c>
      <c r="D690" s="5" t="s">
        <v>465</v>
      </c>
      <c r="E690" s="6">
        <v>45769.39722222222</v>
      </c>
      <c r="F690" s="7" t="s">
        <v>466</v>
      </c>
      <c r="G690" s="5" t="s">
        <v>16</v>
      </c>
      <c r="I690" s="2" t="s">
        <v>17</v>
      </c>
      <c r="K690" s="2" t="s">
        <v>18</v>
      </c>
      <c r="L690" s="2"/>
    </row>
    <row r="691">
      <c r="A691" s="1" t="s">
        <v>837</v>
      </c>
      <c r="B691" s="1" t="s">
        <v>837</v>
      </c>
      <c r="C691" s="5" t="s">
        <v>55</v>
      </c>
      <c r="D691" s="5" t="s">
        <v>56</v>
      </c>
      <c r="E691" s="6">
        <v>45769.5125</v>
      </c>
      <c r="F691" s="7" t="s">
        <v>57</v>
      </c>
      <c r="G691" s="5" t="s">
        <v>16</v>
      </c>
      <c r="I691" s="2" t="s">
        <v>17</v>
      </c>
      <c r="J691" s="2"/>
      <c r="K691" s="2" t="s">
        <v>18</v>
      </c>
      <c r="L691" s="2"/>
    </row>
    <row r="692">
      <c r="A692" s="1" t="s">
        <v>838</v>
      </c>
      <c r="B692" s="1" t="s">
        <v>838</v>
      </c>
      <c r="C692" s="5" t="s">
        <v>55</v>
      </c>
      <c r="D692" s="5" t="s">
        <v>56</v>
      </c>
      <c r="E692" s="6">
        <v>45769.59722222222</v>
      </c>
      <c r="F692" s="7" t="s">
        <v>57</v>
      </c>
      <c r="G692" s="5" t="s">
        <v>24</v>
      </c>
      <c r="K692" s="2" t="s">
        <v>18</v>
      </c>
      <c r="L692" s="2"/>
    </row>
    <row r="693">
      <c r="A693" s="1" t="s">
        <v>839</v>
      </c>
      <c r="B693" s="1" t="s">
        <v>839</v>
      </c>
      <c r="C693" s="5" t="s">
        <v>309</v>
      </c>
      <c r="D693" s="5" t="s">
        <v>310</v>
      </c>
      <c r="E693" s="6">
        <v>45769.75902777778</v>
      </c>
      <c r="F693" s="7" t="s">
        <v>311</v>
      </c>
      <c r="G693" s="5" t="s">
        <v>24</v>
      </c>
      <c r="K693" s="2" t="s">
        <v>18</v>
      </c>
      <c r="L693" s="2"/>
    </row>
    <row r="694">
      <c r="A694" s="1" t="s">
        <v>840</v>
      </c>
      <c r="B694" s="1" t="s">
        <v>840</v>
      </c>
      <c r="C694" s="5" t="s">
        <v>213</v>
      </c>
      <c r="D694" s="5" t="s">
        <v>214</v>
      </c>
      <c r="E694" s="6">
        <v>45769.75902777778</v>
      </c>
      <c r="F694" s="7" t="s">
        <v>215</v>
      </c>
      <c r="G694" s="5" t="s">
        <v>24</v>
      </c>
      <c r="K694" s="2" t="s">
        <v>18</v>
      </c>
      <c r="L694" s="2"/>
    </row>
    <row r="695">
      <c r="A695" s="1" t="s">
        <v>841</v>
      </c>
      <c r="B695" s="1" t="s">
        <v>841</v>
      </c>
      <c r="C695" s="5" t="s">
        <v>109</v>
      </c>
      <c r="D695" s="5" t="s">
        <v>110</v>
      </c>
      <c r="E695" s="6">
        <v>45770.35555555555</v>
      </c>
      <c r="F695" s="7" t="s">
        <v>111</v>
      </c>
      <c r="G695" s="5" t="s">
        <v>16</v>
      </c>
      <c r="K695" s="2" t="s">
        <v>18</v>
      </c>
      <c r="L695" s="2"/>
    </row>
    <row r="696">
      <c r="A696" s="1" t="s">
        <v>842</v>
      </c>
      <c r="B696" s="1" t="s">
        <v>842</v>
      </c>
      <c r="C696" s="5" t="s">
        <v>326</v>
      </c>
      <c r="D696" s="5" t="s">
        <v>327</v>
      </c>
      <c r="E696" s="6">
        <v>45770.3625</v>
      </c>
      <c r="F696" s="7" t="s">
        <v>328</v>
      </c>
      <c r="G696" s="5" t="s">
        <v>159</v>
      </c>
      <c r="K696" s="2" t="s">
        <v>18</v>
      </c>
      <c r="L696" s="2"/>
    </row>
    <row r="697">
      <c r="A697" s="1" t="s">
        <v>843</v>
      </c>
      <c r="B697" s="1" t="s">
        <v>843</v>
      </c>
      <c r="C697" s="5" t="s">
        <v>309</v>
      </c>
      <c r="D697" s="5" t="s">
        <v>310</v>
      </c>
      <c r="E697" s="6">
        <v>45770.37569444445</v>
      </c>
      <c r="F697" s="7" t="s">
        <v>311</v>
      </c>
      <c r="G697" s="5" t="s">
        <v>16</v>
      </c>
      <c r="K697" s="2" t="s">
        <v>18</v>
      </c>
      <c r="L697" s="2"/>
    </row>
    <row r="698">
      <c r="A698" s="1" t="s">
        <v>844</v>
      </c>
      <c r="B698" s="1" t="s">
        <v>844</v>
      </c>
      <c r="C698" s="5" t="s">
        <v>109</v>
      </c>
      <c r="D698" s="5" t="s">
        <v>110</v>
      </c>
      <c r="E698" s="6">
        <v>45770.52777777778</v>
      </c>
      <c r="F698" s="7" t="s">
        <v>111</v>
      </c>
      <c r="G698" s="5" t="s">
        <v>24</v>
      </c>
      <c r="K698" s="2" t="s">
        <v>18</v>
      </c>
      <c r="L698" s="2"/>
    </row>
    <row r="699">
      <c r="A699" s="1" t="s">
        <v>845</v>
      </c>
      <c r="B699" s="1" t="s">
        <v>845</v>
      </c>
      <c r="C699" s="5" t="s">
        <v>326</v>
      </c>
      <c r="D699" s="5" t="s">
        <v>327</v>
      </c>
      <c r="E699" s="6">
        <v>45770.52847222222</v>
      </c>
      <c r="F699" s="7" t="s">
        <v>328</v>
      </c>
      <c r="G699" s="5" t="s">
        <v>24</v>
      </c>
      <c r="K699" s="2" t="s">
        <v>18</v>
      </c>
      <c r="L699" s="2"/>
    </row>
    <row r="700">
      <c r="A700" s="1" t="s">
        <v>846</v>
      </c>
      <c r="B700" s="1" t="s">
        <v>846</v>
      </c>
      <c r="C700" s="5" t="s">
        <v>149</v>
      </c>
      <c r="D700" s="5" t="s">
        <v>150</v>
      </c>
      <c r="E700" s="6">
        <v>45771.47083333333</v>
      </c>
      <c r="F700" s="7" t="s">
        <v>151</v>
      </c>
      <c r="G700" s="5" t="s">
        <v>24</v>
      </c>
      <c r="K700" s="2" t="s">
        <v>18</v>
      </c>
      <c r="L700" s="2"/>
    </row>
    <row r="701">
      <c r="A701" s="1" t="s">
        <v>847</v>
      </c>
      <c r="B701" s="1" t="s">
        <v>847</v>
      </c>
      <c r="C701" s="5" t="s">
        <v>349</v>
      </c>
      <c r="D701" s="5" t="s">
        <v>350</v>
      </c>
      <c r="E701" s="6">
        <v>45772.32638888889</v>
      </c>
      <c r="F701" s="7" t="s">
        <v>351</v>
      </c>
      <c r="G701" s="5" t="s">
        <v>16</v>
      </c>
      <c r="K701" s="2" t="s">
        <v>18</v>
      </c>
      <c r="L701" s="2"/>
    </row>
    <row r="702">
      <c r="A702" s="1" t="s">
        <v>848</v>
      </c>
      <c r="B702" s="1" t="s">
        <v>848</v>
      </c>
      <c r="C702" s="2" t="s">
        <v>849</v>
      </c>
      <c r="D702" s="5" t="s">
        <v>850</v>
      </c>
      <c r="E702" s="6">
        <v>45772.35208333333</v>
      </c>
      <c r="F702" s="7" t="e">
        <v>#N/A</v>
      </c>
      <c r="G702" s="5" t="s">
        <v>16</v>
      </c>
      <c r="K702" s="2" t="s">
        <v>18</v>
      </c>
      <c r="L702" s="2"/>
    </row>
    <row r="703">
      <c r="A703" s="1" t="s">
        <v>851</v>
      </c>
      <c r="B703" s="1" t="s">
        <v>851</v>
      </c>
      <c r="C703" s="5" t="s">
        <v>213</v>
      </c>
      <c r="D703" s="5" t="s">
        <v>214</v>
      </c>
      <c r="E703" s="6">
        <v>45772.43958333333</v>
      </c>
      <c r="F703" s="7" t="s">
        <v>215</v>
      </c>
      <c r="G703" s="5" t="s">
        <v>16</v>
      </c>
      <c r="I703" s="2" t="s">
        <v>17</v>
      </c>
      <c r="K703" s="2" t="s">
        <v>18</v>
      </c>
      <c r="L703" s="2"/>
    </row>
    <row r="704">
      <c r="A704" s="1" t="s">
        <v>852</v>
      </c>
      <c r="B704" s="1" t="s">
        <v>852</v>
      </c>
      <c r="C704" s="2" t="s">
        <v>849</v>
      </c>
      <c r="D704" s="5" t="s">
        <v>850</v>
      </c>
      <c r="E704" s="6">
        <v>45772.455555555556</v>
      </c>
      <c r="F704" s="7" t="e">
        <v>#N/A</v>
      </c>
      <c r="G704" s="5" t="s">
        <v>24</v>
      </c>
      <c r="K704" s="2" t="s">
        <v>18</v>
      </c>
      <c r="L704" s="2"/>
    </row>
    <row r="705">
      <c r="A705" s="1" t="s">
        <v>853</v>
      </c>
      <c r="B705" s="1" t="s">
        <v>853</v>
      </c>
      <c r="C705" s="5" t="s">
        <v>349</v>
      </c>
      <c r="D705" s="5" t="s">
        <v>350</v>
      </c>
      <c r="E705" s="6">
        <v>45772.455555555556</v>
      </c>
      <c r="F705" s="7" t="s">
        <v>351</v>
      </c>
      <c r="G705" s="5" t="s">
        <v>24</v>
      </c>
      <c r="K705" s="2" t="s">
        <v>18</v>
      </c>
      <c r="L705" s="2"/>
    </row>
    <row r="706">
      <c r="A706" s="1" t="s">
        <v>854</v>
      </c>
      <c r="B706" s="1" t="s">
        <v>854</v>
      </c>
      <c r="C706" s="5" t="s">
        <v>685</v>
      </c>
      <c r="D706" s="5" t="s">
        <v>686</v>
      </c>
      <c r="E706" s="6">
        <v>45773.33333333333</v>
      </c>
      <c r="F706" s="7" t="s">
        <v>687</v>
      </c>
      <c r="G706" s="5" t="s">
        <v>16</v>
      </c>
      <c r="I706" s="2" t="s">
        <v>17</v>
      </c>
      <c r="J706" s="2"/>
      <c r="K706" s="2" t="s">
        <v>18</v>
      </c>
      <c r="L706" s="2"/>
    </row>
    <row r="707">
      <c r="A707" s="1" t="s">
        <v>855</v>
      </c>
      <c r="B707" s="1" t="s">
        <v>855</v>
      </c>
      <c r="C707" s="5" t="s">
        <v>45</v>
      </c>
      <c r="D707" s="5" t="s">
        <v>46</v>
      </c>
      <c r="E707" s="6">
        <v>45773.43888888889</v>
      </c>
      <c r="F707" s="7" t="s">
        <v>47</v>
      </c>
      <c r="G707" s="5" t="s">
        <v>16</v>
      </c>
      <c r="I707" s="2" t="s">
        <v>17</v>
      </c>
      <c r="J707" s="2"/>
      <c r="K707" s="2" t="s">
        <v>18</v>
      </c>
      <c r="L707" s="2"/>
    </row>
    <row r="708">
      <c r="A708" s="1" t="s">
        <v>856</v>
      </c>
      <c r="B708" s="1" t="s">
        <v>856</v>
      </c>
      <c r="C708" s="5" t="s">
        <v>685</v>
      </c>
      <c r="D708" s="5" t="s">
        <v>686</v>
      </c>
      <c r="E708" s="6">
        <v>45773.444444444445</v>
      </c>
      <c r="F708" s="7" t="s">
        <v>687</v>
      </c>
      <c r="G708" s="5" t="s">
        <v>24</v>
      </c>
      <c r="K708" s="2" t="s">
        <v>18</v>
      </c>
      <c r="L708" s="2"/>
    </row>
    <row r="709">
      <c r="A709" s="1" t="s">
        <v>857</v>
      </c>
      <c r="B709" s="1" t="s">
        <v>857</v>
      </c>
      <c r="C709" s="5" t="s">
        <v>45</v>
      </c>
      <c r="D709" s="5" t="s">
        <v>46</v>
      </c>
      <c r="E709" s="6">
        <v>45773.51875</v>
      </c>
      <c r="F709" s="7" t="s">
        <v>47</v>
      </c>
      <c r="G709" s="5" t="s">
        <v>24</v>
      </c>
      <c r="K709" s="2" t="s">
        <v>18</v>
      </c>
      <c r="L709" s="2"/>
    </row>
    <row r="710">
      <c r="A710" s="1" t="s">
        <v>858</v>
      </c>
      <c r="B710" s="1" t="s">
        <v>858</v>
      </c>
      <c r="C710" s="5" t="s">
        <v>464</v>
      </c>
      <c r="D710" s="5" t="s">
        <v>465</v>
      </c>
      <c r="E710" s="6">
        <v>45773.59583333333</v>
      </c>
      <c r="F710" s="7" t="s">
        <v>466</v>
      </c>
      <c r="G710" s="5" t="s">
        <v>16</v>
      </c>
      <c r="I710" s="2" t="s">
        <v>17</v>
      </c>
      <c r="K710" s="2" t="s">
        <v>18</v>
      </c>
      <c r="L710" s="2"/>
    </row>
    <row r="711">
      <c r="A711" s="1" t="s">
        <v>859</v>
      </c>
      <c r="B711" s="1" t="s">
        <v>859</v>
      </c>
      <c r="C711" s="5" t="s">
        <v>464</v>
      </c>
      <c r="D711" s="5" t="s">
        <v>465</v>
      </c>
      <c r="E711" s="6">
        <v>45773.63333333333</v>
      </c>
      <c r="F711" s="7" t="s">
        <v>466</v>
      </c>
      <c r="G711" s="5" t="s">
        <v>24</v>
      </c>
      <c r="K711" s="2" t="s">
        <v>18</v>
      </c>
      <c r="L711" s="2"/>
    </row>
    <row r="712">
      <c r="A712" s="1" t="s">
        <v>860</v>
      </c>
      <c r="B712" s="1" t="s">
        <v>860</v>
      </c>
      <c r="C712" s="5" t="s">
        <v>75</v>
      </c>
      <c r="D712" s="5" t="s">
        <v>76</v>
      </c>
      <c r="E712" s="6">
        <v>45774.34930555556</v>
      </c>
      <c r="F712" s="7" t="s">
        <v>77</v>
      </c>
      <c r="G712" s="5" t="s">
        <v>16</v>
      </c>
      <c r="I712" s="2" t="s">
        <v>17</v>
      </c>
      <c r="J712" s="2"/>
      <c r="K712" s="2" t="s">
        <v>18</v>
      </c>
      <c r="L712" s="2"/>
    </row>
    <row r="713">
      <c r="A713" s="1" t="s">
        <v>861</v>
      </c>
      <c r="B713" s="1" t="s">
        <v>861</v>
      </c>
      <c r="C713" s="5" t="s">
        <v>75</v>
      </c>
      <c r="D713" s="5" t="s">
        <v>76</v>
      </c>
      <c r="E713" s="6">
        <v>45775.475</v>
      </c>
      <c r="F713" s="7" t="s">
        <v>77</v>
      </c>
      <c r="G713" s="5" t="s">
        <v>24</v>
      </c>
      <c r="K713" s="2" t="s">
        <v>18</v>
      </c>
      <c r="L713" s="2"/>
    </row>
    <row r="714">
      <c r="A714" s="1" t="s">
        <v>862</v>
      </c>
      <c r="B714" s="1" t="s">
        <v>862</v>
      </c>
      <c r="C714" s="5" t="s">
        <v>345</v>
      </c>
      <c r="D714" s="5" t="s">
        <v>346</v>
      </c>
      <c r="E714" s="6">
        <v>45775.55972222222</v>
      </c>
      <c r="F714" s="7" t="s">
        <v>347</v>
      </c>
      <c r="G714" s="5" t="s">
        <v>16</v>
      </c>
      <c r="K714" s="2" t="s">
        <v>18</v>
      </c>
      <c r="L714" s="2"/>
    </row>
    <row r="715">
      <c r="A715" s="1" t="s">
        <v>863</v>
      </c>
      <c r="B715" s="1" t="s">
        <v>863</v>
      </c>
      <c r="C715" s="5" t="s">
        <v>45</v>
      </c>
      <c r="D715" s="5" t="s">
        <v>46</v>
      </c>
      <c r="E715" s="6">
        <v>45776.35902777778</v>
      </c>
      <c r="F715" s="7" t="s">
        <v>47</v>
      </c>
      <c r="G715" s="5" t="s">
        <v>16</v>
      </c>
      <c r="I715" s="2" t="s">
        <v>17</v>
      </c>
      <c r="J715" s="2"/>
      <c r="K715" s="2" t="s">
        <v>18</v>
      </c>
      <c r="L715" s="2"/>
    </row>
    <row r="716">
      <c r="A716" s="1" t="s">
        <v>864</v>
      </c>
      <c r="B716" s="1" t="s">
        <v>864</v>
      </c>
      <c r="C716" s="5" t="s">
        <v>345</v>
      </c>
      <c r="D716" s="5" t="s">
        <v>346</v>
      </c>
      <c r="E716" s="6">
        <v>45775.73055555555</v>
      </c>
      <c r="F716" s="7" t="s">
        <v>347</v>
      </c>
      <c r="G716" s="5" t="s">
        <v>24</v>
      </c>
      <c r="K716" s="2" t="s">
        <v>18</v>
      </c>
      <c r="L716" s="2"/>
    </row>
    <row r="717">
      <c r="A717" s="1" t="s">
        <v>865</v>
      </c>
      <c r="B717" s="1" t="s">
        <v>865</v>
      </c>
      <c r="C717" s="5" t="s">
        <v>326</v>
      </c>
      <c r="D717" s="5" t="s">
        <v>327</v>
      </c>
      <c r="E717" s="6">
        <v>45779.40694444445</v>
      </c>
      <c r="F717" s="7" t="s">
        <v>328</v>
      </c>
      <c r="G717" s="5" t="s">
        <v>16</v>
      </c>
      <c r="K717" s="2" t="s">
        <v>18</v>
      </c>
      <c r="L717" s="2"/>
    </row>
    <row r="718">
      <c r="A718" s="1" t="s">
        <v>866</v>
      </c>
      <c r="B718" s="1" t="s">
        <v>866</v>
      </c>
      <c r="C718" s="5" t="s">
        <v>45</v>
      </c>
      <c r="D718" s="5" t="s">
        <v>46</v>
      </c>
      <c r="E718" s="6">
        <v>45776.45833333333</v>
      </c>
      <c r="F718" s="7" t="s">
        <v>47</v>
      </c>
      <c r="G718" s="5" t="s">
        <v>24</v>
      </c>
      <c r="K718" s="2" t="s">
        <v>18</v>
      </c>
      <c r="L718" s="2"/>
    </row>
    <row r="719">
      <c r="A719" s="1" t="s">
        <v>867</v>
      </c>
      <c r="B719" s="1" t="s">
        <v>867</v>
      </c>
      <c r="C719" s="5" t="s">
        <v>305</v>
      </c>
      <c r="D719" s="5" t="s">
        <v>306</v>
      </c>
      <c r="E719" s="6">
        <v>45776.45972222222</v>
      </c>
      <c r="F719" s="7" t="s">
        <v>307</v>
      </c>
      <c r="G719" s="5" t="s">
        <v>24</v>
      </c>
      <c r="K719" s="2" t="s">
        <v>18</v>
      </c>
      <c r="L719" s="2"/>
    </row>
    <row r="720">
      <c r="A720" s="1" t="s">
        <v>868</v>
      </c>
      <c r="B720" s="1" t="s">
        <v>868</v>
      </c>
      <c r="C720" s="5" t="s">
        <v>213</v>
      </c>
      <c r="D720" s="5" t="s">
        <v>214</v>
      </c>
      <c r="E720" s="6">
        <v>45776.46041666667</v>
      </c>
      <c r="F720" s="7" t="s">
        <v>215</v>
      </c>
      <c r="G720" s="5" t="s">
        <v>24</v>
      </c>
      <c r="K720" s="2" t="s">
        <v>18</v>
      </c>
      <c r="L720" s="2"/>
    </row>
    <row r="721">
      <c r="A721" s="1" t="s">
        <v>869</v>
      </c>
      <c r="B721" s="1" t="s">
        <v>869</v>
      </c>
      <c r="C721" s="5" t="s">
        <v>49</v>
      </c>
      <c r="D721" s="5" t="s">
        <v>50</v>
      </c>
      <c r="E721" s="6">
        <v>45776.461111111115</v>
      </c>
      <c r="F721" s="7" t="s">
        <v>51</v>
      </c>
      <c r="G721" s="5" t="s">
        <v>24</v>
      </c>
      <c r="K721" s="2" t="s">
        <v>18</v>
      </c>
      <c r="L721" s="2"/>
    </row>
    <row r="722">
      <c r="A722" s="1" t="s">
        <v>870</v>
      </c>
      <c r="B722" s="1" t="s">
        <v>870</v>
      </c>
      <c r="C722" s="5" t="s">
        <v>20</v>
      </c>
      <c r="D722" s="5" t="s">
        <v>21</v>
      </c>
      <c r="E722" s="6">
        <v>45776.461805555555</v>
      </c>
      <c r="F722" s="7" t="s">
        <v>22</v>
      </c>
      <c r="G722" s="5" t="s">
        <v>24</v>
      </c>
      <c r="K722" s="2" t="s">
        <v>18</v>
      </c>
      <c r="L722" s="2"/>
    </row>
    <row r="723">
      <c r="A723" s="1" t="s">
        <v>871</v>
      </c>
      <c r="B723" s="1" t="s">
        <v>871</v>
      </c>
      <c r="C723" s="5" t="s">
        <v>367</v>
      </c>
      <c r="D723" s="5" t="s">
        <v>368</v>
      </c>
      <c r="E723" s="6">
        <v>45777.4625</v>
      </c>
      <c r="F723" s="7" t="s">
        <v>369</v>
      </c>
      <c r="G723" s="5" t="s">
        <v>24</v>
      </c>
      <c r="K723" s="2" t="s">
        <v>18</v>
      </c>
      <c r="L723" s="2"/>
    </row>
    <row r="724">
      <c r="A724" s="1" t="s">
        <v>872</v>
      </c>
      <c r="B724" s="1" t="s">
        <v>872</v>
      </c>
      <c r="C724" s="2" t="s">
        <v>805</v>
      </c>
      <c r="D724" s="5" t="s">
        <v>806</v>
      </c>
      <c r="E724" s="6">
        <v>45776.46527777778</v>
      </c>
      <c r="F724" s="7" t="e">
        <v>#N/A</v>
      </c>
      <c r="G724" s="5" t="s">
        <v>24</v>
      </c>
      <c r="K724" s="2" t="s">
        <v>18</v>
      </c>
      <c r="L724" s="2"/>
    </row>
    <row r="725">
      <c r="A725" s="1" t="s">
        <v>873</v>
      </c>
      <c r="B725" s="1" t="s">
        <v>873</v>
      </c>
      <c r="C725" s="5" t="s">
        <v>45</v>
      </c>
      <c r="D725" s="5" t="s">
        <v>46</v>
      </c>
      <c r="E725" s="6">
        <v>45782.35416666667</v>
      </c>
      <c r="F725" s="7" t="s">
        <v>47</v>
      </c>
      <c r="G725" s="5" t="s">
        <v>16</v>
      </c>
      <c r="I725" s="2" t="s">
        <v>17</v>
      </c>
      <c r="J725" s="2"/>
      <c r="K725" s="2" t="s">
        <v>18</v>
      </c>
      <c r="L725" s="2"/>
    </row>
    <row r="726">
      <c r="A726" s="1" t="s">
        <v>874</v>
      </c>
      <c r="B726" s="1" t="s">
        <v>874</v>
      </c>
      <c r="C726" s="5" t="s">
        <v>434</v>
      </c>
      <c r="D726" s="5" t="s">
        <v>875</v>
      </c>
      <c r="E726" s="6">
        <v>45782.388194444444</v>
      </c>
      <c r="F726" s="7" t="e">
        <v>#N/A</v>
      </c>
      <c r="G726" s="5" t="s">
        <v>16</v>
      </c>
      <c r="K726" s="2" t="s">
        <v>18</v>
      </c>
      <c r="L726" s="2"/>
    </row>
    <row r="727">
      <c r="A727" s="8" t="s">
        <v>876</v>
      </c>
      <c r="B727" s="8" t="s">
        <v>876</v>
      </c>
      <c r="C727" s="2" t="s">
        <v>309</v>
      </c>
      <c r="D727" s="2" t="s">
        <v>310</v>
      </c>
      <c r="E727" s="6">
        <v>45782.40763888889</v>
      </c>
      <c r="F727" s="7" t="s">
        <v>617</v>
      </c>
      <c r="G727" s="5" t="s">
        <v>16</v>
      </c>
      <c r="K727" s="2" t="s">
        <v>18</v>
      </c>
      <c r="L727" s="2"/>
    </row>
    <row r="728">
      <c r="A728" s="1" t="s">
        <v>877</v>
      </c>
      <c r="B728" s="1" t="s">
        <v>877</v>
      </c>
      <c r="C728" s="5" t="s">
        <v>49</v>
      </c>
      <c r="D728" s="5" t="s">
        <v>50</v>
      </c>
      <c r="E728" s="6">
        <v>45782.48819444445</v>
      </c>
      <c r="F728" s="7" t="s">
        <v>51</v>
      </c>
      <c r="G728" s="5" t="s">
        <v>16</v>
      </c>
      <c r="K728" s="2" t="s">
        <v>18</v>
      </c>
      <c r="L728" s="2"/>
    </row>
    <row r="729">
      <c r="A729" s="1" t="s">
        <v>878</v>
      </c>
      <c r="B729" s="1" t="s">
        <v>878</v>
      </c>
      <c r="C729" s="2" t="s">
        <v>309</v>
      </c>
      <c r="D729" s="2" t="s">
        <v>310</v>
      </c>
      <c r="E729" s="6">
        <v>45782.490277777775</v>
      </c>
      <c r="F729" s="7" t="s">
        <v>617</v>
      </c>
      <c r="G729" s="5" t="s">
        <v>24</v>
      </c>
      <c r="K729" s="2" t="s">
        <v>18</v>
      </c>
      <c r="L729" s="2"/>
    </row>
    <row r="730">
      <c r="A730" s="1" t="s">
        <v>879</v>
      </c>
      <c r="B730" s="1" t="s">
        <v>879</v>
      </c>
      <c r="C730" s="5" t="s">
        <v>309</v>
      </c>
      <c r="D730" s="5" t="s">
        <v>310</v>
      </c>
      <c r="E730" s="6">
        <v>45782.490277777775</v>
      </c>
      <c r="F730" s="7" t="s">
        <v>311</v>
      </c>
      <c r="G730" s="5" t="s">
        <v>24</v>
      </c>
      <c r="K730" s="2" t="s">
        <v>18</v>
      </c>
      <c r="L730" s="2"/>
    </row>
    <row r="731">
      <c r="A731" s="1" t="s">
        <v>880</v>
      </c>
      <c r="B731" s="1" t="s">
        <v>880</v>
      </c>
      <c r="C731" s="5" t="s">
        <v>464</v>
      </c>
      <c r="D731" s="5" t="s">
        <v>465</v>
      </c>
      <c r="E731" s="6">
        <v>45782.5</v>
      </c>
      <c r="F731" s="7" t="s">
        <v>466</v>
      </c>
      <c r="G731" s="5" t="s">
        <v>16</v>
      </c>
      <c r="I731" s="2" t="s">
        <v>17</v>
      </c>
      <c r="K731" s="2" t="s">
        <v>18</v>
      </c>
      <c r="L731" s="2"/>
    </row>
    <row r="732">
      <c r="A732" s="1" t="s">
        <v>881</v>
      </c>
      <c r="B732" s="1" t="s">
        <v>881</v>
      </c>
      <c r="C732" s="5" t="s">
        <v>349</v>
      </c>
      <c r="D732" s="5" t="s">
        <v>350</v>
      </c>
      <c r="E732" s="6">
        <v>45782.5</v>
      </c>
      <c r="F732" s="7" t="s">
        <v>351</v>
      </c>
      <c r="G732" s="5" t="s">
        <v>16</v>
      </c>
      <c r="K732" s="2" t="s">
        <v>18</v>
      </c>
      <c r="L732" s="2"/>
    </row>
    <row r="733">
      <c r="A733" s="1" t="s">
        <v>882</v>
      </c>
      <c r="B733" s="1" t="s">
        <v>882</v>
      </c>
      <c r="C733" s="5" t="s">
        <v>45</v>
      </c>
      <c r="D733" s="5" t="s">
        <v>46</v>
      </c>
      <c r="E733" s="6">
        <v>45782.50069444445</v>
      </c>
      <c r="F733" s="7" t="s">
        <v>47</v>
      </c>
      <c r="G733" s="5" t="s">
        <v>24</v>
      </c>
      <c r="K733" s="2" t="s">
        <v>18</v>
      </c>
      <c r="L733" s="2"/>
    </row>
    <row r="734">
      <c r="A734" s="1" t="s">
        <v>883</v>
      </c>
      <c r="B734" s="1" t="s">
        <v>883</v>
      </c>
      <c r="C734" s="5" t="s">
        <v>326</v>
      </c>
      <c r="D734" s="5" t="s">
        <v>327</v>
      </c>
      <c r="E734" s="6">
        <v>45782.50138888889</v>
      </c>
      <c r="F734" s="7" t="s">
        <v>328</v>
      </c>
      <c r="G734" s="5" t="s">
        <v>24</v>
      </c>
      <c r="K734" s="2" t="s">
        <v>18</v>
      </c>
      <c r="L734" s="2"/>
    </row>
    <row r="735">
      <c r="A735" s="1" t="s">
        <v>884</v>
      </c>
      <c r="B735" s="1" t="s">
        <v>884</v>
      </c>
      <c r="C735" s="5" t="s">
        <v>885</v>
      </c>
      <c r="D735" s="5" t="s">
        <v>886</v>
      </c>
      <c r="E735" s="6">
        <v>45782.652083333334</v>
      </c>
      <c r="F735" s="7" t="s">
        <v>887</v>
      </c>
      <c r="G735" s="5" t="s">
        <v>16</v>
      </c>
      <c r="I735" s="2" t="s">
        <v>17</v>
      </c>
      <c r="J735" s="2"/>
      <c r="K735" s="2" t="s">
        <v>18</v>
      </c>
      <c r="L735" s="2"/>
    </row>
    <row r="736">
      <c r="A736" s="1" t="s">
        <v>888</v>
      </c>
      <c r="B736" s="1" t="s">
        <v>888</v>
      </c>
      <c r="C736" s="5" t="s">
        <v>464</v>
      </c>
      <c r="D736" s="5" t="s">
        <v>465</v>
      </c>
      <c r="E736" s="6">
        <v>45782.65486111111</v>
      </c>
      <c r="F736" s="7" t="s">
        <v>466</v>
      </c>
      <c r="G736" s="5" t="s">
        <v>24</v>
      </c>
      <c r="K736" s="2" t="s">
        <v>18</v>
      </c>
      <c r="L736" s="2"/>
    </row>
    <row r="737">
      <c r="A737" s="1" t="s">
        <v>889</v>
      </c>
      <c r="B737" s="1" t="s">
        <v>889</v>
      </c>
      <c r="C737" s="5" t="s">
        <v>349</v>
      </c>
      <c r="D737" s="5" t="s">
        <v>350</v>
      </c>
      <c r="E737" s="6">
        <v>45782.65555555555</v>
      </c>
      <c r="F737" s="7" t="s">
        <v>351</v>
      </c>
      <c r="G737" s="5" t="s">
        <v>24</v>
      </c>
      <c r="K737" s="2" t="s">
        <v>18</v>
      </c>
      <c r="L737" s="2"/>
    </row>
    <row r="738">
      <c r="A738" s="1" t="s">
        <v>890</v>
      </c>
      <c r="B738" s="1" t="s">
        <v>890</v>
      </c>
      <c r="C738" s="5" t="s">
        <v>49</v>
      </c>
      <c r="D738" s="5" t="s">
        <v>50</v>
      </c>
      <c r="E738" s="6">
        <v>45782.70763888889</v>
      </c>
      <c r="F738" s="7" t="s">
        <v>51</v>
      </c>
      <c r="G738" s="5" t="s">
        <v>24</v>
      </c>
      <c r="K738" s="2" t="s">
        <v>18</v>
      </c>
      <c r="L738" s="2"/>
    </row>
    <row r="739">
      <c r="A739" s="1" t="s">
        <v>891</v>
      </c>
      <c r="B739" s="1" t="s">
        <v>891</v>
      </c>
      <c r="C739" s="5" t="s">
        <v>45</v>
      </c>
      <c r="D739" s="5" t="s">
        <v>46</v>
      </c>
      <c r="E739" s="6">
        <v>45783.3375</v>
      </c>
      <c r="F739" s="7" t="s">
        <v>47</v>
      </c>
      <c r="G739" s="5" t="s">
        <v>16</v>
      </c>
      <c r="I739" s="2" t="s">
        <v>17</v>
      </c>
      <c r="J739" s="2"/>
      <c r="K739" s="2" t="s">
        <v>18</v>
      </c>
      <c r="L739" s="2"/>
    </row>
    <row r="740">
      <c r="A740" s="1" t="s">
        <v>892</v>
      </c>
      <c r="B740" s="1" t="s">
        <v>892</v>
      </c>
      <c r="C740" s="5" t="s">
        <v>326</v>
      </c>
      <c r="D740" s="5" t="s">
        <v>327</v>
      </c>
      <c r="E740" s="6">
        <v>45783.33888888889</v>
      </c>
      <c r="F740" s="7" t="s">
        <v>328</v>
      </c>
      <c r="G740" s="5" t="s">
        <v>16</v>
      </c>
      <c r="K740" s="2" t="s">
        <v>18</v>
      </c>
      <c r="L740" s="2"/>
    </row>
    <row r="741">
      <c r="A741" s="1" t="s">
        <v>893</v>
      </c>
      <c r="B741" s="1" t="s">
        <v>893</v>
      </c>
      <c r="C741" s="2" t="s">
        <v>353</v>
      </c>
      <c r="D741" s="5" t="s">
        <v>354</v>
      </c>
      <c r="E741" s="6">
        <v>45783.22777777778</v>
      </c>
      <c r="F741" s="7" t="e">
        <v>#N/A</v>
      </c>
      <c r="G741" s="5" t="s">
        <v>16</v>
      </c>
      <c r="K741" s="2" t="s">
        <v>18</v>
      </c>
      <c r="L741" s="2"/>
    </row>
    <row r="742">
      <c r="A742" s="1" t="s">
        <v>894</v>
      </c>
      <c r="B742" s="1" t="s">
        <v>894</v>
      </c>
      <c r="C742" s="5" t="s">
        <v>213</v>
      </c>
      <c r="D742" s="5" t="s">
        <v>214</v>
      </c>
      <c r="E742" s="6">
        <v>45783.40902777778</v>
      </c>
      <c r="F742" s="7" t="s">
        <v>215</v>
      </c>
      <c r="G742" s="5" t="s">
        <v>16</v>
      </c>
      <c r="I742" s="2" t="s">
        <v>17</v>
      </c>
      <c r="K742" s="2" t="s">
        <v>18</v>
      </c>
      <c r="L742" s="2"/>
    </row>
    <row r="743">
      <c r="A743" s="1" t="s">
        <v>895</v>
      </c>
      <c r="B743" s="1" t="s">
        <v>895</v>
      </c>
      <c r="C743" s="5" t="s">
        <v>305</v>
      </c>
      <c r="D743" s="5" t="s">
        <v>306</v>
      </c>
      <c r="E743" s="6">
        <v>45783.48125</v>
      </c>
      <c r="F743" s="7" t="s">
        <v>307</v>
      </c>
      <c r="G743" s="5" t="s">
        <v>24</v>
      </c>
      <c r="K743" s="2" t="s">
        <v>18</v>
      </c>
      <c r="L743" s="2"/>
    </row>
    <row r="744">
      <c r="A744" s="1" t="s">
        <v>896</v>
      </c>
      <c r="B744" s="1" t="s">
        <v>896</v>
      </c>
      <c r="C744" s="5" t="s">
        <v>109</v>
      </c>
      <c r="D744" s="5" t="s">
        <v>110</v>
      </c>
      <c r="E744" s="6">
        <v>45783.643055555556</v>
      </c>
      <c r="F744" s="7" t="s">
        <v>111</v>
      </c>
      <c r="G744" s="5" t="s">
        <v>24</v>
      </c>
      <c r="K744" s="2" t="s">
        <v>18</v>
      </c>
      <c r="L744" s="2"/>
    </row>
    <row r="745">
      <c r="A745" s="1" t="s">
        <v>897</v>
      </c>
      <c r="B745" s="1" t="s">
        <v>897</v>
      </c>
      <c r="C745" s="5" t="s">
        <v>213</v>
      </c>
      <c r="D745" s="5" t="s">
        <v>214</v>
      </c>
      <c r="E745" s="6">
        <v>45783.64375</v>
      </c>
      <c r="F745" s="7" t="s">
        <v>215</v>
      </c>
      <c r="G745" s="5" t="s">
        <v>24</v>
      </c>
      <c r="K745" s="2" t="s">
        <v>18</v>
      </c>
      <c r="L745" s="2"/>
    </row>
    <row r="746">
      <c r="A746" s="1" t="s">
        <v>898</v>
      </c>
      <c r="B746" s="1" t="s">
        <v>898</v>
      </c>
      <c r="C746" s="5" t="s">
        <v>786</v>
      </c>
      <c r="D746" s="5" t="s">
        <v>787</v>
      </c>
      <c r="E746" s="6">
        <v>45783.75277777778</v>
      </c>
      <c r="F746" s="7" t="s">
        <v>788</v>
      </c>
      <c r="G746" s="5" t="s">
        <v>24</v>
      </c>
      <c r="K746" s="2" t="s">
        <v>18</v>
      </c>
      <c r="L746" s="2"/>
    </row>
    <row r="747">
      <c r="A747" s="1" t="s">
        <v>899</v>
      </c>
      <c r="B747" s="1" t="s">
        <v>899</v>
      </c>
      <c r="C747" s="5" t="s">
        <v>109</v>
      </c>
      <c r="D747" s="5" t="s">
        <v>110</v>
      </c>
      <c r="E747" s="6">
        <v>45784.38055555556</v>
      </c>
      <c r="F747" s="7" t="s">
        <v>111</v>
      </c>
      <c r="G747" s="5" t="s">
        <v>16</v>
      </c>
      <c r="K747" s="2" t="s">
        <v>18</v>
      </c>
      <c r="L747" s="2"/>
    </row>
    <row r="748">
      <c r="A748" s="1" t="s">
        <v>900</v>
      </c>
      <c r="B748" s="1" t="s">
        <v>900</v>
      </c>
      <c r="C748" s="5" t="s">
        <v>309</v>
      </c>
      <c r="D748" s="5" t="s">
        <v>310</v>
      </c>
      <c r="E748" s="6">
        <v>45785.35625</v>
      </c>
      <c r="F748" s="7" t="s">
        <v>311</v>
      </c>
      <c r="G748" s="5" t="s">
        <v>16</v>
      </c>
      <c r="K748" s="2" t="s">
        <v>18</v>
      </c>
      <c r="L748" s="2"/>
    </row>
    <row r="749">
      <c r="A749" s="1" t="s">
        <v>901</v>
      </c>
      <c r="B749" s="1" t="s">
        <v>901</v>
      </c>
      <c r="C749" s="5" t="s">
        <v>45</v>
      </c>
      <c r="D749" s="5" t="s">
        <v>46</v>
      </c>
      <c r="E749" s="6">
        <v>45784.40763888889</v>
      </c>
      <c r="F749" s="7" t="s">
        <v>47</v>
      </c>
      <c r="G749" s="5" t="s">
        <v>16</v>
      </c>
      <c r="I749" s="2" t="s">
        <v>17</v>
      </c>
      <c r="J749" s="2"/>
      <c r="K749" s="2" t="s">
        <v>18</v>
      </c>
      <c r="L749" s="2"/>
    </row>
    <row r="750">
      <c r="A750" s="1" t="s">
        <v>902</v>
      </c>
      <c r="B750" s="1" t="s">
        <v>902</v>
      </c>
      <c r="C750" s="5" t="s">
        <v>464</v>
      </c>
      <c r="D750" s="5" t="s">
        <v>465</v>
      </c>
      <c r="E750" s="6">
        <v>45784.40833333333</v>
      </c>
      <c r="F750" s="7" t="s">
        <v>466</v>
      </c>
      <c r="G750" s="5" t="s">
        <v>16</v>
      </c>
      <c r="I750" s="2" t="s">
        <v>17</v>
      </c>
      <c r="K750" s="2" t="s">
        <v>18</v>
      </c>
      <c r="L750" s="2"/>
    </row>
    <row r="751">
      <c r="A751" s="1" t="s">
        <v>903</v>
      </c>
      <c r="B751" s="1" t="s">
        <v>903</v>
      </c>
      <c r="C751" s="5" t="s">
        <v>904</v>
      </c>
      <c r="D751" s="5" t="s">
        <v>905</v>
      </c>
      <c r="E751" s="6">
        <v>45784.45972222222</v>
      </c>
      <c r="F751" s="7" t="s">
        <v>906</v>
      </c>
      <c r="G751" s="5" t="s">
        <v>16</v>
      </c>
      <c r="K751" s="2" t="s">
        <v>18</v>
      </c>
      <c r="L751" s="2"/>
    </row>
    <row r="752">
      <c r="A752" s="1" t="s">
        <v>907</v>
      </c>
      <c r="B752" s="1" t="s">
        <v>907</v>
      </c>
      <c r="C752" s="5" t="s">
        <v>685</v>
      </c>
      <c r="D752" s="5" t="s">
        <v>686</v>
      </c>
      <c r="E752" s="6">
        <v>45784.464583333334</v>
      </c>
      <c r="F752" s="7" t="s">
        <v>687</v>
      </c>
      <c r="G752" s="5" t="s">
        <v>24</v>
      </c>
      <c r="K752" s="2" t="s">
        <v>18</v>
      </c>
      <c r="L752" s="2"/>
    </row>
    <row r="753">
      <c r="A753" s="1" t="s">
        <v>908</v>
      </c>
      <c r="B753" s="1" t="s">
        <v>908</v>
      </c>
      <c r="C753" s="5" t="s">
        <v>320</v>
      </c>
      <c r="D753" s="5" t="s">
        <v>321</v>
      </c>
      <c r="E753" s="6">
        <v>45784.464583333334</v>
      </c>
      <c r="F753" s="7" t="s">
        <v>322</v>
      </c>
      <c r="G753" s="5" t="s">
        <v>24</v>
      </c>
      <c r="K753" s="2" t="s">
        <v>18</v>
      </c>
      <c r="L753" s="2"/>
    </row>
    <row r="754">
      <c r="A754" s="1" t="s">
        <v>909</v>
      </c>
      <c r="B754" s="1" t="s">
        <v>909</v>
      </c>
      <c r="C754" s="5" t="s">
        <v>45</v>
      </c>
      <c r="D754" s="5" t="s">
        <v>46</v>
      </c>
      <c r="E754" s="6">
        <v>45784.58472222222</v>
      </c>
      <c r="F754" s="7" t="s">
        <v>47</v>
      </c>
      <c r="G754" s="5" t="s">
        <v>24</v>
      </c>
      <c r="K754" s="2" t="s">
        <v>18</v>
      </c>
      <c r="L754" s="2"/>
    </row>
    <row r="755">
      <c r="A755" s="1" t="s">
        <v>910</v>
      </c>
      <c r="B755" s="1" t="s">
        <v>910</v>
      </c>
      <c r="C755" s="5" t="s">
        <v>213</v>
      </c>
      <c r="D755" s="5" t="s">
        <v>214</v>
      </c>
      <c r="E755" s="6">
        <v>45785.46944444445</v>
      </c>
      <c r="F755" s="7" t="s">
        <v>215</v>
      </c>
      <c r="G755" s="5" t="s">
        <v>24</v>
      </c>
      <c r="K755" s="2" t="s">
        <v>18</v>
      </c>
      <c r="L755" s="2"/>
    </row>
    <row r="756">
      <c r="A756" s="1" t="s">
        <v>911</v>
      </c>
      <c r="B756" s="1" t="s">
        <v>911</v>
      </c>
      <c r="C756" s="5" t="s">
        <v>493</v>
      </c>
      <c r="D756" s="5" t="s">
        <v>494</v>
      </c>
      <c r="E756" s="6">
        <v>45785.65763888889</v>
      </c>
      <c r="F756" s="7" t="s">
        <v>495</v>
      </c>
      <c r="G756" s="5" t="s">
        <v>24</v>
      </c>
      <c r="K756" s="2" t="s">
        <v>18</v>
      </c>
      <c r="L756" s="2"/>
    </row>
    <row r="757">
      <c r="A757" s="1" t="s">
        <v>912</v>
      </c>
      <c r="B757" s="1" t="s">
        <v>912</v>
      </c>
      <c r="C757" s="5" t="s">
        <v>493</v>
      </c>
      <c r="D757" s="5" t="s">
        <v>494</v>
      </c>
      <c r="E757" s="6">
        <v>45786.33819444444</v>
      </c>
      <c r="F757" s="7" t="s">
        <v>495</v>
      </c>
      <c r="G757" s="5" t="s">
        <v>16</v>
      </c>
      <c r="I757" s="2" t="s">
        <v>17</v>
      </c>
      <c r="K757" s="2" t="s">
        <v>18</v>
      </c>
      <c r="L757" s="2"/>
    </row>
    <row r="758">
      <c r="A758" s="1" t="s">
        <v>913</v>
      </c>
      <c r="B758" s="1" t="s">
        <v>913</v>
      </c>
      <c r="C758" s="5" t="s">
        <v>213</v>
      </c>
      <c r="D758" s="5" t="s">
        <v>214</v>
      </c>
      <c r="E758" s="6">
        <v>45786.45763888889</v>
      </c>
      <c r="F758" s="7" t="s">
        <v>215</v>
      </c>
      <c r="G758" s="5" t="s">
        <v>16</v>
      </c>
      <c r="I758" s="2" t="s">
        <v>17</v>
      </c>
      <c r="K758" s="2" t="s">
        <v>18</v>
      </c>
      <c r="L758" s="2"/>
    </row>
    <row r="759">
      <c r="A759" s="1" t="s">
        <v>914</v>
      </c>
      <c r="B759" s="1" t="s">
        <v>914</v>
      </c>
      <c r="C759" s="5" t="s">
        <v>213</v>
      </c>
      <c r="D759" s="5" t="s">
        <v>214</v>
      </c>
      <c r="E759" s="6">
        <v>45786.61458333333</v>
      </c>
      <c r="F759" s="7" t="s">
        <v>215</v>
      </c>
      <c r="G759" s="5" t="s">
        <v>24</v>
      </c>
      <c r="K759" s="2" t="s">
        <v>18</v>
      </c>
      <c r="L759" s="2"/>
    </row>
    <row r="760">
      <c r="A760" s="1" t="s">
        <v>915</v>
      </c>
      <c r="B760" s="1" t="s">
        <v>915</v>
      </c>
      <c r="C760" s="5" t="s">
        <v>799</v>
      </c>
      <c r="D760" s="5" t="s">
        <v>800</v>
      </c>
      <c r="E760" s="6">
        <v>45787.478472222225</v>
      </c>
      <c r="F760" s="7" t="s">
        <v>801</v>
      </c>
      <c r="G760" s="5" t="s">
        <v>24</v>
      </c>
      <c r="K760" s="2" t="s">
        <v>18</v>
      </c>
      <c r="L760" s="2"/>
    </row>
    <row r="761">
      <c r="A761" s="1" t="s">
        <v>916</v>
      </c>
      <c r="B761" s="1" t="s">
        <v>916</v>
      </c>
      <c r="C761" s="5" t="s">
        <v>799</v>
      </c>
      <c r="D761" s="5" t="s">
        <v>800</v>
      </c>
      <c r="E761" s="6">
        <v>45787.47916666667</v>
      </c>
      <c r="F761" s="7" t="s">
        <v>801</v>
      </c>
      <c r="G761" s="5" t="s">
        <v>159</v>
      </c>
      <c r="K761" s="2" t="s">
        <v>18</v>
      </c>
      <c r="L761" s="2"/>
    </row>
    <row r="762">
      <c r="A762" s="1" t="s">
        <v>917</v>
      </c>
      <c r="B762" s="1" t="s">
        <v>917</v>
      </c>
      <c r="C762" s="5" t="s">
        <v>464</v>
      </c>
      <c r="D762" s="5" t="s">
        <v>465</v>
      </c>
      <c r="E762" s="6">
        <v>45790.35902777778</v>
      </c>
      <c r="F762" s="7" t="s">
        <v>466</v>
      </c>
      <c r="G762" s="5" t="s">
        <v>16</v>
      </c>
      <c r="I762" s="2" t="s">
        <v>17</v>
      </c>
      <c r="K762" s="2" t="s">
        <v>18</v>
      </c>
      <c r="L762" s="2"/>
    </row>
    <row r="763">
      <c r="A763" s="1" t="s">
        <v>918</v>
      </c>
      <c r="B763" s="1" t="s">
        <v>918</v>
      </c>
      <c r="C763" s="5" t="s">
        <v>349</v>
      </c>
      <c r="D763" s="5" t="s">
        <v>350</v>
      </c>
      <c r="E763" s="6">
        <v>45790.35972222222</v>
      </c>
      <c r="F763" s="7" t="s">
        <v>351</v>
      </c>
      <c r="G763" s="5" t="s">
        <v>16</v>
      </c>
      <c r="K763" s="2" t="s">
        <v>18</v>
      </c>
      <c r="L763" s="2"/>
    </row>
    <row r="764">
      <c r="A764" s="1" t="s">
        <v>919</v>
      </c>
      <c r="B764" s="1" t="s">
        <v>919</v>
      </c>
      <c r="C764" s="5" t="s">
        <v>786</v>
      </c>
      <c r="D764" s="5" t="s">
        <v>787</v>
      </c>
      <c r="E764" s="6">
        <v>45790.35972222222</v>
      </c>
      <c r="F764" s="7" t="s">
        <v>788</v>
      </c>
      <c r="G764" s="5" t="s">
        <v>16</v>
      </c>
      <c r="K764" s="2" t="s">
        <v>18</v>
      </c>
      <c r="L764" s="2"/>
    </row>
    <row r="765">
      <c r="A765" s="1" t="s">
        <v>920</v>
      </c>
      <c r="B765" s="1" t="s">
        <v>920</v>
      </c>
      <c r="C765" s="5" t="s">
        <v>326</v>
      </c>
      <c r="D765" s="5" t="s">
        <v>327</v>
      </c>
      <c r="E765" s="6">
        <v>45790.40625</v>
      </c>
      <c r="F765" s="7" t="s">
        <v>328</v>
      </c>
      <c r="G765" s="5" t="s">
        <v>16</v>
      </c>
      <c r="K765" s="2" t="s">
        <v>18</v>
      </c>
      <c r="L765" s="2"/>
    </row>
    <row r="766">
      <c r="A766" s="1" t="s">
        <v>921</v>
      </c>
      <c r="B766" s="1" t="s">
        <v>921</v>
      </c>
      <c r="C766" s="5" t="s">
        <v>685</v>
      </c>
      <c r="D766" s="5" t="s">
        <v>686</v>
      </c>
      <c r="E766" s="6">
        <v>45791.388194444444</v>
      </c>
      <c r="F766" s="7" t="s">
        <v>687</v>
      </c>
      <c r="G766" s="5" t="s">
        <v>16</v>
      </c>
      <c r="I766" s="2" t="s">
        <v>17</v>
      </c>
      <c r="J766" s="2"/>
      <c r="K766" s="2" t="s">
        <v>18</v>
      </c>
      <c r="L766" s="2"/>
    </row>
    <row r="767">
      <c r="A767" s="1" t="s">
        <v>922</v>
      </c>
      <c r="B767" s="1" t="s">
        <v>922</v>
      </c>
      <c r="C767" s="5" t="s">
        <v>685</v>
      </c>
      <c r="D767" s="5" t="s">
        <v>686</v>
      </c>
      <c r="E767" s="6">
        <v>45791.459027777775</v>
      </c>
      <c r="F767" s="7" t="s">
        <v>687</v>
      </c>
      <c r="G767" s="5" t="s">
        <v>24</v>
      </c>
      <c r="K767" s="2" t="s">
        <v>18</v>
      </c>
      <c r="L767" s="2"/>
    </row>
    <row r="768">
      <c r="A768" s="1" t="s">
        <v>923</v>
      </c>
      <c r="B768" s="1" t="s">
        <v>923</v>
      </c>
      <c r="C768" s="5" t="s">
        <v>149</v>
      </c>
      <c r="D768" s="5" t="s">
        <v>150</v>
      </c>
      <c r="E768" s="6">
        <v>45791.46319444444</v>
      </c>
      <c r="F768" s="7" t="s">
        <v>151</v>
      </c>
      <c r="G768" s="5" t="s">
        <v>24</v>
      </c>
      <c r="K768" s="2" t="s">
        <v>18</v>
      </c>
      <c r="L768" s="2"/>
    </row>
    <row r="769">
      <c r="A769" s="1" t="s">
        <v>924</v>
      </c>
      <c r="B769" s="1" t="s">
        <v>924</v>
      </c>
      <c r="C769" s="5" t="s">
        <v>786</v>
      </c>
      <c r="D769" s="5" t="s">
        <v>787</v>
      </c>
      <c r="E769" s="6">
        <v>45790.46319444444</v>
      </c>
      <c r="F769" s="7" t="s">
        <v>788</v>
      </c>
      <c r="G769" s="5" t="s">
        <v>24</v>
      </c>
      <c r="K769" s="2" t="s">
        <v>18</v>
      </c>
      <c r="L769" s="2"/>
    </row>
    <row r="770">
      <c r="A770" s="1" t="s">
        <v>925</v>
      </c>
      <c r="B770" s="1" t="s">
        <v>925</v>
      </c>
      <c r="C770" s="5" t="s">
        <v>326</v>
      </c>
      <c r="D770" s="5" t="s">
        <v>327</v>
      </c>
      <c r="E770" s="6">
        <v>45790.46388888889</v>
      </c>
      <c r="F770" s="7" t="s">
        <v>328</v>
      </c>
      <c r="G770" s="5" t="s">
        <v>24</v>
      </c>
      <c r="K770" s="2" t="s">
        <v>18</v>
      </c>
      <c r="L770" s="2"/>
    </row>
    <row r="771">
      <c r="A771" s="1" t="s">
        <v>926</v>
      </c>
      <c r="B771" s="1" t="s">
        <v>926</v>
      </c>
      <c r="C771" s="5" t="s">
        <v>464</v>
      </c>
      <c r="D771" s="5" t="s">
        <v>465</v>
      </c>
      <c r="E771" s="6">
        <v>45790.46666666667</v>
      </c>
      <c r="F771" s="7" t="s">
        <v>466</v>
      </c>
      <c r="G771" s="5" t="s">
        <v>24</v>
      </c>
      <c r="K771" s="2" t="s">
        <v>18</v>
      </c>
      <c r="L771" s="2"/>
    </row>
    <row r="772">
      <c r="A772" s="1" t="s">
        <v>927</v>
      </c>
      <c r="B772" s="1" t="s">
        <v>927</v>
      </c>
      <c r="C772" s="5" t="s">
        <v>349</v>
      </c>
      <c r="D772" s="5" t="s">
        <v>350</v>
      </c>
      <c r="E772" s="6">
        <v>45790.46805555555</v>
      </c>
      <c r="F772" s="7" t="s">
        <v>351</v>
      </c>
      <c r="G772" s="5" t="s">
        <v>24</v>
      </c>
      <c r="H772" s="2"/>
      <c r="I772" s="2"/>
      <c r="J772" s="2"/>
      <c r="K772" s="2" t="s">
        <v>18</v>
      </c>
      <c r="L772" s="2"/>
    </row>
    <row r="773">
      <c r="A773" s="1" t="s">
        <v>928</v>
      </c>
      <c r="B773" s="1" t="s">
        <v>928</v>
      </c>
      <c r="C773" s="5" t="s">
        <v>320</v>
      </c>
      <c r="D773" s="5" t="s">
        <v>321</v>
      </c>
      <c r="E773" s="6">
        <v>45791.649305555555</v>
      </c>
      <c r="F773" s="7" t="s">
        <v>322</v>
      </c>
      <c r="G773" s="5" t="s">
        <v>16</v>
      </c>
      <c r="H773" s="2"/>
      <c r="I773" s="2" t="s">
        <v>17</v>
      </c>
      <c r="J773" s="2"/>
      <c r="K773" s="2" t="s">
        <v>18</v>
      </c>
      <c r="L773" s="2"/>
    </row>
    <row r="774">
      <c r="A774" s="1" t="s">
        <v>929</v>
      </c>
      <c r="B774" s="1" t="s">
        <v>929</v>
      </c>
      <c r="C774" s="5" t="s">
        <v>320</v>
      </c>
      <c r="D774" s="5" t="s">
        <v>321</v>
      </c>
      <c r="E774" s="6">
        <v>45791.675</v>
      </c>
      <c r="F774" s="7" t="s">
        <v>322</v>
      </c>
      <c r="G774" s="5" t="s">
        <v>24</v>
      </c>
      <c r="H774" s="2"/>
      <c r="I774" s="2"/>
      <c r="J774" s="2"/>
      <c r="K774" s="2" t="s">
        <v>18</v>
      </c>
      <c r="L774" s="2"/>
    </row>
    <row r="775">
      <c r="A775" s="1" t="s">
        <v>930</v>
      </c>
      <c r="B775" s="1" t="s">
        <v>930</v>
      </c>
      <c r="C775" s="5" t="s">
        <v>305</v>
      </c>
      <c r="D775" s="5" t="s">
        <v>306</v>
      </c>
      <c r="E775" s="6">
        <v>45792.381944444445</v>
      </c>
      <c r="F775" s="7" t="s">
        <v>307</v>
      </c>
      <c r="G775" s="5" t="s">
        <v>16</v>
      </c>
      <c r="H775" s="2"/>
      <c r="I775" s="2"/>
      <c r="J775" s="2"/>
      <c r="K775" s="2" t="s">
        <v>18</v>
      </c>
      <c r="L775" s="2"/>
    </row>
    <row r="776">
      <c r="A776" s="1" t="s">
        <v>931</v>
      </c>
      <c r="B776" s="1" t="s">
        <v>931</v>
      </c>
      <c r="C776" s="5" t="s">
        <v>109</v>
      </c>
      <c r="D776" s="5" t="s">
        <v>110</v>
      </c>
      <c r="E776" s="6">
        <v>45792.464583333334</v>
      </c>
      <c r="F776" s="7" t="s">
        <v>111</v>
      </c>
      <c r="G776" s="5" t="s">
        <v>24</v>
      </c>
      <c r="H776" s="2"/>
      <c r="I776" s="2"/>
      <c r="J776" s="2"/>
      <c r="K776" s="2" t="s">
        <v>18</v>
      </c>
      <c r="L776" s="2"/>
    </row>
    <row r="777">
      <c r="A777" s="1" t="s">
        <v>932</v>
      </c>
      <c r="B777" s="1" t="s">
        <v>932</v>
      </c>
      <c r="C777" s="5" t="s">
        <v>305</v>
      </c>
      <c r="D777" s="5" t="s">
        <v>306</v>
      </c>
      <c r="E777" s="6">
        <v>45792.47777777778</v>
      </c>
      <c r="F777" s="7" t="s">
        <v>307</v>
      </c>
      <c r="G777" s="5" t="s">
        <v>24</v>
      </c>
      <c r="H777" s="2"/>
      <c r="I777" s="2"/>
      <c r="J777" s="2"/>
      <c r="K777" s="2" t="s">
        <v>18</v>
      </c>
      <c r="L777" s="2"/>
    </row>
    <row r="778">
      <c r="A778" s="1" t="s">
        <v>933</v>
      </c>
      <c r="B778" s="1" t="s">
        <v>933</v>
      </c>
      <c r="C778" s="5" t="s">
        <v>934</v>
      </c>
      <c r="D778" s="5" t="s">
        <v>935</v>
      </c>
      <c r="E778" s="6">
        <v>45792.586805555555</v>
      </c>
      <c r="F778" s="7" t="s">
        <v>936</v>
      </c>
      <c r="G778" s="5" t="s">
        <v>16</v>
      </c>
      <c r="H778" s="2"/>
      <c r="I778" s="2"/>
      <c r="J778" s="2"/>
      <c r="K778" s="2" t="s">
        <v>18</v>
      </c>
      <c r="L778" s="2"/>
    </row>
    <row r="779">
      <c r="A779" s="1" t="s">
        <v>937</v>
      </c>
      <c r="B779" s="1" t="s">
        <v>937</v>
      </c>
      <c r="C779" s="5" t="s">
        <v>786</v>
      </c>
      <c r="D779" s="5" t="s">
        <v>787</v>
      </c>
      <c r="E779" s="6">
        <v>45793.356944444444</v>
      </c>
      <c r="F779" s="7" t="s">
        <v>788</v>
      </c>
      <c r="G779" s="5" t="s">
        <v>16</v>
      </c>
      <c r="H779" s="2"/>
      <c r="I779" s="2"/>
      <c r="J779" s="2"/>
      <c r="K779" s="2" t="s">
        <v>18</v>
      </c>
      <c r="L779" s="2"/>
    </row>
    <row r="780">
      <c r="A780" s="1" t="s">
        <v>938</v>
      </c>
      <c r="B780" s="1" t="s">
        <v>938</v>
      </c>
      <c r="C780" s="5" t="s">
        <v>349</v>
      </c>
      <c r="D780" s="5" t="s">
        <v>350</v>
      </c>
      <c r="E780" s="6">
        <v>45793.35972222222</v>
      </c>
      <c r="F780" s="7" t="s">
        <v>351</v>
      </c>
      <c r="G780" s="5" t="s">
        <v>16</v>
      </c>
      <c r="H780" s="2"/>
      <c r="I780" s="2"/>
      <c r="J780" s="2"/>
      <c r="K780" s="2" t="s">
        <v>18</v>
      </c>
      <c r="L780" s="2"/>
    </row>
    <row r="781">
      <c r="A781" s="1" t="s">
        <v>939</v>
      </c>
      <c r="B781" s="1" t="s">
        <v>939</v>
      </c>
      <c r="C781" s="5" t="s">
        <v>786</v>
      </c>
      <c r="D781" s="5" t="s">
        <v>787</v>
      </c>
      <c r="E781" s="6">
        <v>45793.49166666667</v>
      </c>
      <c r="F781" s="7" t="s">
        <v>788</v>
      </c>
      <c r="G781" s="5" t="s">
        <v>24</v>
      </c>
      <c r="H781" s="2"/>
      <c r="I781" s="2"/>
      <c r="J781" s="2"/>
      <c r="K781" s="2" t="s">
        <v>18</v>
      </c>
      <c r="L781" s="2"/>
    </row>
    <row r="782">
      <c r="A782" s="1" t="s">
        <v>940</v>
      </c>
      <c r="B782" s="1" t="s">
        <v>940</v>
      </c>
      <c r="C782" s="5" t="s">
        <v>349</v>
      </c>
      <c r="D782" s="5" t="s">
        <v>350</v>
      </c>
      <c r="E782" s="6">
        <v>45793.49166666667</v>
      </c>
      <c r="F782" s="7" t="s">
        <v>351</v>
      </c>
      <c r="G782" s="5" t="s">
        <v>24</v>
      </c>
      <c r="H782" s="2"/>
      <c r="I782" s="2"/>
      <c r="J782" s="2"/>
      <c r="K782" s="2" t="s">
        <v>18</v>
      </c>
      <c r="L782" s="2"/>
    </row>
    <row r="783">
      <c r="A783" s="1" t="s">
        <v>941</v>
      </c>
      <c r="B783" s="1" t="s">
        <v>941</v>
      </c>
      <c r="C783" s="5" t="s">
        <v>464</v>
      </c>
      <c r="D783" s="5" t="s">
        <v>465</v>
      </c>
      <c r="E783" s="6">
        <v>45793.54305555555</v>
      </c>
      <c r="F783" s="7" t="s">
        <v>466</v>
      </c>
      <c r="G783" s="5" t="s">
        <v>16</v>
      </c>
      <c r="H783" s="2"/>
      <c r="I783" s="2" t="s">
        <v>17</v>
      </c>
      <c r="J783" s="2"/>
      <c r="K783" s="2" t="s">
        <v>18</v>
      </c>
      <c r="L783" s="2"/>
    </row>
    <row r="784">
      <c r="A784" s="1" t="s">
        <v>942</v>
      </c>
      <c r="B784" s="1" t="s">
        <v>942</v>
      </c>
      <c r="C784" s="5" t="s">
        <v>943</v>
      </c>
      <c r="D784" s="5" t="s">
        <v>944</v>
      </c>
      <c r="E784" s="6">
        <v>45793.544444444444</v>
      </c>
      <c r="F784" s="7" t="s">
        <v>945</v>
      </c>
      <c r="G784" s="5" t="s">
        <v>16</v>
      </c>
      <c r="H784" s="2"/>
      <c r="I784" s="2"/>
      <c r="J784" s="2"/>
      <c r="K784" s="2" t="s">
        <v>18</v>
      </c>
      <c r="L784" s="2"/>
    </row>
    <row r="785">
      <c r="A785" s="1" t="s">
        <v>946</v>
      </c>
      <c r="B785" s="1" t="s">
        <v>946</v>
      </c>
      <c r="C785" s="5" t="s">
        <v>55</v>
      </c>
      <c r="D785" s="5" t="s">
        <v>56</v>
      </c>
      <c r="E785" s="6">
        <v>45793.61319444445</v>
      </c>
      <c r="F785" s="7" t="s">
        <v>57</v>
      </c>
      <c r="G785" s="5" t="s">
        <v>16</v>
      </c>
      <c r="H785" s="2"/>
      <c r="I785" s="2" t="s">
        <v>17</v>
      </c>
      <c r="J785" s="2"/>
      <c r="K785" s="2" t="s">
        <v>18</v>
      </c>
      <c r="L785" s="2"/>
    </row>
    <row r="786">
      <c r="A786" s="1" t="s">
        <v>947</v>
      </c>
      <c r="B786" s="1" t="s">
        <v>947</v>
      </c>
      <c r="C786" s="5" t="s">
        <v>55</v>
      </c>
      <c r="D786" s="5" t="s">
        <v>56</v>
      </c>
      <c r="E786" s="6">
        <v>45793.66805555555</v>
      </c>
      <c r="F786" s="7" t="s">
        <v>57</v>
      </c>
      <c r="G786" s="5" t="s">
        <v>24</v>
      </c>
      <c r="H786" s="2"/>
      <c r="I786" s="2"/>
      <c r="J786" s="2"/>
      <c r="K786" s="2" t="s">
        <v>18</v>
      </c>
      <c r="L786" s="2"/>
    </row>
    <row r="787">
      <c r="A787" s="1" t="s">
        <v>948</v>
      </c>
      <c r="B787" s="1" t="s">
        <v>948</v>
      </c>
      <c r="C787" s="5" t="s">
        <v>505</v>
      </c>
      <c r="D787" s="5" t="s">
        <v>506</v>
      </c>
      <c r="E787" s="6">
        <v>45794.45</v>
      </c>
      <c r="F787" s="7" t="s">
        <v>507</v>
      </c>
      <c r="G787" s="5" t="s">
        <v>24</v>
      </c>
      <c r="H787" s="2"/>
      <c r="I787" s="2"/>
      <c r="J787" s="2"/>
      <c r="K787" s="2" t="s">
        <v>18</v>
      </c>
      <c r="L787" s="2"/>
    </row>
    <row r="788">
      <c r="A788" s="1" t="s">
        <v>949</v>
      </c>
      <c r="B788" s="1" t="s">
        <v>949</v>
      </c>
      <c r="C788" s="5" t="s">
        <v>392</v>
      </c>
      <c r="D788" s="5" t="s">
        <v>393</v>
      </c>
      <c r="E788" s="6">
        <v>45796.57777777778</v>
      </c>
      <c r="F788" s="7" t="s">
        <v>394</v>
      </c>
      <c r="G788" s="5" t="s">
        <v>24</v>
      </c>
      <c r="H788" s="2"/>
      <c r="I788" s="2"/>
      <c r="J788" s="2"/>
      <c r="K788" s="2" t="s">
        <v>18</v>
      </c>
      <c r="L788" s="2"/>
    </row>
    <row r="789">
      <c r="A789" s="1" t="s">
        <v>950</v>
      </c>
      <c r="B789" s="1" t="s">
        <v>950</v>
      </c>
      <c r="C789" s="5" t="s">
        <v>951</v>
      </c>
      <c r="D789" s="5" t="s">
        <v>952</v>
      </c>
      <c r="E789" s="6">
        <v>45796.584027777775</v>
      </c>
      <c r="F789" s="7" t="s">
        <v>953</v>
      </c>
      <c r="G789" s="5" t="s">
        <v>16</v>
      </c>
      <c r="H789" s="2"/>
      <c r="I789" s="2" t="s">
        <v>17</v>
      </c>
      <c r="J789" s="2"/>
      <c r="K789" s="2" t="s">
        <v>18</v>
      </c>
      <c r="L789" s="2"/>
    </row>
    <row r="790">
      <c r="A790" s="1" t="s">
        <v>954</v>
      </c>
      <c r="B790" s="1" t="s">
        <v>954</v>
      </c>
      <c r="C790" s="5" t="s">
        <v>685</v>
      </c>
      <c r="D790" s="5" t="s">
        <v>686</v>
      </c>
      <c r="E790" s="6">
        <v>45797.34930555556</v>
      </c>
      <c r="F790" s="7" t="s">
        <v>687</v>
      </c>
      <c r="G790" s="5" t="s">
        <v>16</v>
      </c>
      <c r="H790" s="2"/>
      <c r="I790" s="2" t="s">
        <v>17</v>
      </c>
      <c r="J790" s="2"/>
      <c r="K790" s="2" t="s">
        <v>18</v>
      </c>
      <c r="L790" s="2"/>
    </row>
    <row r="791">
      <c r="A791" s="1" t="s">
        <v>955</v>
      </c>
      <c r="B791" s="1" t="s">
        <v>955</v>
      </c>
      <c r="C791" s="5" t="s">
        <v>799</v>
      </c>
      <c r="D791" s="5" t="s">
        <v>800</v>
      </c>
      <c r="E791" s="6">
        <v>45797.35208333333</v>
      </c>
      <c r="F791" s="7" t="s">
        <v>801</v>
      </c>
      <c r="G791" s="5" t="s">
        <v>16</v>
      </c>
      <c r="H791" s="2"/>
      <c r="I791" s="2"/>
      <c r="J791" s="2"/>
      <c r="K791" s="2" t="s">
        <v>18</v>
      </c>
      <c r="L791" s="2"/>
    </row>
    <row r="792">
      <c r="A792" s="1" t="s">
        <v>956</v>
      </c>
      <c r="B792" s="1" t="s">
        <v>956</v>
      </c>
      <c r="C792" s="5" t="s">
        <v>957</v>
      </c>
      <c r="D792" s="5" t="s">
        <v>958</v>
      </c>
      <c r="E792" s="6">
        <v>45797.37361111111</v>
      </c>
      <c r="F792" s="7" t="s">
        <v>959</v>
      </c>
      <c r="G792" s="5" t="s">
        <v>16</v>
      </c>
      <c r="H792" s="2"/>
      <c r="I792" s="2"/>
      <c r="J792" s="2"/>
      <c r="K792" s="2" t="s">
        <v>18</v>
      </c>
      <c r="L792" s="2"/>
    </row>
    <row r="793">
      <c r="A793" s="1" t="s">
        <v>960</v>
      </c>
      <c r="B793" s="1" t="s">
        <v>960</v>
      </c>
      <c r="C793" s="5" t="s">
        <v>464</v>
      </c>
      <c r="D793" s="5" t="s">
        <v>465</v>
      </c>
      <c r="E793" s="6">
        <v>45797.450694444444</v>
      </c>
      <c r="F793" s="7" t="s">
        <v>466</v>
      </c>
      <c r="G793" s="5" t="s">
        <v>16</v>
      </c>
      <c r="H793" s="2"/>
      <c r="I793" s="2" t="s">
        <v>17</v>
      </c>
      <c r="J793" s="2"/>
      <c r="K793" s="2" t="s">
        <v>18</v>
      </c>
      <c r="L793" s="2"/>
    </row>
    <row r="794">
      <c r="A794" s="1" t="s">
        <v>961</v>
      </c>
      <c r="B794" s="1" t="s">
        <v>961</v>
      </c>
      <c r="C794" s="5" t="s">
        <v>685</v>
      </c>
      <c r="D794" s="5" t="s">
        <v>686</v>
      </c>
      <c r="E794" s="6">
        <v>45797.47708333333</v>
      </c>
      <c r="F794" s="7" t="s">
        <v>687</v>
      </c>
      <c r="G794" s="5" t="s">
        <v>24</v>
      </c>
      <c r="H794" s="2"/>
      <c r="I794" s="2"/>
      <c r="J794" s="2"/>
      <c r="K794" s="2" t="s">
        <v>18</v>
      </c>
      <c r="L794" s="2"/>
    </row>
    <row r="795">
      <c r="A795" s="1" t="s">
        <v>962</v>
      </c>
      <c r="B795" s="1" t="s">
        <v>962</v>
      </c>
      <c r="C795" s="5" t="s">
        <v>799</v>
      </c>
      <c r="D795" s="5" t="s">
        <v>800</v>
      </c>
      <c r="E795" s="6">
        <v>45797.47708333333</v>
      </c>
      <c r="F795" s="7" t="s">
        <v>801</v>
      </c>
      <c r="G795" s="5" t="s">
        <v>24</v>
      </c>
      <c r="H795" s="2"/>
      <c r="I795" s="2"/>
      <c r="J795" s="2"/>
      <c r="K795" s="2" t="s">
        <v>18</v>
      </c>
      <c r="L795" s="2"/>
    </row>
    <row r="796">
      <c r="A796" s="1" t="s">
        <v>963</v>
      </c>
      <c r="B796" s="1" t="s">
        <v>963</v>
      </c>
      <c r="C796" s="5" t="s">
        <v>464</v>
      </c>
      <c r="D796" s="5" t="s">
        <v>465</v>
      </c>
      <c r="E796" s="6">
        <v>45797.50486111111</v>
      </c>
      <c r="F796" s="7" t="s">
        <v>466</v>
      </c>
      <c r="G796" s="5" t="s">
        <v>24</v>
      </c>
      <c r="H796" s="2"/>
      <c r="I796" s="2"/>
      <c r="J796" s="2"/>
      <c r="K796" s="2" t="s">
        <v>18</v>
      </c>
      <c r="L796" s="2"/>
    </row>
    <row r="797">
      <c r="A797" s="1" t="s">
        <v>964</v>
      </c>
      <c r="B797" s="1" t="s">
        <v>964</v>
      </c>
      <c r="C797" s="5" t="s">
        <v>934</v>
      </c>
      <c r="D797" s="5" t="s">
        <v>935</v>
      </c>
      <c r="E797" s="6">
        <v>45798.33333333333</v>
      </c>
      <c r="F797" s="7" t="s">
        <v>936</v>
      </c>
      <c r="G797" s="5" t="s">
        <v>16</v>
      </c>
      <c r="H797" s="2"/>
      <c r="I797" s="2"/>
      <c r="J797" s="2"/>
      <c r="K797" s="2" t="s">
        <v>18</v>
      </c>
      <c r="L797" s="2"/>
    </row>
    <row r="798">
      <c r="A798" s="1" t="s">
        <v>965</v>
      </c>
      <c r="B798" s="1" t="s">
        <v>965</v>
      </c>
      <c r="C798" s="5" t="s">
        <v>943</v>
      </c>
      <c r="D798" s="5" t="s">
        <v>944</v>
      </c>
      <c r="E798" s="6">
        <v>45798.334027777775</v>
      </c>
      <c r="F798" s="7" t="s">
        <v>945</v>
      </c>
      <c r="G798" s="5" t="s">
        <v>16</v>
      </c>
      <c r="H798" s="2"/>
      <c r="I798" s="2"/>
      <c r="J798" s="2"/>
      <c r="K798" s="2" t="s">
        <v>18</v>
      </c>
      <c r="L798" s="2"/>
    </row>
    <row r="799">
      <c r="A799" s="1" t="s">
        <v>966</v>
      </c>
      <c r="B799" s="1" t="s">
        <v>966</v>
      </c>
      <c r="C799" s="5" t="s">
        <v>49</v>
      </c>
      <c r="D799" s="5" t="s">
        <v>50</v>
      </c>
      <c r="E799" s="6">
        <v>45798.49375</v>
      </c>
      <c r="F799" s="7" t="s">
        <v>51</v>
      </c>
      <c r="G799" s="5" t="s">
        <v>24</v>
      </c>
      <c r="H799" s="2"/>
      <c r="I799" s="2"/>
      <c r="J799" s="2"/>
      <c r="K799" s="2" t="s">
        <v>18</v>
      </c>
      <c r="L799" s="2"/>
    </row>
    <row r="800">
      <c r="A800" s="1" t="s">
        <v>967</v>
      </c>
      <c r="B800" s="1" t="s">
        <v>967</v>
      </c>
      <c r="C800" s="5" t="s">
        <v>934</v>
      </c>
      <c r="D800" s="5" t="s">
        <v>935</v>
      </c>
      <c r="E800" s="6">
        <v>45798.49444444444</v>
      </c>
      <c r="F800" s="7" t="s">
        <v>936</v>
      </c>
      <c r="G800" s="5" t="s">
        <v>24</v>
      </c>
      <c r="H800" s="2"/>
      <c r="I800" s="2"/>
      <c r="J800" s="2"/>
      <c r="K800" s="2" t="s">
        <v>18</v>
      </c>
      <c r="L800" s="2"/>
    </row>
    <row r="801">
      <c r="A801" s="1" t="s">
        <v>968</v>
      </c>
      <c r="B801" s="1" t="s">
        <v>968</v>
      </c>
      <c r="C801" s="5" t="s">
        <v>943</v>
      </c>
      <c r="D801" s="5" t="s">
        <v>944</v>
      </c>
      <c r="E801" s="6">
        <v>45798.49513888889</v>
      </c>
      <c r="F801" s="7" t="s">
        <v>945</v>
      </c>
      <c r="G801" s="5" t="s">
        <v>24</v>
      </c>
      <c r="H801" s="2"/>
      <c r="I801" s="2"/>
      <c r="J801" s="2"/>
      <c r="K801" s="2" t="s">
        <v>18</v>
      </c>
      <c r="L801" s="2"/>
    </row>
    <row r="802">
      <c r="A802" s="1" t="s">
        <v>969</v>
      </c>
      <c r="B802" s="1" t="s">
        <v>969</v>
      </c>
      <c r="C802" s="5" t="s">
        <v>213</v>
      </c>
      <c r="D802" s="5" t="s">
        <v>214</v>
      </c>
      <c r="E802" s="6">
        <v>45798.6875</v>
      </c>
      <c r="F802" s="7" t="s">
        <v>215</v>
      </c>
      <c r="G802" s="5" t="s">
        <v>24</v>
      </c>
      <c r="H802" s="2"/>
      <c r="I802" s="2"/>
      <c r="J802" s="2"/>
      <c r="K802" s="2" t="s">
        <v>18</v>
      </c>
      <c r="L802" s="2"/>
    </row>
    <row r="803">
      <c r="A803" s="1" t="s">
        <v>970</v>
      </c>
      <c r="B803" s="1" t="s">
        <v>970</v>
      </c>
      <c r="C803" s="5" t="s">
        <v>109</v>
      </c>
      <c r="D803" s="5" t="s">
        <v>110</v>
      </c>
      <c r="E803" s="6">
        <v>45798.6875</v>
      </c>
      <c r="F803" s="7" t="s">
        <v>111</v>
      </c>
      <c r="G803" s="5" t="s">
        <v>24</v>
      </c>
      <c r="H803" s="2"/>
      <c r="I803" s="2"/>
      <c r="J803" s="2"/>
      <c r="K803" s="2" t="s">
        <v>18</v>
      </c>
      <c r="L803" s="2"/>
    </row>
    <row r="804">
      <c r="A804" s="1" t="s">
        <v>971</v>
      </c>
      <c r="B804" s="1" t="s">
        <v>971</v>
      </c>
      <c r="C804" s="5" t="s">
        <v>45</v>
      </c>
      <c r="D804" s="5" t="s">
        <v>46</v>
      </c>
      <c r="E804" s="6">
        <v>45799.37361111111</v>
      </c>
      <c r="F804" s="7" t="s">
        <v>47</v>
      </c>
      <c r="G804" s="5" t="s">
        <v>16</v>
      </c>
      <c r="H804" s="2"/>
      <c r="I804" s="2" t="s">
        <v>17</v>
      </c>
      <c r="J804" s="2"/>
      <c r="K804" s="2" t="s">
        <v>18</v>
      </c>
      <c r="L804" s="2"/>
    </row>
    <row r="805">
      <c r="A805" s="1" t="s">
        <v>972</v>
      </c>
      <c r="B805" s="1" t="s">
        <v>972</v>
      </c>
      <c r="C805" s="5" t="s">
        <v>957</v>
      </c>
      <c r="D805" s="5" t="s">
        <v>958</v>
      </c>
      <c r="E805" s="6">
        <v>45799.38055555556</v>
      </c>
      <c r="F805" s="7" t="s">
        <v>959</v>
      </c>
      <c r="G805" s="5" t="s">
        <v>16</v>
      </c>
      <c r="H805" s="2"/>
      <c r="I805" s="2"/>
      <c r="J805" s="2"/>
      <c r="K805" s="2" t="s">
        <v>18</v>
      </c>
      <c r="L805" s="2"/>
    </row>
    <row r="806">
      <c r="A806" s="1" t="s">
        <v>973</v>
      </c>
      <c r="B806" s="1" t="s">
        <v>973</v>
      </c>
      <c r="C806" s="5" t="s">
        <v>45</v>
      </c>
      <c r="D806" s="5" t="s">
        <v>46</v>
      </c>
      <c r="E806" s="6">
        <v>45799.53263888889</v>
      </c>
      <c r="F806" s="7" t="s">
        <v>47</v>
      </c>
      <c r="G806" s="5" t="s">
        <v>24</v>
      </c>
      <c r="H806" s="2"/>
      <c r="I806" s="2"/>
      <c r="J806" s="2"/>
      <c r="K806" s="2" t="s">
        <v>18</v>
      </c>
      <c r="L806" s="2"/>
    </row>
    <row r="807">
      <c r="A807" s="1" t="s">
        <v>974</v>
      </c>
      <c r="B807" s="1" t="s">
        <v>974</v>
      </c>
      <c r="C807" s="5" t="s">
        <v>957</v>
      </c>
      <c r="D807" s="5" t="s">
        <v>958</v>
      </c>
      <c r="E807" s="6">
        <v>45799.53333333333</v>
      </c>
      <c r="F807" s="7" t="s">
        <v>959</v>
      </c>
      <c r="G807" s="5" t="s">
        <v>24</v>
      </c>
      <c r="H807" s="2"/>
      <c r="I807" s="2"/>
      <c r="J807" s="2"/>
      <c r="K807" s="2" t="s">
        <v>18</v>
      </c>
      <c r="L807" s="2"/>
    </row>
    <row r="808">
      <c r="A808" s="1" t="s">
        <v>975</v>
      </c>
      <c r="B808" s="1" t="s">
        <v>975</v>
      </c>
      <c r="C808" s="5" t="s">
        <v>464</v>
      </c>
      <c r="D808" s="5" t="s">
        <v>465</v>
      </c>
      <c r="E808" s="6">
        <v>45800.33472222222</v>
      </c>
      <c r="F808" s="7" t="s">
        <v>466</v>
      </c>
      <c r="G808" s="5" t="s">
        <v>16</v>
      </c>
      <c r="H808" s="2"/>
      <c r="I808" s="2" t="s">
        <v>17</v>
      </c>
      <c r="J808" s="2"/>
      <c r="K808" s="2" t="s">
        <v>18</v>
      </c>
      <c r="L808" s="2"/>
    </row>
    <row r="809">
      <c r="A809" s="1" t="s">
        <v>976</v>
      </c>
      <c r="B809" s="1" t="s">
        <v>976</v>
      </c>
      <c r="C809" s="5" t="s">
        <v>786</v>
      </c>
      <c r="D809" s="5" t="s">
        <v>787</v>
      </c>
      <c r="E809" s="6">
        <v>45800.37638888889</v>
      </c>
      <c r="F809" s="7" t="s">
        <v>788</v>
      </c>
      <c r="G809" s="5" t="s">
        <v>16</v>
      </c>
      <c r="H809" s="2"/>
      <c r="I809" s="2"/>
      <c r="J809" s="2"/>
      <c r="K809" s="2" t="s">
        <v>18</v>
      </c>
      <c r="L809" s="2"/>
    </row>
    <row r="810">
      <c r="A810" s="1" t="s">
        <v>977</v>
      </c>
      <c r="B810" s="1" t="s">
        <v>977</v>
      </c>
      <c r="C810" s="5" t="s">
        <v>786</v>
      </c>
      <c r="D810" s="5" t="s">
        <v>787</v>
      </c>
      <c r="E810" s="6">
        <v>45800.49375</v>
      </c>
      <c r="F810" s="7" t="s">
        <v>788</v>
      </c>
      <c r="G810" s="5" t="s">
        <v>24</v>
      </c>
      <c r="H810" s="2"/>
      <c r="I810" s="2"/>
      <c r="J810" s="2"/>
      <c r="K810" s="2" t="s">
        <v>18</v>
      </c>
      <c r="L810" s="2"/>
    </row>
    <row r="811">
      <c r="A811" s="1" t="s">
        <v>978</v>
      </c>
      <c r="B811" s="1" t="s">
        <v>978</v>
      </c>
      <c r="C811" s="5" t="s">
        <v>464</v>
      </c>
      <c r="D811" s="5" t="s">
        <v>465</v>
      </c>
      <c r="E811" s="6">
        <v>45800.49444444444</v>
      </c>
      <c r="F811" s="7" t="s">
        <v>466</v>
      </c>
      <c r="G811" s="5" t="s">
        <v>24</v>
      </c>
      <c r="H811" s="2"/>
      <c r="I811" s="2"/>
      <c r="J811" s="2"/>
      <c r="K811" s="2" t="s">
        <v>18</v>
      </c>
      <c r="L811" s="2"/>
    </row>
    <row r="812">
      <c r="A812" s="1" t="s">
        <v>979</v>
      </c>
      <c r="B812" s="1" t="s">
        <v>979</v>
      </c>
      <c r="C812" s="5" t="s">
        <v>434</v>
      </c>
      <c r="D812" s="5" t="s">
        <v>875</v>
      </c>
      <c r="E812" s="6">
        <v>45801.35486111111</v>
      </c>
      <c r="F812" s="7" t="e">
        <v>#N/A</v>
      </c>
      <c r="G812" s="5" t="s">
        <v>16</v>
      </c>
      <c r="H812" s="2"/>
      <c r="I812" s="2"/>
      <c r="J812" s="2"/>
      <c r="K812" s="2" t="s">
        <v>18</v>
      </c>
      <c r="L812" s="2"/>
    </row>
    <row r="813">
      <c r="A813" s="1" t="s">
        <v>980</v>
      </c>
      <c r="B813" s="1" t="s">
        <v>980</v>
      </c>
      <c r="C813" s="5" t="s">
        <v>305</v>
      </c>
      <c r="D813" s="5" t="s">
        <v>306</v>
      </c>
      <c r="E813" s="6">
        <v>45801.35763888889</v>
      </c>
      <c r="F813" s="7" t="s">
        <v>307</v>
      </c>
      <c r="G813" s="5" t="s">
        <v>16</v>
      </c>
      <c r="H813" s="2"/>
      <c r="I813" s="2"/>
      <c r="J813" s="2"/>
      <c r="K813" s="2" t="s">
        <v>18</v>
      </c>
      <c r="L813" s="2"/>
    </row>
    <row r="814">
      <c r="A814" s="1" t="s">
        <v>981</v>
      </c>
      <c r="B814" s="1" t="s">
        <v>981</v>
      </c>
      <c r="C814" s="5" t="s">
        <v>934</v>
      </c>
      <c r="D814" s="5" t="s">
        <v>935</v>
      </c>
      <c r="E814" s="6">
        <v>45801.3</v>
      </c>
      <c r="F814" s="7" t="s">
        <v>936</v>
      </c>
      <c r="G814" s="5" t="s">
        <v>16</v>
      </c>
      <c r="H814" s="2"/>
      <c r="I814" s="2"/>
      <c r="J814" s="2"/>
      <c r="K814" s="2" t="s">
        <v>18</v>
      </c>
      <c r="L814" s="2"/>
    </row>
    <row r="815">
      <c r="A815" s="1" t="s">
        <v>982</v>
      </c>
      <c r="B815" s="1" t="s">
        <v>982</v>
      </c>
      <c r="C815" s="5" t="s">
        <v>349</v>
      </c>
      <c r="D815" s="5" t="s">
        <v>350</v>
      </c>
      <c r="E815" s="6">
        <v>45801.3</v>
      </c>
      <c r="F815" s="7" t="s">
        <v>351</v>
      </c>
      <c r="G815" s="5" t="s">
        <v>16</v>
      </c>
      <c r="H815" s="2"/>
      <c r="I815" s="2"/>
      <c r="J815" s="2"/>
      <c r="K815" s="2" t="s">
        <v>18</v>
      </c>
      <c r="L815" s="2"/>
    </row>
    <row r="816">
      <c r="A816" s="1" t="s">
        <v>983</v>
      </c>
      <c r="B816" s="1" t="s">
        <v>983</v>
      </c>
      <c r="C816" s="5" t="s">
        <v>464</v>
      </c>
      <c r="D816" s="5" t="s">
        <v>465</v>
      </c>
      <c r="E816" s="6">
        <v>45801.30138888889</v>
      </c>
      <c r="F816" s="7" t="s">
        <v>466</v>
      </c>
      <c r="G816" s="5" t="s">
        <v>16</v>
      </c>
      <c r="H816" s="2"/>
      <c r="I816" s="2" t="s">
        <v>17</v>
      </c>
      <c r="J816" s="2"/>
      <c r="K816" s="2" t="s">
        <v>18</v>
      </c>
      <c r="L816" s="2"/>
    </row>
    <row r="817">
      <c r="A817" s="1" t="s">
        <v>984</v>
      </c>
      <c r="B817" s="1" t="s">
        <v>984</v>
      </c>
      <c r="C817" s="5" t="s">
        <v>349</v>
      </c>
      <c r="D817" s="5" t="s">
        <v>350</v>
      </c>
      <c r="E817" s="6">
        <v>45801.46388888889</v>
      </c>
      <c r="F817" s="7" t="s">
        <v>351</v>
      </c>
      <c r="G817" s="5" t="s">
        <v>24</v>
      </c>
      <c r="H817" s="2"/>
      <c r="I817" s="2"/>
      <c r="J817" s="2"/>
      <c r="K817" s="2" t="s">
        <v>18</v>
      </c>
      <c r="L817" s="2"/>
    </row>
    <row r="818">
      <c r="A818" s="1" t="s">
        <v>985</v>
      </c>
      <c r="B818" s="1" t="s">
        <v>985</v>
      </c>
      <c r="C818" s="5" t="s">
        <v>934</v>
      </c>
      <c r="D818" s="5" t="s">
        <v>935</v>
      </c>
      <c r="E818" s="6">
        <v>45801.46388888889</v>
      </c>
      <c r="F818" s="7" t="s">
        <v>936</v>
      </c>
      <c r="G818" s="5" t="s">
        <v>24</v>
      </c>
      <c r="H818" s="2"/>
      <c r="I818" s="2"/>
      <c r="J818" s="2"/>
      <c r="K818" s="2" t="s">
        <v>18</v>
      </c>
      <c r="L818" s="2"/>
    </row>
    <row r="819">
      <c r="A819" s="1" t="s">
        <v>986</v>
      </c>
      <c r="B819" s="1" t="s">
        <v>986</v>
      </c>
      <c r="C819" s="5" t="s">
        <v>434</v>
      </c>
      <c r="D819" s="5" t="s">
        <v>875</v>
      </c>
      <c r="E819" s="6">
        <v>45801.464583333334</v>
      </c>
      <c r="F819" s="7" t="e">
        <v>#N/A</v>
      </c>
      <c r="G819" s="5" t="s">
        <v>24</v>
      </c>
      <c r="H819" s="2"/>
      <c r="I819" s="2"/>
      <c r="J819" s="2"/>
      <c r="K819" s="2" t="s">
        <v>18</v>
      </c>
      <c r="L819" s="2"/>
    </row>
    <row r="820">
      <c r="A820" s="1" t="s">
        <v>987</v>
      </c>
      <c r="B820" s="1" t="s">
        <v>987</v>
      </c>
      <c r="C820" s="5" t="s">
        <v>213</v>
      </c>
      <c r="D820" s="5" t="s">
        <v>214</v>
      </c>
      <c r="E820" s="6">
        <v>45803.44027777778</v>
      </c>
      <c r="F820" s="7" t="s">
        <v>215</v>
      </c>
      <c r="G820" s="5" t="s">
        <v>16</v>
      </c>
      <c r="H820" s="2"/>
      <c r="I820" s="2" t="s">
        <v>17</v>
      </c>
      <c r="J820" s="2"/>
      <c r="K820" s="2" t="s">
        <v>18</v>
      </c>
      <c r="L820" s="2"/>
    </row>
    <row r="821">
      <c r="A821" s="1" t="s">
        <v>988</v>
      </c>
      <c r="B821" s="1" t="s">
        <v>988</v>
      </c>
      <c r="C821" s="5" t="s">
        <v>109</v>
      </c>
      <c r="D821" s="5" t="s">
        <v>110</v>
      </c>
      <c r="E821" s="6">
        <v>45803.493055555555</v>
      </c>
      <c r="F821" s="7" t="s">
        <v>111</v>
      </c>
      <c r="G821" s="5" t="s">
        <v>16</v>
      </c>
      <c r="H821" s="2"/>
      <c r="I821" s="2"/>
      <c r="J821" s="2"/>
      <c r="K821" s="2" t="s">
        <v>18</v>
      </c>
      <c r="L821" s="2"/>
    </row>
    <row r="822">
      <c r="A822" s="1" t="s">
        <v>989</v>
      </c>
      <c r="B822" s="1" t="s">
        <v>989</v>
      </c>
      <c r="C822" s="5" t="s">
        <v>213</v>
      </c>
      <c r="D822" s="5" t="s">
        <v>214</v>
      </c>
      <c r="E822" s="6">
        <v>45803.55972222222</v>
      </c>
      <c r="F822" s="7" t="s">
        <v>215</v>
      </c>
      <c r="G822" s="5" t="s">
        <v>24</v>
      </c>
      <c r="H822" s="2"/>
      <c r="I822" s="2"/>
      <c r="J822" s="2"/>
      <c r="K822" s="2" t="s">
        <v>18</v>
      </c>
      <c r="L822" s="2"/>
    </row>
    <row r="823">
      <c r="A823" s="1" t="s">
        <v>990</v>
      </c>
      <c r="B823" s="1" t="s">
        <v>990</v>
      </c>
      <c r="C823" s="5" t="s">
        <v>326</v>
      </c>
      <c r="D823" s="5" t="s">
        <v>327</v>
      </c>
      <c r="E823" s="6">
        <v>45803.58194444445</v>
      </c>
      <c r="F823" s="7" t="s">
        <v>328</v>
      </c>
      <c r="G823" s="5" t="s">
        <v>16</v>
      </c>
      <c r="H823" s="2"/>
      <c r="I823" s="2"/>
      <c r="J823" s="2"/>
      <c r="K823" s="2" t="s">
        <v>18</v>
      </c>
      <c r="L823" s="2"/>
    </row>
    <row r="824">
      <c r="A824" s="1" t="s">
        <v>991</v>
      </c>
      <c r="B824" s="1" t="s">
        <v>991</v>
      </c>
      <c r="C824" s="5" t="s">
        <v>109</v>
      </c>
      <c r="D824" s="5" t="s">
        <v>110</v>
      </c>
      <c r="E824" s="6">
        <v>45803.61666666667</v>
      </c>
      <c r="F824" s="7" t="s">
        <v>111</v>
      </c>
      <c r="G824" s="5" t="s">
        <v>24</v>
      </c>
      <c r="H824" s="2"/>
      <c r="I824" s="2"/>
      <c r="J824" s="2"/>
      <c r="K824" s="2" t="s">
        <v>18</v>
      </c>
      <c r="L824" s="2"/>
    </row>
    <row r="825">
      <c r="A825" s="1" t="s">
        <v>992</v>
      </c>
      <c r="B825" s="1" t="s">
        <v>992</v>
      </c>
      <c r="C825" s="5" t="s">
        <v>326</v>
      </c>
      <c r="D825" s="5" t="s">
        <v>327</v>
      </c>
      <c r="E825" s="6">
        <v>45803.70486111111</v>
      </c>
      <c r="F825" s="7" t="s">
        <v>328</v>
      </c>
      <c r="G825" s="5" t="s">
        <v>24</v>
      </c>
      <c r="H825" s="2"/>
      <c r="I825" s="2"/>
      <c r="J825" s="2"/>
      <c r="K825" s="2" t="s">
        <v>18</v>
      </c>
      <c r="L825" s="2"/>
    </row>
    <row r="826">
      <c r="A826" s="1" t="s">
        <v>993</v>
      </c>
      <c r="B826" s="1" t="s">
        <v>993</v>
      </c>
      <c r="C826" s="5" t="s">
        <v>464</v>
      </c>
      <c r="D826" s="5" t="s">
        <v>465</v>
      </c>
      <c r="E826" s="6">
        <v>45804.316666666666</v>
      </c>
      <c r="F826" s="7" t="s">
        <v>466</v>
      </c>
      <c r="G826" s="5" t="s">
        <v>16</v>
      </c>
      <c r="H826" s="2"/>
      <c r="I826" s="2" t="s">
        <v>17</v>
      </c>
      <c r="J826" s="2"/>
      <c r="K826" s="2" t="s">
        <v>18</v>
      </c>
      <c r="L826" s="2"/>
    </row>
    <row r="827">
      <c r="A827" s="1" t="s">
        <v>994</v>
      </c>
      <c r="B827" s="1" t="s">
        <v>994</v>
      </c>
      <c r="C827" s="5" t="s">
        <v>464</v>
      </c>
      <c r="D827" s="5" t="s">
        <v>465</v>
      </c>
      <c r="E827" s="6">
        <v>45804.48819444445</v>
      </c>
      <c r="F827" s="7" t="s">
        <v>466</v>
      </c>
      <c r="G827" s="5" t="s">
        <v>24</v>
      </c>
      <c r="H827" s="2"/>
      <c r="I827" s="2"/>
      <c r="J827" s="2"/>
      <c r="K827" s="2" t="s">
        <v>18</v>
      </c>
      <c r="L827" s="2"/>
    </row>
    <row r="828">
      <c r="A828" s="1" t="s">
        <v>995</v>
      </c>
      <c r="B828" s="1" t="s">
        <v>995</v>
      </c>
      <c r="C828" s="5" t="s">
        <v>45</v>
      </c>
      <c r="D828" s="5" t="s">
        <v>46</v>
      </c>
      <c r="E828" s="6">
        <v>45804.490277777775</v>
      </c>
      <c r="F828" s="7" t="s">
        <v>47</v>
      </c>
      <c r="G828" s="5" t="s">
        <v>24</v>
      </c>
      <c r="H828" s="2"/>
      <c r="I828" s="2"/>
      <c r="J828" s="2"/>
      <c r="K828" s="2" t="s">
        <v>18</v>
      </c>
      <c r="L828" s="2"/>
    </row>
    <row r="829">
      <c r="A829" s="1" t="s">
        <v>996</v>
      </c>
      <c r="B829" s="1" t="s">
        <v>996</v>
      </c>
      <c r="C829" s="5" t="s">
        <v>685</v>
      </c>
      <c r="D829" s="5" t="s">
        <v>686</v>
      </c>
      <c r="E829" s="6">
        <v>45804.50208333333</v>
      </c>
      <c r="F829" s="7" t="s">
        <v>687</v>
      </c>
      <c r="G829" s="5" t="s">
        <v>16</v>
      </c>
      <c r="H829" s="2"/>
      <c r="I829" s="2" t="s">
        <v>17</v>
      </c>
      <c r="J829" s="2"/>
      <c r="K829" s="2" t="s">
        <v>18</v>
      </c>
      <c r="L829" s="2"/>
    </row>
    <row r="830">
      <c r="A830" s="1" t="s">
        <v>997</v>
      </c>
      <c r="B830" s="1" t="s">
        <v>997</v>
      </c>
      <c r="C830" s="5" t="s">
        <v>55</v>
      </c>
      <c r="D830" s="5" t="s">
        <v>56</v>
      </c>
      <c r="E830" s="6">
        <v>45805.35208333333</v>
      </c>
      <c r="F830" s="7" t="s">
        <v>57</v>
      </c>
      <c r="G830" s="5" t="s">
        <v>16</v>
      </c>
      <c r="H830" s="2"/>
      <c r="I830" s="2" t="s">
        <v>17</v>
      </c>
      <c r="J830" s="2"/>
      <c r="K830" s="2" t="s">
        <v>18</v>
      </c>
      <c r="L830" s="2"/>
    </row>
    <row r="831">
      <c r="A831" s="1" t="s">
        <v>998</v>
      </c>
      <c r="B831" s="1" t="s">
        <v>998</v>
      </c>
      <c r="C831" s="5" t="s">
        <v>951</v>
      </c>
      <c r="D831" s="5" t="s">
        <v>952</v>
      </c>
      <c r="E831" s="6">
        <v>45805.44791666667</v>
      </c>
      <c r="F831" s="7" t="s">
        <v>953</v>
      </c>
      <c r="G831" s="5" t="s">
        <v>16</v>
      </c>
      <c r="H831" s="2"/>
      <c r="I831" s="2" t="s">
        <v>17</v>
      </c>
      <c r="J831" s="2"/>
      <c r="K831" s="2" t="s">
        <v>18</v>
      </c>
      <c r="L831" s="2"/>
    </row>
    <row r="832">
      <c r="A832" s="1" t="s">
        <v>999</v>
      </c>
      <c r="B832" s="1" t="s">
        <v>999</v>
      </c>
      <c r="C832" s="2" t="s">
        <v>690</v>
      </c>
      <c r="D832" s="5" t="s">
        <v>691</v>
      </c>
      <c r="E832" s="6">
        <v>45805.44861111111</v>
      </c>
      <c r="F832" s="7" t="e">
        <v>#N/A</v>
      </c>
      <c r="G832" s="5" t="s">
        <v>16</v>
      </c>
      <c r="H832" s="2"/>
      <c r="I832" s="2"/>
      <c r="J832" s="2"/>
      <c r="K832" s="2" t="s">
        <v>18</v>
      </c>
      <c r="L832" s="2"/>
    </row>
    <row r="833">
      <c r="A833" s="1" t="s">
        <v>1000</v>
      </c>
      <c r="B833" s="1" t="s">
        <v>1000</v>
      </c>
      <c r="C833" s="5" t="s">
        <v>464</v>
      </c>
      <c r="D833" s="5" t="s">
        <v>465</v>
      </c>
      <c r="E833" s="6">
        <v>45805.47986111111</v>
      </c>
      <c r="F833" s="7" t="s">
        <v>466</v>
      </c>
      <c r="G833" s="5" t="s">
        <v>16</v>
      </c>
      <c r="H833" s="2"/>
      <c r="I833" s="2" t="s">
        <v>17</v>
      </c>
      <c r="J833" s="2"/>
      <c r="K833" s="2" t="s">
        <v>18</v>
      </c>
      <c r="L833" s="2"/>
    </row>
    <row r="834">
      <c r="A834" s="1" t="s">
        <v>1001</v>
      </c>
      <c r="B834" s="1" t="s">
        <v>1001</v>
      </c>
      <c r="C834" s="5" t="s">
        <v>55</v>
      </c>
      <c r="D834" s="5" t="s">
        <v>56</v>
      </c>
      <c r="E834" s="6">
        <v>45805.5625</v>
      </c>
      <c r="F834" s="7" t="s">
        <v>57</v>
      </c>
      <c r="G834" s="5" t="s">
        <v>24</v>
      </c>
      <c r="H834" s="2"/>
      <c r="I834" s="2"/>
      <c r="J834" s="2"/>
      <c r="K834" s="2" t="s">
        <v>18</v>
      </c>
      <c r="L834" s="2"/>
    </row>
    <row r="835">
      <c r="A835" s="1" t="s">
        <v>1002</v>
      </c>
      <c r="B835" s="1" t="s">
        <v>1002</v>
      </c>
      <c r="C835" s="5" t="s">
        <v>951</v>
      </c>
      <c r="D835" s="5" t="s">
        <v>952</v>
      </c>
      <c r="E835" s="6">
        <v>45805.5625</v>
      </c>
      <c r="F835" s="7" t="s">
        <v>953</v>
      </c>
      <c r="G835" s="5" t="s">
        <v>24</v>
      </c>
      <c r="H835" s="2"/>
      <c r="I835" s="2"/>
      <c r="J835" s="2"/>
      <c r="K835" s="2" t="s">
        <v>18</v>
      </c>
      <c r="L835" s="2"/>
    </row>
    <row r="836">
      <c r="A836" s="1" t="s">
        <v>1003</v>
      </c>
      <c r="B836" s="1" t="s">
        <v>1003</v>
      </c>
      <c r="C836" s="5" t="s">
        <v>464</v>
      </c>
      <c r="D836" s="5" t="s">
        <v>465</v>
      </c>
      <c r="E836" s="6">
        <v>45805.64722222222</v>
      </c>
      <c r="F836" s="7" t="s">
        <v>466</v>
      </c>
      <c r="G836" s="5" t="s">
        <v>24</v>
      </c>
      <c r="H836" s="2"/>
      <c r="I836" s="2"/>
      <c r="J836" s="2"/>
      <c r="K836" s="2" t="s">
        <v>18</v>
      </c>
      <c r="L836" s="2"/>
    </row>
    <row r="837">
      <c r="A837" s="1" t="s">
        <v>1004</v>
      </c>
      <c r="B837" s="1" t="s">
        <v>1004</v>
      </c>
      <c r="C837" s="5" t="s">
        <v>464</v>
      </c>
      <c r="D837" s="5" t="s">
        <v>465</v>
      </c>
      <c r="E837" s="6">
        <v>45807.36041666666</v>
      </c>
      <c r="F837" s="7" t="s">
        <v>466</v>
      </c>
      <c r="G837" s="5" t="s">
        <v>16</v>
      </c>
      <c r="H837" s="2"/>
      <c r="I837" s="2" t="s">
        <v>17</v>
      </c>
      <c r="J837" s="2"/>
      <c r="K837" s="2" t="s">
        <v>18</v>
      </c>
      <c r="L837" s="2"/>
    </row>
    <row r="838">
      <c r="A838" s="1" t="s">
        <v>1005</v>
      </c>
      <c r="B838" s="1" t="s">
        <v>1005</v>
      </c>
      <c r="C838" s="5" t="s">
        <v>951</v>
      </c>
      <c r="D838" s="5" t="s">
        <v>952</v>
      </c>
      <c r="E838" s="6">
        <v>45807.379166666666</v>
      </c>
      <c r="F838" s="7" t="s">
        <v>953</v>
      </c>
      <c r="G838" s="5" t="s">
        <v>16</v>
      </c>
      <c r="H838" s="2"/>
      <c r="I838" s="2" t="s">
        <v>17</v>
      </c>
      <c r="J838" s="2"/>
      <c r="K838" s="2" t="s">
        <v>18</v>
      </c>
      <c r="L838" s="2"/>
    </row>
    <row r="839">
      <c r="A839" s="1" t="s">
        <v>1006</v>
      </c>
      <c r="B839" s="1" t="s">
        <v>1006</v>
      </c>
      <c r="C839" s="5" t="s">
        <v>951</v>
      </c>
      <c r="D839" s="5" t="s">
        <v>952</v>
      </c>
      <c r="E839" s="6">
        <v>45808.48333333334</v>
      </c>
      <c r="F839" s="7" t="s">
        <v>953</v>
      </c>
      <c r="G839" s="5" t="s">
        <v>24</v>
      </c>
      <c r="H839" s="2"/>
      <c r="I839" s="2"/>
      <c r="J839" s="2"/>
      <c r="K839" s="2" t="s">
        <v>18</v>
      </c>
      <c r="L839" s="2"/>
    </row>
    <row r="840">
      <c r="A840" s="1" t="s">
        <v>1007</v>
      </c>
      <c r="B840" s="1" t="s">
        <v>1007</v>
      </c>
      <c r="C840" s="5" t="s">
        <v>464</v>
      </c>
      <c r="D840" s="5" t="s">
        <v>465</v>
      </c>
      <c r="E840" s="6">
        <v>45808.48402777778</v>
      </c>
      <c r="F840" s="7" t="s">
        <v>466</v>
      </c>
      <c r="G840" s="5" t="s">
        <v>24</v>
      </c>
      <c r="H840" s="2"/>
      <c r="I840" s="2"/>
      <c r="J840" s="2"/>
      <c r="K840" s="2" t="s">
        <v>18</v>
      </c>
      <c r="L840" s="2"/>
    </row>
    <row r="841">
      <c r="A841" s="1" t="s">
        <v>1008</v>
      </c>
      <c r="B841" s="1" t="s">
        <v>1008</v>
      </c>
      <c r="C841" s="2" t="s">
        <v>1009</v>
      </c>
      <c r="D841" s="5" t="s">
        <v>1010</v>
      </c>
      <c r="E841" s="6">
        <v>45808.57986111111</v>
      </c>
      <c r="F841" s="7" t="e">
        <v>#N/A</v>
      </c>
      <c r="G841" s="5" t="s">
        <v>16</v>
      </c>
      <c r="H841" s="2"/>
      <c r="I841" s="2"/>
      <c r="J841" s="2"/>
      <c r="K841" s="2" t="s">
        <v>18</v>
      </c>
      <c r="L841" s="2"/>
    </row>
    <row r="842">
      <c r="A842" s="1" t="s">
        <v>1011</v>
      </c>
      <c r="B842" s="1" t="s">
        <v>1011</v>
      </c>
      <c r="C842" s="5" t="s">
        <v>383</v>
      </c>
      <c r="D842" s="5" t="s">
        <v>384</v>
      </c>
      <c r="E842" s="6">
        <v>45810.336111111115</v>
      </c>
      <c r="F842" s="7" t="s">
        <v>385</v>
      </c>
      <c r="G842" s="5" t="s">
        <v>16</v>
      </c>
      <c r="H842" s="2"/>
      <c r="I842" s="2"/>
      <c r="J842" s="2"/>
      <c r="K842" s="2" t="s">
        <v>18</v>
      </c>
      <c r="L842" s="2"/>
    </row>
    <row r="843">
      <c r="A843" s="1" t="s">
        <v>1012</v>
      </c>
      <c r="B843" s="1" t="s">
        <v>1012</v>
      </c>
      <c r="C843" s="5" t="s">
        <v>349</v>
      </c>
      <c r="D843" s="5" t="s">
        <v>350</v>
      </c>
      <c r="E843" s="6">
        <v>45810.34444444445</v>
      </c>
      <c r="F843" s="7" t="s">
        <v>351</v>
      </c>
      <c r="G843" s="5" t="s">
        <v>16</v>
      </c>
      <c r="H843" s="2"/>
      <c r="I843" s="2"/>
      <c r="J843" s="2"/>
      <c r="K843" s="2" t="s">
        <v>18</v>
      </c>
      <c r="L843" s="2"/>
    </row>
    <row r="844">
      <c r="A844" s="1" t="s">
        <v>1013</v>
      </c>
      <c r="B844" s="1" t="s">
        <v>1013</v>
      </c>
      <c r="C844" s="5" t="s">
        <v>1014</v>
      </c>
      <c r="D844" s="5" t="s">
        <v>1015</v>
      </c>
      <c r="E844" s="6">
        <v>45810.35486111111</v>
      </c>
      <c r="F844" s="7" t="s">
        <v>1016</v>
      </c>
      <c r="G844" s="5" t="s">
        <v>16</v>
      </c>
      <c r="H844" s="2"/>
      <c r="I844" s="2"/>
      <c r="J844" s="2"/>
      <c r="K844" s="2" t="s">
        <v>18</v>
      </c>
      <c r="L844" s="2"/>
    </row>
    <row r="845">
      <c r="A845" s="1" t="s">
        <v>1017</v>
      </c>
      <c r="B845" s="1" t="s">
        <v>1017</v>
      </c>
      <c r="C845" s="5" t="s">
        <v>1018</v>
      </c>
      <c r="D845" s="5" t="s">
        <v>1019</v>
      </c>
      <c r="E845" s="6">
        <v>45810.37708333333</v>
      </c>
      <c r="F845" s="7" t="s">
        <v>1020</v>
      </c>
      <c r="G845" s="5" t="s">
        <v>16</v>
      </c>
      <c r="H845" s="2"/>
      <c r="I845" s="2"/>
      <c r="J845" s="2"/>
      <c r="K845" s="2" t="s">
        <v>18</v>
      </c>
      <c r="L845" s="2"/>
    </row>
    <row r="846">
      <c r="A846" s="1" t="s">
        <v>1021</v>
      </c>
      <c r="B846" s="1" t="s">
        <v>1021</v>
      </c>
      <c r="C846" s="5" t="s">
        <v>49</v>
      </c>
      <c r="D846" s="5" t="s">
        <v>50</v>
      </c>
      <c r="E846" s="6">
        <v>45810.43888888889</v>
      </c>
      <c r="F846" s="7" t="s">
        <v>51</v>
      </c>
      <c r="G846" s="5" t="s">
        <v>16</v>
      </c>
      <c r="H846" s="2"/>
      <c r="I846" s="2"/>
      <c r="J846" s="2"/>
      <c r="K846" s="2" t="s">
        <v>18</v>
      </c>
      <c r="L846" s="2"/>
    </row>
    <row r="847">
      <c r="A847" s="1" t="s">
        <v>1022</v>
      </c>
      <c r="B847" s="1" t="s">
        <v>1022</v>
      </c>
      <c r="C847" s="5" t="s">
        <v>685</v>
      </c>
      <c r="D847" s="5" t="s">
        <v>686</v>
      </c>
      <c r="E847" s="6">
        <v>45810.52777777778</v>
      </c>
      <c r="F847" s="7" t="s">
        <v>687</v>
      </c>
      <c r="G847" s="5" t="s">
        <v>16</v>
      </c>
      <c r="H847" s="2"/>
      <c r="I847" s="2" t="s">
        <v>17</v>
      </c>
      <c r="J847" s="2"/>
      <c r="K847" s="2" t="s">
        <v>18</v>
      </c>
      <c r="L847" s="2"/>
    </row>
    <row r="848">
      <c r="A848" s="1" t="s">
        <v>1023</v>
      </c>
      <c r="B848" s="1" t="s">
        <v>1023</v>
      </c>
      <c r="C848" s="2" t="s">
        <v>774</v>
      </c>
      <c r="D848" s="5" t="s">
        <v>775</v>
      </c>
      <c r="E848" s="6">
        <v>45810.57847222222</v>
      </c>
      <c r="F848" s="7" t="e">
        <v>#N/A</v>
      </c>
      <c r="G848" s="5" t="s">
        <v>24</v>
      </c>
      <c r="H848" s="2"/>
      <c r="I848" s="2"/>
      <c r="J848" s="2"/>
      <c r="K848" s="2" t="s">
        <v>18</v>
      </c>
      <c r="L848" s="2"/>
    </row>
    <row r="849">
      <c r="A849" s="1" t="s">
        <v>1024</v>
      </c>
      <c r="B849" s="1" t="s">
        <v>1024</v>
      </c>
      <c r="C849" s="5" t="s">
        <v>49</v>
      </c>
      <c r="D849" s="5" t="s">
        <v>50</v>
      </c>
      <c r="E849" s="6">
        <v>45810.58125</v>
      </c>
      <c r="F849" s="7" t="s">
        <v>51</v>
      </c>
      <c r="G849" s="5" t="s">
        <v>24</v>
      </c>
      <c r="H849" s="2"/>
      <c r="I849" s="2"/>
      <c r="J849" s="2"/>
      <c r="K849" s="2" t="s">
        <v>18</v>
      </c>
      <c r="L849" s="2"/>
    </row>
    <row r="850">
      <c r="A850" s="1" t="s">
        <v>1025</v>
      </c>
      <c r="B850" s="1" t="s">
        <v>1025</v>
      </c>
      <c r="C850" s="5" t="s">
        <v>309</v>
      </c>
      <c r="D850" s="5" t="s">
        <v>310</v>
      </c>
      <c r="E850" s="6">
        <v>45810.58125</v>
      </c>
      <c r="F850" s="7" t="s">
        <v>311</v>
      </c>
      <c r="G850" s="5" t="s">
        <v>24</v>
      </c>
      <c r="H850" s="2"/>
      <c r="I850" s="2"/>
      <c r="J850" s="2"/>
      <c r="K850" s="2" t="s">
        <v>18</v>
      </c>
      <c r="L850" s="2"/>
    </row>
    <row r="851">
      <c r="A851" s="1" t="s">
        <v>1026</v>
      </c>
      <c r="B851" s="1" t="s">
        <v>1026</v>
      </c>
      <c r="C851" s="5" t="s">
        <v>349</v>
      </c>
      <c r="D851" s="5" t="s">
        <v>350</v>
      </c>
      <c r="E851" s="6">
        <v>45810.72083333333</v>
      </c>
      <c r="F851" s="7" t="s">
        <v>351</v>
      </c>
      <c r="G851" s="5" t="s">
        <v>24</v>
      </c>
      <c r="H851" s="2"/>
      <c r="I851" s="2"/>
      <c r="J851" s="2"/>
      <c r="K851" s="2" t="s">
        <v>18</v>
      </c>
      <c r="L851" s="2"/>
    </row>
    <row r="852">
      <c r="A852" s="1" t="s">
        <v>1027</v>
      </c>
      <c r="B852" s="1" t="s">
        <v>1027</v>
      </c>
      <c r="C852" s="5" t="s">
        <v>685</v>
      </c>
      <c r="D852" s="5" t="s">
        <v>686</v>
      </c>
      <c r="E852" s="6">
        <v>45810.72083333333</v>
      </c>
      <c r="F852" s="7" t="s">
        <v>687</v>
      </c>
      <c r="G852" s="5" t="s">
        <v>24</v>
      </c>
      <c r="H852" s="2"/>
      <c r="I852" s="2"/>
      <c r="J852" s="2"/>
      <c r="K852" s="2" t="s">
        <v>18</v>
      </c>
      <c r="L852" s="2"/>
    </row>
    <row r="853">
      <c r="A853" s="1" t="s">
        <v>1028</v>
      </c>
      <c r="B853" s="1" t="s">
        <v>1028</v>
      </c>
      <c r="C853" s="5" t="s">
        <v>799</v>
      </c>
      <c r="D853" s="5" t="s">
        <v>800</v>
      </c>
      <c r="E853" s="6">
        <v>45811.37291666667</v>
      </c>
      <c r="F853" s="7" t="s">
        <v>801</v>
      </c>
      <c r="G853" s="5" t="s">
        <v>16</v>
      </c>
      <c r="H853" s="2"/>
      <c r="I853" s="2"/>
      <c r="J853" s="2"/>
      <c r="K853" s="2" t="s">
        <v>18</v>
      </c>
      <c r="L853" s="2"/>
    </row>
    <row r="854">
      <c r="A854" s="1" t="s">
        <v>1029</v>
      </c>
      <c r="B854" s="1" t="s">
        <v>1029</v>
      </c>
      <c r="C854" s="5" t="s">
        <v>309</v>
      </c>
      <c r="D854" s="5" t="s">
        <v>310</v>
      </c>
      <c r="E854" s="6">
        <v>45811.37361111111</v>
      </c>
      <c r="F854" s="7" t="s">
        <v>311</v>
      </c>
      <c r="G854" s="5" t="s">
        <v>16</v>
      </c>
      <c r="H854" s="2"/>
      <c r="I854" s="2"/>
      <c r="J854" s="2"/>
      <c r="K854" s="2" t="s">
        <v>18</v>
      </c>
      <c r="L854" s="2"/>
    </row>
    <row r="855">
      <c r="A855" s="1" t="s">
        <v>1030</v>
      </c>
      <c r="B855" s="1" t="s">
        <v>1030</v>
      </c>
      <c r="C855" s="5" t="s">
        <v>345</v>
      </c>
      <c r="D855" s="5" t="s">
        <v>346</v>
      </c>
      <c r="E855" s="6">
        <v>45811.37569444445</v>
      </c>
      <c r="F855" s="7" t="s">
        <v>347</v>
      </c>
      <c r="G855" s="5" t="s">
        <v>16</v>
      </c>
      <c r="H855" s="2"/>
      <c r="I855" s="2"/>
      <c r="J855" s="2"/>
      <c r="K855" s="2" t="s">
        <v>18</v>
      </c>
      <c r="L855" s="2"/>
    </row>
    <row r="856">
      <c r="A856" s="1" t="s">
        <v>1031</v>
      </c>
      <c r="B856" s="1" t="s">
        <v>1031</v>
      </c>
      <c r="C856" s="5" t="s">
        <v>934</v>
      </c>
      <c r="D856" s="5" t="s">
        <v>935</v>
      </c>
      <c r="E856" s="6">
        <v>45811.4625</v>
      </c>
      <c r="F856" s="7" t="s">
        <v>936</v>
      </c>
      <c r="G856" s="5" t="s">
        <v>16</v>
      </c>
      <c r="H856" s="2"/>
      <c r="I856" s="2"/>
      <c r="J856" s="2"/>
      <c r="K856" s="2" t="s">
        <v>18</v>
      </c>
      <c r="L856" s="2"/>
    </row>
    <row r="857">
      <c r="A857" s="1" t="s">
        <v>1032</v>
      </c>
      <c r="B857" s="1" t="s">
        <v>1032</v>
      </c>
      <c r="C857" s="5" t="s">
        <v>345</v>
      </c>
      <c r="D857" s="5" t="s">
        <v>346</v>
      </c>
      <c r="E857" s="6">
        <v>45811.61041666666</v>
      </c>
      <c r="F857" s="7" t="s">
        <v>347</v>
      </c>
      <c r="G857" s="5" t="s">
        <v>24</v>
      </c>
      <c r="H857" s="2"/>
      <c r="I857" s="2"/>
      <c r="J857" s="2"/>
      <c r="K857" s="2" t="s">
        <v>18</v>
      </c>
      <c r="L857" s="2"/>
    </row>
    <row r="858">
      <c r="A858" s="1" t="s">
        <v>1033</v>
      </c>
      <c r="B858" s="1" t="s">
        <v>1033</v>
      </c>
      <c r="C858" s="5" t="s">
        <v>799</v>
      </c>
      <c r="D858" s="5" t="s">
        <v>800</v>
      </c>
      <c r="E858" s="6">
        <v>45811.61111111111</v>
      </c>
      <c r="F858" s="7" t="s">
        <v>801</v>
      </c>
      <c r="G858" s="5" t="s">
        <v>24</v>
      </c>
      <c r="H858" s="2"/>
      <c r="I858" s="2"/>
      <c r="J858" s="2"/>
      <c r="K858" s="2" t="s">
        <v>18</v>
      </c>
      <c r="L858" s="2"/>
    </row>
    <row r="859">
      <c r="A859" s="1" t="s">
        <v>1034</v>
      </c>
      <c r="B859" s="1" t="s">
        <v>1034</v>
      </c>
      <c r="C859" s="5" t="s">
        <v>45</v>
      </c>
      <c r="D859" s="5" t="s">
        <v>46</v>
      </c>
      <c r="E859" s="6">
        <v>45812.36458333333</v>
      </c>
      <c r="F859" s="7" t="s">
        <v>47</v>
      </c>
      <c r="G859" s="5" t="s">
        <v>16</v>
      </c>
      <c r="H859" s="2"/>
      <c r="I859" s="2" t="s">
        <v>17</v>
      </c>
      <c r="J859" s="2"/>
      <c r="K859" s="2" t="s">
        <v>18</v>
      </c>
      <c r="L859" s="2"/>
    </row>
    <row r="860">
      <c r="A860" s="1" t="s">
        <v>1035</v>
      </c>
      <c r="B860" s="1" t="s">
        <v>1035</v>
      </c>
      <c r="C860" s="5" t="s">
        <v>464</v>
      </c>
      <c r="D860" s="5" t="s">
        <v>465</v>
      </c>
      <c r="E860" s="6">
        <v>45812.322222222225</v>
      </c>
      <c r="F860" s="7" t="s">
        <v>466</v>
      </c>
      <c r="G860" s="5" t="s">
        <v>16</v>
      </c>
      <c r="H860" s="2"/>
      <c r="I860" s="2" t="s">
        <v>17</v>
      </c>
      <c r="J860" s="2"/>
      <c r="K860" s="2" t="s">
        <v>18</v>
      </c>
      <c r="L860" s="2"/>
    </row>
    <row r="861">
      <c r="A861" s="1" t="s">
        <v>1036</v>
      </c>
      <c r="B861" s="1" t="s">
        <v>1036</v>
      </c>
      <c r="C861" s="5" t="s">
        <v>786</v>
      </c>
      <c r="D861" s="5" t="s">
        <v>787</v>
      </c>
      <c r="E861" s="6">
        <v>45812.37847222222</v>
      </c>
      <c r="F861" s="7" t="s">
        <v>788</v>
      </c>
      <c r="G861" s="5" t="s">
        <v>16</v>
      </c>
      <c r="H861" s="2"/>
      <c r="I861" s="2"/>
      <c r="J861" s="2"/>
      <c r="K861" s="2" t="s">
        <v>18</v>
      </c>
      <c r="L861" s="2"/>
    </row>
    <row r="862">
      <c r="A862" s="1" t="s">
        <v>1037</v>
      </c>
      <c r="B862" s="1" t="s">
        <v>1037</v>
      </c>
      <c r="C862" s="5" t="s">
        <v>45</v>
      </c>
      <c r="D862" s="5" t="s">
        <v>46</v>
      </c>
      <c r="E862" s="6">
        <v>45812.42847222222</v>
      </c>
      <c r="F862" s="7" t="s">
        <v>47</v>
      </c>
      <c r="G862" s="5" t="s">
        <v>24</v>
      </c>
      <c r="H862" s="2"/>
      <c r="I862" s="2"/>
      <c r="J862" s="2"/>
      <c r="K862" s="2" t="s">
        <v>18</v>
      </c>
      <c r="L862" s="2"/>
    </row>
    <row r="863">
      <c r="A863" s="1" t="s">
        <v>1038</v>
      </c>
      <c r="B863" s="1" t="s">
        <v>1038</v>
      </c>
      <c r="C863" s="5" t="s">
        <v>934</v>
      </c>
      <c r="D863" s="5" t="s">
        <v>935</v>
      </c>
      <c r="E863" s="6">
        <v>45812.429861111115</v>
      </c>
      <c r="F863" s="7" t="s">
        <v>936</v>
      </c>
      <c r="G863" s="5" t="s">
        <v>24</v>
      </c>
      <c r="H863" s="2"/>
      <c r="I863" s="2"/>
      <c r="J863" s="2"/>
      <c r="K863" s="2" t="s">
        <v>18</v>
      </c>
      <c r="L863" s="2"/>
    </row>
    <row r="864">
      <c r="A864" s="1" t="s">
        <v>1039</v>
      </c>
      <c r="B864" s="1" t="s">
        <v>1039</v>
      </c>
      <c r="C864" s="5" t="s">
        <v>213</v>
      </c>
      <c r="D864" s="5" t="s">
        <v>214</v>
      </c>
      <c r="E864" s="6">
        <v>45812.429861111115</v>
      </c>
      <c r="F864" s="7" t="s">
        <v>215</v>
      </c>
      <c r="G864" s="5" t="s">
        <v>24</v>
      </c>
      <c r="H864" s="2"/>
      <c r="I864" s="2"/>
      <c r="J864" s="2"/>
      <c r="K864" s="2" t="s">
        <v>18</v>
      </c>
      <c r="L864" s="2"/>
    </row>
    <row r="865">
      <c r="A865" s="1" t="s">
        <v>1040</v>
      </c>
      <c r="B865" s="1" t="s">
        <v>1040</v>
      </c>
      <c r="C865" s="5" t="s">
        <v>383</v>
      </c>
      <c r="D865" s="5" t="s">
        <v>384</v>
      </c>
      <c r="E865" s="6">
        <v>45812.43263888889</v>
      </c>
      <c r="F865" s="7" t="s">
        <v>385</v>
      </c>
      <c r="G865" s="5" t="s">
        <v>24</v>
      </c>
      <c r="H865" s="2"/>
      <c r="I865" s="2"/>
      <c r="J865" s="2"/>
      <c r="K865" s="2" t="s">
        <v>18</v>
      </c>
      <c r="L865" s="2"/>
    </row>
    <row r="866">
      <c r="A866" s="1" t="s">
        <v>1041</v>
      </c>
      <c r="B866" s="1" t="s">
        <v>1041</v>
      </c>
      <c r="C866" s="5" t="s">
        <v>345</v>
      </c>
      <c r="D866" s="5" t="s">
        <v>346</v>
      </c>
      <c r="E866" s="6">
        <v>45812.46805555555</v>
      </c>
      <c r="F866" s="7" t="s">
        <v>347</v>
      </c>
      <c r="G866" s="5" t="s">
        <v>24</v>
      </c>
      <c r="H866" s="2"/>
      <c r="I866" s="2"/>
      <c r="J866" s="2"/>
      <c r="K866" s="2" t="s">
        <v>18</v>
      </c>
      <c r="L866" s="2"/>
    </row>
    <row r="867">
      <c r="A867" s="1" t="s">
        <v>1042</v>
      </c>
      <c r="B867" s="1" t="s">
        <v>1042</v>
      </c>
      <c r="C867" s="5" t="s">
        <v>305</v>
      </c>
      <c r="D867" s="5" t="s">
        <v>306</v>
      </c>
      <c r="E867" s="6">
        <v>45812.56458333333</v>
      </c>
      <c r="F867" s="7" t="s">
        <v>307</v>
      </c>
      <c r="G867" s="5" t="s">
        <v>24</v>
      </c>
      <c r="H867" s="2"/>
      <c r="I867" s="2"/>
      <c r="J867" s="2"/>
      <c r="K867" s="2" t="s">
        <v>18</v>
      </c>
      <c r="L867" s="2"/>
    </row>
    <row r="868">
      <c r="A868" s="1" t="s">
        <v>1043</v>
      </c>
      <c r="B868" s="1" t="s">
        <v>1043</v>
      </c>
      <c r="C868" s="5" t="s">
        <v>786</v>
      </c>
      <c r="D868" s="5" t="s">
        <v>787</v>
      </c>
      <c r="E868" s="6">
        <v>45812.56597222222</v>
      </c>
      <c r="F868" s="7" t="s">
        <v>788</v>
      </c>
      <c r="G868" s="5" t="s">
        <v>24</v>
      </c>
      <c r="H868" s="2"/>
      <c r="I868" s="2"/>
      <c r="J868" s="2"/>
      <c r="K868" s="2" t="s">
        <v>18</v>
      </c>
      <c r="L868" s="2"/>
    </row>
    <row r="869">
      <c r="A869" s="1"/>
      <c r="B869" s="1"/>
      <c r="E869" s="6"/>
      <c r="F869" s="7"/>
    </row>
    <row r="870">
      <c r="A870" s="1" t="s">
        <v>1044</v>
      </c>
      <c r="B870" s="1" t="s">
        <v>1044</v>
      </c>
      <c r="C870" s="5" t="s">
        <v>45</v>
      </c>
      <c r="D870" s="5" t="s">
        <v>46</v>
      </c>
      <c r="E870" s="6">
        <v>45813.370833333334</v>
      </c>
      <c r="F870" s="7" t="s">
        <v>47</v>
      </c>
      <c r="G870" s="5" t="s">
        <v>16</v>
      </c>
      <c r="H870" s="2"/>
      <c r="I870" s="2" t="s">
        <v>17</v>
      </c>
      <c r="J870" s="2"/>
      <c r="K870" s="2" t="s">
        <v>18</v>
      </c>
      <c r="L870" s="2"/>
    </row>
    <row r="871">
      <c r="A871" s="1" t="s">
        <v>1045</v>
      </c>
      <c r="B871" s="1" t="s">
        <v>1045</v>
      </c>
      <c r="C871" s="5" t="s">
        <v>464</v>
      </c>
      <c r="D871" s="5" t="s">
        <v>465</v>
      </c>
      <c r="E871" s="6">
        <v>45813.50902777778</v>
      </c>
      <c r="F871" s="7" t="s">
        <v>466</v>
      </c>
      <c r="G871" s="5" t="s">
        <v>24</v>
      </c>
      <c r="H871" s="2"/>
      <c r="I871" s="2"/>
      <c r="J871" s="2"/>
      <c r="K871" s="2" t="s">
        <v>18</v>
      </c>
      <c r="L871" s="2"/>
    </row>
    <row r="872">
      <c r="A872" s="1" t="s">
        <v>1046</v>
      </c>
      <c r="B872" s="1" t="s">
        <v>1046</v>
      </c>
      <c r="C872" s="5" t="s">
        <v>464</v>
      </c>
      <c r="D872" s="5" t="s">
        <v>465</v>
      </c>
      <c r="E872" s="6">
        <v>45777.51180555555</v>
      </c>
      <c r="F872" s="7" t="s">
        <v>466</v>
      </c>
      <c r="G872" s="5" t="s">
        <v>24</v>
      </c>
      <c r="H872" s="2"/>
      <c r="I872" s="2"/>
      <c r="J872" s="2"/>
      <c r="K872" s="2" t="s">
        <v>18</v>
      </c>
      <c r="L872" s="2"/>
    </row>
    <row r="873">
      <c r="A873" s="1" t="s">
        <v>1047</v>
      </c>
      <c r="B873" s="1" t="s">
        <v>1047</v>
      </c>
      <c r="C873" s="5" t="s">
        <v>951</v>
      </c>
      <c r="D873" s="5" t="s">
        <v>952</v>
      </c>
      <c r="E873" s="6">
        <v>45813.57361111111</v>
      </c>
      <c r="F873" s="7" t="s">
        <v>953</v>
      </c>
      <c r="G873" s="5" t="s">
        <v>16</v>
      </c>
      <c r="H873" s="2"/>
      <c r="I873" s="2" t="s">
        <v>17</v>
      </c>
      <c r="J873" s="2"/>
      <c r="K873" s="2" t="s">
        <v>18</v>
      </c>
      <c r="L873" s="2"/>
    </row>
    <row r="874">
      <c r="A874" s="1" t="s">
        <v>1048</v>
      </c>
      <c r="B874" s="1" t="s">
        <v>1048</v>
      </c>
      <c r="C874" s="5" t="s">
        <v>951</v>
      </c>
      <c r="D874" s="5" t="s">
        <v>952</v>
      </c>
      <c r="E874" s="6">
        <v>45813.617361111115</v>
      </c>
      <c r="F874" s="7" t="s">
        <v>953</v>
      </c>
      <c r="G874" s="5" t="s">
        <v>24</v>
      </c>
      <c r="H874" s="2"/>
      <c r="I874" s="2"/>
      <c r="J874" s="2"/>
      <c r="K874" s="2" t="s">
        <v>18</v>
      </c>
      <c r="L874" s="2"/>
    </row>
    <row r="875">
      <c r="A875" s="1" t="s">
        <v>1049</v>
      </c>
      <c r="B875" s="1" t="s">
        <v>1049</v>
      </c>
      <c r="C875" s="5" t="s">
        <v>951</v>
      </c>
      <c r="D875" s="5" t="s">
        <v>952</v>
      </c>
      <c r="E875" s="6">
        <v>45817.46527777778</v>
      </c>
      <c r="F875" s="7" t="s">
        <v>953</v>
      </c>
      <c r="G875" s="5" t="s">
        <v>16</v>
      </c>
      <c r="H875" s="2"/>
      <c r="I875" s="2" t="s">
        <v>17</v>
      </c>
      <c r="J875" s="2"/>
      <c r="K875" s="2" t="s">
        <v>18</v>
      </c>
      <c r="L875" s="2"/>
    </row>
    <row r="876">
      <c r="A876" s="1" t="s">
        <v>1050</v>
      </c>
      <c r="B876" s="1" t="s">
        <v>1050</v>
      </c>
      <c r="C876" s="5" t="s">
        <v>109</v>
      </c>
      <c r="D876" s="5" t="s">
        <v>110</v>
      </c>
      <c r="E876" s="6">
        <v>45817.625</v>
      </c>
      <c r="F876" s="7" t="s">
        <v>111</v>
      </c>
      <c r="G876" s="5" t="s">
        <v>24</v>
      </c>
      <c r="H876" s="2"/>
      <c r="I876" s="2"/>
      <c r="J876" s="2"/>
      <c r="K876" s="2" t="s">
        <v>18</v>
      </c>
      <c r="L876" s="2"/>
    </row>
    <row r="877">
      <c r="A877" s="1" t="s">
        <v>1051</v>
      </c>
      <c r="B877" s="1" t="s">
        <v>1051</v>
      </c>
      <c r="C877" s="5" t="s">
        <v>951</v>
      </c>
      <c r="D877" s="5" t="s">
        <v>952</v>
      </c>
      <c r="E877" s="6">
        <v>45817.625</v>
      </c>
      <c r="F877" s="7" t="s">
        <v>953</v>
      </c>
      <c r="G877" s="5" t="s">
        <v>24</v>
      </c>
      <c r="H877" s="2"/>
      <c r="I877" s="2"/>
      <c r="J877" s="2"/>
      <c r="K877" s="2" t="s">
        <v>18</v>
      </c>
      <c r="L877" s="2"/>
    </row>
    <row r="878">
      <c r="A878" s="1" t="s">
        <v>1052</v>
      </c>
      <c r="B878" s="1" t="s">
        <v>1052</v>
      </c>
      <c r="C878" s="5" t="s">
        <v>349</v>
      </c>
      <c r="D878" s="5" t="s">
        <v>350</v>
      </c>
      <c r="E878" s="6">
        <v>45818.35972222222</v>
      </c>
      <c r="F878" s="7" t="s">
        <v>351</v>
      </c>
      <c r="G878" s="5" t="s">
        <v>16</v>
      </c>
      <c r="H878" s="2"/>
      <c r="I878" s="2"/>
      <c r="J878" s="2"/>
      <c r="K878" s="2" t="s">
        <v>18</v>
      </c>
      <c r="L878" s="2"/>
    </row>
    <row r="879">
      <c r="A879" s="1" t="s">
        <v>1053</v>
      </c>
      <c r="B879" s="1" t="s">
        <v>1053</v>
      </c>
      <c r="C879" s="5" t="s">
        <v>349</v>
      </c>
      <c r="D879" s="5" t="s">
        <v>350</v>
      </c>
      <c r="E879" s="6">
        <v>45818.71527777778</v>
      </c>
      <c r="F879" s="7" t="s">
        <v>351</v>
      </c>
      <c r="G879" s="5" t="s">
        <v>24</v>
      </c>
      <c r="H879" s="2"/>
      <c r="I879" s="2"/>
      <c r="J879" s="2"/>
      <c r="K879" s="2" t="s">
        <v>18</v>
      </c>
      <c r="L879" s="2"/>
    </row>
    <row r="880">
      <c r="A880" s="1" t="s">
        <v>1054</v>
      </c>
      <c r="B880" s="1" t="s">
        <v>1054</v>
      </c>
      <c r="C880" s="5" t="s">
        <v>685</v>
      </c>
      <c r="D880" s="5" t="s">
        <v>686</v>
      </c>
      <c r="E880" s="6">
        <v>45819.540972222225</v>
      </c>
      <c r="F880" s="7" t="s">
        <v>687</v>
      </c>
      <c r="G880" s="5" t="s">
        <v>16</v>
      </c>
      <c r="H880" s="2"/>
      <c r="I880" s="2" t="s">
        <v>17</v>
      </c>
      <c r="J880" s="2"/>
      <c r="K880" s="2" t="s">
        <v>18</v>
      </c>
      <c r="L880" s="2"/>
    </row>
    <row r="881">
      <c r="A881" s="1" t="s">
        <v>1055</v>
      </c>
      <c r="B881" s="1" t="s">
        <v>1055</v>
      </c>
      <c r="C881" s="5" t="s">
        <v>685</v>
      </c>
      <c r="D881" s="5" t="s">
        <v>686</v>
      </c>
      <c r="E881" s="6">
        <v>45819.60763888889</v>
      </c>
      <c r="F881" s="7" t="s">
        <v>687</v>
      </c>
      <c r="G881" s="5" t="s">
        <v>24</v>
      </c>
      <c r="H881" s="2"/>
      <c r="I881" s="2"/>
      <c r="J881" s="2"/>
      <c r="K881" s="2" t="s">
        <v>18</v>
      </c>
      <c r="L881" s="2"/>
    </row>
    <row r="882">
      <c r="A882" s="1" t="s">
        <v>1056</v>
      </c>
      <c r="B882" s="1" t="s">
        <v>1056</v>
      </c>
      <c r="C882" s="5" t="s">
        <v>305</v>
      </c>
      <c r="D882" s="5" t="s">
        <v>306</v>
      </c>
      <c r="E882" s="6">
        <v>45819.60763888889</v>
      </c>
      <c r="F882" s="7" t="s">
        <v>307</v>
      </c>
      <c r="G882" s="5" t="s">
        <v>24</v>
      </c>
      <c r="H882" s="2"/>
      <c r="I882" s="2"/>
      <c r="J882" s="2"/>
      <c r="K882" s="2" t="s">
        <v>18</v>
      </c>
      <c r="L882" s="2"/>
    </row>
    <row r="883">
      <c r="A883" s="1" t="s">
        <v>1057</v>
      </c>
      <c r="B883" s="1" t="s">
        <v>1057</v>
      </c>
      <c r="C883" s="5" t="s">
        <v>493</v>
      </c>
      <c r="D883" s="5" t="s">
        <v>494</v>
      </c>
      <c r="E883" s="6">
        <v>45820.365277777775</v>
      </c>
      <c r="F883" s="7" t="s">
        <v>495</v>
      </c>
      <c r="G883" s="5" t="s">
        <v>16</v>
      </c>
      <c r="H883" s="2"/>
      <c r="I883" s="2" t="s">
        <v>17</v>
      </c>
      <c r="J883" s="2"/>
      <c r="K883" s="2" t="s">
        <v>18</v>
      </c>
      <c r="L883" s="2"/>
    </row>
    <row r="884">
      <c r="A884" s="1" t="s">
        <v>1058</v>
      </c>
      <c r="B884" s="1" t="s">
        <v>1058</v>
      </c>
      <c r="C884" s="5" t="s">
        <v>213</v>
      </c>
      <c r="D884" s="5" t="s">
        <v>214</v>
      </c>
      <c r="E884" s="6">
        <v>45820.419444444444</v>
      </c>
      <c r="F884" s="7" t="s">
        <v>215</v>
      </c>
      <c r="G884" s="5" t="s">
        <v>16</v>
      </c>
      <c r="H884" s="2"/>
      <c r="I884" s="2" t="s">
        <v>17</v>
      </c>
      <c r="J884" s="2"/>
      <c r="K884" s="2" t="s">
        <v>18</v>
      </c>
      <c r="L884" s="2"/>
    </row>
    <row r="885">
      <c r="A885" s="1" t="s">
        <v>1059</v>
      </c>
      <c r="B885" s="1" t="s">
        <v>1059</v>
      </c>
      <c r="C885" s="5" t="s">
        <v>213</v>
      </c>
      <c r="D885" s="5" t="s">
        <v>214</v>
      </c>
      <c r="E885" s="6">
        <v>45820.81319444445</v>
      </c>
      <c r="F885" s="7" t="s">
        <v>215</v>
      </c>
      <c r="G885" s="5" t="s">
        <v>24</v>
      </c>
      <c r="H885" s="2"/>
      <c r="I885" s="2"/>
      <c r="J885" s="2"/>
      <c r="K885" s="2" t="s">
        <v>18</v>
      </c>
      <c r="L885" s="2"/>
    </row>
    <row r="886">
      <c r="A886" s="1" t="s">
        <v>1060</v>
      </c>
      <c r="B886" s="1" t="s">
        <v>1060</v>
      </c>
      <c r="C886" s="5" t="s">
        <v>493</v>
      </c>
      <c r="D886" s="5" t="s">
        <v>494</v>
      </c>
      <c r="E886" s="6">
        <v>45820.81388888889</v>
      </c>
      <c r="F886" s="7" t="s">
        <v>495</v>
      </c>
      <c r="G886" s="5" t="s">
        <v>24</v>
      </c>
      <c r="H886" s="2"/>
      <c r="I886" s="2"/>
      <c r="J886" s="2"/>
      <c r="K886" s="2" t="s">
        <v>18</v>
      </c>
      <c r="L886" s="2"/>
    </row>
    <row r="887">
      <c r="A887" s="1" t="s">
        <v>1061</v>
      </c>
      <c r="B887" s="1" t="s">
        <v>1061</v>
      </c>
      <c r="C887" s="5" t="s">
        <v>934</v>
      </c>
      <c r="D887" s="5" t="s">
        <v>935</v>
      </c>
      <c r="E887" s="6">
        <v>45821.350694444445</v>
      </c>
      <c r="F887" s="7" t="s">
        <v>936</v>
      </c>
      <c r="G887" s="5" t="s">
        <v>16</v>
      </c>
      <c r="H887" s="2"/>
      <c r="I887" s="2"/>
      <c r="J887" s="2"/>
      <c r="K887" s="2" t="s">
        <v>18</v>
      </c>
      <c r="L887" s="2"/>
    </row>
    <row r="888">
      <c r="A888" s="1" t="s">
        <v>1062</v>
      </c>
      <c r="B888" s="1" t="s">
        <v>1062</v>
      </c>
      <c r="C888" s="5" t="s">
        <v>934</v>
      </c>
      <c r="D888" s="5" t="s">
        <v>935</v>
      </c>
      <c r="E888" s="6">
        <v>45821.48541666666</v>
      </c>
      <c r="F888" s="7" t="s">
        <v>936</v>
      </c>
      <c r="G888" s="5" t="s">
        <v>24</v>
      </c>
      <c r="H888" s="2"/>
      <c r="I888" s="2"/>
      <c r="J888" s="2"/>
      <c r="K888" s="2" t="s">
        <v>18</v>
      </c>
      <c r="L888" s="2"/>
    </row>
    <row r="889">
      <c r="A889" s="1" t="s">
        <v>1063</v>
      </c>
      <c r="B889" s="1" t="s">
        <v>1063</v>
      </c>
      <c r="C889" s="5" t="s">
        <v>345</v>
      </c>
      <c r="D889" s="5" t="s">
        <v>346</v>
      </c>
      <c r="E889" s="6">
        <v>45821.61319444445</v>
      </c>
      <c r="F889" s="7" t="s">
        <v>347</v>
      </c>
      <c r="G889" s="5" t="s">
        <v>16</v>
      </c>
      <c r="H889" s="2"/>
      <c r="I889" s="2"/>
      <c r="J889" s="2"/>
      <c r="K889" s="2" t="s">
        <v>18</v>
      </c>
      <c r="L889" s="2"/>
    </row>
    <row r="890">
      <c r="A890" s="1" t="s">
        <v>1064</v>
      </c>
      <c r="B890" s="1" t="s">
        <v>1064</v>
      </c>
      <c r="C890" s="5" t="s">
        <v>109</v>
      </c>
      <c r="D890" s="5" t="s">
        <v>110</v>
      </c>
      <c r="E890" s="6">
        <v>45821.652083333334</v>
      </c>
      <c r="F890" s="7" t="s">
        <v>111</v>
      </c>
      <c r="G890" s="5" t="s">
        <v>16</v>
      </c>
      <c r="H890" s="2"/>
      <c r="I890" s="2"/>
      <c r="J890" s="2"/>
      <c r="K890" s="2" t="s">
        <v>18</v>
      </c>
      <c r="L890" s="2"/>
    </row>
    <row r="891">
      <c r="A891" s="1" t="s">
        <v>1065</v>
      </c>
      <c r="B891" s="1" t="s">
        <v>1065</v>
      </c>
      <c r="C891" s="5" t="s">
        <v>109</v>
      </c>
      <c r="D891" s="5" t="s">
        <v>110</v>
      </c>
      <c r="E891" s="6">
        <v>45821.679861111115</v>
      </c>
      <c r="F891" s="7" t="s">
        <v>111</v>
      </c>
      <c r="G891" s="5" t="s">
        <v>24</v>
      </c>
      <c r="H891" s="2"/>
      <c r="I891" s="2"/>
      <c r="J891" s="2"/>
      <c r="K891" s="2" t="s">
        <v>18</v>
      </c>
      <c r="L891" s="2"/>
    </row>
    <row r="892">
      <c r="A892" s="1" t="s">
        <v>1066</v>
      </c>
      <c r="B892" s="1" t="s">
        <v>1066</v>
      </c>
      <c r="C892" s="5" t="s">
        <v>326</v>
      </c>
      <c r="D892" s="5" t="s">
        <v>327</v>
      </c>
      <c r="E892" s="6">
        <v>45822.35763888889</v>
      </c>
      <c r="F892" s="7" t="s">
        <v>328</v>
      </c>
      <c r="G892" s="5" t="s">
        <v>16</v>
      </c>
      <c r="H892" s="2"/>
      <c r="I892" s="2"/>
      <c r="J892" s="2"/>
      <c r="K892" s="2" t="s">
        <v>18</v>
      </c>
      <c r="L892" s="2"/>
    </row>
    <row r="893">
      <c r="A893" s="1" t="s">
        <v>1067</v>
      </c>
      <c r="B893" s="1" t="s">
        <v>1067</v>
      </c>
      <c r="C893" s="5" t="s">
        <v>345</v>
      </c>
      <c r="D893" s="5" t="s">
        <v>346</v>
      </c>
      <c r="E893" s="6">
        <v>45821.73472222222</v>
      </c>
      <c r="F893" s="7" t="s">
        <v>347</v>
      </c>
      <c r="G893" s="5" t="s">
        <v>24</v>
      </c>
      <c r="H893" s="2"/>
      <c r="I893" s="2"/>
      <c r="J893" s="2"/>
      <c r="K893" s="2" t="s">
        <v>18</v>
      </c>
      <c r="L893" s="2"/>
    </row>
    <row r="894">
      <c r="A894" s="1" t="s">
        <v>1068</v>
      </c>
      <c r="B894" s="1" t="s">
        <v>1068</v>
      </c>
      <c r="C894" s="5" t="s">
        <v>320</v>
      </c>
      <c r="D894" s="5" t="s">
        <v>321</v>
      </c>
      <c r="E894" s="6">
        <v>45822.37986111111</v>
      </c>
      <c r="F894" s="7" t="s">
        <v>322</v>
      </c>
      <c r="G894" s="5" t="s">
        <v>16</v>
      </c>
      <c r="H894" s="2"/>
      <c r="I894" s="2" t="s">
        <v>17</v>
      </c>
      <c r="J894" s="2"/>
      <c r="K894" s="2" t="s">
        <v>18</v>
      </c>
      <c r="L894" s="2"/>
    </row>
    <row r="895">
      <c r="A895" s="1" t="s">
        <v>1069</v>
      </c>
      <c r="B895" s="1" t="s">
        <v>1069</v>
      </c>
      <c r="C895" s="5" t="s">
        <v>943</v>
      </c>
      <c r="D895" s="5" t="s">
        <v>944</v>
      </c>
      <c r="E895" s="6">
        <v>45822.492361111115</v>
      </c>
      <c r="F895" s="7" t="s">
        <v>945</v>
      </c>
      <c r="G895" s="5" t="s">
        <v>16</v>
      </c>
      <c r="H895" s="2"/>
      <c r="I895" s="2"/>
      <c r="J895" s="2"/>
      <c r="K895" s="2" t="s">
        <v>18</v>
      </c>
      <c r="L895" s="2"/>
    </row>
    <row r="896">
      <c r="A896" s="1" t="s">
        <v>1070</v>
      </c>
      <c r="B896" s="1" t="s">
        <v>1070</v>
      </c>
      <c r="C896" s="2" t="s">
        <v>1071</v>
      </c>
      <c r="D896" s="5" t="s">
        <v>1010</v>
      </c>
      <c r="E896" s="6">
        <v>45822.51180555555</v>
      </c>
      <c r="F896" s="7" t="e">
        <v>#N/A</v>
      </c>
      <c r="G896" s="5" t="s">
        <v>16</v>
      </c>
      <c r="H896" s="2"/>
      <c r="I896" s="2"/>
      <c r="J896" s="2"/>
      <c r="K896" s="2" t="s">
        <v>18</v>
      </c>
      <c r="L896" s="2"/>
    </row>
    <row r="897">
      <c r="A897" s="1" t="s">
        <v>1072</v>
      </c>
      <c r="B897" s="1" t="s">
        <v>1072</v>
      </c>
      <c r="C897" s="5" t="s">
        <v>943</v>
      </c>
      <c r="D897" s="5" t="s">
        <v>944</v>
      </c>
      <c r="E897" s="6">
        <v>45822.606944444444</v>
      </c>
      <c r="F897" s="7" t="s">
        <v>945</v>
      </c>
      <c r="G897" s="5" t="s">
        <v>24</v>
      </c>
      <c r="H897" s="2"/>
      <c r="I897" s="2"/>
      <c r="J897" s="2"/>
      <c r="K897" s="2" t="s">
        <v>18</v>
      </c>
      <c r="L897" s="2"/>
    </row>
    <row r="898">
      <c r="A898" s="1" t="s">
        <v>1073</v>
      </c>
      <c r="B898" s="1" t="s">
        <v>1073</v>
      </c>
      <c r="C898" s="5" t="s">
        <v>326</v>
      </c>
      <c r="D898" s="5" t="s">
        <v>327</v>
      </c>
      <c r="E898" s="6">
        <v>45822.606944444444</v>
      </c>
      <c r="F898" s="7" t="s">
        <v>328</v>
      </c>
      <c r="G898" s="5" t="s">
        <v>24</v>
      </c>
      <c r="H898" s="2"/>
      <c r="I898" s="2"/>
      <c r="J898" s="2"/>
      <c r="K898" s="2" t="s">
        <v>18</v>
      </c>
      <c r="L898" s="2"/>
    </row>
    <row r="899">
      <c r="A899" s="1" t="s">
        <v>1074</v>
      </c>
      <c r="B899" s="1" t="s">
        <v>1074</v>
      </c>
      <c r="C899" s="5" t="s">
        <v>320</v>
      </c>
      <c r="D899" s="5" t="s">
        <v>321</v>
      </c>
      <c r="E899" s="6">
        <v>45822.60833333334</v>
      </c>
      <c r="F899" s="7" t="s">
        <v>322</v>
      </c>
      <c r="G899" s="5" t="s">
        <v>24</v>
      </c>
      <c r="H899" s="2"/>
      <c r="I899" s="2"/>
      <c r="J899" s="2"/>
      <c r="K899" s="2" t="s">
        <v>18</v>
      </c>
      <c r="L899" s="2"/>
    </row>
    <row r="900">
      <c r="A900" s="1"/>
      <c r="B900" s="1"/>
      <c r="E900" s="6"/>
      <c r="F900" s="7"/>
    </row>
    <row r="901">
      <c r="A901" s="1" t="s">
        <v>1075</v>
      </c>
      <c r="B901" s="1" t="s">
        <v>1075</v>
      </c>
      <c r="C901" s="5" t="s">
        <v>169</v>
      </c>
      <c r="D901" s="5" t="s">
        <v>170</v>
      </c>
      <c r="E901" s="6">
        <v>45824.4625</v>
      </c>
      <c r="F901" s="3" t="s">
        <v>171</v>
      </c>
      <c r="G901" s="5" t="s">
        <v>16</v>
      </c>
      <c r="H901" s="2"/>
      <c r="I901" s="2" t="s">
        <v>17</v>
      </c>
      <c r="J901" s="2"/>
      <c r="K901" s="2" t="s">
        <v>18</v>
      </c>
      <c r="L901" s="2"/>
    </row>
    <row r="902">
      <c r="A902" s="1" t="s">
        <v>1076</v>
      </c>
      <c r="B902" s="1" t="s">
        <v>1076</v>
      </c>
      <c r="C902" s="5" t="s">
        <v>349</v>
      </c>
      <c r="D902" s="5" t="s">
        <v>350</v>
      </c>
      <c r="E902" s="6">
        <v>45824.49097222222</v>
      </c>
      <c r="F902" s="7" t="s">
        <v>351</v>
      </c>
      <c r="G902" s="5" t="s">
        <v>16</v>
      </c>
      <c r="H902" s="2"/>
      <c r="I902" s="2"/>
      <c r="J902" s="2"/>
      <c r="K902" s="2" t="s">
        <v>18</v>
      </c>
      <c r="L902" s="2"/>
    </row>
    <row r="903">
      <c r="A903" s="1" t="s">
        <v>1077</v>
      </c>
      <c r="B903" s="1" t="s">
        <v>1077</v>
      </c>
      <c r="C903" s="5" t="s">
        <v>349</v>
      </c>
      <c r="D903" s="5" t="s">
        <v>350</v>
      </c>
      <c r="E903" s="6">
        <v>45824.49097222222</v>
      </c>
      <c r="F903" s="7" t="s">
        <v>351</v>
      </c>
      <c r="G903" s="5" t="s">
        <v>159</v>
      </c>
      <c r="H903" s="2"/>
      <c r="I903" s="2"/>
      <c r="J903" s="2"/>
      <c r="K903" s="2" t="s">
        <v>18</v>
      </c>
      <c r="L903" s="2"/>
    </row>
    <row r="904">
      <c r="A904" s="1" t="s">
        <v>1078</v>
      </c>
      <c r="B904" s="1" t="s">
        <v>1078</v>
      </c>
      <c r="C904" s="5" t="s">
        <v>345</v>
      </c>
      <c r="D904" s="5" t="s">
        <v>346</v>
      </c>
      <c r="E904" s="6">
        <v>45824.56388888889</v>
      </c>
      <c r="F904" s="7" t="s">
        <v>347</v>
      </c>
      <c r="G904" s="5" t="s">
        <v>16</v>
      </c>
      <c r="H904" s="2"/>
      <c r="I904" s="2"/>
      <c r="J904" s="2"/>
      <c r="K904" s="2" t="s">
        <v>18</v>
      </c>
      <c r="L904" s="2"/>
    </row>
    <row r="905">
      <c r="A905" s="1" t="s">
        <v>1079</v>
      </c>
      <c r="B905" s="1" t="s">
        <v>1079</v>
      </c>
      <c r="C905" s="5" t="s">
        <v>349</v>
      </c>
      <c r="D905" s="5" t="s">
        <v>350</v>
      </c>
      <c r="E905" s="6">
        <v>45824.75069444445</v>
      </c>
      <c r="F905" s="7" t="s">
        <v>351</v>
      </c>
      <c r="G905" s="5" t="s">
        <v>24</v>
      </c>
      <c r="H905" s="2"/>
      <c r="I905" s="2"/>
      <c r="J905" s="2"/>
      <c r="K905" s="2" t="s">
        <v>18</v>
      </c>
      <c r="L905" s="2"/>
    </row>
    <row r="906">
      <c r="A906" s="1" t="s">
        <v>1080</v>
      </c>
      <c r="B906" s="1" t="s">
        <v>1080</v>
      </c>
      <c r="C906" s="5" t="s">
        <v>345</v>
      </c>
      <c r="D906" s="5" t="s">
        <v>346</v>
      </c>
      <c r="E906" s="6">
        <v>45824.75138888889</v>
      </c>
      <c r="F906" s="7" t="s">
        <v>347</v>
      </c>
      <c r="G906" s="5" t="s">
        <v>24</v>
      </c>
      <c r="H906" s="2"/>
      <c r="I906" s="2"/>
      <c r="J906" s="2"/>
      <c r="K906" s="2" t="s">
        <v>18</v>
      </c>
      <c r="L906" s="2"/>
    </row>
    <row r="907">
      <c r="A907" s="1" t="s">
        <v>1081</v>
      </c>
      <c r="B907" s="1" t="s">
        <v>1081</v>
      </c>
      <c r="C907" s="5" t="s">
        <v>934</v>
      </c>
      <c r="D907" s="5" t="s">
        <v>935</v>
      </c>
      <c r="E907" s="6">
        <v>45825.504166666666</v>
      </c>
      <c r="F907" s="7" t="s">
        <v>936</v>
      </c>
      <c r="G907" s="5" t="s">
        <v>16</v>
      </c>
      <c r="H907" s="2"/>
      <c r="I907" s="2"/>
      <c r="J907" s="2"/>
      <c r="K907" s="2" t="s">
        <v>18</v>
      </c>
      <c r="L907" s="2"/>
    </row>
    <row r="908">
      <c r="A908" s="1" t="s">
        <v>1082</v>
      </c>
      <c r="B908" s="1" t="s">
        <v>1082</v>
      </c>
      <c r="C908" s="5" t="s">
        <v>934</v>
      </c>
      <c r="D908" s="5" t="s">
        <v>935</v>
      </c>
      <c r="E908" s="6">
        <v>45825.56736111111</v>
      </c>
      <c r="F908" s="7" t="s">
        <v>936</v>
      </c>
      <c r="G908" s="5" t="s">
        <v>24</v>
      </c>
      <c r="H908" s="2"/>
      <c r="I908" s="2"/>
      <c r="J908" s="2"/>
      <c r="K908" s="2" t="s">
        <v>18</v>
      </c>
      <c r="L908" s="2"/>
    </row>
    <row r="909">
      <c r="A909" s="1" t="s">
        <v>1083</v>
      </c>
      <c r="B909" s="1" t="s">
        <v>1083</v>
      </c>
      <c r="C909" s="5" t="s">
        <v>1084</v>
      </c>
      <c r="D909" s="5" t="s">
        <v>1085</v>
      </c>
      <c r="E909" s="6">
        <v>45826.55138888889</v>
      </c>
      <c r="F909" s="7" t="s">
        <v>1086</v>
      </c>
      <c r="G909" s="5" t="s">
        <v>16</v>
      </c>
      <c r="H909" s="2"/>
      <c r="I909" s="2" t="s">
        <v>17</v>
      </c>
      <c r="J909" s="2"/>
      <c r="K909" s="2" t="s">
        <v>18</v>
      </c>
      <c r="L909" s="2"/>
    </row>
    <row r="910">
      <c r="A910" s="1" t="s">
        <v>1087</v>
      </c>
      <c r="B910" s="1" t="s">
        <v>1087</v>
      </c>
      <c r="C910" s="5" t="s">
        <v>957</v>
      </c>
      <c r="D910" s="5" t="s">
        <v>958</v>
      </c>
      <c r="E910" s="6">
        <v>45827.35416666667</v>
      </c>
      <c r="F910" s="7" t="s">
        <v>959</v>
      </c>
      <c r="G910" s="5" t="s">
        <v>16</v>
      </c>
      <c r="H910" s="2"/>
      <c r="I910" s="2"/>
      <c r="J910" s="2"/>
      <c r="K910" s="2" t="s">
        <v>18</v>
      </c>
      <c r="L910" s="2"/>
    </row>
    <row r="911">
      <c r="A911" s="1" t="s">
        <v>1088</v>
      </c>
      <c r="B911" s="1" t="s">
        <v>1088</v>
      </c>
      <c r="C911" s="5" t="s">
        <v>49</v>
      </c>
      <c r="D911" s="5" t="s">
        <v>50</v>
      </c>
      <c r="E911" s="6">
        <v>45826.68888888889</v>
      </c>
      <c r="F911" s="7" t="s">
        <v>51</v>
      </c>
      <c r="G911" s="5" t="s">
        <v>24</v>
      </c>
      <c r="H911" s="2"/>
      <c r="I911" s="2"/>
      <c r="J911" s="2"/>
      <c r="K911" s="2" t="s">
        <v>18</v>
      </c>
      <c r="L911" s="2"/>
    </row>
    <row r="912">
      <c r="A912" s="1" t="s">
        <v>1089</v>
      </c>
      <c r="B912" s="1" t="s">
        <v>1089</v>
      </c>
      <c r="C912" s="5" t="s">
        <v>169</v>
      </c>
      <c r="D912" s="5" t="s">
        <v>170</v>
      </c>
      <c r="E912" s="6">
        <v>45827.495833333334</v>
      </c>
      <c r="F912" s="3" t="s">
        <v>171</v>
      </c>
      <c r="G912" s="5" t="s">
        <v>16</v>
      </c>
      <c r="H912" s="2"/>
      <c r="I912" s="2" t="s">
        <v>17</v>
      </c>
      <c r="J912" s="2"/>
      <c r="K912" s="2" t="s">
        <v>18</v>
      </c>
      <c r="L912" s="2"/>
    </row>
    <row r="913">
      <c r="A913" s="1" t="s">
        <v>1090</v>
      </c>
      <c r="B913" s="1" t="s">
        <v>1090</v>
      </c>
      <c r="C913" s="5" t="s">
        <v>45</v>
      </c>
      <c r="D913" s="5" t="s">
        <v>46</v>
      </c>
      <c r="E913" s="6">
        <v>45827.51736111111</v>
      </c>
      <c r="F913" s="7" t="s">
        <v>47</v>
      </c>
      <c r="G913" s="5" t="s">
        <v>16</v>
      </c>
      <c r="H913" s="2"/>
      <c r="I913" s="2" t="s">
        <v>17</v>
      </c>
      <c r="J913" s="2"/>
      <c r="K913" s="2" t="s">
        <v>18</v>
      </c>
      <c r="L913" s="2"/>
    </row>
    <row r="914">
      <c r="A914" s="1" t="s">
        <v>1091</v>
      </c>
      <c r="B914" s="1" t="s">
        <v>1091</v>
      </c>
      <c r="C914" s="5" t="s">
        <v>957</v>
      </c>
      <c r="D914" s="5" t="s">
        <v>958</v>
      </c>
      <c r="E914" s="6">
        <v>45827.60763888889</v>
      </c>
      <c r="F914" s="7" t="s">
        <v>959</v>
      </c>
      <c r="G914" s="5" t="s">
        <v>24</v>
      </c>
      <c r="H914" s="2"/>
      <c r="I914" s="2"/>
      <c r="J914" s="2"/>
      <c r="K914" s="2" t="s">
        <v>18</v>
      </c>
      <c r="L914" s="2"/>
    </row>
    <row r="915">
      <c r="A915" s="1" t="s">
        <v>1092</v>
      </c>
      <c r="B915" s="1" t="s">
        <v>1092</v>
      </c>
      <c r="C915" s="5" t="s">
        <v>951</v>
      </c>
      <c r="D915" s="5" t="s">
        <v>952</v>
      </c>
      <c r="E915" s="6">
        <v>45828.39513888889</v>
      </c>
      <c r="F915" s="7" t="s">
        <v>953</v>
      </c>
      <c r="G915" s="5" t="s">
        <v>16</v>
      </c>
      <c r="H915" s="2"/>
      <c r="I915" s="2" t="s">
        <v>17</v>
      </c>
      <c r="J915" s="2"/>
      <c r="K915" s="2" t="s">
        <v>18</v>
      </c>
      <c r="L915" s="2"/>
    </row>
    <row r="916">
      <c r="A916" s="1" t="s">
        <v>1093</v>
      </c>
      <c r="B916" s="1" t="s">
        <v>1093</v>
      </c>
      <c r="C916" s="5" t="s">
        <v>951</v>
      </c>
      <c r="D916" s="5" t="s">
        <v>952</v>
      </c>
      <c r="E916" s="6">
        <v>45828.74375</v>
      </c>
      <c r="F916" s="7" t="s">
        <v>953</v>
      </c>
      <c r="G916" s="5" t="s">
        <v>24</v>
      </c>
      <c r="H916" s="2"/>
      <c r="I916" s="2"/>
      <c r="J916" s="2"/>
      <c r="K916" s="2" t="s">
        <v>18</v>
      </c>
      <c r="L916" s="2"/>
    </row>
    <row r="917">
      <c r="A917" s="1" t="s">
        <v>1094</v>
      </c>
      <c r="B917" s="1" t="s">
        <v>1094</v>
      </c>
      <c r="C917" s="5" t="s">
        <v>45</v>
      </c>
      <c r="D917" s="5" t="s">
        <v>46</v>
      </c>
      <c r="E917" s="6">
        <v>45828.74444444444</v>
      </c>
      <c r="F917" s="7" t="s">
        <v>47</v>
      </c>
      <c r="G917" s="5" t="s">
        <v>24</v>
      </c>
      <c r="H917" s="2"/>
      <c r="I917" s="2"/>
      <c r="J917" s="2"/>
      <c r="K917" s="2" t="s">
        <v>18</v>
      </c>
      <c r="L917" s="2"/>
    </row>
    <row r="918">
      <c r="A918" s="1" t="s">
        <v>1095</v>
      </c>
      <c r="B918" s="1" t="s">
        <v>1095</v>
      </c>
      <c r="C918" s="5" t="s">
        <v>305</v>
      </c>
      <c r="D918" s="5" t="s">
        <v>306</v>
      </c>
      <c r="E918" s="6">
        <v>45828.74513888889</v>
      </c>
      <c r="F918" s="7" t="s">
        <v>307</v>
      </c>
      <c r="G918" s="5" t="s">
        <v>24</v>
      </c>
      <c r="H918" s="2"/>
      <c r="I918" s="2"/>
      <c r="J918" s="2"/>
      <c r="K918" s="2" t="s">
        <v>18</v>
      </c>
      <c r="L918" s="2"/>
    </row>
    <row r="919">
      <c r="A919" s="1" t="s">
        <v>1096</v>
      </c>
      <c r="B919" s="1" t="s">
        <v>1096</v>
      </c>
      <c r="C919" s="5" t="s">
        <v>786</v>
      </c>
      <c r="D919" s="5" t="s">
        <v>787</v>
      </c>
      <c r="E919" s="6">
        <v>45831.38888888889</v>
      </c>
      <c r="F919" s="7" t="s">
        <v>788</v>
      </c>
      <c r="G919" s="5" t="s">
        <v>16</v>
      </c>
      <c r="H919" s="2"/>
      <c r="I919" s="2"/>
      <c r="J919" s="2"/>
      <c r="K919" s="2" t="s">
        <v>18</v>
      </c>
      <c r="L919" s="2"/>
    </row>
    <row r="920">
      <c r="A920" s="1" t="s">
        <v>1097</v>
      </c>
      <c r="B920" s="1" t="s">
        <v>1097</v>
      </c>
      <c r="C920" s="5" t="s">
        <v>45</v>
      </c>
      <c r="D920" s="5" t="s">
        <v>46</v>
      </c>
      <c r="E920" s="6">
        <v>45831.40069444444</v>
      </c>
      <c r="F920" s="7" t="s">
        <v>47</v>
      </c>
      <c r="G920" s="5" t="s">
        <v>16</v>
      </c>
      <c r="H920" s="2"/>
      <c r="I920" s="2" t="s">
        <v>17</v>
      </c>
      <c r="J920" s="2"/>
      <c r="K920" s="2" t="s">
        <v>18</v>
      </c>
      <c r="L920" s="2"/>
    </row>
    <row r="921">
      <c r="A921" s="1" t="s">
        <v>1098</v>
      </c>
      <c r="B921" s="1" t="s">
        <v>1098</v>
      </c>
      <c r="C921" s="5" t="s">
        <v>943</v>
      </c>
      <c r="D921" s="5" t="s">
        <v>944</v>
      </c>
      <c r="E921" s="6">
        <v>45831.52013888889</v>
      </c>
      <c r="F921" s="7" t="s">
        <v>945</v>
      </c>
      <c r="G921" s="5" t="s">
        <v>16</v>
      </c>
      <c r="H921" s="2"/>
      <c r="I921" s="2"/>
      <c r="J921" s="2"/>
      <c r="K921" s="2" t="s">
        <v>18</v>
      </c>
      <c r="L921" s="2"/>
    </row>
    <row r="922">
      <c r="A922" s="1" t="s">
        <v>1099</v>
      </c>
      <c r="B922" s="1" t="s">
        <v>1099</v>
      </c>
      <c r="C922" s="5" t="s">
        <v>326</v>
      </c>
      <c r="D922" s="5" t="s">
        <v>327</v>
      </c>
      <c r="E922" s="6">
        <v>45832.43611111111</v>
      </c>
      <c r="F922" s="7" t="s">
        <v>328</v>
      </c>
      <c r="G922" s="5" t="s">
        <v>24</v>
      </c>
      <c r="H922" s="2"/>
      <c r="I922" s="2"/>
      <c r="J922" s="2"/>
      <c r="K922" s="2" t="s">
        <v>18</v>
      </c>
      <c r="L922" s="2"/>
    </row>
    <row r="923">
      <c r="A923" s="1" t="s">
        <v>1100</v>
      </c>
      <c r="B923" s="1" t="s">
        <v>1100</v>
      </c>
      <c r="C923" s="5" t="s">
        <v>943</v>
      </c>
      <c r="D923" s="5" t="s">
        <v>944</v>
      </c>
      <c r="E923" s="6">
        <v>45832.43888888889</v>
      </c>
      <c r="F923" s="7" t="s">
        <v>945</v>
      </c>
      <c r="G923" s="5" t="s">
        <v>24</v>
      </c>
      <c r="H923" s="2"/>
      <c r="I923" s="2"/>
      <c r="J923" s="2"/>
      <c r="K923" s="2" t="s">
        <v>18</v>
      </c>
      <c r="L923" s="2"/>
    </row>
    <row r="924">
      <c r="A924" s="1" t="s">
        <v>1101</v>
      </c>
      <c r="B924" s="1" t="s">
        <v>1101</v>
      </c>
      <c r="C924" s="5" t="s">
        <v>213</v>
      </c>
      <c r="D924" s="5" t="s">
        <v>214</v>
      </c>
      <c r="E924" s="6">
        <v>45832.43958333333</v>
      </c>
      <c r="F924" s="7" t="s">
        <v>215</v>
      </c>
      <c r="G924" s="5" t="s">
        <v>24</v>
      </c>
      <c r="H924" s="2"/>
      <c r="I924" s="2"/>
      <c r="J924" s="2"/>
      <c r="K924" s="2" t="s">
        <v>18</v>
      </c>
      <c r="L924" s="2"/>
    </row>
    <row r="925">
      <c r="A925" s="1" t="s">
        <v>1102</v>
      </c>
      <c r="B925" s="1" t="s">
        <v>1102</v>
      </c>
      <c r="C925" s="2" t="s">
        <v>309</v>
      </c>
      <c r="D925" s="2" t="s">
        <v>310</v>
      </c>
      <c r="E925" s="6">
        <v>45832.695138888885</v>
      </c>
      <c r="F925" s="7" t="s">
        <v>617</v>
      </c>
      <c r="G925" s="5" t="s">
        <v>24</v>
      </c>
      <c r="H925" s="2"/>
      <c r="I925" s="2"/>
      <c r="J925" s="2"/>
      <c r="K925" s="2" t="s">
        <v>18</v>
      </c>
      <c r="L925" s="2"/>
    </row>
    <row r="926">
      <c r="A926" s="1" t="s">
        <v>1103</v>
      </c>
      <c r="B926" s="1" t="s">
        <v>1103</v>
      </c>
      <c r="C926" s="5" t="s">
        <v>951</v>
      </c>
      <c r="D926" s="5" t="s">
        <v>952</v>
      </c>
      <c r="E926" s="6">
        <v>45833.35972222222</v>
      </c>
      <c r="F926" s="7" t="s">
        <v>953</v>
      </c>
      <c r="G926" s="5" t="s">
        <v>16</v>
      </c>
      <c r="H926" s="2"/>
      <c r="I926" s="2" t="s">
        <v>17</v>
      </c>
      <c r="J926" s="2"/>
      <c r="K926" s="2" t="s">
        <v>18</v>
      </c>
      <c r="L926" s="2"/>
    </row>
    <row r="927">
      <c r="A927" s="1" t="s">
        <v>1104</v>
      </c>
      <c r="B927" s="1" t="s">
        <v>1104</v>
      </c>
      <c r="C927" s="5" t="s">
        <v>213</v>
      </c>
      <c r="D927" s="5" t="s">
        <v>214</v>
      </c>
      <c r="E927" s="6">
        <v>45833.370833333334</v>
      </c>
      <c r="F927" s="7" t="s">
        <v>215</v>
      </c>
      <c r="G927" s="5" t="s">
        <v>16</v>
      </c>
      <c r="H927" s="2"/>
      <c r="I927" s="2" t="s">
        <v>17</v>
      </c>
      <c r="J927" s="2"/>
      <c r="K927" s="2" t="s">
        <v>18</v>
      </c>
      <c r="L927" s="2"/>
    </row>
    <row r="928">
      <c r="A928" s="1" t="s">
        <v>1105</v>
      </c>
      <c r="B928" s="1" t="s">
        <v>1105</v>
      </c>
      <c r="C928" s="5" t="s">
        <v>49</v>
      </c>
      <c r="D928" s="5" t="s">
        <v>50</v>
      </c>
      <c r="E928" s="6">
        <v>45833.42222222222</v>
      </c>
      <c r="F928" s="7" t="s">
        <v>51</v>
      </c>
      <c r="G928" s="5" t="s">
        <v>16</v>
      </c>
      <c r="H928" s="2"/>
      <c r="I928" s="2"/>
      <c r="J928" s="2"/>
      <c r="K928" s="2" t="s">
        <v>18</v>
      </c>
      <c r="L928" s="2"/>
    </row>
    <row r="929">
      <c r="A929" s="1" t="s">
        <v>1106</v>
      </c>
      <c r="B929" s="1" t="s">
        <v>1106</v>
      </c>
      <c r="C929" s="5" t="s">
        <v>685</v>
      </c>
      <c r="D929" s="5" t="s">
        <v>686</v>
      </c>
      <c r="E929" s="6">
        <v>45833.42291666666</v>
      </c>
      <c r="F929" s="7" t="s">
        <v>687</v>
      </c>
      <c r="G929" s="5" t="s">
        <v>16</v>
      </c>
      <c r="H929" s="2"/>
      <c r="I929" s="2" t="s">
        <v>17</v>
      </c>
      <c r="J929" s="2"/>
      <c r="K929" s="2" t="s">
        <v>18</v>
      </c>
      <c r="L929" s="2"/>
    </row>
    <row r="930">
      <c r="A930" s="1" t="s">
        <v>1107</v>
      </c>
      <c r="B930" s="1" t="s">
        <v>1107</v>
      </c>
      <c r="C930" s="5" t="s">
        <v>685</v>
      </c>
      <c r="D930" s="5" t="s">
        <v>686</v>
      </c>
      <c r="E930" s="6">
        <v>45833.552777777775</v>
      </c>
      <c r="F930" s="7" t="s">
        <v>687</v>
      </c>
      <c r="G930" s="5" t="s">
        <v>24</v>
      </c>
      <c r="H930" s="2"/>
      <c r="I930" s="2"/>
      <c r="J930" s="2"/>
      <c r="K930" s="2" t="s">
        <v>18</v>
      </c>
      <c r="L930" s="2"/>
    </row>
    <row r="931">
      <c r="A931" s="1" t="s">
        <v>1108</v>
      </c>
      <c r="B931" s="1" t="s">
        <v>1108</v>
      </c>
      <c r="C931" s="5" t="s">
        <v>951</v>
      </c>
      <c r="D931" s="5" t="s">
        <v>952</v>
      </c>
      <c r="E931" s="6">
        <v>45833.55347222222</v>
      </c>
      <c r="F931" s="7" t="s">
        <v>953</v>
      </c>
      <c r="G931" s="5" t="s">
        <v>24</v>
      </c>
      <c r="H931" s="2"/>
      <c r="I931" s="2"/>
      <c r="J931" s="2"/>
      <c r="K931" s="2" t="s">
        <v>18</v>
      </c>
      <c r="L931" s="2"/>
    </row>
    <row r="932">
      <c r="A932" s="1" t="s">
        <v>1109</v>
      </c>
      <c r="B932" s="1" t="s">
        <v>1109</v>
      </c>
      <c r="C932" s="5" t="s">
        <v>213</v>
      </c>
      <c r="D932" s="5" t="s">
        <v>214</v>
      </c>
      <c r="E932" s="6">
        <v>45833.55416666667</v>
      </c>
      <c r="F932" s="7" t="s">
        <v>215</v>
      </c>
      <c r="G932" s="5" t="s">
        <v>24</v>
      </c>
      <c r="H932" s="2"/>
      <c r="I932" s="2"/>
      <c r="J932" s="2"/>
      <c r="K932" s="2" t="s">
        <v>18</v>
      </c>
      <c r="L932" s="2"/>
    </row>
    <row r="933">
      <c r="A933" s="1" t="s">
        <v>1110</v>
      </c>
      <c r="B933" s="1" t="s">
        <v>1110</v>
      </c>
      <c r="C933" s="5" t="s">
        <v>309</v>
      </c>
      <c r="D933" s="5" t="s">
        <v>310</v>
      </c>
      <c r="E933" s="6">
        <v>45833.59930555556</v>
      </c>
      <c r="F933" s="7" t="s">
        <v>311</v>
      </c>
      <c r="G933" s="5" t="s">
        <v>16</v>
      </c>
      <c r="H933" s="2"/>
      <c r="I933" s="2"/>
      <c r="J933" s="2"/>
      <c r="K933" s="2" t="s">
        <v>18</v>
      </c>
      <c r="L933" s="2"/>
    </row>
    <row r="934">
      <c r="A934" s="1" t="s">
        <v>1111</v>
      </c>
      <c r="B934" s="1" t="s">
        <v>1111</v>
      </c>
      <c r="C934" s="5" t="s">
        <v>49</v>
      </c>
      <c r="D934" s="5" t="s">
        <v>50</v>
      </c>
      <c r="E934" s="6">
        <v>45833.6125</v>
      </c>
      <c r="F934" s="7" t="s">
        <v>51</v>
      </c>
      <c r="G934" s="5" t="s">
        <v>24</v>
      </c>
      <c r="H934" s="2"/>
      <c r="I934" s="2"/>
      <c r="J934" s="2"/>
      <c r="K934" s="2" t="s">
        <v>18</v>
      </c>
      <c r="L934" s="2"/>
    </row>
    <row r="935">
      <c r="A935" s="1" t="s">
        <v>1112</v>
      </c>
      <c r="B935" s="1" t="s">
        <v>1112</v>
      </c>
      <c r="C935" s="5" t="s">
        <v>20</v>
      </c>
      <c r="D935" s="5" t="s">
        <v>21</v>
      </c>
      <c r="E935" s="6">
        <v>45834.35555555555</v>
      </c>
      <c r="F935" s="7" t="s">
        <v>22</v>
      </c>
      <c r="G935" s="5" t="s">
        <v>16</v>
      </c>
      <c r="H935" s="2"/>
      <c r="I935" s="2" t="s">
        <v>17</v>
      </c>
      <c r="J935" s="2"/>
      <c r="K935" s="2" t="s">
        <v>18</v>
      </c>
      <c r="L935" s="2"/>
    </row>
    <row r="936">
      <c r="A936" s="1" t="s">
        <v>1113</v>
      </c>
      <c r="B936" s="1" t="s">
        <v>1113</v>
      </c>
      <c r="C936" s="5" t="s">
        <v>904</v>
      </c>
      <c r="D936" s="5" t="s">
        <v>905</v>
      </c>
      <c r="E936" s="6">
        <v>45834.37291666667</v>
      </c>
      <c r="F936" s="7" t="s">
        <v>906</v>
      </c>
      <c r="G936" s="5" t="s">
        <v>16</v>
      </c>
      <c r="H936" s="2"/>
      <c r="I936" s="2"/>
      <c r="J936" s="2"/>
      <c r="K936" s="2" t="s">
        <v>18</v>
      </c>
      <c r="L936" s="2"/>
    </row>
    <row r="937">
      <c r="A937" s="1" t="s">
        <v>1114</v>
      </c>
      <c r="B937" s="1" t="s">
        <v>1114</v>
      </c>
      <c r="C937" s="5" t="s">
        <v>786</v>
      </c>
      <c r="D937" s="5" t="s">
        <v>787</v>
      </c>
      <c r="E937" s="6">
        <v>45834.44861111111</v>
      </c>
      <c r="F937" s="7" t="s">
        <v>788</v>
      </c>
      <c r="G937" s="5" t="s">
        <v>16</v>
      </c>
      <c r="H937" s="2"/>
      <c r="I937" s="2"/>
      <c r="J937" s="2"/>
      <c r="K937" s="2" t="s">
        <v>18</v>
      </c>
      <c r="L937" s="2"/>
    </row>
    <row r="938">
      <c r="A938" s="1" t="s">
        <v>1115</v>
      </c>
      <c r="B938" s="1" t="s">
        <v>1115</v>
      </c>
      <c r="C938" s="5" t="s">
        <v>904</v>
      </c>
      <c r="D938" s="5" t="s">
        <v>905</v>
      </c>
      <c r="E938" s="6">
        <v>45834.55416666667</v>
      </c>
      <c r="F938" s="7" t="s">
        <v>906</v>
      </c>
      <c r="G938" s="5" t="s">
        <v>24</v>
      </c>
      <c r="H938" s="2"/>
      <c r="I938" s="2"/>
      <c r="J938" s="2"/>
      <c r="K938" s="2" t="s">
        <v>18</v>
      </c>
      <c r="L938" s="2"/>
    </row>
    <row r="939">
      <c r="A939" s="1" t="s">
        <v>1116</v>
      </c>
      <c r="B939" s="1" t="s">
        <v>1116</v>
      </c>
      <c r="C939" s="5" t="s">
        <v>169</v>
      </c>
      <c r="D939" s="5" t="s">
        <v>170</v>
      </c>
      <c r="E939" s="6">
        <v>45834.56041666667</v>
      </c>
      <c r="F939" s="7" t="s">
        <v>171</v>
      </c>
      <c r="G939" s="5" t="s">
        <v>16</v>
      </c>
      <c r="H939" s="2"/>
      <c r="I939" s="2" t="s">
        <v>17</v>
      </c>
      <c r="J939" s="2"/>
      <c r="K939" s="2" t="s">
        <v>18</v>
      </c>
      <c r="L939" s="2"/>
    </row>
    <row r="940">
      <c r="A940" s="1" t="s">
        <v>1117</v>
      </c>
      <c r="B940" s="1" t="s">
        <v>1117</v>
      </c>
      <c r="C940" s="5" t="s">
        <v>951</v>
      </c>
      <c r="D940" s="5" t="s">
        <v>952</v>
      </c>
      <c r="E940" s="6">
        <v>45836.32152777778</v>
      </c>
      <c r="F940" s="7" t="s">
        <v>953</v>
      </c>
      <c r="G940" s="5" t="s">
        <v>16</v>
      </c>
      <c r="H940" s="2"/>
      <c r="I940" s="2" t="s">
        <v>17</v>
      </c>
      <c r="J940" s="2"/>
      <c r="K940" s="2" t="s">
        <v>18</v>
      </c>
      <c r="L940" s="2"/>
    </row>
    <row r="941">
      <c r="A941" s="1" t="s">
        <v>1118</v>
      </c>
      <c r="B941" s="1" t="s">
        <v>1118</v>
      </c>
      <c r="C941" s="5" t="s">
        <v>20</v>
      </c>
      <c r="D941" s="5" t="s">
        <v>21</v>
      </c>
      <c r="E941" s="6">
        <v>45836.33888888889</v>
      </c>
      <c r="F941" s="7" t="s">
        <v>22</v>
      </c>
      <c r="G941" s="5" t="s">
        <v>16</v>
      </c>
      <c r="H941" s="2"/>
      <c r="I941" s="2" t="s">
        <v>17</v>
      </c>
      <c r="J941" s="2"/>
      <c r="K941" s="2" t="s">
        <v>18</v>
      </c>
      <c r="L941" s="2"/>
    </row>
    <row r="942">
      <c r="A942" s="1" t="s">
        <v>1119</v>
      </c>
      <c r="B942" s="1" t="s">
        <v>1119</v>
      </c>
      <c r="C942" s="5" t="s">
        <v>1084</v>
      </c>
      <c r="D942" s="5" t="s">
        <v>1085</v>
      </c>
      <c r="E942" s="6">
        <v>45838.351388888885</v>
      </c>
      <c r="F942" s="7" t="s">
        <v>1086</v>
      </c>
      <c r="G942" s="5" t="s">
        <v>16</v>
      </c>
      <c r="H942" s="2"/>
      <c r="I942" s="2" t="s">
        <v>17</v>
      </c>
      <c r="J942" s="2"/>
      <c r="K942" s="2" t="s">
        <v>18</v>
      </c>
      <c r="L942" s="2"/>
    </row>
    <row r="943">
      <c r="A943" s="1" t="s">
        <v>1120</v>
      </c>
      <c r="B943" s="1" t="s">
        <v>1120</v>
      </c>
      <c r="C943" s="5" t="s">
        <v>1084</v>
      </c>
      <c r="D943" s="5" t="s">
        <v>1085</v>
      </c>
      <c r="E943" s="6">
        <v>45838.455555555556</v>
      </c>
      <c r="F943" s="7" t="s">
        <v>1086</v>
      </c>
      <c r="G943" s="5" t="s">
        <v>24</v>
      </c>
      <c r="H943" s="2"/>
      <c r="I943" s="2"/>
      <c r="J943" s="2"/>
      <c r="K943" s="2" t="s">
        <v>18</v>
      </c>
      <c r="L943" s="2"/>
    </row>
    <row r="944">
      <c r="A944" s="1" t="s">
        <v>1121</v>
      </c>
      <c r="B944" s="1" t="s">
        <v>1121</v>
      </c>
      <c r="C944" s="5" t="s">
        <v>20</v>
      </c>
      <c r="D944" s="5" t="s">
        <v>21</v>
      </c>
      <c r="E944" s="6">
        <v>45838.455555555556</v>
      </c>
      <c r="F944" s="7" t="s">
        <v>22</v>
      </c>
      <c r="G944" s="5" t="s">
        <v>24</v>
      </c>
      <c r="H944" s="2"/>
      <c r="I944" s="2"/>
      <c r="J944" s="2"/>
      <c r="K944" s="2" t="s">
        <v>18</v>
      </c>
      <c r="L944" s="2"/>
    </row>
    <row r="945">
      <c r="A945" s="1" t="s">
        <v>1122</v>
      </c>
      <c r="B945" s="1" t="s">
        <v>1122</v>
      </c>
      <c r="C945" s="5" t="s">
        <v>951</v>
      </c>
      <c r="D945" s="5" t="s">
        <v>952</v>
      </c>
      <c r="E945" s="6">
        <v>45838.45625</v>
      </c>
      <c r="F945" s="7" t="s">
        <v>953</v>
      </c>
      <c r="G945" s="5" t="s">
        <v>24</v>
      </c>
      <c r="H945" s="2"/>
      <c r="I945" s="2"/>
      <c r="J945" s="2"/>
      <c r="K945" s="2" t="s">
        <v>18</v>
      </c>
      <c r="L945" s="2"/>
    </row>
    <row r="946">
      <c r="A946" s="1" t="s">
        <v>1123</v>
      </c>
      <c r="B946" s="1" t="s">
        <v>1123</v>
      </c>
      <c r="C946" s="5" t="s">
        <v>786</v>
      </c>
      <c r="D946" s="5" t="s">
        <v>787</v>
      </c>
      <c r="E946" s="6">
        <v>45838.461805555555</v>
      </c>
      <c r="F946" s="7" t="s">
        <v>788</v>
      </c>
      <c r="G946" s="5" t="s">
        <v>24</v>
      </c>
      <c r="H946" s="2"/>
      <c r="I946" s="2"/>
      <c r="J946" s="2"/>
      <c r="K946" s="2" t="s">
        <v>18</v>
      </c>
      <c r="L946" s="2"/>
    </row>
    <row r="947">
      <c r="A947" s="1" t="s">
        <v>1124</v>
      </c>
      <c r="B947" s="1" t="s">
        <v>1124</v>
      </c>
      <c r="C947" s="5" t="s">
        <v>305</v>
      </c>
      <c r="D947" s="5" t="s">
        <v>306</v>
      </c>
      <c r="E947" s="6">
        <v>45838.70486111111</v>
      </c>
      <c r="F947" s="7" t="s">
        <v>307</v>
      </c>
      <c r="G947" s="5" t="s">
        <v>24</v>
      </c>
      <c r="H947" s="2"/>
      <c r="I947" s="2"/>
      <c r="J947" s="2"/>
      <c r="K947" s="2" t="s">
        <v>18</v>
      </c>
      <c r="L947" s="2"/>
    </row>
    <row r="948">
      <c r="A948" s="1" t="s">
        <v>1125</v>
      </c>
      <c r="B948" s="1" t="s">
        <v>1125</v>
      </c>
      <c r="C948" s="5" t="s">
        <v>20</v>
      </c>
      <c r="D948" s="5" t="s">
        <v>21</v>
      </c>
      <c r="E948" s="6">
        <v>45839.368055555555</v>
      </c>
      <c r="F948" s="7" t="s">
        <v>22</v>
      </c>
      <c r="G948" s="5" t="s">
        <v>16</v>
      </c>
      <c r="H948" s="2"/>
      <c r="I948" s="2" t="s">
        <v>17</v>
      </c>
      <c r="J948" s="2"/>
      <c r="K948" s="2" t="s">
        <v>18</v>
      </c>
      <c r="L948" s="2"/>
    </row>
    <row r="949">
      <c r="A949" s="1" t="s">
        <v>1126</v>
      </c>
      <c r="B949" s="1" t="s">
        <v>1126</v>
      </c>
      <c r="C949" s="5" t="s">
        <v>679</v>
      </c>
      <c r="D949" s="5" t="s">
        <v>680</v>
      </c>
      <c r="E949" s="6">
        <v>45839.36944444444</v>
      </c>
      <c r="F949" s="7" t="s">
        <v>681</v>
      </c>
      <c r="G949" s="5" t="s">
        <v>16</v>
      </c>
      <c r="H949" s="2"/>
      <c r="I949" s="2" t="s">
        <v>17</v>
      </c>
      <c r="J949" s="2"/>
      <c r="K949" s="2" t="s">
        <v>18</v>
      </c>
      <c r="L949" s="2"/>
    </row>
    <row r="950">
      <c r="A950" s="1" t="s">
        <v>1127</v>
      </c>
      <c r="B950" s="1" t="s">
        <v>1127</v>
      </c>
      <c r="C950" s="5" t="s">
        <v>326</v>
      </c>
      <c r="D950" s="5" t="s">
        <v>327</v>
      </c>
      <c r="E950" s="6">
        <v>45839.40555555555</v>
      </c>
      <c r="F950" s="7" t="s">
        <v>328</v>
      </c>
      <c r="G950" s="5" t="s">
        <v>16</v>
      </c>
      <c r="H950" s="2"/>
      <c r="I950" s="2"/>
      <c r="J950" s="2"/>
      <c r="K950" s="2" t="s">
        <v>18</v>
      </c>
      <c r="L950" s="2"/>
    </row>
    <row r="951">
      <c r="A951" s="1" t="s">
        <v>1128</v>
      </c>
      <c r="B951" s="1" t="s">
        <v>1128</v>
      </c>
      <c r="C951" s="5" t="s">
        <v>20</v>
      </c>
      <c r="D951" s="5" t="s">
        <v>21</v>
      </c>
      <c r="E951" s="6">
        <v>45839.48125</v>
      </c>
      <c r="F951" s="7" t="s">
        <v>22</v>
      </c>
      <c r="G951" s="5" t="s">
        <v>24</v>
      </c>
      <c r="H951" s="2"/>
      <c r="I951" s="2"/>
      <c r="J951" s="2"/>
      <c r="K951" s="2" t="s">
        <v>18</v>
      </c>
      <c r="L951" s="2"/>
    </row>
    <row r="952">
      <c r="A952" s="1" t="s">
        <v>1129</v>
      </c>
      <c r="B952" s="1" t="s">
        <v>1129</v>
      </c>
      <c r="C952" s="5" t="s">
        <v>345</v>
      </c>
      <c r="D952" s="5" t="s">
        <v>346</v>
      </c>
      <c r="E952" s="6">
        <v>45839.61041666666</v>
      </c>
      <c r="F952" s="7" t="s">
        <v>347</v>
      </c>
      <c r="G952" s="5" t="s">
        <v>24</v>
      </c>
      <c r="H952" s="2"/>
      <c r="I952" s="2"/>
      <c r="J952" s="2"/>
      <c r="K952" s="2" t="s">
        <v>18</v>
      </c>
      <c r="L952" s="2"/>
    </row>
    <row r="953">
      <c r="A953" s="1" t="s">
        <v>1130</v>
      </c>
      <c r="B953" s="1" t="s">
        <v>1130</v>
      </c>
      <c r="C953" s="5" t="s">
        <v>326</v>
      </c>
      <c r="D953" s="5" t="s">
        <v>327</v>
      </c>
      <c r="E953" s="6">
        <v>45839.6125</v>
      </c>
      <c r="F953" s="7" t="s">
        <v>328</v>
      </c>
      <c r="G953" s="5" t="s">
        <v>24</v>
      </c>
      <c r="H953" s="2"/>
      <c r="I953" s="2"/>
      <c r="J953" s="2"/>
      <c r="K953" s="2" t="s">
        <v>18</v>
      </c>
      <c r="L953" s="2"/>
    </row>
    <row r="954">
      <c r="A954" s="1" t="s">
        <v>1131</v>
      </c>
      <c r="B954" s="1" t="s">
        <v>1131</v>
      </c>
      <c r="C954" s="5" t="s">
        <v>392</v>
      </c>
      <c r="D954" s="5" t="s">
        <v>393</v>
      </c>
      <c r="E954" s="6">
        <v>45839.84861111111</v>
      </c>
      <c r="F954" s="7" t="s">
        <v>394</v>
      </c>
      <c r="G954" s="5" t="s">
        <v>24</v>
      </c>
      <c r="H954" s="2"/>
      <c r="I954" s="2"/>
      <c r="J954" s="2"/>
      <c r="K954" s="2" t="s">
        <v>18</v>
      </c>
      <c r="L954" s="2"/>
    </row>
    <row r="955">
      <c r="A955" s="1" t="s">
        <v>1132</v>
      </c>
      <c r="B955" s="1" t="s">
        <v>1132</v>
      </c>
      <c r="C955" s="5" t="s">
        <v>392</v>
      </c>
      <c r="D955" s="5" t="s">
        <v>393</v>
      </c>
      <c r="E955" s="6">
        <v>45840.34861111111</v>
      </c>
      <c r="F955" s="7" t="s">
        <v>394</v>
      </c>
      <c r="G955" s="5" t="s">
        <v>16</v>
      </c>
      <c r="H955" s="2"/>
      <c r="I955" s="2" t="s">
        <v>395</v>
      </c>
      <c r="J955" s="2"/>
      <c r="K955" s="2" t="s">
        <v>18</v>
      </c>
      <c r="L955" s="2"/>
    </row>
    <row r="956">
      <c r="A956" s="1" t="s">
        <v>1133</v>
      </c>
      <c r="B956" s="1" t="s">
        <v>1133</v>
      </c>
      <c r="C956" s="5" t="s">
        <v>169</v>
      </c>
      <c r="D956" s="5" t="s">
        <v>170</v>
      </c>
      <c r="E956" s="6">
        <v>45840.51180555555</v>
      </c>
      <c r="F956" s="3" t="s">
        <v>171</v>
      </c>
      <c r="G956" s="5" t="s">
        <v>16</v>
      </c>
      <c r="H956" s="2"/>
      <c r="I956" s="2" t="s">
        <v>17</v>
      </c>
      <c r="J956" s="2"/>
      <c r="K956" s="2" t="s">
        <v>18</v>
      </c>
      <c r="L956" s="2"/>
    </row>
    <row r="957">
      <c r="A957" s="1" t="s">
        <v>1134</v>
      </c>
      <c r="B957" s="1" t="s">
        <v>1134</v>
      </c>
      <c r="C957" s="5" t="s">
        <v>1084</v>
      </c>
      <c r="D957" s="5" t="s">
        <v>1085</v>
      </c>
      <c r="E957" s="6">
        <v>45840.540972222225</v>
      </c>
      <c r="F957" s="7" t="s">
        <v>1086</v>
      </c>
      <c r="G957" s="5" t="s">
        <v>24</v>
      </c>
      <c r="H957" s="2"/>
      <c r="I957" s="2"/>
      <c r="J957" s="2"/>
      <c r="K957" s="2" t="s">
        <v>18</v>
      </c>
      <c r="L957" s="2"/>
    </row>
    <row r="958">
      <c r="A958" s="1" t="s">
        <v>1135</v>
      </c>
      <c r="B958" s="1" t="s">
        <v>1135</v>
      </c>
      <c r="C958" s="5" t="s">
        <v>109</v>
      </c>
      <c r="D958" s="5" t="s">
        <v>110</v>
      </c>
      <c r="E958" s="6">
        <v>45841.34583333333</v>
      </c>
      <c r="F958" s="7" t="s">
        <v>111</v>
      </c>
      <c r="G958" s="5" t="s">
        <v>16</v>
      </c>
      <c r="H958" s="2"/>
      <c r="I958" s="2"/>
      <c r="J958" s="2"/>
      <c r="K958" s="2" t="s">
        <v>18</v>
      </c>
      <c r="L958" s="2"/>
    </row>
    <row r="959">
      <c r="A959" s="1" t="s">
        <v>1136</v>
      </c>
      <c r="B959" s="1" t="s">
        <v>1136</v>
      </c>
      <c r="C959" s="5" t="s">
        <v>169</v>
      </c>
      <c r="D959" s="5" t="s">
        <v>170</v>
      </c>
      <c r="E959" s="6">
        <v>45840.663888888885</v>
      </c>
      <c r="F959" s="3" t="s">
        <v>1137</v>
      </c>
      <c r="G959" s="5" t="s">
        <v>24</v>
      </c>
      <c r="H959" s="2"/>
      <c r="I959" s="2"/>
      <c r="J959" s="2"/>
      <c r="K959" s="2" t="s">
        <v>18</v>
      </c>
      <c r="L959" s="2"/>
    </row>
    <row r="960">
      <c r="A960" s="1" t="s">
        <v>1138</v>
      </c>
      <c r="B960" s="1" t="s">
        <v>1138</v>
      </c>
      <c r="C960" s="5" t="s">
        <v>109</v>
      </c>
      <c r="D960" s="5" t="s">
        <v>110</v>
      </c>
      <c r="E960" s="6">
        <v>45840.66458333333</v>
      </c>
      <c r="F960" s="7" t="s">
        <v>111</v>
      </c>
      <c r="G960" s="5" t="s">
        <v>24</v>
      </c>
      <c r="H960" s="2"/>
      <c r="I960" s="2"/>
      <c r="J960" s="2"/>
      <c r="K960" s="2" t="s">
        <v>18</v>
      </c>
      <c r="L960" s="2"/>
    </row>
    <row r="961">
      <c r="A961" s="1" t="s">
        <v>1139</v>
      </c>
      <c r="B961" s="1" t="s">
        <v>1139</v>
      </c>
      <c r="C961" s="5" t="s">
        <v>685</v>
      </c>
      <c r="D961" s="5" t="s">
        <v>686</v>
      </c>
      <c r="E961" s="6">
        <v>45841.34861111111</v>
      </c>
      <c r="F961" s="7" t="s">
        <v>687</v>
      </c>
      <c r="G961" s="5" t="s">
        <v>16</v>
      </c>
      <c r="H961" s="2"/>
      <c r="I961" s="2" t="s">
        <v>17</v>
      </c>
      <c r="J961" s="2"/>
      <c r="K961" s="2" t="s">
        <v>18</v>
      </c>
      <c r="L961" s="2"/>
    </row>
    <row r="962">
      <c r="A962" s="1" t="s">
        <v>1140</v>
      </c>
      <c r="B962" s="1" t="s">
        <v>1140</v>
      </c>
      <c r="C962" s="5" t="s">
        <v>45</v>
      </c>
      <c r="D962" s="5" t="s">
        <v>46</v>
      </c>
      <c r="E962" s="6">
        <v>45841.41111111111</v>
      </c>
      <c r="F962" s="7" t="s">
        <v>47</v>
      </c>
      <c r="G962" s="5" t="s">
        <v>16</v>
      </c>
      <c r="H962" s="2"/>
      <c r="I962" s="2" t="s">
        <v>17</v>
      </c>
      <c r="J962" s="2"/>
      <c r="K962" s="2" t="s">
        <v>18</v>
      </c>
      <c r="L962" s="2"/>
    </row>
    <row r="963">
      <c r="A963" s="1" t="s">
        <v>1141</v>
      </c>
      <c r="B963" s="1" t="s">
        <v>1141</v>
      </c>
      <c r="C963" s="5" t="s">
        <v>799</v>
      </c>
      <c r="D963" s="5" t="s">
        <v>800</v>
      </c>
      <c r="E963" s="6">
        <v>45841.76111111111</v>
      </c>
      <c r="F963" s="7" t="s">
        <v>801</v>
      </c>
      <c r="G963" s="5" t="s">
        <v>24</v>
      </c>
      <c r="H963" s="2"/>
      <c r="I963" s="2"/>
      <c r="J963" s="2"/>
      <c r="K963" s="2" t="s">
        <v>18</v>
      </c>
      <c r="L963" s="2"/>
    </row>
    <row r="964">
      <c r="A964" s="1" t="s">
        <v>1142</v>
      </c>
      <c r="B964" s="1" t="s">
        <v>1142</v>
      </c>
      <c r="C964" s="5" t="s">
        <v>812</v>
      </c>
      <c r="D964" s="5" t="s">
        <v>813</v>
      </c>
      <c r="E964" s="6">
        <v>45842.55625</v>
      </c>
      <c r="F964" s="7" t="s">
        <v>814</v>
      </c>
      <c r="G964" s="5" t="s">
        <v>24</v>
      </c>
      <c r="H964" s="2"/>
      <c r="I964" s="2"/>
      <c r="J964" s="2"/>
      <c r="K964" s="2" t="s">
        <v>18</v>
      </c>
      <c r="L964" s="2"/>
    </row>
    <row r="965">
      <c r="A965" s="1" t="s">
        <v>1143</v>
      </c>
      <c r="B965" s="1" t="s">
        <v>1143</v>
      </c>
      <c r="C965" s="2" t="s">
        <v>1144</v>
      </c>
      <c r="D965" s="5" t="s">
        <v>1145</v>
      </c>
      <c r="E965" s="6">
        <v>45843.39097222222</v>
      </c>
      <c r="F965" s="7" t="e">
        <v>#N/A</v>
      </c>
      <c r="G965" s="5" t="s">
        <v>16</v>
      </c>
      <c r="H965" s="2"/>
      <c r="I965" s="2"/>
      <c r="J965" s="2"/>
      <c r="K965" s="2" t="s">
        <v>18</v>
      </c>
      <c r="L965" s="2"/>
    </row>
    <row r="966">
      <c r="A966" s="1" t="s">
        <v>1146</v>
      </c>
      <c r="B966" s="1" t="s">
        <v>1146</v>
      </c>
      <c r="C966" s="2" t="s">
        <v>1144</v>
      </c>
      <c r="D966" s="5" t="s">
        <v>1145</v>
      </c>
      <c r="E966" s="6">
        <v>45843.47430555556</v>
      </c>
      <c r="F966" s="7" t="e">
        <v>#N/A</v>
      </c>
      <c r="G966" s="5" t="s">
        <v>24</v>
      </c>
      <c r="H966" s="2"/>
      <c r="I966" s="2"/>
      <c r="J966" s="2"/>
      <c r="K966" s="2" t="s">
        <v>18</v>
      </c>
      <c r="L966" s="2"/>
    </row>
    <row r="967">
      <c r="A967" s="1" t="s">
        <v>1147</v>
      </c>
      <c r="B967" s="1" t="s">
        <v>1147</v>
      </c>
      <c r="C967" s="5" t="s">
        <v>213</v>
      </c>
      <c r="D967" s="5" t="s">
        <v>214</v>
      </c>
      <c r="E967" s="6">
        <v>45843.475</v>
      </c>
      <c r="F967" s="7" t="s">
        <v>215</v>
      </c>
      <c r="G967" s="5" t="s">
        <v>24</v>
      </c>
      <c r="H967" s="2"/>
      <c r="I967" s="2"/>
      <c r="J967" s="2"/>
      <c r="K967" s="2" t="s">
        <v>18</v>
      </c>
      <c r="L967" s="2"/>
    </row>
    <row r="968">
      <c r="A968" s="1" t="s">
        <v>1148</v>
      </c>
      <c r="B968" s="1" t="s">
        <v>1148</v>
      </c>
      <c r="C968" s="5" t="s">
        <v>934</v>
      </c>
      <c r="D968" s="5" t="s">
        <v>935</v>
      </c>
      <c r="E968" s="6">
        <v>45843.475694444445</v>
      </c>
      <c r="F968" s="7" t="s">
        <v>936</v>
      </c>
      <c r="G968" s="5" t="s">
        <v>24</v>
      </c>
      <c r="H968" s="2"/>
      <c r="I968" s="2"/>
      <c r="J968" s="2"/>
      <c r="K968" s="2" t="s">
        <v>18</v>
      </c>
      <c r="L968" s="2"/>
    </row>
    <row r="969">
      <c r="A969" s="1" t="s">
        <v>1149</v>
      </c>
      <c r="B969" s="1" t="s">
        <v>1149</v>
      </c>
      <c r="C969" s="5" t="s">
        <v>441</v>
      </c>
      <c r="D969" s="5" t="s">
        <v>442</v>
      </c>
      <c r="E969" s="6">
        <v>45843.475694444445</v>
      </c>
      <c r="F969" s="7" t="s">
        <v>443</v>
      </c>
      <c r="G969" s="5" t="s">
        <v>24</v>
      </c>
      <c r="H969" s="2"/>
      <c r="I969" s="2"/>
      <c r="J969" s="2"/>
      <c r="K969" s="2" t="s">
        <v>18</v>
      </c>
      <c r="L969" s="2"/>
    </row>
    <row r="970">
      <c r="A970" s="1" t="s">
        <v>1150</v>
      </c>
      <c r="B970" s="1" t="s">
        <v>1150</v>
      </c>
      <c r="C970" s="5" t="s">
        <v>75</v>
      </c>
      <c r="D970" s="5" t="s">
        <v>76</v>
      </c>
      <c r="E970" s="6">
        <v>45843.51597222222</v>
      </c>
      <c r="F970" s="7" t="s">
        <v>77</v>
      </c>
      <c r="G970" s="5" t="s">
        <v>24</v>
      </c>
      <c r="H970" s="2"/>
      <c r="I970" s="2"/>
      <c r="J970" s="2"/>
      <c r="K970" s="2" t="s">
        <v>18</v>
      </c>
      <c r="L970" s="2"/>
    </row>
    <row r="971">
      <c r="A971" s="1" t="s">
        <v>1151</v>
      </c>
      <c r="B971" s="1" t="s">
        <v>1151</v>
      </c>
      <c r="C971" s="5" t="s">
        <v>326</v>
      </c>
      <c r="D971" s="5" t="s">
        <v>327</v>
      </c>
      <c r="E971" s="6">
        <v>45843.51666666666</v>
      </c>
      <c r="F971" s="7" t="s">
        <v>328</v>
      </c>
      <c r="G971" s="5" t="s">
        <v>24</v>
      </c>
      <c r="H971" s="2"/>
      <c r="I971" s="2"/>
      <c r="J971" s="2"/>
      <c r="K971" s="2" t="s">
        <v>18</v>
      </c>
      <c r="L971" s="2"/>
    </row>
    <row r="972">
      <c r="A972" s="1" t="s">
        <v>1152</v>
      </c>
      <c r="B972" s="1" t="s">
        <v>1152</v>
      </c>
      <c r="C972" s="5" t="s">
        <v>679</v>
      </c>
      <c r="D972" s="5" t="s">
        <v>680</v>
      </c>
      <c r="E972" s="6">
        <v>45843.52847222222</v>
      </c>
      <c r="F972" s="7" t="s">
        <v>681</v>
      </c>
      <c r="G972" s="5" t="s">
        <v>16</v>
      </c>
      <c r="H972" s="2"/>
      <c r="I972" s="2" t="s">
        <v>17</v>
      </c>
      <c r="J972" s="2"/>
      <c r="K972" s="2" t="s">
        <v>18</v>
      </c>
      <c r="L972" s="2"/>
    </row>
    <row r="973">
      <c r="A973" s="1" t="s">
        <v>1153</v>
      </c>
      <c r="B973" s="1" t="s">
        <v>1153</v>
      </c>
      <c r="C973" s="5" t="s">
        <v>679</v>
      </c>
      <c r="D973" s="5" t="s">
        <v>680</v>
      </c>
      <c r="E973" s="6">
        <v>45843.586111111115</v>
      </c>
      <c r="F973" s="7" t="s">
        <v>681</v>
      </c>
      <c r="G973" s="5" t="s">
        <v>24</v>
      </c>
      <c r="H973" s="2"/>
      <c r="I973" s="2"/>
      <c r="J973" s="2"/>
      <c r="K973" s="2" t="s">
        <v>18</v>
      </c>
      <c r="L973" s="2"/>
    </row>
    <row r="974">
      <c r="A974" s="1" t="s">
        <v>1154</v>
      </c>
      <c r="B974" s="1" t="s">
        <v>1154</v>
      </c>
      <c r="C974" s="5" t="s">
        <v>326</v>
      </c>
      <c r="D974" s="5" t="s">
        <v>327</v>
      </c>
      <c r="E974" s="6">
        <v>45845.35902777778</v>
      </c>
      <c r="F974" s="7" t="s">
        <v>328</v>
      </c>
      <c r="G974" s="5" t="s">
        <v>16</v>
      </c>
      <c r="H974" s="2"/>
      <c r="I974" s="2"/>
      <c r="J974" s="2"/>
      <c r="K974" s="2" t="s">
        <v>18</v>
      </c>
      <c r="L974" s="2"/>
    </row>
    <row r="975">
      <c r="A975" s="1" t="s">
        <v>1155</v>
      </c>
      <c r="B975" s="1" t="s">
        <v>1155</v>
      </c>
      <c r="C975" s="5" t="s">
        <v>55</v>
      </c>
      <c r="D975" s="5" t="s">
        <v>56</v>
      </c>
      <c r="E975" s="6">
        <v>45845.37638888889</v>
      </c>
      <c r="F975" s="7" t="s">
        <v>57</v>
      </c>
      <c r="G975" s="5" t="s">
        <v>16</v>
      </c>
      <c r="H975" s="2"/>
      <c r="I975" s="2" t="s">
        <v>17</v>
      </c>
      <c r="J975" s="2"/>
      <c r="K975" s="2" t="s">
        <v>18</v>
      </c>
      <c r="L975" s="2"/>
    </row>
    <row r="976">
      <c r="A976" s="1" t="s">
        <v>1156</v>
      </c>
      <c r="B976" s="1" t="s">
        <v>1156</v>
      </c>
      <c r="C976" s="5" t="s">
        <v>169</v>
      </c>
      <c r="D976" s="5" t="s">
        <v>170</v>
      </c>
      <c r="E976" s="6">
        <v>45845.37708333333</v>
      </c>
      <c r="F976" s="3" t="s">
        <v>171</v>
      </c>
      <c r="G976" s="5" t="s">
        <v>16</v>
      </c>
      <c r="H976" s="2"/>
      <c r="I976" s="2" t="s">
        <v>17</v>
      </c>
      <c r="J976" s="2"/>
      <c r="K976" s="2" t="s">
        <v>18</v>
      </c>
      <c r="L976" s="2"/>
    </row>
    <row r="977">
      <c r="A977" s="1" t="s">
        <v>1157</v>
      </c>
      <c r="B977" s="1" t="s">
        <v>1157</v>
      </c>
      <c r="C977" s="5" t="s">
        <v>55</v>
      </c>
      <c r="D977" s="5" t="s">
        <v>56</v>
      </c>
      <c r="E977" s="6">
        <v>45845.566666666666</v>
      </c>
      <c r="F977" s="7" t="s">
        <v>57</v>
      </c>
      <c r="G977" s="5" t="s">
        <v>24</v>
      </c>
      <c r="H977" s="2"/>
      <c r="I977" s="2"/>
      <c r="J977" s="2"/>
      <c r="K977" s="2" t="s">
        <v>18</v>
      </c>
      <c r="L977" s="2"/>
    </row>
    <row r="978">
      <c r="A978" s="1" t="s">
        <v>1158</v>
      </c>
      <c r="B978" s="1" t="s">
        <v>1158</v>
      </c>
      <c r="C978" s="5" t="s">
        <v>169</v>
      </c>
      <c r="D978" s="5" t="s">
        <v>170</v>
      </c>
      <c r="E978" s="6">
        <v>45845.56736111111</v>
      </c>
      <c r="F978" s="3" t="s">
        <v>1137</v>
      </c>
      <c r="G978" s="5" t="s">
        <v>24</v>
      </c>
      <c r="H978" s="2"/>
      <c r="I978" s="2"/>
      <c r="J978" s="2"/>
      <c r="K978" s="2" t="s">
        <v>18</v>
      </c>
      <c r="L978" s="2"/>
    </row>
    <row r="979">
      <c r="A979" s="1" t="s">
        <v>1159</v>
      </c>
      <c r="B979" s="1" t="s">
        <v>1159</v>
      </c>
      <c r="C979" s="5" t="s">
        <v>326</v>
      </c>
      <c r="D979" s="5" t="s">
        <v>327</v>
      </c>
      <c r="E979" s="6">
        <v>45845.56805555556</v>
      </c>
      <c r="F979" s="7" t="s">
        <v>328</v>
      </c>
      <c r="G979" s="5" t="s">
        <v>24</v>
      </c>
      <c r="H979" s="2"/>
      <c r="I979" s="2"/>
      <c r="J979" s="2"/>
      <c r="K979" s="2" t="s">
        <v>18</v>
      </c>
      <c r="L979" s="2"/>
    </row>
    <row r="980">
      <c r="A980" s="1" t="s">
        <v>1160</v>
      </c>
      <c r="B980" s="1" t="s">
        <v>1160</v>
      </c>
      <c r="C980" s="5" t="s">
        <v>1084</v>
      </c>
      <c r="D980" s="5" t="s">
        <v>1085</v>
      </c>
      <c r="E980" s="6">
        <v>45846.393055555556</v>
      </c>
      <c r="F980" s="7" t="s">
        <v>1086</v>
      </c>
      <c r="G980" s="5" t="s">
        <v>16</v>
      </c>
      <c r="H980" s="2"/>
      <c r="I980" s="2" t="s">
        <v>17</v>
      </c>
      <c r="J980" s="2"/>
      <c r="K980" s="2" t="s">
        <v>18</v>
      </c>
      <c r="L980" s="2"/>
    </row>
    <row r="981">
      <c r="A981" s="1" t="s">
        <v>1161</v>
      </c>
      <c r="B981" s="1" t="s">
        <v>1161</v>
      </c>
      <c r="C981" s="2" t="s">
        <v>1144</v>
      </c>
      <c r="D981" s="5" t="s">
        <v>1145</v>
      </c>
      <c r="E981" s="6">
        <v>45846.39375</v>
      </c>
      <c r="F981" s="7" t="e">
        <v>#N/A</v>
      </c>
      <c r="G981" s="5" t="s">
        <v>16</v>
      </c>
      <c r="H981" s="2"/>
      <c r="I981" s="2"/>
      <c r="J981" s="2"/>
      <c r="K981" s="2" t="s">
        <v>18</v>
      </c>
      <c r="L981" s="2"/>
    </row>
    <row r="982">
      <c r="A982" s="1" t="s">
        <v>1162</v>
      </c>
      <c r="B982" s="1" t="s">
        <v>1162</v>
      </c>
      <c r="C982" s="5" t="s">
        <v>1084</v>
      </c>
      <c r="D982" s="5" t="s">
        <v>1085</v>
      </c>
      <c r="E982" s="6">
        <v>45846.455555555556</v>
      </c>
      <c r="F982" s="7" t="s">
        <v>1086</v>
      </c>
      <c r="G982" s="5" t="s">
        <v>24</v>
      </c>
      <c r="H982" s="2"/>
      <c r="I982" s="2"/>
      <c r="J982" s="2"/>
      <c r="K982" s="2" t="s">
        <v>18</v>
      </c>
      <c r="L982" s="2"/>
    </row>
    <row r="983">
      <c r="A983" s="1" t="s">
        <v>1163</v>
      </c>
      <c r="B983" s="1" t="s">
        <v>1163</v>
      </c>
      <c r="C983" s="5" t="s">
        <v>49</v>
      </c>
      <c r="D983" s="5" t="s">
        <v>50</v>
      </c>
      <c r="E983" s="6">
        <v>45846.45625</v>
      </c>
      <c r="F983" s="7" t="s">
        <v>51</v>
      </c>
      <c r="G983" s="5" t="s">
        <v>24</v>
      </c>
      <c r="H983" s="2"/>
      <c r="I983" s="2"/>
      <c r="J983" s="2"/>
      <c r="K983" s="2" t="s">
        <v>18</v>
      </c>
      <c r="L983" s="2"/>
    </row>
    <row r="984">
      <c r="A984" s="1" t="s">
        <v>1164</v>
      </c>
      <c r="B984" s="1" t="s">
        <v>1164</v>
      </c>
      <c r="C984" s="5" t="s">
        <v>45</v>
      </c>
      <c r="D984" s="5" t="s">
        <v>46</v>
      </c>
      <c r="E984" s="6">
        <v>45846.527083333334</v>
      </c>
      <c r="F984" s="7" t="s">
        <v>47</v>
      </c>
      <c r="G984" s="5" t="s">
        <v>16</v>
      </c>
      <c r="H984" s="2"/>
      <c r="I984" s="2" t="s">
        <v>17</v>
      </c>
      <c r="J984" s="2"/>
      <c r="K984" s="2" t="s">
        <v>18</v>
      </c>
      <c r="L984" s="2"/>
    </row>
    <row r="985">
      <c r="A985" s="1" t="s">
        <v>1165</v>
      </c>
      <c r="B985" s="1" t="s">
        <v>1165</v>
      </c>
      <c r="C985" s="5" t="s">
        <v>45</v>
      </c>
      <c r="D985" s="5" t="s">
        <v>46</v>
      </c>
      <c r="E985" s="6">
        <v>45846.586805555555</v>
      </c>
      <c r="F985" s="7" t="s">
        <v>47</v>
      </c>
      <c r="G985" s="5" t="s">
        <v>24</v>
      </c>
      <c r="H985" s="2"/>
      <c r="I985" s="2"/>
      <c r="J985" s="2"/>
      <c r="K985" s="2" t="s">
        <v>18</v>
      </c>
      <c r="L985" s="2"/>
    </row>
    <row r="986">
      <c r="A986" s="1" t="s">
        <v>1166</v>
      </c>
      <c r="B986" s="1" t="s">
        <v>1166</v>
      </c>
      <c r="C986" s="5" t="s">
        <v>951</v>
      </c>
      <c r="D986" s="5" t="s">
        <v>952</v>
      </c>
      <c r="E986" s="6">
        <v>45847.37430555555</v>
      </c>
      <c r="F986" s="7" t="s">
        <v>953</v>
      </c>
      <c r="G986" s="5" t="s">
        <v>16</v>
      </c>
      <c r="H986" s="2"/>
      <c r="I986" s="2" t="s">
        <v>17</v>
      </c>
      <c r="J986" s="2"/>
      <c r="K986" s="2" t="s">
        <v>18</v>
      </c>
      <c r="L986" s="2"/>
    </row>
    <row r="987">
      <c r="A987" s="1" t="s">
        <v>1167</v>
      </c>
      <c r="B987" s="1" t="s">
        <v>1167</v>
      </c>
      <c r="C987" s="5" t="s">
        <v>464</v>
      </c>
      <c r="D987" s="5" t="s">
        <v>465</v>
      </c>
      <c r="E987" s="6">
        <v>45847.72916666667</v>
      </c>
      <c r="F987" s="7" t="s">
        <v>466</v>
      </c>
      <c r="G987" s="5" t="s">
        <v>24</v>
      </c>
      <c r="H987" s="2"/>
      <c r="I987" s="2"/>
      <c r="J987" s="2"/>
      <c r="K987" s="2" t="s">
        <v>18</v>
      </c>
      <c r="L987" s="2"/>
    </row>
    <row r="988">
      <c r="A988" s="1" t="s">
        <v>1168</v>
      </c>
      <c r="B988" s="1" t="s">
        <v>1168</v>
      </c>
      <c r="C988" s="5" t="s">
        <v>957</v>
      </c>
      <c r="D988" s="5" t="s">
        <v>958</v>
      </c>
      <c r="E988" s="6">
        <v>45847.72986111111</v>
      </c>
      <c r="F988" s="7" t="s">
        <v>959</v>
      </c>
      <c r="G988" s="5" t="s">
        <v>24</v>
      </c>
      <c r="H988" s="2"/>
      <c r="I988" s="2"/>
      <c r="J988" s="2"/>
      <c r="K988" s="2" t="s">
        <v>18</v>
      </c>
      <c r="L988" s="2"/>
    </row>
    <row r="989">
      <c r="A989" s="1" t="s">
        <v>1169</v>
      </c>
      <c r="B989" s="1" t="s">
        <v>1169</v>
      </c>
      <c r="C989" s="5" t="s">
        <v>951</v>
      </c>
      <c r="D989" s="5" t="s">
        <v>952</v>
      </c>
      <c r="E989" s="6">
        <v>45847.72986111111</v>
      </c>
      <c r="F989" s="7" t="s">
        <v>953</v>
      </c>
      <c r="G989" s="5" t="s">
        <v>24</v>
      </c>
      <c r="H989" s="2"/>
      <c r="I989" s="2"/>
      <c r="J989" s="2"/>
      <c r="K989" s="2" t="s">
        <v>18</v>
      </c>
      <c r="L989" s="2"/>
    </row>
    <row r="990">
      <c r="A990" s="1" t="s">
        <v>1170</v>
      </c>
      <c r="B990" s="1" t="s">
        <v>1170</v>
      </c>
      <c r="C990" s="5" t="s">
        <v>434</v>
      </c>
      <c r="D990" s="5" t="s">
        <v>875</v>
      </c>
      <c r="E990" s="6">
        <v>45847.73055555555</v>
      </c>
      <c r="F990" s="7" t="e">
        <v>#N/A</v>
      </c>
      <c r="G990" s="5" t="s">
        <v>24</v>
      </c>
      <c r="H990" s="2"/>
      <c r="I990" s="2"/>
      <c r="J990" s="2"/>
      <c r="K990" s="2" t="s">
        <v>18</v>
      </c>
      <c r="L990" s="2"/>
    </row>
    <row r="991">
      <c r="A991" s="1" t="s">
        <v>1171</v>
      </c>
      <c r="B991" s="1" t="s">
        <v>1171</v>
      </c>
      <c r="C991" s="5" t="s">
        <v>1018</v>
      </c>
      <c r="D991" s="5" t="s">
        <v>1019</v>
      </c>
      <c r="E991" s="6">
        <v>45849.419444444444</v>
      </c>
      <c r="F991" s="7" t="s">
        <v>1020</v>
      </c>
      <c r="G991" s="5" t="s">
        <v>16</v>
      </c>
      <c r="H991" s="2"/>
      <c r="I991" s="2"/>
      <c r="J991" s="2"/>
      <c r="K991" s="2" t="s">
        <v>18</v>
      </c>
      <c r="L991" s="2"/>
    </row>
    <row r="992">
      <c r="A992" s="1" t="s">
        <v>1172</v>
      </c>
      <c r="B992" s="1" t="s">
        <v>1172</v>
      </c>
      <c r="C992" s="5" t="s">
        <v>1018</v>
      </c>
      <c r="D992" s="5" t="s">
        <v>1019</v>
      </c>
      <c r="E992" s="6">
        <v>45849.48888888889</v>
      </c>
      <c r="F992" s="7" t="s">
        <v>1020</v>
      </c>
      <c r="G992" s="5" t="s">
        <v>24</v>
      </c>
      <c r="H992" s="2"/>
      <c r="I992" s="2"/>
      <c r="J992" s="2"/>
      <c r="K992" s="2" t="s">
        <v>18</v>
      </c>
      <c r="L992" s="2"/>
    </row>
    <row r="993">
      <c r="A993" s="1" t="s">
        <v>1173</v>
      </c>
      <c r="B993" s="1" t="s">
        <v>1173</v>
      </c>
      <c r="C993" s="5" t="s">
        <v>305</v>
      </c>
      <c r="D993" s="5" t="s">
        <v>306</v>
      </c>
      <c r="E993" s="6">
        <v>45849.57361111111</v>
      </c>
      <c r="F993" s="7" t="s">
        <v>307</v>
      </c>
      <c r="G993" s="5" t="s">
        <v>24</v>
      </c>
      <c r="H993" s="2"/>
      <c r="I993" s="2"/>
      <c r="J993" s="2"/>
      <c r="K993" s="2" t="s">
        <v>18</v>
      </c>
      <c r="L993" s="2"/>
    </row>
    <row r="994">
      <c r="A994" s="1" t="s">
        <v>1174</v>
      </c>
      <c r="B994" s="1" t="s">
        <v>1174</v>
      </c>
      <c r="C994" s="5" t="s">
        <v>326</v>
      </c>
      <c r="D994" s="5" t="s">
        <v>327</v>
      </c>
      <c r="E994" s="6">
        <v>45849.57361111111</v>
      </c>
      <c r="F994" s="7" t="s">
        <v>328</v>
      </c>
      <c r="G994" s="5" t="s">
        <v>24</v>
      </c>
      <c r="H994" s="2"/>
      <c r="I994" s="2"/>
      <c r="J994" s="2"/>
      <c r="K994" s="2" t="s">
        <v>18</v>
      </c>
      <c r="L994" s="2"/>
    </row>
    <row r="995">
      <c r="A995" s="1" t="s">
        <v>1175</v>
      </c>
      <c r="B995" s="1" t="s">
        <v>1175</v>
      </c>
      <c r="C995" s="5" t="s">
        <v>213</v>
      </c>
      <c r="D995" s="5" t="s">
        <v>214</v>
      </c>
      <c r="E995" s="6">
        <v>45849.57430555555</v>
      </c>
      <c r="F995" s="7" t="s">
        <v>215</v>
      </c>
      <c r="G995" s="5" t="s">
        <v>24</v>
      </c>
      <c r="H995" s="2"/>
      <c r="I995" s="2"/>
      <c r="J995" s="2"/>
      <c r="K995" s="2" t="s">
        <v>18</v>
      </c>
      <c r="L995" s="2"/>
    </row>
    <row r="996">
      <c r="A996" s="1" t="s">
        <v>1176</v>
      </c>
      <c r="B996" s="1" t="s">
        <v>1176</v>
      </c>
      <c r="C996" s="2" t="s">
        <v>1009</v>
      </c>
      <c r="D996" s="5" t="s">
        <v>1010</v>
      </c>
      <c r="E996" s="6">
        <v>45850.45833333333</v>
      </c>
      <c r="F996" s="7" t="e">
        <v>#N/A</v>
      </c>
      <c r="G996" s="5" t="s">
        <v>16</v>
      </c>
      <c r="H996" s="2"/>
      <c r="I996" s="2"/>
      <c r="J996" s="2"/>
      <c r="K996" s="2" t="s">
        <v>18</v>
      </c>
      <c r="L996" s="2"/>
    </row>
    <row r="997">
      <c r="A997" s="1" t="s">
        <v>1177</v>
      </c>
      <c r="B997" s="1" t="s">
        <v>1177</v>
      </c>
      <c r="C997" s="2" t="s">
        <v>1178</v>
      </c>
      <c r="D997" s="5" t="s">
        <v>1010</v>
      </c>
      <c r="E997" s="6">
        <v>45850.461805555555</v>
      </c>
      <c r="F997" s="7" t="e">
        <v>#N/A</v>
      </c>
      <c r="G997" s="5" t="s">
        <v>24</v>
      </c>
      <c r="H997" s="2"/>
      <c r="I997" s="2"/>
      <c r="J997" s="2"/>
      <c r="K997" s="2" t="s">
        <v>18</v>
      </c>
      <c r="L997" s="2"/>
    </row>
    <row r="998">
      <c r="A998" s="1" t="s">
        <v>1179</v>
      </c>
      <c r="B998" s="1" t="s">
        <v>1179</v>
      </c>
      <c r="C998" s="5" t="s">
        <v>951</v>
      </c>
      <c r="D998" s="5" t="s">
        <v>952</v>
      </c>
      <c r="E998" s="6">
        <v>45852.39444444445</v>
      </c>
      <c r="F998" s="7" t="s">
        <v>953</v>
      </c>
      <c r="G998" s="5" t="s">
        <v>16</v>
      </c>
      <c r="H998" s="2"/>
      <c r="I998" s="2" t="s">
        <v>17</v>
      </c>
      <c r="J998" s="2"/>
      <c r="K998" s="2" t="s">
        <v>18</v>
      </c>
      <c r="L998" s="2"/>
    </row>
    <row r="999">
      <c r="A999" s="1" t="s">
        <v>1180</v>
      </c>
      <c r="B999" s="1" t="s">
        <v>1180</v>
      </c>
      <c r="C999" s="5" t="s">
        <v>934</v>
      </c>
      <c r="D999" s="5" t="s">
        <v>935</v>
      </c>
      <c r="E999" s="6">
        <v>45852.49166666667</v>
      </c>
      <c r="F999" s="7" t="s">
        <v>936</v>
      </c>
      <c r="G999" s="5" t="s">
        <v>16</v>
      </c>
      <c r="H999" s="2"/>
      <c r="I999" s="2"/>
      <c r="J999" s="2"/>
      <c r="K999" s="2" t="s">
        <v>18</v>
      </c>
      <c r="L999" s="2"/>
    </row>
    <row r="1000">
      <c r="A1000" s="1" t="s">
        <v>1181</v>
      </c>
      <c r="B1000" s="1" t="s">
        <v>1181</v>
      </c>
      <c r="C1000" s="5" t="s">
        <v>169</v>
      </c>
      <c r="D1000" s="5" t="s">
        <v>170</v>
      </c>
      <c r="E1000" s="6">
        <v>45852.643055555556</v>
      </c>
      <c r="F1000" s="3" t="s">
        <v>171</v>
      </c>
      <c r="G1000" s="5" t="s">
        <v>16</v>
      </c>
      <c r="H1000" s="2"/>
      <c r="I1000" s="2" t="s">
        <v>17</v>
      </c>
      <c r="J1000" s="2"/>
      <c r="K1000" s="2" t="s">
        <v>18</v>
      </c>
      <c r="L1000" s="2"/>
    </row>
    <row r="1001">
      <c r="A1001" s="1" t="s">
        <v>1182</v>
      </c>
      <c r="B1001" s="1" t="s">
        <v>1182</v>
      </c>
      <c r="C1001" s="5" t="s">
        <v>1183</v>
      </c>
      <c r="D1001" s="5" t="s">
        <v>1184</v>
      </c>
      <c r="E1001" s="6">
        <v>45853.50208333333</v>
      </c>
      <c r="F1001" s="7" t="s">
        <v>1185</v>
      </c>
      <c r="G1001" s="5" t="s">
        <v>16</v>
      </c>
      <c r="H1001" s="2"/>
      <c r="I1001" s="2" t="s">
        <v>17</v>
      </c>
      <c r="J1001" s="2"/>
      <c r="K1001" s="2" t="s">
        <v>18</v>
      </c>
      <c r="L1001" s="2"/>
    </row>
    <row r="1002">
      <c r="A1002" s="1" t="s">
        <v>1186</v>
      </c>
      <c r="B1002" s="1" t="s">
        <v>1186</v>
      </c>
      <c r="C1002" s="5" t="s">
        <v>49</v>
      </c>
      <c r="D1002" s="5" t="s">
        <v>50</v>
      </c>
      <c r="E1002" s="6">
        <v>45853.50208333333</v>
      </c>
      <c r="F1002" s="7" t="s">
        <v>51</v>
      </c>
      <c r="G1002" s="5" t="s">
        <v>16</v>
      </c>
      <c r="H1002" s="2"/>
      <c r="I1002" s="2"/>
      <c r="J1002" s="2"/>
      <c r="K1002" s="2" t="s">
        <v>18</v>
      </c>
      <c r="L1002" s="2"/>
    </row>
    <row r="1003">
      <c r="A1003" s="1" t="s">
        <v>1187</v>
      </c>
      <c r="B1003" s="1" t="s">
        <v>1187</v>
      </c>
      <c r="C1003" s="5" t="s">
        <v>326</v>
      </c>
      <c r="D1003" s="5" t="s">
        <v>327</v>
      </c>
      <c r="E1003" s="6">
        <v>45853.52013888889</v>
      </c>
      <c r="F1003" s="7" t="s">
        <v>328</v>
      </c>
      <c r="G1003" s="5" t="s">
        <v>16</v>
      </c>
      <c r="H1003" s="2"/>
      <c r="I1003" s="2"/>
      <c r="J1003" s="2"/>
      <c r="K1003" s="2" t="s">
        <v>18</v>
      </c>
      <c r="L1003" s="2"/>
    </row>
    <row r="1004">
      <c r="A1004" s="1" t="s">
        <v>1188</v>
      </c>
      <c r="B1004" s="1" t="s">
        <v>1188</v>
      </c>
      <c r="C1004" s="5" t="s">
        <v>326</v>
      </c>
      <c r="D1004" s="5" t="s">
        <v>327</v>
      </c>
      <c r="E1004" s="6">
        <v>45854.45138888889</v>
      </c>
      <c r="F1004" s="7" t="s">
        <v>328</v>
      </c>
      <c r="G1004" s="5" t="s">
        <v>24</v>
      </c>
      <c r="H1004" s="2"/>
      <c r="I1004" s="2"/>
      <c r="J1004" s="2"/>
      <c r="K1004" s="2" t="s">
        <v>18</v>
      </c>
      <c r="L1004" s="2"/>
    </row>
    <row r="1005">
      <c r="A1005" s="1" t="s">
        <v>1189</v>
      </c>
      <c r="B1005" s="1" t="s">
        <v>1189</v>
      </c>
      <c r="C1005" s="5" t="s">
        <v>49</v>
      </c>
      <c r="D1005" s="5" t="s">
        <v>50</v>
      </c>
      <c r="E1005" s="6">
        <v>45854.45208333334</v>
      </c>
      <c r="F1005" s="7" t="s">
        <v>51</v>
      </c>
      <c r="G1005" s="5" t="s">
        <v>24</v>
      </c>
      <c r="H1005" s="2"/>
      <c r="I1005" s="2"/>
      <c r="J1005" s="2"/>
      <c r="K1005" s="2" t="s">
        <v>18</v>
      </c>
      <c r="L1005" s="2"/>
    </row>
    <row r="1006">
      <c r="A1006" s="1" t="s">
        <v>1190</v>
      </c>
      <c r="B1006" s="1" t="s">
        <v>1190</v>
      </c>
      <c r="C1006" s="5" t="s">
        <v>169</v>
      </c>
      <c r="D1006" s="5" t="s">
        <v>170</v>
      </c>
      <c r="E1006" s="6">
        <v>45854.45277777778</v>
      </c>
      <c r="F1006" s="3" t="s">
        <v>1137</v>
      </c>
      <c r="G1006" s="5" t="s">
        <v>24</v>
      </c>
      <c r="H1006" s="2"/>
      <c r="I1006" s="2"/>
      <c r="J1006" s="2"/>
      <c r="K1006" s="2" t="s">
        <v>18</v>
      </c>
      <c r="L1006" s="2"/>
    </row>
    <row r="1007">
      <c r="A1007" s="1" t="s">
        <v>1191</v>
      </c>
      <c r="B1007" s="1" t="s">
        <v>1191</v>
      </c>
      <c r="C1007" s="5" t="s">
        <v>951</v>
      </c>
      <c r="D1007" s="5" t="s">
        <v>952</v>
      </c>
      <c r="E1007" s="6">
        <v>45854.45972222222</v>
      </c>
      <c r="F1007" s="7" t="s">
        <v>953</v>
      </c>
      <c r="G1007" s="5" t="s">
        <v>24</v>
      </c>
      <c r="H1007" s="2"/>
      <c r="I1007" s="2"/>
      <c r="J1007" s="2"/>
      <c r="K1007" s="2" t="s">
        <v>18</v>
      </c>
      <c r="L1007" s="2"/>
    </row>
    <row r="1008">
      <c r="A1008" s="1" t="s">
        <v>1192</v>
      </c>
      <c r="B1008" s="1" t="s">
        <v>1192</v>
      </c>
      <c r="C1008" s="5" t="s">
        <v>305</v>
      </c>
      <c r="D1008" s="5" t="s">
        <v>306</v>
      </c>
      <c r="E1008" s="6">
        <v>45854.49513888889</v>
      </c>
      <c r="F1008" s="7" t="s">
        <v>307</v>
      </c>
      <c r="G1008" s="5" t="s">
        <v>24</v>
      </c>
      <c r="H1008" s="2"/>
      <c r="I1008" s="2"/>
      <c r="J1008" s="2"/>
      <c r="K1008" s="2" t="s">
        <v>18</v>
      </c>
      <c r="L1008" s="2"/>
    </row>
    <row r="1009">
      <c r="A1009" s="1" t="s">
        <v>1193</v>
      </c>
      <c r="B1009" s="1" t="s">
        <v>1193</v>
      </c>
      <c r="C1009" s="2" t="s">
        <v>1144</v>
      </c>
      <c r="D1009" s="5" t="s">
        <v>1145</v>
      </c>
      <c r="E1009" s="6">
        <v>45854.49513888889</v>
      </c>
      <c r="F1009" s="7" t="e">
        <v>#N/A</v>
      </c>
      <c r="G1009" s="5" t="s">
        <v>24</v>
      </c>
      <c r="H1009" s="2"/>
      <c r="I1009" s="2"/>
      <c r="J1009" s="2"/>
      <c r="K1009" s="2" t="s">
        <v>18</v>
      </c>
      <c r="L1009" s="2"/>
    </row>
    <row r="1010">
      <c r="A1010" s="1" t="s">
        <v>1194</v>
      </c>
      <c r="B1010" s="1" t="s">
        <v>1194</v>
      </c>
      <c r="C1010" s="5" t="s">
        <v>45</v>
      </c>
      <c r="D1010" s="5" t="s">
        <v>46</v>
      </c>
      <c r="E1010" s="6">
        <v>45855.43611111111</v>
      </c>
      <c r="F1010" s="7" t="s">
        <v>47</v>
      </c>
      <c r="G1010" s="5" t="s">
        <v>24</v>
      </c>
      <c r="H1010" s="2"/>
      <c r="I1010" s="2"/>
      <c r="J1010" s="2"/>
      <c r="K1010" s="2" t="s">
        <v>18</v>
      </c>
      <c r="L1010" s="2"/>
    </row>
    <row r="1011">
      <c r="A1011" s="1" t="s">
        <v>1195</v>
      </c>
      <c r="B1011" s="1" t="s">
        <v>1195</v>
      </c>
      <c r="C1011" s="5" t="s">
        <v>1084</v>
      </c>
      <c r="D1011" s="5" t="s">
        <v>1085</v>
      </c>
      <c r="E1011" s="6">
        <v>45855.46666666667</v>
      </c>
      <c r="F1011" s="7" t="s">
        <v>1086</v>
      </c>
      <c r="G1011" s="5" t="s">
        <v>24</v>
      </c>
      <c r="H1011" s="2"/>
      <c r="I1011" s="2"/>
      <c r="J1011" s="2"/>
      <c r="K1011" s="2" t="s">
        <v>18</v>
      </c>
      <c r="L1011" s="2"/>
    </row>
    <row r="1012">
      <c r="A1012" s="1" t="s">
        <v>1196</v>
      </c>
      <c r="B1012" s="1" t="s">
        <v>1196</v>
      </c>
      <c r="C1012" s="5" t="s">
        <v>213</v>
      </c>
      <c r="D1012" s="5" t="s">
        <v>214</v>
      </c>
      <c r="E1012" s="6">
        <v>45856.45833333333</v>
      </c>
      <c r="F1012" s="7" t="s">
        <v>215</v>
      </c>
      <c r="G1012" s="5" t="s">
        <v>16</v>
      </c>
      <c r="H1012" s="2"/>
      <c r="I1012" s="2" t="s">
        <v>17</v>
      </c>
      <c r="J1012" s="2"/>
      <c r="K1012" s="2" t="s">
        <v>18</v>
      </c>
      <c r="L1012" s="2"/>
    </row>
    <row r="1013">
      <c r="A1013" s="1" t="s">
        <v>1197</v>
      </c>
      <c r="B1013" s="1" t="s">
        <v>1197</v>
      </c>
      <c r="C1013" s="5" t="s">
        <v>109</v>
      </c>
      <c r="D1013" s="5" t="s">
        <v>110</v>
      </c>
      <c r="E1013" s="6">
        <v>45856.4625</v>
      </c>
      <c r="F1013" s="7" t="s">
        <v>111</v>
      </c>
      <c r="G1013" s="5" t="s">
        <v>24</v>
      </c>
      <c r="H1013" s="2"/>
      <c r="I1013" s="2"/>
      <c r="J1013" s="2"/>
      <c r="K1013" s="2" t="s">
        <v>18</v>
      </c>
      <c r="L1013" s="2"/>
    </row>
    <row r="1014">
      <c r="A1014" s="1" t="s">
        <v>1198</v>
      </c>
      <c r="B1014" s="1" t="s">
        <v>1198</v>
      </c>
      <c r="C1014" s="5" t="s">
        <v>934</v>
      </c>
      <c r="D1014" s="5" t="s">
        <v>935</v>
      </c>
      <c r="E1014" s="6">
        <v>45856.46319444444</v>
      </c>
      <c r="F1014" s="7" t="s">
        <v>936</v>
      </c>
      <c r="G1014" s="5" t="s">
        <v>24</v>
      </c>
      <c r="H1014" s="2"/>
      <c r="I1014" s="2"/>
      <c r="J1014" s="2"/>
      <c r="K1014" s="2" t="s">
        <v>18</v>
      </c>
      <c r="L1014" s="2"/>
    </row>
    <row r="1015">
      <c r="A1015" s="1" t="s">
        <v>1199</v>
      </c>
      <c r="B1015" s="1" t="s">
        <v>1199</v>
      </c>
      <c r="C1015" s="5" t="s">
        <v>213</v>
      </c>
      <c r="D1015" s="5" t="s">
        <v>214</v>
      </c>
      <c r="E1015" s="6">
        <v>45856.669444444444</v>
      </c>
      <c r="F1015" s="7" t="s">
        <v>215</v>
      </c>
      <c r="G1015" s="5" t="s">
        <v>24</v>
      </c>
      <c r="H1015" s="2"/>
      <c r="I1015" s="2"/>
      <c r="J1015" s="2"/>
      <c r="K1015" s="2" t="s">
        <v>18</v>
      </c>
      <c r="L1015" s="2"/>
    </row>
    <row r="1016">
      <c r="A1016" s="1" t="s">
        <v>1200</v>
      </c>
      <c r="B1016" s="1" t="s">
        <v>1200</v>
      </c>
      <c r="C1016" s="5" t="s">
        <v>786</v>
      </c>
      <c r="D1016" s="5" t="s">
        <v>787</v>
      </c>
      <c r="E1016" s="6">
        <v>45859.39375</v>
      </c>
      <c r="F1016" s="7" t="s">
        <v>788</v>
      </c>
      <c r="G1016" s="5" t="s">
        <v>16</v>
      </c>
      <c r="H1016" s="2"/>
      <c r="I1016" s="2"/>
      <c r="J1016" s="2"/>
      <c r="K1016" s="2" t="s">
        <v>18</v>
      </c>
      <c r="L1016" s="2"/>
    </row>
    <row r="1017">
      <c r="A1017" s="1" t="s">
        <v>1201</v>
      </c>
      <c r="B1017" s="1" t="s">
        <v>1201</v>
      </c>
      <c r="C1017" s="5" t="s">
        <v>169</v>
      </c>
      <c r="D1017" s="5" t="s">
        <v>170</v>
      </c>
      <c r="E1017" s="6">
        <v>45859.39444444445</v>
      </c>
      <c r="F1017" s="3" t="s">
        <v>171</v>
      </c>
      <c r="G1017" s="5" t="s">
        <v>16</v>
      </c>
      <c r="H1017" s="2"/>
      <c r="I1017" s="2" t="s">
        <v>17</v>
      </c>
      <c r="J1017" s="2"/>
      <c r="K1017" s="2" t="s">
        <v>18</v>
      </c>
      <c r="L1017" s="2"/>
    </row>
    <row r="1018">
      <c r="A1018" s="1" t="s">
        <v>1202</v>
      </c>
      <c r="B1018" s="1" t="s">
        <v>1202</v>
      </c>
      <c r="C1018" s="5" t="s">
        <v>1203</v>
      </c>
      <c r="D1018" s="5" t="s">
        <v>1204</v>
      </c>
      <c r="E1018" s="6">
        <v>45859.39722222222</v>
      </c>
      <c r="F1018" s="7" t="s">
        <v>1205</v>
      </c>
      <c r="G1018" s="5" t="s">
        <v>16</v>
      </c>
      <c r="H1018" s="2"/>
      <c r="I1018" s="2" t="s">
        <v>17</v>
      </c>
      <c r="J1018" s="2"/>
      <c r="K1018" s="2" t="s">
        <v>18</v>
      </c>
      <c r="L1018" s="2"/>
    </row>
    <row r="1019">
      <c r="A1019" s="1" t="s">
        <v>1206</v>
      </c>
      <c r="B1019" s="1" t="s">
        <v>1206</v>
      </c>
      <c r="C1019" s="5" t="s">
        <v>885</v>
      </c>
      <c r="D1019" s="5" t="s">
        <v>886</v>
      </c>
      <c r="E1019" s="6">
        <v>45859.47361111111</v>
      </c>
      <c r="F1019" s="7" t="s">
        <v>887</v>
      </c>
      <c r="G1019" s="5" t="s">
        <v>16</v>
      </c>
      <c r="H1019" s="2"/>
      <c r="I1019" s="2" t="s">
        <v>17</v>
      </c>
      <c r="J1019" s="2"/>
      <c r="K1019" s="2" t="s">
        <v>18</v>
      </c>
      <c r="L1019" s="2"/>
    </row>
    <row r="1020">
      <c r="A1020" s="1" t="s">
        <v>1207</v>
      </c>
      <c r="B1020" s="1" t="s">
        <v>1207</v>
      </c>
      <c r="C1020" s="5" t="s">
        <v>309</v>
      </c>
      <c r="D1020" s="5" t="s">
        <v>310</v>
      </c>
      <c r="E1020" s="6">
        <v>45859.47777777778</v>
      </c>
      <c r="F1020" s="7" t="s">
        <v>311</v>
      </c>
      <c r="G1020" s="5" t="s">
        <v>24</v>
      </c>
      <c r="H1020" s="2"/>
      <c r="I1020" s="2"/>
      <c r="J1020" s="2"/>
      <c r="K1020" s="2" t="s">
        <v>18</v>
      </c>
      <c r="L1020" s="2"/>
    </row>
    <row r="1021">
      <c r="A1021" s="1" t="s">
        <v>1208</v>
      </c>
      <c r="B1021" s="1" t="s">
        <v>1208</v>
      </c>
      <c r="C1021" s="5" t="s">
        <v>786</v>
      </c>
      <c r="D1021" s="5" t="s">
        <v>787</v>
      </c>
      <c r="E1021" s="6">
        <v>45859.478472222225</v>
      </c>
      <c r="F1021" s="7" t="s">
        <v>788</v>
      </c>
      <c r="G1021" s="5" t="s">
        <v>24</v>
      </c>
      <c r="H1021" s="2"/>
      <c r="I1021" s="2"/>
      <c r="J1021" s="2"/>
      <c r="K1021" s="2" t="s">
        <v>18</v>
      </c>
      <c r="L1021" s="2"/>
    </row>
    <row r="1022">
      <c r="A1022" s="1" t="s">
        <v>1209</v>
      </c>
      <c r="B1022" s="1" t="s">
        <v>1209</v>
      </c>
      <c r="C1022" s="5" t="s">
        <v>885</v>
      </c>
      <c r="D1022" s="5" t="s">
        <v>886</v>
      </c>
      <c r="E1022" s="6">
        <v>45859.492361111115</v>
      </c>
      <c r="F1022" s="7" t="s">
        <v>887</v>
      </c>
      <c r="G1022" s="5" t="s">
        <v>24</v>
      </c>
      <c r="H1022" s="2"/>
      <c r="I1022" s="2"/>
      <c r="J1022" s="2"/>
      <c r="K1022" s="2" t="s">
        <v>18</v>
      </c>
      <c r="L1022" s="2"/>
    </row>
    <row r="1023">
      <c r="A1023" s="1" t="s">
        <v>1210</v>
      </c>
      <c r="B1023" s="1" t="s">
        <v>1210</v>
      </c>
      <c r="C1023" s="5" t="s">
        <v>169</v>
      </c>
      <c r="D1023" s="5" t="s">
        <v>170</v>
      </c>
      <c r="E1023" s="6">
        <v>45859.535416666666</v>
      </c>
      <c r="F1023" s="3" t="s">
        <v>1137</v>
      </c>
      <c r="G1023" s="5" t="s">
        <v>24</v>
      </c>
      <c r="H1023" s="2"/>
      <c r="I1023" s="2"/>
      <c r="J1023" s="2"/>
      <c r="K1023" s="2" t="s">
        <v>18</v>
      </c>
      <c r="L1023" s="2"/>
    </row>
    <row r="1024">
      <c r="A1024" s="1" t="s">
        <v>1211</v>
      </c>
      <c r="B1024" s="1" t="s">
        <v>1211</v>
      </c>
      <c r="C1024" s="5" t="s">
        <v>1203</v>
      </c>
      <c r="D1024" s="5" t="s">
        <v>1204</v>
      </c>
      <c r="E1024" s="6">
        <v>45859.54027777778</v>
      </c>
      <c r="F1024" s="7" t="s">
        <v>1205</v>
      </c>
      <c r="G1024" s="5" t="s">
        <v>24</v>
      </c>
      <c r="H1024" s="2"/>
      <c r="I1024" s="2"/>
      <c r="J1024" s="2"/>
      <c r="K1024" s="2" t="s">
        <v>18</v>
      </c>
      <c r="L1024" s="2"/>
    </row>
    <row r="1025">
      <c r="A1025" s="1" t="s">
        <v>1212</v>
      </c>
      <c r="B1025" s="1" t="s">
        <v>1212</v>
      </c>
      <c r="C1025" s="5" t="s">
        <v>309</v>
      </c>
      <c r="D1025" s="5" t="s">
        <v>310</v>
      </c>
      <c r="E1025" s="6">
        <v>45860.339583333334</v>
      </c>
      <c r="F1025" s="7" t="s">
        <v>311</v>
      </c>
      <c r="G1025" s="5" t="s">
        <v>16</v>
      </c>
      <c r="H1025" s="2"/>
      <c r="I1025" s="2"/>
      <c r="J1025" s="2"/>
      <c r="K1025" s="2" t="s">
        <v>18</v>
      </c>
      <c r="L1025" s="2"/>
    </row>
    <row r="1026">
      <c r="A1026" s="1" t="s">
        <v>1213</v>
      </c>
      <c r="B1026" s="1" t="s">
        <v>1213</v>
      </c>
      <c r="C1026" s="5" t="s">
        <v>685</v>
      </c>
      <c r="D1026" s="5" t="s">
        <v>686</v>
      </c>
      <c r="E1026" s="6">
        <v>45859.691666666666</v>
      </c>
      <c r="F1026" s="7" t="s">
        <v>687</v>
      </c>
      <c r="G1026" s="5" t="s">
        <v>16</v>
      </c>
      <c r="H1026" s="2"/>
      <c r="I1026" s="2" t="s">
        <v>17</v>
      </c>
      <c r="J1026" s="2"/>
      <c r="K1026" s="2" t="s">
        <v>18</v>
      </c>
      <c r="L1026" s="2"/>
    </row>
    <row r="1027">
      <c r="A1027" s="1" t="s">
        <v>1214</v>
      </c>
      <c r="B1027" s="1" t="s">
        <v>1214</v>
      </c>
      <c r="C1027" s="5" t="s">
        <v>943</v>
      </c>
      <c r="D1027" s="5" t="s">
        <v>944</v>
      </c>
      <c r="E1027" s="6">
        <v>45860.351388888885</v>
      </c>
      <c r="F1027" s="7" t="s">
        <v>945</v>
      </c>
      <c r="G1027" s="5" t="s">
        <v>16</v>
      </c>
      <c r="H1027" s="2"/>
      <c r="I1027" s="2"/>
      <c r="J1027" s="2"/>
      <c r="K1027" s="2" t="s">
        <v>18</v>
      </c>
      <c r="L1027" s="2"/>
    </row>
    <row r="1028">
      <c r="A1028" s="1" t="s">
        <v>1215</v>
      </c>
      <c r="B1028" s="1" t="s">
        <v>1215</v>
      </c>
      <c r="C1028" s="5" t="s">
        <v>1084</v>
      </c>
      <c r="D1028" s="5" t="s">
        <v>1085</v>
      </c>
      <c r="E1028" s="6">
        <v>45860.35416666667</v>
      </c>
      <c r="F1028" s="7" t="s">
        <v>1086</v>
      </c>
      <c r="G1028" s="5" t="s">
        <v>16</v>
      </c>
      <c r="H1028" s="2"/>
      <c r="I1028" s="2" t="s">
        <v>17</v>
      </c>
      <c r="J1028" s="2"/>
      <c r="K1028" s="2" t="s">
        <v>18</v>
      </c>
      <c r="L1028" s="2"/>
    </row>
    <row r="1029">
      <c r="A1029" s="1" t="s">
        <v>1216</v>
      </c>
      <c r="B1029" s="1" t="s">
        <v>1216</v>
      </c>
      <c r="C1029" s="5" t="s">
        <v>951</v>
      </c>
      <c r="D1029" s="5" t="s">
        <v>952</v>
      </c>
      <c r="E1029" s="6">
        <v>45860.413194444445</v>
      </c>
      <c r="F1029" s="7" t="s">
        <v>953</v>
      </c>
      <c r="G1029" s="5" t="s">
        <v>16</v>
      </c>
      <c r="H1029" s="2"/>
      <c r="I1029" s="2" t="s">
        <v>17</v>
      </c>
      <c r="J1029" s="2"/>
      <c r="K1029" s="2" t="s">
        <v>18</v>
      </c>
      <c r="L1029" s="2"/>
    </row>
    <row r="1030">
      <c r="A1030" s="1" t="s">
        <v>1217</v>
      </c>
      <c r="B1030" s="1" t="s">
        <v>1217</v>
      </c>
      <c r="C1030" s="5" t="s">
        <v>679</v>
      </c>
      <c r="D1030" s="5" t="s">
        <v>680</v>
      </c>
      <c r="E1030" s="6">
        <v>45860.53958333333</v>
      </c>
      <c r="F1030" s="7" t="s">
        <v>681</v>
      </c>
      <c r="G1030" s="5" t="s">
        <v>16</v>
      </c>
      <c r="H1030" s="2"/>
      <c r="I1030" s="2" t="s">
        <v>17</v>
      </c>
      <c r="J1030" s="2"/>
      <c r="K1030" s="2" t="s">
        <v>18</v>
      </c>
      <c r="L1030" s="2"/>
    </row>
    <row r="1031">
      <c r="A1031" s="1" t="s">
        <v>1218</v>
      </c>
      <c r="B1031" s="1" t="s">
        <v>1218</v>
      </c>
      <c r="C1031" s="5" t="s">
        <v>45</v>
      </c>
      <c r="D1031" s="5" t="s">
        <v>46</v>
      </c>
      <c r="E1031" s="6">
        <v>45861.33263888889</v>
      </c>
      <c r="F1031" s="7" t="s">
        <v>47</v>
      </c>
      <c r="G1031" s="5" t="s">
        <v>16</v>
      </c>
      <c r="H1031" s="2"/>
      <c r="I1031" s="2" t="s">
        <v>17</v>
      </c>
      <c r="J1031" s="2"/>
      <c r="K1031" s="2" t="s">
        <v>18</v>
      </c>
      <c r="L1031" s="2"/>
    </row>
    <row r="1032">
      <c r="A1032" s="1" t="s">
        <v>1219</v>
      </c>
      <c r="B1032" s="1" t="s">
        <v>1219</v>
      </c>
      <c r="C1032" s="5" t="s">
        <v>1084</v>
      </c>
      <c r="D1032" s="5" t="s">
        <v>1085</v>
      </c>
      <c r="E1032" s="6">
        <v>45860.71666666667</v>
      </c>
      <c r="F1032" s="7" t="s">
        <v>1086</v>
      </c>
      <c r="G1032" s="5" t="s">
        <v>24</v>
      </c>
      <c r="H1032" s="2"/>
      <c r="I1032" s="2"/>
      <c r="J1032" s="2"/>
      <c r="K1032" s="2" t="s">
        <v>18</v>
      </c>
      <c r="L1032" s="2"/>
    </row>
    <row r="1033">
      <c r="A1033" s="1" t="s">
        <v>1220</v>
      </c>
      <c r="B1033" s="1" t="s">
        <v>1220</v>
      </c>
      <c r="C1033" s="5" t="s">
        <v>213</v>
      </c>
      <c r="D1033" s="5" t="s">
        <v>214</v>
      </c>
      <c r="E1033" s="6">
        <v>45860.71666666667</v>
      </c>
      <c r="F1033" s="7" t="s">
        <v>215</v>
      </c>
      <c r="G1033" s="5" t="s">
        <v>24</v>
      </c>
      <c r="H1033" s="2"/>
      <c r="I1033" s="2"/>
      <c r="J1033" s="2"/>
      <c r="K1033" s="2" t="s">
        <v>18</v>
      </c>
      <c r="L1033" s="2"/>
    </row>
    <row r="1034">
      <c r="A1034" s="1" t="s">
        <v>1221</v>
      </c>
      <c r="B1034" s="1" t="s">
        <v>1221</v>
      </c>
      <c r="C1034" s="5" t="s">
        <v>951</v>
      </c>
      <c r="D1034" s="5" t="s">
        <v>952</v>
      </c>
      <c r="E1034" s="6">
        <v>45860.71736111111</v>
      </c>
      <c r="F1034" s="7" t="s">
        <v>953</v>
      </c>
      <c r="G1034" s="5" t="s">
        <v>24</v>
      </c>
      <c r="H1034" s="2"/>
      <c r="I1034" s="2"/>
      <c r="J1034" s="2"/>
      <c r="K1034" s="2" t="s">
        <v>18</v>
      </c>
      <c r="L1034" s="2"/>
    </row>
    <row r="1035">
      <c r="A1035" s="1" t="s">
        <v>1222</v>
      </c>
      <c r="B1035" s="1" t="s">
        <v>1222</v>
      </c>
      <c r="C1035" s="5" t="s">
        <v>943</v>
      </c>
      <c r="D1035" s="5" t="s">
        <v>944</v>
      </c>
      <c r="E1035" s="6">
        <v>45860.71805555555</v>
      </c>
      <c r="F1035" s="7" t="s">
        <v>945</v>
      </c>
      <c r="G1035" s="5" t="s">
        <v>24</v>
      </c>
      <c r="H1035" s="2"/>
      <c r="I1035" s="2"/>
      <c r="J1035" s="2"/>
      <c r="K1035" s="2" t="s">
        <v>18</v>
      </c>
      <c r="L1035" s="2"/>
    </row>
    <row r="1036">
      <c r="A1036" s="1" t="s">
        <v>1223</v>
      </c>
      <c r="B1036" s="1" t="s">
        <v>1223</v>
      </c>
      <c r="C1036" s="5" t="s">
        <v>943</v>
      </c>
      <c r="D1036" s="5" t="s">
        <v>944</v>
      </c>
      <c r="E1036" s="6">
        <v>45861.50833333333</v>
      </c>
      <c r="F1036" s="7" t="s">
        <v>945</v>
      </c>
      <c r="G1036" s="5" t="s">
        <v>159</v>
      </c>
      <c r="H1036" s="2"/>
      <c r="I1036" s="2"/>
      <c r="J1036" s="2"/>
      <c r="K1036" s="2" t="s">
        <v>18</v>
      </c>
      <c r="L1036" s="2"/>
    </row>
    <row r="1037">
      <c r="A1037" s="1" t="s">
        <v>1224</v>
      </c>
      <c r="B1037" s="1" t="s">
        <v>1224</v>
      </c>
      <c r="C1037" s="5" t="s">
        <v>943</v>
      </c>
      <c r="D1037" s="5" t="s">
        <v>944</v>
      </c>
      <c r="E1037" s="6">
        <v>45861.51041666667</v>
      </c>
      <c r="F1037" s="7" t="s">
        <v>945</v>
      </c>
      <c r="G1037" s="5" t="s">
        <v>24</v>
      </c>
      <c r="H1037" s="2"/>
      <c r="I1037" s="2"/>
      <c r="J1037" s="2"/>
      <c r="K1037" s="2" t="s">
        <v>18</v>
      </c>
      <c r="L1037" s="2"/>
    </row>
    <row r="1038">
      <c r="A1038" s="1" t="s">
        <v>1225</v>
      </c>
      <c r="B1038" s="1" t="s">
        <v>1225</v>
      </c>
      <c r="C1038" s="5" t="s">
        <v>679</v>
      </c>
      <c r="D1038" s="5" t="s">
        <v>680</v>
      </c>
      <c r="E1038" s="6">
        <v>45861.53472222222</v>
      </c>
      <c r="F1038" s="7" t="s">
        <v>681</v>
      </c>
      <c r="G1038" s="5" t="s">
        <v>24</v>
      </c>
      <c r="H1038" s="2"/>
      <c r="I1038" s="2"/>
      <c r="J1038" s="2"/>
      <c r="K1038" s="2" t="s">
        <v>18</v>
      </c>
      <c r="L1038" s="2"/>
    </row>
    <row r="1039">
      <c r="A1039" s="1" t="s">
        <v>1226</v>
      </c>
      <c r="B1039" s="1" t="s">
        <v>1226</v>
      </c>
      <c r="C1039" s="5" t="s">
        <v>685</v>
      </c>
      <c r="D1039" s="5" t="s">
        <v>686</v>
      </c>
      <c r="E1039" s="6">
        <v>45861.56458333333</v>
      </c>
      <c r="F1039" s="7" t="s">
        <v>687</v>
      </c>
      <c r="G1039" s="5" t="s">
        <v>24</v>
      </c>
      <c r="H1039" s="2"/>
      <c r="I1039" s="2"/>
      <c r="J1039" s="2"/>
      <c r="K1039" s="2" t="s">
        <v>18</v>
      </c>
      <c r="L1039" s="2"/>
    </row>
    <row r="1040">
      <c r="A1040" s="1" t="s">
        <v>1227</v>
      </c>
      <c r="B1040" s="1" t="s">
        <v>1227</v>
      </c>
      <c r="C1040" s="5" t="s">
        <v>1228</v>
      </c>
      <c r="D1040" s="5" t="s">
        <v>1229</v>
      </c>
      <c r="E1040" s="6">
        <v>45861.58472222222</v>
      </c>
      <c r="F1040" s="7" t="s">
        <v>1230</v>
      </c>
      <c r="G1040" s="5" t="s">
        <v>16</v>
      </c>
      <c r="H1040" s="2"/>
      <c r="I1040" s="2" t="s">
        <v>17</v>
      </c>
      <c r="J1040" s="2"/>
      <c r="K1040" s="2" t="s">
        <v>18</v>
      </c>
      <c r="L1040" s="2"/>
    </row>
    <row r="1041">
      <c r="A1041" s="1" t="s">
        <v>1231</v>
      </c>
      <c r="B1041" s="1" t="s">
        <v>1231</v>
      </c>
      <c r="C1041" s="5" t="s">
        <v>45</v>
      </c>
      <c r="D1041" s="5" t="s">
        <v>46</v>
      </c>
      <c r="E1041" s="6">
        <v>45861.77986111111</v>
      </c>
      <c r="F1041" s="7" t="s">
        <v>47</v>
      </c>
      <c r="G1041" s="5" t="s">
        <v>24</v>
      </c>
      <c r="H1041" s="2"/>
      <c r="I1041" s="2"/>
      <c r="J1041" s="2"/>
      <c r="K1041" s="2" t="s">
        <v>18</v>
      </c>
      <c r="L1041" s="2"/>
    </row>
    <row r="1042">
      <c r="A1042" s="1" t="s">
        <v>1232</v>
      </c>
      <c r="B1042" s="1" t="s">
        <v>1232</v>
      </c>
      <c r="C1042" s="5" t="s">
        <v>1228</v>
      </c>
      <c r="D1042" s="5" t="s">
        <v>1229</v>
      </c>
      <c r="E1042" s="6">
        <v>45861.78055555555</v>
      </c>
      <c r="F1042" s="7" t="s">
        <v>1230</v>
      </c>
      <c r="G1042" s="5" t="s">
        <v>24</v>
      </c>
      <c r="H1042" s="2"/>
      <c r="I1042" s="2"/>
      <c r="J1042" s="2"/>
      <c r="K1042" s="2" t="s">
        <v>18</v>
      </c>
      <c r="L1042" s="2"/>
    </row>
    <row r="1043">
      <c r="A1043" s="1" t="s">
        <v>1233</v>
      </c>
      <c r="B1043" s="1" t="s">
        <v>1233</v>
      </c>
      <c r="C1043" s="5" t="s">
        <v>1084</v>
      </c>
      <c r="D1043" s="5" t="s">
        <v>1085</v>
      </c>
      <c r="E1043" s="6">
        <v>45862.43194444444</v>
      </c>
      <c r="F1043" s="7" t="s">
        <v>1086</v>
      </c>
      <c r="G1043" s="5" t="s">
        <v>16</v>
      </c>
      <c r="H1043" s="2"/>
      <c r="I1043" s="2" t="s">
        <v>17</v>
      </c>
      <c r="J1043" s="2"/>
      <c r="K1043" s="2" t="s">
        <v>18</v>
      </c>
      <c r="L1043" s="2"/>
    </row>
    <row r="1044">
      <c r="A1044" s="1" t="s">
        <v>1234</v>
      </c>
      <c r="B1044" s="1" t="s">
        <v>1234</v>
      </c>
      <c r="C1044" s="5" t="s">
        <v>1084</v>
      </c>
      <c r="D1044" s="5" t="s">
        <v>1085</v>
      </c>
      <c r="E1044" s="6">
        <v>45862.509722222225</v>
      </c>
      <c r="F1044" s="7" t="s">
        <v>1086</v>
      </c>
      <c r="G1044" s="5" t="s">
        <v>24</v>
      </c>
      <c r="H1044" s="2"/>
      <c r="I1044" s="2"/>
      <c r="J1044" s="2"/>
      <c r="K1044" s="2" t="s">
        <v>18</v>
      </c>
      <c r="L1044" s="2"/>
    </row>
    <row r="1045">
      <c r="A1045" s="1" t="s">
        <v>1235</v>
      </c>
      <c r="B1045" s="1" t="s">
        <v>1235</v>
      </c>
      <c r="C1045" s="5" t="s">
        <v>326</v>
      </c>
      <c r="D1045" s="5" t="s">
        <v>327</v>
      </c>
      <c r="E1045" s="6">
        <v>45862.51111111111</v>
      </c>
      <c r="F1045" s="7" t="s">
        <v>328</v>
      </c>
      <c r="G1045" s="5" t="s">
        <v>24</v>
      </c>
      <c r="H1045" s="2"/>
      <c r="I1045" s="2"/>
      <c r="J1045" s="2"/>
      <c r="K1045" s="2" t="s">
        <v>18</v>
      </c>
      <c r="L1045" s="2"/>
    </row>
    <row r="1046">
      <c r="A1046" s="1" t="s">
        <v>1236</v>
      </c>
      <c r="B1046" s="1" t="s">
        <v>1236</v>
      </c>
      <c r="C1046" s="5" t="s">
        <v>1237</v>
      </c>
      <c r="D1046" s="5" t="s">
        <v>1238</v>
      </c>
      <c r="E1046" s="6">
        <v>45863.399305555555</v>
      </c>
      <c r="F1046" s="7" t="s">
        <v>1239</v>
      </c>
      <c r="G1046" s="5" t="s">
        <v>16</v>
      </c>
      <c r="H1046" s="2"/>
      <c r="I1046" s="2" t="s">
        <v>17</v>
      </c>
      <c r="J1046" s="2"/>
      <c r="K1046" s="2" t="s">
        <v>18</v>
      </c>
      <c r="L1046" s="2"/>
    </row>
    <row r="1047">
      <c r="A1047" s="1" t="s">
        <v>1240</v>
      </c>
      <c r="B1047" s="1" t="s">
        <v>1240</v>
      </c>
      <c r="C1047" s="5" t="s">
        <v>326</v>
      </c>
      <c r="D1047" s="5" t="s">
        <v>327</v>
      </c>
      <c r="E1047" s="6">
        <v>45863.433333333334</v>
      </c>
      <c r="F1047" s="7" t="s">
        <v>328</v>
      </c>
      <c r="G1047" s="5" t="s">
        <v>16</v>
      </c>
      <c r="H1047" s="2"/>
      <c r="I1047" s="2"/>
      <c r="J1047" s="2"/>
      <c r="K1047" s="2" t="s">
        <v>18</v>
      </c>
      <c r="L1047" s="2"/>
    </row>
    <row r="1048">
      <c r="A1048" s="1" t="s">
        <v>1241</v>
      </c>
      <c r="B1048" s="1" t="s">
        <v>1241</v>
      </c>
      <c r="C1048" s="5" t="s">
        <v>1084</v>
      </c>
      <c r="D1048" s="5" t="s">
        <v>1085</v>
      </c>
      <c r="E1048" s="6">
        <v>45863.46041666667</v>
      </c>
      <c r="F1048" s="7" t="s">
        <v>1086</v>
      </c>
      <c r="G1048" s="5" t="s">
        <v>24</v>
      </c>
      <c r="H1048" s="2"/>
      <c r="I1048" s="2"/>
      <c r="J1048" s="2"/>
      <c r="K1048" s="2" t="s">
        <v>18</v>
      </c>
      <c r="L1048" s="2"/>
    </row>
    <row r="1049">
      <c r="A1049" s="1" t="s">
        <v>1242</v>
      </c>
      <c r="B1049" s="1" t="s">
        <v>1242</v>
      </c>
      <c r="C1049" s="5" t="s">
        <v>943</v>
      </c>
      <c r="D1049" s="5" t="s">
        <v>944</v>
      </c>
      <c r="E1049" s="6">
        <v>45866.4625</v>
      </c>
      <c r="F1049" s="7" t="s">
        <v>945</v>
      </c>
      <c r="G1049" s="5" t="s">
        <v>16</v>
      </c>
      <c r="H1049" s="2"/>
      <c r="I1049" s="2"/>
      <c r="J1049" s="2"/>
      <c r="K1049" s="2" t="s">
        <v>18</v>
      </c>
      <c r="L1049" s="2"/>
    </row>
    <row r="1050">
      <c r="A1050" s="1" t="s">
        <v>1243</v>
      </c>
      <c r="B1050" s="1" t="s">
        <v>1243</v>
      </c>
      <c r="C1050" s="5" t="s">
        <v>109</v>
      </c>
      <c r="D1050" s="5" t="s">
        <v>110</v>
      </c>
      <c r="E1050" s="6">
        <v>45863.67708333333</v>
      </c>
      <c r="F1050" s="7" t="s">
        <v>111</v>
      </c>
      <c r="G1050" s="5" t="s">
        <v>24</v>
      </c>
      <c r="H1050" s="2"/>
      <c r="I1050" s="2"/>
      <c r="J1050" s="2"/>
      <c r="K1050" s="2" t="s">
        <v>18</v>
      </c>
      <c r="L1050" s="2"/>
    </row>
    <row r="1051">
      <c r="A1051" s="1" t="s">
        <v>1244</v>
      </c>
      <c r="B1051" s="1" t="s">
        <v>1244</v>
      </c>
      <c r="C1051" s="5" t="s">
        <v>49</v>
      </c>
      <c r="D1051" s="5" t="s">
        <v>50</v>
      </c>
      <c r="E1051" s="6">
        <v>45863.67847222222</v>
      </c>
      <c r="F1051" s="7" t="s">
        <v>51</v>
      </c>
      <c r="G1051" s="5" t="s">
        <v>24</v>
      </c>
      <c r="H1051" s="2"/>
      <c r="I1051" s="2"/>
      <c r="J1051" s="2"/>
      <c r="K1051" s="2" t="s">
        <v>18</v>
      </c>
      <c r="L1051" s="2"/>
    </row>
    <row r="1052">
      <c r="A1052" s="1" t="s">
        <v>1245</v>
      </c>
      <c r="B1052" s="1" t="s">
        <v>1245</v>
      </c>
      <c r="C1052" s="5" t="s">
        <v>326</v>
      </c>
      <c r="D1052" s="5" t="s">
        <v>327</v>
      </c>
      <c r="E1052" s="6">
        <v>45863.67916666667</v>
      </c>
      <c r="F1052" s="7" t="s">
        <v>328</v>
      </c>
      <c r="G1052" s="5" t="s">
        <v>24</v>
      </c>
      <c r="H1052" s="2"/>
      <c r="I1052" s="2"/>
      <c r="J1052" s="2"/>
      <c r="K1052" s="2" t="s">
        <v>18</v>
      </c>
      <c r="L1052" s="2"/>
    </row>
    <row r="1053">
      <c r="A1053" s="1" t="s">
        <v>1246</v>
      </c>
      <c r="B1053" s="1" t="s">
        <v>1246</v>
      </c>
      <c r="C1053" s="5" t="s">
        <v>169</v>
      </c>
      <c r="D1053" s="5" t="s">
        <v>170</v>
      </c>
      <c r="E1053" s="6">
        <v>45866.554861111115</v>
      </c>
      <c r="F1053" s="3" t="s">
        <v>1137</v>
      </c>
      <c r="G1053" s="5" t="s">
        <v>159</v>
      </c>
      <c r="H1053" s="2"/>
      <c r="I1053" s="2"/>
      <c r="J1053" s="2"/>
      <c r="K1053" s="2" t="s">
        <v>18</v>
      </c>
      <c r="L1053" s="2"/>
    </row>
    <row r="1054">
      <c r="A1054" s="1" t="s">
        <v>1247</v>
      </c>
      <c r="B1054" s="1" t="s">
        <v>1247</v>
      </c>
      <c r="C1054" s="5" t="s">
        <v>1203</v>
      </c>
      <c r="D1054" s="5" t="s">
        <v>1204</v>
      </c>
      <c r="E1054" s="6">
        <v>45867.36111111111</v>
      </c>
      <c r="F1054" s="7" t="s">
        <v>1205</v>
      </c>
      <c r="G1054" s="5" t="s">
        <v>16</v>
      </c>
      <c r="H1054" s="2"/>
      <c r="I1054" s="2" t="s">
        <v>17</v>
      </c>
      <c r="J1054" s="2"/>
      <c r="K1054" s="2" t="s">
        <v>18</v>
      </c>
      <c r="L1054" s="2"/>
    </row>
    <row r="1055">
      <c r="A1055" s="1" t="s">
        <v>1248</v>
      </c>
      <c r="B1055" s="1" t="s">
        <v>1248</v>
      </c>
      <c r="C1055" s="5" t="s">
        <v>169</v>
      </c>
      <c r="D1055" s="5" t="s">
        <v>170</v>
      </c>
      <c r="E1055" s="6">
        <v>45866.72361111111</v>
      </c>
      <c r="F1055" s="3" t="s">
        <v>1137</v>
      </c>
      <c r="G1055" s="5" t="s">
        <v>24</v>
      </c>
      <c r="H1055" s="2"/>
      <c r="I1055" s="2"/>
      <c r="J1055" s="2"/>
      <c r="K1055" s="2" t="s">
        <v>18</v>
      </c>
      <c r="L1055" s="2"/>
    </row>
    <row r="1056">
      <c r="A1056" s="1" t="s">
        <v>1249</v>
      </c>
      <c r="B1056" s="1" t="s">
        <v>1249</v>
      </c>
      <c r="C1056" s="5" t="s">
        <v>943</v>
      </c>
      <c r="D1056" s="5" t="s">
        <v>944</v>
      </c>
      <c r="E1056" s="6">
        <v>45866.72430555556</v>
      </c>
      <c r="F1056" s="7" t="s">
        <v>945</v>
      </c>
      <c r="G1056" s="5" t="s">
        <v>24</v>
      </c>
      <c r="H1056" s="2"/>
      <c r="I1056" s="2"/>
      <c r="J1056" s="2"/>
      <c r="K1056" s="2" t="s">
        <v>18</v>
      </c>
      <c r="L1056" s="2"/>
    </row>
    <row r="1057">
      <c r="A1057" s="1" t="s">
        <v>1250</v>
      </c>
      <c r="B1057" s="1" t="s">
        <v>1250</v>
      </c>
      <c r="C1057" s="5" t="s">
        <v>493</v>
      </c>
      <c r="D1057" s="5" t="s">
        <v>494</v>
      </c>
      <c r="E1057" s="6">
        <v>45867.36597222222</v>
      </c>
      <c r="F1057" s="7" t="s">
        <v>495</v>
      </c>
      <c r="G1057" s="5" t="s">
        <v>16</v>
      </c>
      <c r="H1057" s="2"/>
      <c r="I1057" s="2" t="s">
        <v>17</v>
      </c>
      <c r="J1057" s="2"/>
      <c r="K1057" s="2" t="s">
        <v>18</v>
      </c>
      <c r="L1057" s="2"/>
    </row>
    <row r="1058">
      <c r="A1058" s="1" t="s">
        <v>1251</v>
      </c>
      <c r="B1058" s="1" t="s">
        <v>1251</v>
      </c>
      <c r="C1058" s="5" t="s">
        <v>55</v>
      </c>
      <c r="D1058" s="5" t="s">
        <v>56</v>
      </c>
      <c r="E1058" s="6">
        <v>45867.42569444445</v>
      </c>
      <c r="F1058" s="7" t="s">
        <v>57</v>
      </c>
      <c r="G1058" s="5" t="s">
        <v>16</v>
      </c>
      <c r="H1058" s="2"/>
      <c r="I1058" s="2" t="s">
        <v>17</v>
      </c>
      <c r="J1058" s="2"/>
      <c r="K1058" s="2" t="s">
        <v>18</v>
      </c>
      <c r="L1058" s="2"/>
    </row>
    <row r="1059">
      <c r="A1059" s="1" t="s">
        <v>1252</v>
      </c>
      <c r="B1059" s="1" t="s">
        <v>1252</v>
      </c>
      <c r="C1059" s="5" t="s">
        <v>786</v>
      </c>
      <c r="D1059" s="5" t="s">
        <v>787</v>
      </c>
      <c r="E1059" s="6">
        <v>45867.490277777775</v>
      </c>
      <c r="F1059" s="7" t="s">
        <v>788</v>
      </c>
      <c r="G1059" s="5" t="s">
        <v>16</v>
      </c>
      <c r="H1059" s="2"/>
      <c r="I1059" s="2"/>
      <c r="J1059" s="2"/>
      <c r="K1059" s="2" t="s">
        <v>18</v>
      </c>
      <c r="L1059" s="2"/>
    </row>
    <row r="1060">
      <c r="A1060" s="1" t="s">
        <v>1253</v>
      </c>
      <c r="B1060" s="1" t="s">
        <v>1253</v>
      </c>
      <c r="C1060" s="5" t="s">
        <v>679</v>
      </c>
      <c r="D1060" s="5" t="s">
        <v>680</v>
      </c>
      <c r="E1060" s="6">
        <v>45867.57986111111</v>
      </c>
      <c r="F1060" s="7" t="s">
        <v>681</v>
      </c>
      <c r="G1060" s="5" t="s">
        <v>16</v>
      </c>
      <c r="H1060" s="2"/>
      <c r="I1060" s="2" t="s">
        <v>17</v>
      </c>
      <c r="J1060" s="2"/>
      <c r="K1060" s="2" t="s">
        <v>18</v>
      </c>
      <c r="L1060" s="2"/>
    </row>
    <row r="1061">
      <c r="A1061" s="1" t="s">
        <v>1254</v>
      </c>
      <c r="B1061" s="1" t="s">
        <v>1254</v>
      </c>
      <c r="C1061" s="5" t="s">
        <v>786</v>
      </c>
      <c r="D1061" s="5" t="s">
        <v>787</v>
      </c>
      <c r="E1061" s="6">
        <v>45867.66666666667</v>
      </c>
      <c r="F1061" s="7" t="s">
        <v>788</v>
      </c>
      <c r="G1061" s="5" t="s">
        <v>24</v>
      </c>
      <c r="H1061" s="2"/>
      <c r="I1061" s="2"/>
      <c r="J1061" s="2"/>
      <c r="K1061" s="2" t="s">
        <v>18</v>
      </c>
      <c r="L1061" s="2"/>
    </row>
    <row r="1062">
      <c r="A1062" s="1" t="s">
        <v>1255</v>
      </c>
      <c r="B1062" s="1" t="s">
        <v>1255</v>
      </c>
      <c r="C1062" s="5" t="s">
        <v>55</v>
      </c>
      <c r="D1062" s="5" t="s">
        <v>56</v>
      </c>
      <c r="E1062" s="6">
        <v>45867.66805555555</v>
      </c>
      <c r="F1062" s="7" t="s">
        <v>57</v>
      </c>
      <c r="G1062" s="5" t="s">
        <v>24</v>
      </c>
      <c r="H1062" s="2"/>
      <c r="I1062" s="2"/>
      <c r="J1062" s="2"/>
      <c r="K1062" s="2" t="s">
        <v>18</v>
      </c>
      <c r="L1062" s="2"/>
    </row>
    <row r="1063">
      <c r="A1063" s="1" t="s">
        <v>1256</v>
      </c>
      <c r="B1063" s="1" t="s">
        <v>1256</v>
      </c>
      <c r="C1063" s="5" t="s">
        <v>493</v>
      </c>
      <c r="D1063" s="5" t="s">
        <v>494</v>
      </c>
      <c r="E1063" s="6">
        <v>45867.67013888889</v>
      </c>
      <c r="F1063" s="7" t="s">
        <v>495</v>
      </c>
      <c r="G1063" s="5" t="s">
        <v>24</v>
      </c>
      <c r="H1063" s="2"/>
      <c r="I1063" s="2"/>
      <c r="J1063" s="2"/>
      <c r="K1063" s="2" t="s">
        <v>18</v>
      </c>
      <c r="L1063" s="2"/>
    </row>
    <row r="1064">
      <c r="A1064" s="1" t="s">
        <v>1257</v>
      </c>
      <c r="B1064" s="1" t="s">
        <v>1257</v>
      </c>
      <c r="C1064" s="5" t="s">
        <v>679</v>
      </c>
      <c r="D1064" s="5" t="s">
        <v>680</v>
      </c>
      <c r="E1064" s="6">
        <v>45867.705555555556</v>
      </c>
      <c r="F1064" s="7" t="s">
        <v>681</v>
      </c>
      <c r="G1064" s="5" t="s">
        <v>24</v>
      </c>
      <c r="H1064" s="2"/>
      <c r="I1064" s="2"/>
      <c r="J1064" s="2"/>
      <c r="K1064" s="2" t="s">
        <v>18</v>
      </c>
      <c r="L1064" s="2"/>
    </row>
    <row r="1065">
      <c r="A1065" s="1" t="s">
        <v>1258</v>
      </c>
      <c r="B1065" s="1" t="s">
        <v>1258</v>
      </c>
      <c r="C1065" s="5" t="s">
        <v>45</v>
      </c>
      <c r="D1065" s="5" t="s">
        <v>46</v>
      </c>
      <c r="E1065" s="6">
        <v>45867.70694444445</v>
      </c>
      <c r="F1065" s="7" t="s">
        <v>47</v>
      </c>
      <c r="G1065" s="5" t="s">
        <v>24</v>
      </c>
      <c r="H1065" s="2"/>
      <c r="I1065" s="2"/>
      <c r="J1065" s="2"/>
      <c r="K1065" s="2" t="s">
        <v>18</v>
      </c>
      <c r="L1065" s="2"/>
    </row>
    <row r="1066">
      <c r="A1066" s="1" t="s">
        <v>1259</v>
      </c>
      <c r="B1066" s="1" t="s">
        <v>1259</v>
      </c>
      <c r="C1066" s="5" t="s">
        <v>464</v>
      </c>
      <c r="D1066" s="5" t="s">
        <v>465</v>
      </c>
      <c r="E1066" s="6">
        <v>45868.35</v>
      </c>
      <c r="F1066" s="7" t="s">
        <v>466</v>
      </c>
      <c r="G1066" s="5" t="s">
        <v>16</v>
      </c>
      <c r="H1066" s="2"/>
      <c r="I1066" s="2" t="s">
        <v>17</v>
      </c>
      <c r="J1066" s="2"/>
      <c r="K1066" s="2" t="s">
        <v>18</v>
      </c>
      <c r="L1066" s="2"/>
    </row>
    <row r="1067">
      <c r="A1067" s="1" t="s">
        <v>1260</v>
      </c>
      <c r="B1067" s="1" t="s">
        <v>1260</v>
      </c>
      <c r="C1067" s="5" t="s">
        <v>305</v>
      </c>
      <c r="D1067" s="5" t="s">
        <v>306</v>
      </c>
      <c r="E1067" s="6">
        <v>45868.50902777778</v>
      </c>
      <c r="F1067" s="7" t="s">
        <v>307</v>
      </c>
      <c r="G1067" s="5" t="s">
        <v>24</v>
      </c>
      <c r="H1067" s="2"/>
      <c r="I1067" s="2"/>
      <c r="J1067" s="2"/>
      <c r="K1067" s="2" t="s">
        <v>18</v>
      </c>
      <c r="L1067" s="2"/>
    </row>
    <row r="1068">
      <c r="A1068" s="1" t="s">
        <v>1261</v>
      </c>
      <c r="B1068" s="1" t="s">
        <v>1261</v>
      </c>
      <c r="C1068" s="5" t="s">
        <v>799</v>
      </c>
      <c r="D1068" s="5" t="s">
        <v>800</v>
      </c>
      <c r="E1068" s="6">
        <v>45868.51041666667</v>
      </c>
      <c r="F1068" s="7" t="s">
        <v>801</v>
      </c>
      <c r="G1068" s="5" t="s">
        <v>24</v>
      </c>
      <c r="H1068" s="2"/>
      <c r="I1068" s="2"/>
      <c r="J1068" s="2"/>
      <c r="K1068" s="2" t="s">
        <v>18</v>
      </c>
      <c r="L1068" s="2"/>
    </row>
    <row r="1069">
      <c r="A1069" s="1" t="s">
        <v>1262</v>
      </c>
      <c r="B1069" s="1" t="s">
        <v>1262</v>
      </c>
      <c r="C1069" s="5" t="s">
        <v>326</v>
      </c>
      <c r="D1069" s="5" t="s">
        <v>327</v>
      </c>
      <c r="E1069" s="6">
        <v>45868.51111111111</v>
      </c>
      <c r="F1069" s="7" t="s">
        <v>328</v>
      </c>
      <c r="G1069" s="5" t="s">
        <v>24</v>
      </c>
      <c r="H1069" s="2"/>
      <c r="I1069" s="2"/>
      <c r="J1069" s="2"/>
      <c r="K1069" s="2" t="s">
        <v>18</v>
      </c>
      <c r="L1069" s="2"/>
    </row>
    <row r="1070">
      <c r="A1070" s="1" t="s">
        <v>1263</v>
      </c>
      <c r="B1070" s="1" t="s">
        <v>1263</v>
      </c>
      <c r="C1070" s="5" t="s">
        <v>934</v>
      </c>
      <c r="D1070" s="5" t="s">
        <v>935</v>
      </c>
      <c r="E1070" s="6">
        <v>45869.37152777778</v>
      </c>
      <c r="F1070" s="7" t="s">
        <v>936</v>
      </c>
      <c r="G1070" s="5" t="s">
        <v>16</v>
      </c>
      <c r="H1070" s="2"/>
      <c r="I1070" s="2"/>
      <c r="J1070" s="2"/>
      <c r="K1070" s="2" t="s">
        <v>18</v>
      </c>
      <c r="L1070" s="2"/>
    </row>
    <row r="1071">
      <c r="A1071" s="1" t="s">
        <v>1264</v>
      </c>
      <c r="B1071" s="1" t="s">
        <v>1264</v>
      </c>
      <c r="C1071" s="5" t="s">
        <v>951</v>
      </c>
      <c r="D1071" s="5" t="s">
        <v>952</v>
      </c>
      <c r="E1071" s="6">
        <v>45869.34444444445</v>
      </c>
      <c r="F1071" s="7" t="s">
        <v>953</v>
      </c>
      <c r="G1071" s="5" t="s">
        <v>16</v>
      </c>
      <c r="H1071" s="2"/>
      <c r="I1071" s="2" t="s">
        <v>17</v>
      </c>
      <c r="J1071" s="2"/>
      <c r="K1071" s="2" t="s">
        <v>18</v>
      </c>
      <c r="L1071" s="2"/>
    </row>
    <row r="1072">
      <c r="A1072" s="1" t="s">
        <v>1265</v>
      </c>
      <c r="B1072" s="1" t="s">
        <v>1265</v>
      </c>
      <c r="C1072" s="5" t="s">
        <v>1237</v>
      </c>
      <c r="D1072" s="5" t="s">
        <v>1238</v>
      </c>
      <c r="E1072" s="6">
        <v>45869.40694444445</v>
      </c>
      <c r="F1072" s="7" t="s">
        <v>1239</v>
      </c>
      <c r="G1072" s="5" t="s">
        <v>16</v>
      </c>
      <c r="H1072" s="2"/>
      <c r="I1072" s="2" t="s">
        <v>17</v>
      </c>
      <c r="J1072" s="2"/>
      <c r="K1072" s="2" t="s">
        <v>18</v>
      </c>
      <c r="L1072" s="2"/>
    </row>
    <row r="1073">
      <c r="A1073" s="1" t="s">
        <v>1266</v>
      </c>
      <c r="B1073" s="1" t="s">
        <v>1266</v>
      </c>
      <c r="C1073" s="5" t="s">
        <v>951</v>
      </c>
      <c r="D1073" s="5" t="s">
        <v>952</v>
      </c>
      <c r="E1073" s="6">
        <v>45869.5</v>
      </c>
      <c r="F1073" s="7" t="s">
        <v>953</v>
      </c>
      <c r="G1073" s="5" t="s">
        <v>24</v>
      </c>
      <c r="H1073" s="2"/>
      <c r="I1073" s="2"/>
      <c r="J1073" s="2"/>
      <c r="K1073" s="2" t="s">
        <v>18</v>
      </c>
      <c r="L1073" s="2"/>
    </row>
    <row r="1074">
      <c r="A1074" s="1" t="s">
        <v>1267</v>
      </c>
      <c r="B1074" s="1" t="s">
        <v>1267</v>
      </c>
      <c r="C1074" s="5" t="s">
        <v>786</v>
      </c>
      <c r="D1074" s="5" t="s">
        <v>787</v>
      </c>
      <c r="E1074" s="6">
        <v>45870.57943287037</v>
      </c>
      <c r="F1074" s="7" t="s">
        <v>788</v>
      </c>
      <c r="G1074" s="5" t="s">
        <v>24</v>
      </c>
      <c r="H1074" s="2"/>
      <c r="I1074" s="2"/>
      <c r="J1074" s="2"/>
      <c r="K1074" s="2" t="s">
        <v>18</v>
      </c>
      <c r="L1074" s="2"/>
    </row>
    <row r="1075">
      <c r="A1075" s="1" t="s">
        <v>1268</v>
      </c>
      <c r="B1075" s="1" t="s">
        <v>1268</v>
      </c>
      <c r="C1075" s="5" t="s">
        <v>786</v>
      </c>
      <c r="D1075" s="5" t="s">
        <v>787</v>
      </c>
      <c r="E1075" s="9">
        <v>45870.39513888889</v>
      </c>
      <c r="F1075" s="7" t="s">
        <v>788</v>
      </c>
      <c r="G1075" s="2" t="s">
        <v>16</v>
      </c>
      <c r="H1075" s="2"/>
      <c r="I1075" s="2"/>
      <c r="J1075" s="2"/>
      <c r="K1075" s="2" t="s">
        <v>18</v>
      </c>
      <c r="L1075" s="2"/>
    </row>
    <row r="1076">
      <c r="A1076" s="8" t="s">
        <v>1269</v>
      </c>
      <c r="B1076" s="8" t="s">
        <v>1269</v>
      </c>
      <c r="C1076" s="2" t="s">
        <v>49</v>
      </c>
      <c r="D1076" s="2" t="s">
        <v>50</v>
      </c>
      <c r="E1076" s="6">
        <v>45870.84732638889</v>
      </c>
      <c r="F1076" s="3" t="s">
        <v>51</v>
      </c>
      <c r="G1076" s="2" t="s">
        <v>16</v>
      </c>
      <c r="H1076" s="2"/>
      <c r="I1076" s="2"/>
      <c r="J1076" s="2"/>
      <c r="K1076" s="2" t="s">
        <v>18</v>
      </c>
      <c r="L1076" s="2"/>
    </row>
    <row r="1077">
      <c r="A1077" s="8" t="s">
        <v>1270</v>
      </c>
      <c r="B1077" s="8" t="s">
        <v>1270</v>
      </c>
      <c r="C1077" s="2" t="s">
        <v>45</v>
      </c>
      <c r="D1077" s="2" t="s">
        <v>46</v>
      </c>
      <c r="E1077" s="6">
        <v>45873.39252314815</v>
      </c>
      <c r="F1077" s="3" t="s">
        <v>47</v>
      </c>
      <c r="G1077" s="2" t="s">
        <v>16</v>
      </c>
      <c r="H1077" s="2"/>
      <c r="I1077" s="2" t="s">
        <v>17</v>
      </c>
      <c r="J1077" s="2"/>
      <c r="K1077" s="2" t="s">
        <v>18</v>
      </c>
      <c r="L1077" s="2"/>
    </row>
    <row r="1078">
      <c r="A1078" s="1"/>
      <c r="B1078" s="1"/>
      <c r="C1078" s="2"/>
      <c r="D1078" s="2"/>
      <c r="E1078" s="6"/>
      <c r="F1078" s="3"/>
      <c r="G1078" s="2"/>
      <c r="H1078" s="2"/>
      <c r="I1078" s="2"/>
      <c r="J1078" s="2"/>
      <c r="K1078" s="2"/>
      <c r="L1078" s="2"/>
    </row>
    <row r="1079">
      <c r="A1079" s="8" t="s">
        <v>1271</v>
      </c>
      <c r="B1079" s="8" t="s">
        <v>1271</v>
      </c>
      <c r="C1079" s="2" t="s">
        <v>1203</v>
      </c>
      <c r="D1079" s="2" t="s">
        <v>1204</v>
      </c>
      <c r="E1079" s="6">
        <v>45873.510671296295</v>
      </c>
      <c r="F1079" s="3" t="s">
        <v>1205</v>
      </c>
      <c r="G1079" s="2" t="s">
        <v>16</v>
      </c>
      <c r="H1079" s="2"/>
      <c r="I1079" s="2" t="s">
        <v>17</v>
      </c>
      <c r="J1079" s="2"/>
      <c r="K1079" s="2" t="s">
        <v>18</v>
      </c>
      <c r="L1079" s="2"/>
    </row>
    <row r="1080">
      <c r="A1080" s="8" t="s">
        <v>1272</v>
      </c>
      <c r="B1080" s="8" t="s">
        <v>1272</v>
      </c>
      <c r="C1080" s="2" t="s">
        <v>109</v>
      </c>
      <c r="D1080" s="2" t="s">
        <v>110</v>
      </c>
      <c r="E1080" s="6">
        <v>45873.53440972222</v>
      </c>
      <c r="F1080" s="3" t="s">
        <v>111</v>
      </c>
      <c r="G1080" s="2" t="s">
        <v>24</v>
      </c>
      <c r="H1080" s="2"/>
      <c r="I1080" s="2"/>
      <c r="J1080" s="2"/>
      <c r="K1080" s="2" t="s">
        <v>18</v>
      </c>
      <c r="L1080" s="2"/>
    </row>
    <row r="1081">
      <c r="A1081" s="8" t="s">
        <v>1273</v>
      </c>
      <c r="B1081" s="8" t="s">
        <v>1273</v>
      </c>
      <c r="C1081" s="2" t="s">
        <v>1084</v>
      </c>
      <c r="D1081" s="2" t="s">
        <v>1085</v>
      </c>
      <c r="E1081" s="6">
        <v>45873.536087962966</v>
      </c>
      <c r="F1081" s="3" t="s">
        <v>1086</v>
      </c>
      <c r="G1081" s="2" t="s">
        <v>16</v>
      </c>
      <c r="H1081" s="2"/>
      <c r="I1081" s="2" t="s">
        <v>17</v>
      </c>
      <c r="J1081" s="2"/>
      <c r="K1081" s="2" t="s">
        <v>18</v>
      </c>
      <c r="L1081" s="2"/>
    </row>
    <row r="1082">
      <c r="A1082" s="8" t="s">
        <v>1274</v>
      </c>
      <c r="B1082" s="8" t="s">
        <v>1274</v>
      </c>
      <c r="C1082" s="2" t="s">
        <v>326</v>
      </c>
      <c r="D1082" s="2" t="s">
        <v>327</v>
      </c>
      <c r="E1082" s="6">
        <v>45873.541284722225</v>
      </c>
      <c r="F1082" s="3" t="s">
        <v>328</v>
      </c>
      <c r="G1082" s="2" t="s">
        <v>24</v>
      </c>
      <c r="H1082" s="2"/>
      <c r="I1082" s="2"/>
      <c r="J1082" s="2"/>
      <c r="K1082" s="2" t="s">
        <v>18</v>
      </c>
      <c r="L1082" s="2"/>
    </row>
    <row r="1083">
      <c r="A1083" s="8" t="s">
        <v>1275</v>
      </c>
      <c r="B1083" s="8" t="s">
        <v>1275</v>
      </c>
      <c r="C1083" s="2" t="s">
        <v>1084</v>
      </c>
      <c r="D1083" s="2" t="s">
        <v>1085</v>
      </c>
      <c r="E1083" s="6">
        <v>45873.593460648146</v>
      </c>
      <c r="F1083" s="3" t="s">
        <v>1086</v>
      </c>
      <c r="G1083" s="2" t="s">
        <v>24</v>
      </c>
      <c r="H1083" s="2"/>
      <c r="I1083" s="2"/>
      <c r="J1083" s="2"/>
      <c r="K1083" s="2" t="s">
        <v>18</v>
      </c>
      <c r="L1083" s="2"/>
    </row>
    <row r="1084">
      <c r="A1084" s="8" t="s">
        <v>1276</v>
      </c>
      <c r="B1084" s="8" t="s">
        <v>1276</v>
      </c>
      <c r="C1084" s="2" t="s">
        <v>1203</v>
      </c>
      <c r="D1084" s="2" t="s">
        <v>1204</v>
      </c>
      <c r="E1084" s="6">
        <v>45873.59543981482</v>
      </c>
      <c r="F1084" s="3" t="s">
        <v>1205</v>
      </c>
      <c r="G1084" s="2" t="s">
        <v>24</v>
      </c>
      <c r="H1084" s="2"/>
      <c r="I1084" s="2"/>
      <c r="J1084" s="2"/>
      <c r="K1084" s="2" t="s">
        <v>18</v>
      </c>
      <c r="L1084" s="2"/>
    </row>
    <row r="1085">
      <c r="A1085" s="8" t="s">
        <v>1277</v>
      </c>
      <c r="B1085" s="8" t="s">
        <v>1277</v>
      </c>
      <c r="C1085" s="2" t="s">
        <v>464</v>
      </c>
      <c r="D1085" s="2" t="s">
        <v>465</v>
      </c>
      <c r="E1085" s="6">
        <v>45874.41515046296</v>
      </c>
      <c r="F1085" s="3" t="s">
        <v>466</v>
      </c>
      <c r="G1085" s="2" t="s">
        <v>16</v>
      </c>
      <c r="H1085" s="2"/>
      <c r="I1085" s="2" t="s">
        <v>17</v>
      </c>
      <c r="J1085" s="2"/>
      <c r="K1085" s="2" t="s">
        <v>18</v>
      </c>
      <c r="L1085" s="2"/>
    </row>
    <row r="1086">
      <c r="A1086" s="8" t="s">
        <v>1278</v>
      </c>
      <c r="B1086" s="8" t="s">
        <v>1278</v>
      </c>
      <c r="C1086" s="2" t="s">
        <v>904</v>
      </c>
      <c r="D1086" s="2" t="s">
        <v>905</v>
      </c>
      <c r="E1086" s="6">
        <v>45874.458449074074</v>
      </c>
      <c r="F1086" s="3" t="s">
        <v>906</v>
      </c>
      <c r="G1086" s="2" t="s">
        <v>16</v>
      </c>
      <c r="H1086" s="2"/>
      <c r="I1086" s="2"/>
      <c r="J1086" s="2"/>
      <c r="K1086" s="2" t="s">
        <v>18</v>
      </c>
      <c r="L1086" s="2"/>
    </row>
    <row r="1087">
      <c r="A1087" s="8" t="s">
        <v>1279</v>
      </c>
      <c r="B1087" s="8" t="s">
        <v>1279</v>
      </c>
      <c r="C1087" s="2" t="s">
        <v>464</v>
      </c>
      <c r="D1087" s="2" t="s">
        <v>465</v>
      </c>
      <c r="E1087" s="6">
        <v>45874.47688657408</v>
      </c>
      <c r="F1087" s="3" t="s">
        <v>466</v>
      </c>
      <c r="G1087" s="2" t="s">
        <v>24</v>
      </c>
      <c r="H1087" s="2"/>
      <c r="I1087" s="2"/>
      <c r="J1087" s="2"/>
      <c r="K1087" s="2" t="s">
        <v>18</v>
      </c>
      <c r="L1087" s="2"/>
    </row>
    <row r="1088">
      <c r="A1088" s="8" t="s">
        <v>1280</v>
      </c>
      <c r="B1088" s="8" t="s">
        <v>1280</v>
      </c>
      <c r="C1088" s="2" t="s">
        <v>951</v>
      </c>
      <c r="D1088" s="2" t="s">
        <v>952</v>
      </c>
      <c r="E1088" s="6">
        <v>45874.49930555555</v>
      </c>
      <c r="F1088" s="3" t="s">
        <v>953</v>
      </c>
      <c r="G1088" s="2" t="s">
        <v>16</v>
      </c>
      <c r="H1088" s="2"/>
      <c r="I1088" s="2" t="s">
        <v>17</v>
      </c>
      <c r="J1088" s="2"/>
      <c r="K1088" s="2" t="s">
        <v>18</v>
      </c>
      <c r="L1088" s="2"/>
    </row>
    <row r="1089">
      <c r="A1089" s="8" t="s">
        <v>1281</v>
      </c>
      <c r="B1089" s="8" t="s">
        <v>1281</v>
      </c>
      <c r="C1089" s="2" t="s">
        <v>309</v>
      </c>
      <c r="D1089" s="2" t="s">
        <v>310</v>
      </c>
      <c r="E1089" s="6">
        <v>45874.506944444445</v>
      </c>
      <c r="F1089" s="3" t="s">
        <v>311</v>
      </c>
      <c r="G1089" s="2" t="s">
        <v>16</v>
      </c>
      <c r="H1089" s="2"/>
      <c r="I1089" s="2"/>
      <c r="J1089" s="2"/>
      <c r="K1089" s="2" t="s">
        <v>18</v>
      </c>
      <c r="L1089" s="2"/>
    </row>
    <row r="1090">
      <c r="A1090" s="8" t="s">
        <v>1282</v>
      </c>
      <c r="B1090" s="8" t="s">
        <v>1282</v>
      </c>
      <c r="C1090" s="2" t="s">
        <v>904</v>
      </c>
      <c r="D1090" s="2" t="s">
        <v>905</v>
      </c>
      <c r="E1090" s="6">
        <v>45874.58673611111</v>
      </c>
      <c r="F1090" s="3" t="s">
        <v>906</v>
      </c>
      <c r="G1090" s="2" t="s">
        <v>24</v>
      </c>
      <c r="H1090" s="2"/>
      <c r="I1090" s="2"/>
      <c r="J1090" s="2"/>
      <c r="K1090" s="2" t="s">
        <v>18</v>
      </c>
      <c r="L1090" s="2"/>
    </row>
    <row r="1091">
      <c r="A1091" s="8" t="s">
        <v>1283</v>
      </c>
      <c r="B1091" s="8" t="s">
        <v>1283</v>
      </c>
      <c r="C1091" s="2" t="s">
        <v>309</v>
      </c>
      <c r="D1091" s="2" t="s">
        <v>310</v>
      </c>
      <c r="E1091" s="6">
        <v>45874.5890625</v>
      </c>
      <c r="F1091" s="3" t="s">
        <v>311</v>
      </c>
      <c r="G1091" s="2" t="s">
        <v>24</v>
      </c>
      <c r="H1091" s="2"/>
      <c r="I1091" s="2"/>
      <c r="J1091" s="2"/>
      <c r="K1091" s="2" t="s">
        <v>18</v>
      </c>
      <c r="L1091" s="2"/>
    </row>
    <row r="1092">
      <c r="A1092" s="8" t="s">
        <v>1284</v>
      </c>
      <c r="B1092" s="8" t="s">
        <v>1284</v>
      </c>
      <c r="C1092" s="2" t="s">
        <v>951</v>
      </c>
      <c r="D1092" s="2" t="s">
        <v>952</v>
      </c>
      <c r="E1092" s="6">
        <v>45874.655636574076</v>
      </c>
      <c r="F1092" s="3" t="s">
        <v>953</v>
      </c>
      <c r="G1092" s="2" t="s">
        <v>24</v>
      </c>
      <c r="H1092" s="2"/>
      <c r="I1092" s="2"/>
      <c r="J1092" s="2"/>
      <c r="K1092" s="2" t="s">
        <v>18</v>
      </c>
      <c r="L1092" s="2"/>
    </row>
    <row r="1093">
      <c r="A1093" s="8" t="s">
        <v>1285</v>
      </c>
      <c r="B1093" s="8" t="s">
        <v>1285</v>
      </c>
      <c r="C1093" s="2" t="s">
        <v>169</v>
      </c>
      <c r="D1093" s="2" t="s">
        <v>170</v>
      </c>
      <c r="E1093" s="6">
        <v>45875.48800925926</v>
      </c>
      <c r="F1093" s="3" t="s">
        <v>171</v>
      </c>
      <c r="G1093" s="2" t="s">
        <v>16</v>
      </c>
      <c r="H1093" s="2"/>
      <c r="I1093" s="2" t="s">
        <v>17</v>
      </c>
      <c r="J1093" s="2"/>
      <c r="K1093" s="2" t="s">
        <v>18</v>
      </c>
      <c r="L1093" s="2"/>
    </row>
    <row r="1094">
      <c r="A1094" s="8" t="s">
        <v>1286</v>
      </c>
      <c r="B1094" s="8" t="s">
        <v>1286</v>
      </c>
      <c r="C1094" s="2" t="s">
        <v>169</v>
      </c>
      <c r="D1094" s="2" t="s">
        <v>170</v>
      </c>
      <c r="E1094" s="6">
        <v>45875.64878472222</v>
      </c>
      <c r="F1094" s="3" t="s">
        <v>171</v>
      </c>
      <c r="G1094" s="2" t="s">
        <v>24</v>
      </c>
      <c r="H1094" s="2"/>
      <c r="I1094" s="2"/>
      <c r="J1094" s="2"/>
      <c r="K1094" s="2" t="s">
        <v>18</v>
      </c>
      <c r="L1094" s="2"/>
    </row>
    <row r="1095">
      <c r="A1095" s="8" t="s">
        <v>1287</v>
      </c>
      <c r="B1095" s="8" t="s">
        <v>1287</v>
      </c>
      <c r="C1095" s="2" t="s">
        <v>169</v>
      </c>
      <c r="D1095" s="2" t="s">
        <v>170</v>
      </c>
      <c r="E1095" s="6">
        <v>45875.651550925926</v>
      </c>
      <c r="F1095" s="3" t="s">
        <v>1137</v>
      </c>
      <c r="G1095" s="2" t="s">
        <v>24</v>
      </c>
      <c r="H1095" s="2"/>
      <c r="I1095" s="2"/>
      <c r="J1095" s="2"/>
      <c r="K1095" s="2" t="s">
        <v>18</v>
      </c>
      <c r="L1095" s="2"/>
    </row>
    <row r="1096">
      <c r="A1096" s="8" t="s">
        <v>1288</v>
      </c>
      <c r="B1096" s="8" t="s">
        <v>1288</v>
      </c>
      <c r="C1096" s="2" t="s">
        <v>464</v>
      </c>
      <c r="D1096" s="2" t="s">
        <v>465</v>
      </c>
      <c r="E1096" s="6">
        <v>45876.35826388889</v>
      </c>
      <c r="F1096" s="3" t="s">
        <v>466</v>
      </c>
      <c r="G1096" s="2" t="s">
        <v>16</v>
      </c>
      <c r="H1096" s="2"/>
      <c r="I1096" s="2" t="s">
        <v>395</v>
      </c>
      <c r="J1096" s="2"/>
      <c r="K1096" s="2" t="s">
        <v>18</v>
      </c>
      <c r="L1096" s="2"/>
    </row>
    <row r="1097">
      <c r="A1097" s="8" t="s">
        <v>1289</v>
      </c>
      <c r="B1097" s="8" t="s">
        <v>1289</v>
      </c>
      <c r="C1097" s="2" t="s">
        <v>309</v>
      </c>
      <c r="D1097" s="2" t="s">
        <v>310</v>
      </c>
      <c r="E1097" s="6">
        <v>45876.36454861111</v>
      </c>
      <c r="F1097" s="3" t="s">
        <v>311</v>
      </c>
      <c r="G1097" s="2" t="s">
        <v>16</v>
      </c>
      <c r="H1097" s="2"/>
      <c r="I1097" s="2" t="s">
        <v>395</v>
      </c>
      <c r="J1097" s="2"/>
      <c r="K1097" s="2" t="s">
        <v>18</v>
      </c>
      <c r="L1097" s="2"/>
    </row>
    <row r="1098">
      <c r="A1098" s="8" t="s">
        <v>1290</v>
      </c>
      <c r="B1098" s="8" t="s">
        <v>1290</v>
      </c>
      <c r="C1098" s="2" t="s">
        <v>786</v>
      </c>
      <c r="D1098" s="2" t="s">
        <v>787</v>
      </c>
      <c r="E1098" s="6">
        <v>45876.37938657407</v>
      </c>
      <c r="F1098" s="3" t="s">
        <v>788</v>
      </c>
      <c r="G1098" s="2" t="s">
        <v>16</v>
      </c>
      <c r="H1098" s="2"/>
      <c r="I1098" s="2"/>
      <c r="J1098" s="2"/>
      <c r="K1098" s="2" t="s">
        <v>18</v>
      </c>
      <c r="L1098" s="2"/>
    </row>
    <row r="1099">
      <c r="A1099" s="8" t="s">
        <v>1291</v>
      </c>
      <c r="B1099" s="8" t="s">
        <v>1291</v>
      </c>
      <c r="C1099" s="2" t="s">
        <v>109</v>
      </c>
      <c r="D1099" s="2" t="s">
        <v>110</v>
      </c>
      <c r="E1099" s="6">
        <v>45876.62321759259</v>
      </c>
      <c r="F1099" s="3" t="s">
        <v>111</v>
      </c>
      <c r="G1099" s="2" t="s">
        <v>16</v>
      </c>
      <c r="H1099" s="2"/>
      <c r="I1099" s="2" t="s">
        <v>17</v>
      </c>
      <c r="J1099" s="2"/>
      <c r="K1099" s="2" t="s">
        <v>18</v>
      </c>
      <c r="L1099" s="2"/>
    </row>
    <row r="1100">
      <c r="A1100" s="8" t="s">
        <v>1292</v>
      </c>
      <c r="B1100" s="8" t="s">
        <v>1292</v>
      </c>
      <c r="C1100" s="2" t="s">
        <v>109</v>
      </c>
      <c r="D1100" s="2" t="s">
        <v>110</v>
      </c>
      <c r="E1100" s="6">
        <v>45876.81581018519</v>
      </c>
      <c r="F1100" s="3" t="s">
        <v>111</v>
      </c>
      <c r="G1100" s="2" t="s">
        <v>24</v>
      </c>
      <c r="H1100" s="2"/>
      <c r="I1100" s="2"/>
      <c r="J1100" s="2"/>
      <c r="K1100" s="2" t="s">
        <v>18</v>
      </c>
      <c r="L1100" s="2"/>
    </row>
    <row r="1101">
      <c r="A1101" s="8" t="s">
        <v>1293</v>
      </c>
      <c r="B1101" s="8" t="s">
        <v>1293</v>
      </c>
      <c r="C1101" s="2" t="s">
        <v>309</v>
      </c>
      <c r="D1101" s="2" t="s">
        <v>310</v>
      </c>
      <c r="E1101" s="6">
        <v>45876.81653935185</v>
      </c>
      <c r="F1101" s="3" t="s">
        <v>311</v>
      </c>
      <c r="G1101" s="2" t="s">
        <v>24</v>
      </c>
      <c r="H1101" s="2"/>
      <c r="I1101" s="2"/>
      <c r="J1101" s="2"/>
      <c r="K1101" s="2" t="s">
        <v>18</v>
      </c>
      <c r="L1101" s="2"/>
    </row>
    <row r="1102">
      <c r="A1102" s="8" t="s">
        <v>1294</v>
      </c>
      <c r="B1102" s="8" t="s">
        <v>1294</v>
      </c>
      <c r="C1102" s="2" t="s">
        <v>786</v>
      </c>
      <c r="D1102" s="2" t="s">
        <v>787</v>
      </c>
      <c r="E1102" s="6">
        <v>45876.81722222222</v>
      </c>
      <c r="F1102" s="3" t="s">
        <v>788</v>
      </c>
      <c r="G1102" s="2" t="s">
        <v>24</v>
      </c>
      <c r="H1102" s="2"/>
      <c r="I1102" s="2"/>
      <c r="J1102" s="2"/>
      <c r="K1102" s="2" t="s">
        <v>18</v>
      </c>
      <c r="L1102" s="2"/>
    </row>
    <row r="1103">
      <c r="A1103" s="8" t="s">
        <v>1295</v>
      </c>
      <c r="B1103" s="8" t="s">
        <v>1295</v>
      </c>
      <c r="C1103" s="2" t="s">
        <v>309</v>
      </c>
      <c r="D1103" s="2" t="s">
        <v>310</v>
      </c>
      <c r="E1103" s="6">
        <v>45877.38659722222</v>
      </c>
      <c r="F1103" s="3" t="s">
        <v>311</v>
      </c>
      <c r="G1103" s="2" t="s">
        <v>16</v>
      </c>
      <c r="H1103" s="2"/>
      <c r="I1103" s="2" t="s">
        <v>395</v>
      </c>
      <c r="J1103" s="2"/>
      <c r="K1103" s="2" t="s">
        <v>18</v>
      </c>
      <c r="L1103" s="2"/>
    </row>
    <row r="1104">
      <c r="A1104" s="8" t="s">
        <v>1296</v>
      </c>
      <c r="B1104" s="8" t="s">
        <v>1296</v>
      </c>
      <c r="C1104" s="2" t="s">
        <v>326</v>
      </c>
      <c r="D1104" s="2" t="s">
        <v>327</v>
      </c>
      <c r="E1104" s="6">
        <v>45877.45050925926</v>
      </c>
      <c r="F1104" s="3" t="s">
        <v>328</v>
      </c>
      <c r="G1104" s="2" t="s">
        <v>16</v>
      </c>
      <c r="H1104" s="2"/>
      <c r="I1104" s="2" t="s">
        <v>395</v>
      </c>
      <c r="J1104" s="2"/>
      <c r="K1104" s="2" t="s">
        <v>18</v>
      </c>
      <c r="L1104" s="2"/>
    </row>
    <row r="1105">
      <c r="A1105" s="8" t="s">
        <v>1297</v>
      </c>
      <c r="B1105" s="8" t="s">
        <v>1297</v>
      </c>
      <c r="C1105" s="2" t="s">
        <v>943</v>
      </c>
      <c r="D1105" s="2" t="s">
        <v>944</v>
      </c>
      <c r="E1105" s="6">
        <v>45877.467152777775</v>
      </c>
      <c r="F1105" s="3" t="s">
        <v>945</v>
      </c>
      <c r="G1105" s="2" t="s">
        <v>24</v>
      </c>
      <c r="H1105" s="2"/>
      <c r="I1105" s="2"/>
      <c r="J1105" s="2"/>
      <c r="K1105" s="2" t="s">
        <v>18</v>
      </c>
      <c r="L1105" s="2"/>
    </row>
    <row r="1106">
      <c r="A1106" s="8" t="s">
        <v>1298</v>
      </c>
      <c r="B1106" s="8" t="s">
        <v>1298</v>
      </c>
      <c r="C1106" s="2" t="s">
        <v>326</v>
      </c>
      <c r="D1106" s="2" t="s">
        <v>327</v>
      </c>
      <c r="E1106" s="6">
        <v>45877.59657407407</v>
      </c>
      <c r="F1106" s="3" t="s">
        <v>328</v>
      </c>
      <c r="G1106" s="2" t="s">
        <v>24</v>
      </c>
      <c r="H1106" s="2"/>
      <c r="I1106" s="2"/>
      <c r="J1106" s="2"/>
      <c r="K1106" s="2" t="s">
        <v>18</v>
      </c>
      <c r="L1106" s="2"/>
    </row>
    <row r="1107">
      <c r="A1107" s="8" t="s">
        <v>1299</v>
      </c>
      <c r="B1107" s="8" t="s">
        <v>1299</v>
      </c>
      <c r="C1107" s="2" t="s">
        <v>326</v>
      </c>
      <c r="D1107" s="2" t="s">
        <v>327</v>
      </c>
      <c r="E1107" s="6">
        <v>45877.60041666667</v>
      </c>
      <c r="F1107" s="3" t="s">
        <v>328</v>
      </c>
      <c r="G1107" s="2" t="s">
        <v>159</v>
      </c>
      <c r="H1107" s="2"/>
      <c r="I1107" s="2"/>
      <c r="J1107" s="2"/>
      <c r="K1107" s="2" t="s">
        <v>18</v>
      </c>
      <c r="L1107" s="2"/>
    </row>
    <row r="1108">
      <c r="A1108" s="8" t="s">
        <v>1300</v>
      </c>
      <c r="B1108" s="8" t="s">
        <v>1300</v>
      </c>
      <c r="C1108" s="2" t="s">
        <v>679</v>
      </c>
      <c r="D1108" s="2" t="s">
        <v>680</v>
      </c>
      <c r="E1108" s="6">
        <v>45878.34489583333</v>
      </c>
      <c r="F1108" s="3" t="s">
        <v>681</v>
      </c>
      <c r="G1108" s="2" t="s">
        <v>16</v>
      </c>
      <c r="H1108" s="2"/>
      <c r="I1108" s="2" t="s">
        <v>17</v>
      </c>
      <c r="J1108" s="2"/>
      <c r="K1108" s="2" t="s">
        <v>18</v>
      </c>
      <c r="L1108" s="2"/>
    </row>
    <row r="1109">
      <c r="A1109" s="8" t="s">
        <v>1301</v>
      </c>
      <c r="B1109" s="8" t="s">
        <v>1301</v>
      </c>
      <c r="C1109" s="2" t="s">
        <v>786</v>
      </c>
      <c r="D1109" s="2" t="s">
        <v>787</v>
      </c>
      <c r="E1109" s="6">
        <v>45878.34614583333</v>
      </c>
      <c r="F1109" s="3" t="s">
        <v>788</v>
      </c>
      <c r="G1109" s="2" t="s">
        <v>16</v>
      </c>
      <c r="H1109" s="2"/>
      <c r="I1109" s="2"/>
      <c r="J1109" s="2"/>
      <c r="K1109" s="2" t="s">
        <v>18</v>
      </c>
      <c r="L1109" s="2"/>
    </row>
    <row r="1110">
      <c r="A1110" s="8" t="s">
        <v>1302</v>
      </c>
      <c r="B1110" s="8" t="s">
        <v>1302</v>
      </c>
      <c r="C1110" s="2" t="s">
        <v>1303</v>
      </c>
      <c r="D1110" s="2" t="s">
        <v>1304</v>
      </c>
      <c r="E1110" s="6">
        <v>45878.723969907405</v>
      </c>
      <c r="F1110" s="3" t="s">
        <v>1305</v>
      </c>
      <c r="G1110" s="2" t="s">
        <v>16</v>
      </c>
      <c r="H1110" s="2"/>
      <c r="I1110" s="2" t="s">
        <v>395</v>
      </c>
      <c r="J1110" s="2"/>
      <c r="K1110" s="2" t="s">
        <v>18</v>
      </c>
      <c r="L1110" s="2"/>
    </row>
    <row r="1111">
      <c r="A1111" s="8" t="s">
        <v>1306</v>
      </c>
      <c r="B1111" s="8" t="s">
        <v>1306</v>
      </c>
      <c r="C1111" s="2" t="s">
        <v>685</v>
      </c>
      <c r="D1111" s="2" t="s">
        <v>686</v>
      </c>
      <c r="E1111" s="6">
        <v>45880.44131944444</v>
      </c>
      <c r="F1111" s="3" t="s">
        <v>687</v>
      </c>
      <c r="G1111" s="2" t="s">
        <v>16</v>
      </c>
      <c r="H1111" s="2"/>
      <c r="I1111" s="2" t="s">
        <v>17</v>
      </c>
      <c r="J1111" s="2"/>
      <c r="K1111" s="2" t="s">
        <v>18</v>
      </c>
      <c r="L1111" s="2"/>
    </row>
    <row r="1112">
      <c r="A1112" s="8" t="s">
        <v>1307</v>
      </c>
      <c r="B1112" s="8" t="s">
        <v>1307</v>
      </c>
      <c r="C1112" s="2" t="s">
        <v>951</v>
      </c>
      <c r="D1112" s="2" t="s">
        <v>952</v>
      </c>
      <c r="E1112" s="6">
        <v>45880.4484375</v>
      </c>
      <c r="F1112" s="3" t="s">
        <v>953</v>
      </c>
      <c r="G1112" s="2" t="s">
        <v>24</v>
      </c>
      <c r="H1112" s="2"/>
      <c r="I1112" s="2"/>
      <c r="J1112" s="2"/>
      <c r="K1112" s="2" t="s">
        <v>18</v>
      </c>
      <c r="L1112" s="2"/>
    </row>
    <row r="1113">
      <c r="A1113" s="8" t="s">
        <v>1308</v>
      </c>
      <c r="B1113" s="8" t="s">
        <v>1308</v>
      </c>
      <c r="C1113" s="2" t="s">
        <v>49</v>
      </c>
      <c r="D1113" s="2" t="s">
        <v>50</v>
      </c>
      <c r="E1113" s="6">
        <v>45880.456655092596</v>
      </c>
      <c r="F1113" s="3" t="s">
        <v>51</v>
      </c>
      <c r="G1113" s="2" t="s">
        <v>24</v>
      </c>
      <c r="H1113" s="2"/>
      <c r="I1113" s="2"/>
      <c r="J1113" s="2"/>
      <c r="K1113" s="2" t="s">
        <v>18</v>
      </c>
      <c r="L1113" s="2"/>
    </row>
    <row r="1114">
      <c r="A1114" s="8" t="s">
        <v>1309</v>
      </c>
      <c r="B1114" s="8" t="s">
        <v>1309</v>
      </c>
      <c r="C1114" s="2" t="s">
        <v>45</v>
      </c>
      <c r="D1114" s="2" t="s">
        <v>46</v>
      </c>
      <c r="E1114" s="6">
        <v>45880.45767361111</v>
      </c>
      <c r="F1114" s="3" t="s">
        <v>47</v>
      </c>
      <c r="G1114" s="2" t="s">
        <v>24</v>
      </c>
      <c r="H1114" s="2"/>
      <c r="I1114" s="2"/>
      <c r="J1114" s="2"/>
      <c r="K1114" s="2" t="s">
        <v>18</v>
      </c>
      <c r="L1114" s="2"/>
    </row>
    <row r="1115">
      <c r="A1115" s="8" t="s">
        <v>1310</v>
      </c>
      <c r="B1115" s="8" t="s">
        <v>1310</v>
      </c>
      <c r="C1115" s="2" t="s">
        <v>1311</v>
      </c>
      <c r="D1115" s="2" t="s">
        <v>1010</v>
      </c>
      <c r="E1115" s="6">
        <v>45880.51509259259</v>
      </c>
      <c r="F1115" s="3" t="s">
        <v>1312</v>
      </c>
      <c r="G1115" s="2" t="s">
        <v>16</v>
      </c>
      <c r="H1115" s="2"/>
      <c r="I1115" s="2" t="s">
        <v>395</v>
      </c>
      <c r="J1115" s="2"/>
      <c r="K1115" s="2" t="s">
        <v>18</v>
      </c>
      <c r="L1115" s="2"/>
    </row>
    <row r="1116">
      <c r="A1116" s="8" t="s">
        <v>1313</v>
      </c>
      <c r="B1116" s="8" t="s">
        <v>1313</v>
      </c>
      <c r="C1116" s="2" t="s">
        <v>1084</v>
      </c>
      <c r="D1116" s="2" t="s">
        <v>1085</v>
      </c>
      <c r="E1116" s="6">
        <v>45880.5531712963</v>
      </c>
      <c r="F1116" s="3" t="s">
        <v>1086</v>
      </c>
      <c r="G1116" s="2" t="s">
        <v>16</v>
      </c>
      <c r="H1116" s="2"/>
      <c r="I1116" s="2" t="s">
        <v>17</v>
      </c>
      <c r="J1116" s="2"/>
      <c r="K1116" s="2" t="s">
        <v>18</v>
      </c>
      <c r="L1116" s="2"/>
    </row>
    <row r="1117">
      <c r="A1117" s="8" t="s">
        <v>1314</v>
      </c>
      <c r="B1117" s="8" t="s">
        <v>1314</v>
      </c>
      <c r="C1117" s="2" t="s">
        <v>685</v>
      </c>
      <c r="D1117" s="2" t="s">
        <v>686</v>
      </c>
      <c r="E1117" s="6">
        <v>45880.6275</v>
      </c>
      <c r="F1117" s="3" t="s">
        <v>687</v>
      </c>
      <c r="G1117" s="2" t="s">
        <v>24</v>
      </c>
      <c r="H1117" s="2"/>
      <c r="I1117" s="2"/>
      <c r="J1117" s="2"/>
      <c r="K1117" s="2" t="s">
        <v>18</v>
      </c>
      <c r="L1117" s="2"/>
    </row>
    <row r="1118">
      <c r="A1118" s="8" t="s">
        <v>1315</v>
      </c>
      <c r="B1118" s="8" t="s">
        <v>1315</v>
      </c>
      <c r="C1118" s="2" t="s">
        <v>1084</v>
      </c>
      <c r="D1118" s="2" t="s">
        <v>1085</v>
      </c>
      <c r="E1118" s="6">
        <v>45880.68482638889</v>
      </c>
      <c r="F1118" s="3" t="s">
        <v>1086</v>
      </c>
      <c r="G1118" s="2" t="s">
        <v>24</v>
      </c>
      <c r="H1118" s="2"/>
      <c r="I1118" s="2"/>
      <c r="J1118" s="2"/>
      <c r="K1118" s="2" t="s">
        <v>18</v>
      </c>
      <c r="L1118" s="2"/>
    </row>
    <row r="1119">
      <c r="A1119" s="8" t="s">
        <v>1316</v>
      </c>
      <c r="B1119" s="8" t="s">
        <v>1316</v>
      </c>
      <c r="C1119" s="2" t="s">
        <v>213</v>
      </c>
      <c r="D1119" s="2" t="s">
        <v>214</v>
      </c>
      <c r="E1119" s="6">
        <v>45881.339467592596</v>
      </c>
      <c r="F1119" s="3" t="s">
        <v>215</v>
      </c>
      <c r="G1119" s="2" t="s">
        <v>16</v>
      </c>
      <c r="H1119" s="2"/>
      <c r="I1119" s="2" t="s">
        <v>17</v>
      </c>
      <c r="J1119" s="2"/>
      <c r="K1119" s="2" t="s">
        <v>18</v>
      </c>
      <c r="L1119" s="2"/>
    </row>
    <row r="1120">
      <c r="A1120" s="8" t="s">
        <v>1317</v>
      </c>
      <c r="B1120" s="8" t="s">
        <v>1317</v>
      </c>
      <c r="C1120" s="2" t="s">
        <v>213</v>
      </c>
      <c r="D1120" s="2" t="s">
        <v>214</v>
      </c>
      <c r="E1120" s="6">
        <v>45881.42590277778</v>
      </c>
      <c r="F1120" s="3" t="s">
        <v>215</v>
      </c>
      <c r="G1120" s="2" t="s">
        <v>24</v>
      </c>
      <c r="H1120" s="2"/>
      <c r="I1120" s="2"/>
      <c r="J1120" s="2"/>
      <c r="K1120" s="2" t="s">
        <v>18</v>
      </c>
      <c r="L1120" s="2"/>
    </row>
    <row r="1121">
      <c r="A1121" s="8" t="s">
        <v>1318</v>
      </c>
      <c r="B1121" s="8" t="s">
        <v>1318</v>
      </c>
      <c r="C1121" s="2" t="s">
        <v>1203</v>
      </c>
      <c r="D1121" s="2" t="s">
        <v>1204</v>
      </c>
      <c r="E1121" s="6">
        <v>45882.3537037037</v>
      </c>
      <c r="F1121" s="3" t="s">
        <v>1205</v>
      </c>
      <c r="G1121" s="2" t="s">
        <v>16</v>
      </c>
      <c r="H1121" s="2"/>
      <c r="I1121" s="2" t="s">
        <v>17</v>
      </c>
      <c r="J1121" s="2"/>
      <c r="K1121" s="2" t="s">
        <v>18</v>
      </c>
      <c r="L1121" s="2"/>
    </row>
    <row r="1122">
      <c r="A1122" s="8" t="s">
        <v>1319</v>
      </c>
      <c r="B1122" s="8" t="s">
        <v>1319</v>
      </c>
      <c r="C1122" s="2" t="s">
        <v>45</v>
      </c>
      <c r="D1122" s="2" t="s">
        <v>46</v>
      </c>
      <c r="E1122" s="6">
        <v>45882.35675925926</v>
      </c>
      <c r="F1122" s="3" t="s">
        <v>47</v>
      </c>
      <c r="G1122" s="2" t="s">
        <v>16</v>
      </c>
      <c r="H1122" s="2"/>
      <c r="I1122" s="2" t="s">
        <v>17</v>
      </c>
      <c r="J1122" s="2"/>
      <c r="K1122" s="2" t="s">
        <v>18</v>
      </c>
      <c r="L1122" s="2"/>
    </row>
    <row r="1123">
      <c r="A1123" s="8" t="s">
        <v>1320</v>
      </c>
      <c r="B1123" s="8" t="s">
        <v>1320</v>
      </c>
      <c r="C1123" s="2" t="s">
        <v>1203</v>
      </c>
      <c r="D1123" s="2" t="s">
        <v>1204</v>
      </c>
      <c r="E1123" s="6">
        <v>45882.37621527778</v>
      </c>
      <c r="F1123" s="3" t="s">
        <v>1205</v>
      </c>
      <c r="G1123" s="2" t="s">
        <v>24</v>
      </c>
      <c r="H1123" s="2"/>
      <c r="I1123" s="2"/>
      <c r="J1123" s="2"/>
      <c r="K1123" s="2" t="s">
        <v>18</v>
      </c>
      <c r="L1123" s="2"/>
    </row>
    <row r="1124">
      <c r="A1124" s="8" t="s">
        <v>1321</v>
      </c>
      <c r="B1124" s="8" t="s">
        <v>1321</v>
      </c>
      <c r="C1124" s="2" t="s">
        <v>45</v>
      </c>
      <c r="D1124" s="2" t="s">
        <v>46</v>
      </c>
      <c r="E1124" s="6">
        <v>45882.4512962963</v>
      </c>
      <c r="F1124" s="3" t="s">
        <v>47</v>
      </c>
      <c r="G1124" s="2" t="s">
        <v>24</v>
      </c>
      <c r="H1124" s="2"/>
      <c r="I1124" s="2"/>
      <c r="J1124" s="2"/>
      <c r="K1124" s="2" t="s">
        <v>18</v>
      </c>
      <c r="L1124" s="2"/>
    </row>
    <row r="1125">
      <c r="A1125" s="8" t="s">
        <v>1322</v>
      </c>
      <c r="B1125" s="8" t="s">
        <v>1322</v>
      </c>
      <c r="C1125" s="2" t="s">
        <v>934</v>
      </c>
      <c r="D1125" s="2" t="s">
        <v>935</v>
      </c>
      <c r="E1125" s="6">
        <v>45869.62986111111</v>
      </c>
      <c r="F1125" s="3" t="s">
        <v>936</v>
      </c>
      <c r="G1125" s="2" t="s">
        <v>24</v>
      </c>
      <c r="H1125" s="2"/>
      <c r="I1125" s="2"/>
      <c r="J1125" s="2"/>
      <c r="K1125" s="2" t="s">
        <v>18</v>
      </c>
      <c r="L1125" s="2"/>
    </row>
    <row r="1126">
      <c r="A1126" s="8" t="s">
        <v>1323</v>
      </c>
      <c r="B1126" s="8" t="s">
        <v>1323</v>
      </c>
      <c r="C1126" s="2" t="s">
        <v>943</v>
      </c>
      <c r="D1126" s="2" t="s">
        <v>944</v>
      </c>
      <c r="E1126" s="6">
        <v>45831.39236111111</v>
      </c>
      <c r="F1126" s="3" t="s">
        <v>945</v>
      </c>
      <c r="G1126" s="2" t="s">
        <v>24</v>
      </c>
      <c r="H1126" s="2"/>
      <c r="I1126" s="2"/>
      <c r="J1126" s="2"/>
      <c r="K1126" s="2" t="s">
        <v>18</v>
      </c>
      <c r="L1126" s="2"/>
    </row>
    <row r="1127">
      <c r="A1127" s="1"/>
      <c r="B1127" s="1"/>
      <c r="C1127" s="2"/>
      <c r="D1127" s="2"/>
      <c r="E1127" s="6"/>
      <c r="F1127" s="3"/>
      <c r="G1127" s="2"/>
      <c r="H1127" s="2"/>
      <c r="I1127" s="2"/>
      <c r="J1127" s="2"/>
      <c r="K1127" s="2"/>
      <c r="L1127" s="2"/>
    </row>
    <row r="1128">
      <c r="A1128" s="8" t="s">
        <v>1324</v>
      </c>
      <c r="B1128" s="8" t="s">
        <v>1324</v>
      </c>
      <c r="C1128" s="2" t="s">
        <v>951</v>
      </c>
      <c r="D1128" s="2" t="s">
        <v>952</v>
      </c>
      <c r="E1128" s="6">
        <v>45883.60422453703</v>
      </c>
      <c r="F1128" s="3" t="s">
        <v>953</v>
      </c>
      <c r="G1128" s="2" t="s">
        <v>16</v>
      </c>
      <c r="H1128" s="2"/>
      <c r="I1128" s="2" t="s">
        <v>395</v>
      </c>
      <c r="J1128" s="2"/>
      <c r="K1128" s="2" t="s">
        <v>18</v>
      </c>
      <c r="L1128" s="2"/>
    </row>
    <row r="1129">
      <c r="A1129" s="8" t="s">
        <v>1325</v>
      </c>
      <c r="B1129" s="8" t="s">
        <v>1325</v>
      </c>
      <c r="C1129" s="2" t="s">
        <v>951</v>
      </c>
      <c r="D1129" s="2" t="s">
        <v>952</v>
      </c>
      <c r="E1129" s="6">
        <v>45883.640694444446</v>
      </c>
      <c r="F1129" s="3" t="s">
        <v>953</v>
      </c>
      <c r="G1129" s="2" t="s">
        <v>24</v>
      </c>
      <c r="H1129" s="2"/>
      <c r="I1129" s="2"/>
      <c r="J1129" s="2"/>
      <c r="K1129" s="2" t="s">
        <v>18</v>
      </c>
      <c r="L1129" s="2"/>
    </row>
    <row r="1130">
      <c r="A1130" s="8" t="s">
        <v>1326</v>
      </c>
      <c r="B1130" s="8" t="s">
        <v>1326</v>
      </c>
      <c r="C1130" s="2" t="s">
        <v>786</v>
      </c>
      <c r="D1130" s="2" t="s">
        <v>787</v>
      </c>
      <c r="E1130" s="6">
        <v>45884.435949074075</v>
      </c>
      <c r="F1130" s="3" t="s">
        <v>788</v>
      </c>
      <c r="G1130" s="2" t="s">
        <v>16</v>
      </c>
      <c r="H1130" s="2"/>
      <c r="I1130" s="2"/>
      <c r="J1130" s="2"/>
      <c r="K1130" s="2" t="s">
        <v>18</v>
      </c>
      <c r="L1130" s="2"/>
    </row>
    <row r="1131">
      <c r="A1131" s="8" t="s">
        <v>1327</v>
      </c>
      <c r="B1131" s="8" t="s">
        <v>1327</v>
      </c>
      <c r="C1131" s="2" t="s">
        <v>786</v>
      </c>
      <c r="D1131" s="2" t="s">
        <v>787</v>
      </c>
      <c r="E1131" s="6">
        <v>45884.48370370371</v>
      </c>
      <c r="F1131" s="3" t="s">
        <v>788</v>
      </c>
      <c r="G1131" s="2" t="s">
        <v>24</v>
      </c>
      <c r="H1131" s="2"/>
      <c r="I1131" s="2"/>
      <c r="J1131" s="2"/>
      <c r="K1131" s="2" t="s">
        <v>18</v>
      </c>
      <c r="L1131" s="2"/>
    </row>
    <row r="1132">
      <c r="A1132" s="8" t="s">
        <v>1328</v>
      </c>
      <c r="B1132" s="8" t="s">
        <v>1328</v>
      </c>
      <c r="C1132" s="2" t="s">
        <v>1084</v>
      </c>
      <c r="D1132" s="2" t="s">
        <v>1085</v>
      </c>
      <c r="E1132" s="6">
        <v>45884.48473379629</v>
      </c>
      <c r="F1132" s="3" t="s">
        <v>1086</v>
      </c>
      <c r="G1132" s="2" t="s">
        <v>24</v>
      </c>
      <c r="H1132" s="2"/>
      <c r="I1132" s="2"/>
      <c r="J1132" s="2"/>
      <c r="K1132" s="2" t="s">
        <v>18</v>
      </c>
      <c r="L1132" s="2"/>
    </row>
    <row r="1133">
      <c r="A1133" s="8" t="s">
        <v>1329</v>
      </c>
      <c r="B1133" s="8" t="s">
        <v>1329</v>
      </c>
      <c r="C1133" s="2" t="s">
        <v>45</v>
      </c>
      <c r="D1133" s="2" t="s">
        <v>46</v>
      </c>
      <c r="E1133" s="6">
        <v>45885.34442129629</v>
      </c>
      <c r="F1133" s="3" t="s">
        <v>47</v>
      </c>
      <c r="G1133" s="2" t="s">
        <v>16</v>
      </c>
      <c r="H1133" s="2"/>
      <c r="I1133" s="2" t="s">
        <v>17</v>
      </c>
      <c r="J1133" s="2"/>
      <c r="K1133" s="2" t="s">
        <v>18</v>
      </c>
      <c r="L1133" s="2"/>
    </row>
    <row r="1134">
      <c r="A1134" s="8" t="s">
        <v>1330</v>
      </c>
      <c r="B1134" s="8" t="s">
        <v>1330</v>
      </c>
      <c r="C1134" s="2" t="s">
        <v>326</v>
      </c>
      <c r="D1134" s="2" t="s">
        <v>327</v>
      </c>
      <c r="E1134" s="6">
        <v>45885.45892361111</v>
      </c>
      <c r="F1134" s="3" t="s">
        <v>328</v>
      </c>
      <c r="G1134" s="2" t="s">
        <v>24</v>
      </c>
      <c r="H1134" s="2"/>
      <c r="I1134" s="2"/>
      <c r="J1134" s="2"/>
      <c r="K1134" s="2" t="s">
        <v>18</v>
      </c>
      <c r="L1134" s="2"/>
    </row>
    <row r="1135">
      <c r="A1135" s="1"/>
      <c r="B1135" s="1"/>
      <c r="C1135" s="2"/>
      <c r="D1135" s="2"/>
      <c r="E1135" s="6"/>
      <c r="F1135" s="3"/>
      <c r="G1135" s="2"/>
      <c r="H1135" s="2"/>
      <c r="I1135" s="2"/>
      <c r="J1135" s="2"/>
      <c r="K1135" s="2"/>
      <c r="L1135" s="2"/>
    </row>
    <row r="1136">
      <c r="A1136" s="8" t="s">
        <v>1331</v>
      </c>
      <c r="B1136" s="8" t="s">
        <v>1331</v>
      </c>
      <c r="C1136" s="2" t="s">
        <v>934</v>
      </c>
      <c r="D1136" s="2" t="s">
        <v>935</v>
      </c>
      <c r="E1136" s="6">
        <v>45888.34855324074</v>
      </c>
      <c r="F1136" s="3" t="s">
        <v>936</v>
      </c>
      <c r="G1136" s="2" t="s">
        <v>16</v>
      </c>
      <c r="H1136" s="2"/>
      <c r="I1136" s="2" t="s">
        <v>395</v>
      </c>
      <c r="J1136" s="2"/>
      <c r="K1136" s="2" t="s">
        <v>18</v>
      </c>
      <c r="L1136" s="2"/>
    </row>
    <row r="1137">
      <c r="A1137" s="8" t="s">
        <v>1332</v>
      </c>
      <c r="B1137" s="8" t="s">
        <v>1332</v>
      </c>
      <c r="C1137" s="2" t="s">
        <v>1084</v>
      </c>
      <c r="D1137" s="2" t="s">
        <v>1085</v>
      </c>
      <c r="E1137" s="6">
        <v>45888.36211805556</v>
      </c>
      <c r="F1137" s="3" t="s">
        <v>1086</v>
      </c>
      <c r="G1137" s="2" t="s">
        <v>16</v>
      </c>
      <c r="H1137" s="2"/>
      <c r="I1137" s="2" t="s">
        <v>17</v>
      </c>
      <c r="J1137" s="2"/>
      <c r="K1137" s="2" t="s">
        <v>18</v>
      </c>
      <c r="L1137" s="2"/>
    </row>
    <row r="1138">
      <c r="A1138" s="8" t="s">
        <v>1333</v>
      </c>
      <c r="B1138" s="8" t="s">
        <v>1333</v>
      </c>
      <c r="C1138" s="2" t="s">
        <v>169</v>
      </c>
      <c r="D1138" s="2" t="s">
        <v>170</v>
      </c>
      <c r="E1138" s="6">
        <v>45888.363287037035</v>
      </c>
      <c r="F1138" s="3" t="s">
        <v>171</v>
      </c>
      <c r="G1138" s="2" t="s">
        <v>16</v>
      </c>
      <c r="H1138" s="2"/>
      <c r="I1138" s="2" t="s">
        <v>17</v>
      </c>
      <c r="J1138" s="2"/>
      <c r="K1138" s="2" t="s">
        <v>18</v>
      </c>
      <c r="L1138" s="2"/>
    </row>
    <row r="1139">
      <c r="A1139" s="1"/>
      <c r="B1139" s="1"/>
      <c r="C1139" s="2"/>
      <c r="D1139" s="2"/>
      <c r="E1139" s="6"/>
      <c r="F1139" s="3"/>
      <c r="G1139" s="2"/>
      <c r="H1139" s="2"/>
      <c r="I1139" s="2"/>
      <c r="J1139" s="2"/>
      <c r="K1139" s="2"/>
      <c r="L1139" s="2"/>
    </row>
    <row r="1140">
      <c r="A1140" s="8" t="s">
        <v>1334</v>
      </c>
      <c r="B1140" s="8" t="s">
        <v>1334</v>
      </c>
      <c r="C1140" s="2" t="s">
        <v>464</v>
      </c>
      <c r="D1140" s="2" t="s">
        <v>465</v>
      </c>
      <c r="E1140" s="6">
        <v>45888.37018518519</v>
      </c>
      <c r="F1140" s="3" t="s">
        <v>466</v>
      </c>
      <c r="G1140" s="2" t="s">
        <v>16</v>
      </c>
      <c r="H1140" s="2"/>
      <c r="I1140" s="2" t="s">
        <v>17</v>
      </c>
      <c r="J1140" s="2"/>
      <c r="K1140" s="2" t="s">
        <v>18</v>
      </c>
      <c r="L1140" s="2"/>
    </row>
    <row r="1141">
      <c r="A1141" s="8" t="s">
        <v>1335</v>
      </c>
      <c r="B1141" s="8" t="s">
        <v>1335</v>
      </c>
      <c r="C1141" s="2" t="s">
        <v>934</v>
      </c>
      <c r="D1141" s="2" t="s">
        <v>935</v>
      </c>
      <c r="E1141" s="6">
        <v>45888.37793981482</v>
      </c>
      <c r="F1141" s="3" t="s">
        <v>936</v>
      </c>
      <c r="G1141" s="2" t="s">
        <v>24</v>
      </c>
      <c r="H1141" s="2"/>
      <c r="I1141" s="2"/>
      <c r="J1141" s="2"/>
      <c r="K1141" s="2" t="s">
        <v>18</v>
      </c>
      <c r="L1141" s="2"/>
    </row>
    <row r="1142">
      <c r="A1142" s="8" t="s">
        <v>1336</v>
      </c>
      <c r="B1142" s="8" t="s">
        <v>1336</v>
      </c>
      <c r="C1142" s="2" t="s">
        <v>685</v>
      </c>
      <c r="D1142" s="2" t="s">
        <v>686</v>
      </c>
      <c r="E1142" s="6">
        <v>45888.40789351852</v>
      </c>
      <c r="F1142" s="3" t="s">
        <v>687</v>
      </c>
      <c r="G1142" s="2" t="s">
        <v>16</v>
      </c>
      <c r="H1142" s="2"/>
      <c r="I1142" s="2" t="s">
        <v>17</v>
      </c>
      <c r="J1142" s="2"/>
      <c r="K1142" s="2" t="s">
        <v>18</v>
      </c>
      <c r="L1142" s="2"/>
    </row>
    <row r="1143">
      <c r="A1143" s="8" t="s">
        <v>1337</v>
      </c>
      <c r="B1143" s="8" t="s">
        <v>1337</v>
      </c>
      <c r="C1143" s="2" t="s">
        <v>1014</v>
      </c>
      <c r="D1143" s="2" t="s">
        <v>1015</v>
      </c>
      <c r="E1143" s="6">
        <v>45888.413125</v>
      </c>
      <c r="F1143" s="3" t="s">
        <v>1016</v>
      </c>
      <c r="G1143" s="2" t="s">
        <v>24</v>
      </c>
      <c r="H1143" s="2"/>
      <c r="I1143" s="2"/>
      <c r="J1143" s="2"/>
      <c r="K1143" s="2" t="s">
        <v>18</v>
      </c>
      <c r="L1143" s="2"/>
    </row>
    <row r="1144">
      <c r="A1144" s="8" t="s">
        <v>1338</v>
      </c>
      <c r="B1144" s="8" t="s">
        <v>1338</v>
      </c>
      <c r="C1144" s="2" t="s">
        <v>1084</v>
      </c>
      <c r="D1144" s="2" t="s">
        <v>1085</v>
      </c>
      <c r="E1144" s="6">
        <v>45888.429027777776</v>
      </c>
      <c r="F1144" s="3" t="s">
        <v>1086</v>
      </c>
      <c r="G1144" s="2" t="s">
        <v>24</v>
      </c>
      <c r="H1144" s="2"/>
      <c r="I1144" s="2"/>
      <c r="J1144" s="2"/>
      <c r="K1144" s="2" t="s">
        <v>18</v>
      </c>
      <c r="L1144" s="2"/>
    </row>
    <row r="1145">
      <c r="A1145" s="8" t="s">
        <v>1339</v>
      </c>
      <c r="B1145" s="8" t="s">
        <v>1339</v>
      </c>
      <c r="C1145" s="2" t="s">
        <v>464</v>
      </c>
      <c r="D1145" s="2" t="s">
        <v>465</v>
      </c>
      <c r="E1145" s="6">
        <v>45888.47076388889</v>
      </c>
      <c r="F1145" s="3" t="s">
        <v>466</v>
      </c>
      <c r="G1145" s="2" t="s">
        <v>24</v>
      </c>
      <c r="H1145" s="2"/>
      <c r="I1145" s="2"/>
      <c r="J1145" s="2"/>
      <c r="K1145" s="2" t="s">
        <v>18</v>
      </c>
      <c r="L1145" s="2"/>
    </row>
    <row r="1146">
      <c r="A1146" s="8" t="s">
        <v>1340</v>
      </c>
      <c r="B1146" s="8" t="s">
        <v>1340</v>
      </c>
      <c r="C1146" s="2" t="s">
        <v>685</v>
      </c>
      <c r="D1146" s="2" t="s">
        <v>686</v>
      </c>
      <c r="E1146" s="6">
        <v>45888.62630787037</v>
      </c>
      <c r="F1146" s="3" t="s">
        <v>687</v>
      </c>
      <c r="G1146" s="2" t="s">
        <v>24</v>
      </c>
      <c r="H1146" s="2"/>
      <c r="I1146" s="2"/>
      <c r="J1146" s="2"/>
      <c r="K1146" s="2" t="s">
        <v>18</v>
      </c>
      <c r="L1146" s="2"/>
    </row>
    <row r="1147">
      <c r="A1147" s="8" t="s">
        <v>1341</v>
      </c>
      <c r="B1147" s="8" t="s">
        <v>1341</v>
      </c>
      <c r="C1147" s="2" t="s">
        <v>169</v>
      </c>
      <c r="D1147" s="2" t="s">
        <v>170</v>
      </c>
      <c r="E1147" s="6">
        <v>45888.62787037037</v>
      </c>
      <c r="F1147" s="3" t="s">
        <v>1137</v>
      </c>
      <c r="G1147" s="2" t="s">
        <v>24</v>
      </c>
      <c r="H1147" s="2"/>
      <c r="I1147" s="2"/>
      <c r="J1147" s="2"/>
      <c r="K1147" s="2" t="s">
        <v>18</v>
      </c>
      <c r="L1147" s="2"/>
    </row>
    <row r="1148">
      <c r="A1148" s="8" t="s">
        <v>1342</v>
      </c>
      <c r="B1148" s="8" t="s">
        <v>1342</v>
      </c>
      <c r="C1148" s="2" t="s">
        <v>309</v>
      </c>
      <c r="D1148" s="2" t="s">
        <v>310</v>
      </c>
      <c r="E1148" s="6">
        <v>45889.495092592595</v>
      </c>
      <c r="F1148" s="3" t="s">
        <v>311</v>
      </c>
      <c r="G1148" s="2" t="s">
        <v>16</v>
      </c>
      <c r="H1148" s="2"/>
      <c r="I1148" s="2" t="s">
        <v>395</v>
      </c>
      <c r="J1148" s="2"/>
      <c r="K1148" s="2" t="s">
        <v>18</v>
      </c>
      <c r="L1148" s="2"/>
    </row>
    <row r="1149">
      <c r="A1149" s="1"/>
      <c r="B1149" s="1"/>
      <c r="C1149" s="2"/>
      <c r="D1149" s="2"/>
      <c r="E1149" s="6"/>
      <c r="F1149" s="3"/>
      <c r="G1149" s="2"/>
      <c r="H1149" s="2"/>
      <c r="I1149" s="2"/>
      <c r="J1149" s="2"/>
      <c r="K1149" s="2"/>
      <c r="L1149" s="2"/>
    </row>
    <row r="1150">
      <c r="A1150" s="8" t="s">
        <v>1343</v>
      </c>
      <c r="B1150" s="8" t="s">
        <v>1343</v>
      </c>
      <c r="C1150" s="2" t="s">
        <v>309</v>
      </c>
      <c r="D1150" s="2" t="s">
        <v>310</v>
      </c>
      <c r="E1150" s="6">
        <v>45889.625601851854</v>
      </c>
      <c r="F1150" s="3" t="s">
        <v>311</v>
      </c>
      <c r="G1150" s="2" t="s">
        <v>24</v>
      </c>
      <c r="H1150" s="2"/>
      <c r="I1150" s="2"/>
      <c r="J1150" s="2"/>
      <c r="K1150" s="2" t="s">
        <v>18</v>
      </c>
      <c r="L1150" s="2"/>
    </row>
    <row r="1151">
      <c r="A1151" s="8" t="s">
        <v>1344</v>
      </c>
      <c r="B1151" s="8" t="s">
        <v>1344</v>
      </c>
      <c r="C1151" s="2" t="s">
        <v>55</v>
      </c>
      <c r="D1151" s="2" t="s">
        <v>56</v>
      </c>
      <c r="E1151" s="6">
        <v>45890.3384375</v>
      </c>
      <c r="F1151" s="3" t="s">
        <v>57</v>
      </c>
      <c r="G1151" s="2" t="s">
        <v>16</v>
      </c>
      <c r="H1151" s="2"/>
      <c r="I1151" s="2" t="s">
        <v>17</v>
      </c>
      <c r="J1151" s="2"/>
      <c r="K1151" s="2" t="s">
        <v>18</v>
      </c>
      <c r="L1151" s="2"/>
    </row>
    <row r="1152">
      <c r="A1152" s="8" t="s">
        <v>1345</v>
      </c>
      <c r="B1152" s="8" t="s">
        <v>1345</v>
      </c>
      <c r="C1152" s="2" t="s">
        <v>45</v>
      </c>
      <c r="D1152" s="2" t="s">
        <v>46</v>
      </c>
      <c r="E1152" s="6">
        <v>45890.34763888889</v>
      </c>
      <c r="F1152" s="3" t="s">
        <v>47</v>
      </c>
      <c r="G1152" s="2" t="s">
        <v>16</v>
      </c>
      <c r="H1152" s="2"/>
      <c r="I1152" s="2" t="s">
        <v>17</v>
      </c>
      <c r="J1152" s="2"/>
      <c r="K1152" s="2" t="s">
        <v>18</v>
      </c>
      <c r="L1152" s="2"/>
    </row>
    <row r="1153">
      <c r="A1153" s="8" t="s">
        <v>1346</v>
      </c>
      <c r="B1153" s="8" t="s">
        <v>1346</v>
      </c>
      <c r="C1153" s="2" t="s">
        <v>786</v>
      </c>
      <c r="D1153" s="2" t="s">
        <v>787</v>
      </c>
      <c r="E1153" s="6">
        <v>45890.48949074074</v>
      </c>
      <c r="F1153" s="3" t="s">
        <v>788</v>
      </c>
      <c r="G1153" s="2" t="s">
        <v>24</v>
      </c>
      <c r="H1153" s="2"/>
      <c r="I1153" s="2"/>
      <c r="J1153" s="2"/>
      <c r="K1153" s="2" t="s">
        <v>18</v>
      </c>
      <c r="L1153" s="2"/>
    </row>
    <row r="1154">
      <c r="A1154" s="8" t="s">
        <v>1347</v>
      </c>
      <c r="B1154" s="8" t="s">
        <v>1347</v>
      </c>
      <c r="C1154" s="2" t="s">
        <v>55</v>
      </c>
      <c r="D1154" s="2" t="s">
        <v>56</v>
      </c>
      <c r="E1154" s="6">
        <v>45890.491435185184</v>
      </c>
      <c r="F1154" s="3" t="s">
        <v>57</v>
      </c>
      <c r="G1154" s="2" t="s">
        <v>24</v>
      </c>
      <c r="H1154" s="2"/>
      <c r="I1154" s="2"/>
      <c r="J1154" s="2"/>
      <c r="K1154" s="2" t="s">
        <v>18</v>
      </c>
      <c r="L1154" s="2"/>
    </row>
    <row r="1155">
      <c r="A1155" s="8" t="s">
        <v>1348</v>
      </c>
      <c r="B1155" s="8" t="s">
        <v>1348</v>
      </c>
      <c r="C1155" s="2" t="s">
        <v>464</v>
      </c>
      <c r="D1155" s="2" t="s">
        <v>465</v>
      </c>
      <c r="E1155" s="6">
        <v>45891.40032407407</v>
      </c>
      <c r="F1155" s="3" t="s">
        <v>466</v>
      </c>
      <c r="G1155" s="2" t="s">
        <v>16</v>
      </c>
      <c r="H1155" s="2"/>
      <c r="I1155" s="2" t="s">
        <v>17</v>
      </c>
      <c r="J1155" s="2"/>
      <c r="K1155" s="2" t="s">
        <v>18</v>
      </c>
      <c r="L1155" s="2"/>
    </row>
    <row r="1156">
      <c r="A1156" s="8" t="s">
        <v>1349</v>
      </c>
      <c r="B1156" s="8" t="s">
        <v>1349</v>
      </c>
      <c r="C1156" s="2" t="s">
        <v>1084</v>
      </c>
      <c r="D1156" s="2" t="s">
        <v>1085</v>
      </c>
      <c r="E1156" s="6">
        <v>45891.438680555555</v>
      </c>
      <c r="F1156" s="3" t="s">
        <v>1086</v>
      </c>
      <c r="G1156" s="2" t="s">
        <v>159</v>
      </c>
      <c r="H1156" s="2"/>
      <c r="I1156" s="2"/>
      <c r="J1156" s="2"/>
      <c r="K1156" s="2" t="s">
        <v>18</v>
      </c>
      <c r="L1156" s="2"/>
    </row>
    <row r="1157">
      <c r="A1157" s="8" t="s">
        <v>1350</v>
      </c>
      <c r="B1157" s="8" t="s">
        <v>1350</v>
      </c>
      <c r="C1157" s="2" t="s">
        <v>464</v>
      </c>
      <c r="D1157" s="2" t="s">
        <v>465</v>
      </c>
      <c r="E1157" s="6">
        <v>45891.44976851852</v>
      </c>
      <c r="F1157" s="3" t="s">
        <v>466</v>
      </c>
      <c r="G1157" s="2" t="s">
        <v>24</v>
      </c>
      <c r="H1157" s="2"/>
      <c r="I1157" s="2"/>
      <c r="J1157" s="2"/>
      <c r="K1157" s="2" t="s">
        <v>18</v>
      </c>
      <c r="L1157" s="2"/>
    </row>
    <row r="1158">
      <c r="A1158" s="8" t="s">
        <v>1351</v>
      </c>
      <c r="B1158" s="8" t="s">
        <v>1351</v>
      </c>
      <c r="C1158" s="2" t="s">
        <v>320</v>
      </c>
      <c r="D1158" s="2" t="s">
        <v>321</v>
      </c>
      <c r="E1158" s="6">
        <v>45891.55486111111</v>
      </c>
      <c r="F1158" s="3" t="s">
        <v>322</v>
      </c>
      <c r="G1158" s="2" t="s">
        <v>16</v>
      </c>
      <c r="H1158" s="2" t="s">
        <v>1352</v>
      </c>
      <c r="I1158" s="2" t="s">
        <v>17</v>
      </c>
      <c r="J1158" s="2"/>
      <c r="K1158" s="2" t="s">
        <v>18</v>
      </c>
      <c r="L1158" s="2"/>
    </row>
    <row r="1159">
      <c r="A1159" s="8" t="s">
        <v>1353</v>
      </c>
      <c r="B1159" s="8" t="s">
        <v>1353</v>
      </c>
      <c r="C1159" s="2" t="s">
        <v>320</v>
      </c>
      <c r="D1159" s="2" t="s">
        <v>321</v>
      </c>
      <c r="E1159" s="6">
        <v>45891.5968287037</v>
      </c>
      <c r="F1159" s="3" t="s">
        <v>322</v>
      </c>
      <c r="G1159" s="2" t="s">
        <v>24</v>
      </c>
      <c r="H1159" s="2"/>
      <c r="I1159" s="2"/>
      <c r="J1159" s="2"/>
      <c r="K1159" s="2" t="s">
        <v>18</v>
      </c>
      <c r="L1159" s="2"/>
    </row>
    <row r="1160">
      <c r="A1160" s="8" t="s">
        <v>1354</v>
      </c>
      <c r="B1160" s="8" t="s">
        <v>1354</v>
      </c>
      <c r="C1160" s="2" t="s">
        <v>49</v>
      </c>
      <c r="D1160" s="2" t="s">
        <v>50</v>
      </c>
      <c r="E1160" s="6">
        <v>45892.38193287037</v>
      </c>
      <c r="F1160" s="3" t="s">
        <v>51</v>
      </c>
      <c r="G1160" s="2" t="s">
        <v>16</v>
      </c>
      <c r="H1160" s="2"/>
      <c r="I1160" s="2" t="s">
        <v>395</v>
      </c>
      <c r="J1160" s="2"/>
      <c r="K1160" s="2" t="s">
        <v>18</v>
      </c>
      <c r="L1160" s="2"/>
    </row>
    <row r="1161">
      <c r="A1161" s="8" t="s">
        <v>1355</v>
      </c>
      <c r="B1161" s="8" t="s">
        <v>1355</v>
      </c>
      <c r="C1161" s="2" t="s">
        <v>309</v>
      </c>
      <c r="D1161" s="2" t="s">
        <v>310</v>
      </c>
      <c r="E1161" s="6">
        <v>45892.38521990741</v>
      </c>
      <c r="F1161" s="3" t="s">
        <v>311</v>
      </c>
      <c r="G1161" s="2" t="s">
        <v>16</v>
      </c>
      <c r="H1161" s="2"/>
      <c r="I1161" s="2" t="s">
        <v>395</v>
      </c>
      <c r="J1161" s="2"/>
      <c r="K1161" s="2" t="s">
        <v>18</v>
      </c>
      <c r="L1161" s="2"/>
    </row>
    <row r="1162">
      <c r="A1162" s="8" t="s">
        <v>1356</v>
      </c>
      <c r="B1162" s="8" t="s">
        <v>1356</v>
      </c>
      <c r="C1162" s="2" t="s">
        <v>943</v>
      </c>
      <c r="D1162" s="2" t="s">
        <v>944</v>
      </c>
      <c r="E1162" s="6">
        <v>45892.39827546296</v>
      </c>
      <c r="F1162" s="3" t="s">
        <v>945</v>
      </c>
      <c r="G1162" s="2" t="s">
        <v>16</v>
      </c>
      <c r="H1162" s="2"/>
      <c r="I1162" s="2" t="s">
        <v>395</v>
      </c>
      <c r="J1162" s="2"/>
      <c r="K1162" s="2" t="s">
        <v>18</v>
      </c>
      <c r="L1162" s="2"/>
    </row>
    <row r="1163">
      <c r="A1163" s="8" t="s">
        <v>1357</v>
      </c>
      <c r="B1163" s="8" t="s">
        <v>1357</v>
      </c>
      <c r="C1163" s="2" t="s">
        <v>943</v>
      </c>
      <c r="D1163" s="2" t="s">
        <v>944</v>
      </c>
      <c r="E1163" s="6">
        <v>45892.48930555556</v>
      </c>
      <c r="F1163" s="3" t="s">
        <v>945</v>
      </c>
      <c r="G1163" s="2" t="s">
        <v>24</v>
      </c>
      <c r="H1163" s="2"/>
      <c r="I1163" s="2"/>
      <c r="J1163" s="2"/>
      <c r="K1163" s="2" t="s">
        <v>18</v>
      </c>
      <c r="L1163" s="2"/>
    </row>
    <row r="1164">
      <c r="A1164" s="8" t="s">
        <v>1358</v>
      </c>
      <c r="B1164" s="8" t="s">
        <v>1358</v>
      </c>
      <c r="C1164" s="2" t="s">
        <v>951</v>
      </c>
      <c r="D1164" s="2" t="s">
        <v>952</v>
      </c>
      <c r="E1164" s="6">
        <v>45894.368414351855</v>
      </c>
      <c r="F1164" s="3" t="s">
        <v>953</v>
      </c>
      <c r="G1164" s="2" t="s">
        <v>16</v>
      </c>
      <c r="H1164" s="2"/>
      <c r="I1164" s="2" t="s">
        <v>17</v>
      </c>
      <c r="J1164" s="2"/>
      <c r="K1164" s="2" t="s">
        <v>18</v>
      </c>
      <c r="L1164" s="2"/>
    </row>
    <row r="1165">
      <c r="A1165" s="8" t="s">
        <v>1359</v>
      </c>
      <c r="B1165" s="8" t="s">
        <v>1359</v>
      </c>
      <c r="C1165" s="2" t="s">
        <v>45</v>
      </c>
      <c r="D1165" s="2" t="s">
        <v>46</v>
      </c>
      <c r="E1165" s="6">
        <v>45894.433287037034</v>
      </c>
      <c r="F1165" s="3" t="s">
        <v>47</v>
      </c>
      <c r="G1165" s="2" t="s">
        <v>16</v>
      </c>
      <c r="H1165" s="2"/>
      <c r="I1165" s="2" t="s">
        <v>17</v>
      </c>
      <c r="J1165" s="2"/>
      <c r="K1165" s="2" t="s">
        <v>18</v>
      </c>
      <c r="L1165" s="2"/>
    </row>
    <row r="1166">
      <c r="A1166" s="8" t="s">
        <v>1360</v>
      </c>
      <c r="B1166" s="8" t="s">
        <v>1360</v>
      </c>
      <c r="C1166" s="2" t="s">
        <v>951</v>
      </c>
      <c r="D1166" s="2" t="s">
        <v>952</v>
      </c>
      <c r="E1166" s="6">
        <v>45894.45613425926</v>
      </c>
      <c r="F1166" s="3" t="s">
        <v>953</v>
      </c>
      <c r="G1166" s="2" t="s">
        <v>24</v>
      </c>
      <c r="H1166" s="2"/>
      <c r="I1166" s="2"/>
      <c r="J1166" s="2"/>
      <c r="K1166" s="2" t="s">
        <v>18</v>
      </c>
      <c r="L1166" s="2"/>
    </row>
    <row r="1167">
      <c r="A1167" s="8" t="s">
        <v>1361</v>
      </c>
      <c r="B1167" s="8" t="s">
        <v>1361</v>
      </c>
      <c r="C1167" s="2" t="s">
        <v>1203</v>
      </c>
      <c r="D1167" s="2" t="s">
        <v>1204</v>
      </c>
      <c r="E1167" s="6">
        <v>45894.579050925924</v>
      </c>
      <c r="F1167" s="3" t="s">
        <v>1205</v>
      </c>
      <c r="G1167" s="2" t="s">
        <v>16</v>
      </c>
      <c r="H1167" s="2"/>
      <c r="I1167" s="2" t="s">
        <v>17</v>
      </c>
      <c r="J1167" s="2"/>
      <c r="K1167" s="2" t="s">
        <v>18</v>
      </c>
      <c r="L1167" s="2"/>
    </row>
    <row r="1168">
      <c r="A1168" s="8" t="s">
        <v>1362</v>
      </c>
      <c r="B1168" s="8" t="s">
        <v>1362</v>
      </c>
      <c r="C1168" s="2" t="s">
        <v>1203</v>
      </c>
      <c r="D1168" s="2" t="s">
        <v>1204</v>
      </c>
      <c r="E1168" s="6">
        <v>45894.60895833333</v>
      </c>
      <c r="F1168" s="3" t="s">
        <v>1205</v>
      </c>
      <c r="G1168" s="2" t="s">
        <v>24</v>
      </c>
      <c r="H1168" s="2"/>
      <c r="I1168" s="2"/>
      <c r="J1168" s="2"/>
      <c r="K1168" s="2" t="s">
        <v>18</v>
      </c>
      <c r="L1168" s="2"/>
    </row>
    <row r="1169">
      <c r="A1169" s="8" t="s">
        <v>1363</v>
      </c>
      <c r="B1169" s="8" t="s">
        <v>1363</v>
      </c>
      <c r="C1169" s="2" t="s">
        <v>45</v>
      </c>
      <c r="D1169" s="2" t="s">
        <v>46</v>
      </c>
      <c r="E1169" s="6">
        <v>45895.4490625</v>
      </c>
      <c r="F1169" s="3" t="s">
        <v>47</v>
      </c>
      <c r="G1169" s="2" t="s">
        <v>16</v>
      </c>
      <c r="H1169" s="2"/>
      <c r="I1169" s="2" t="s">
        <v>17</v>
      </c>
      <c r="J1169" s="2"/>
      <c r="K1169" s="2" t="s">
        <v>18</v>
      </c>
      <c r="L1169" s="2"/>
    </row>
    <row r="1170">
      <c r="A1170" s="8" t="s">
        <v>1364</v>
      </c>
      <c r="B1170" s="8" t="s">
        <v>1364</v>
      </c>
      <c r="C1170" s="2" t="s">
        <v>786</v>
      </c>
      <c r="D1170" s="2" t="s">
        <v>787</v>
      </c>
      <c r="E1170" s="6">
        <v>45895.47479166667</v>
      </c>
      <c r="F1170" s="3" t="s">
        <v>788</v>
      </c>
      <c r="G1170" s="2" t="s">
        <v>16</v>
      </c>
      <c r="H1170" s="2" t="s">
        <v>1365</v>
      </c>
      <c r="I1170" s="2"/>
      <c r="J1170" s="2"/>
      <c r="K1170" s="2" t="s">
        <v>18</v>
      </c>
      <c r="L1170" s="2"/>
    </row>
    <row r="1171">
      <c r="A1171" s="8" t="s">
        <v>1366</v>
      </c>
      <c r="B1171" s="8" t="s">
        <v>1366</v>
      </c>
      <c r="C1171" s="2" t="s">
        <v>45</v>
      </c>
      <c r="D1171" s="2" t="s">
        <v>46</v>
      </c>
      <c r="E1171" s="6">
        <v>45895.59725694444</v>
      </c>
      <c r="F1171" s="3" t="s">
        <v>47</v>
      </c>
      <c r="G1171" s="2" t="s">
        <v>24</v>
      </c>
      <c r="H1171" s="2"/>
      <c r="I1171" s="2"/>
      <c r="J1171" s="2"/>
      <c r="K1171" s="2" t="s">
        <v>18</v>
      </c>
      <c r="L1171" s="2"/>
    </row>
    <row r="1172">
      <c r="A1172" s="8" t="s">
        <v>1367</v>
      </c>
      <c r="B1172" s="8" t="s">
        <v>1367</v>
      </c>
      <c r="C1172" s="2" t="s">
        <v>786</v>
      </c>
      <c r="D1172" s="2" t="s">
        <v>787</v>
      </c>
      <c r="E1172" s="6">
        <v>45896.34208333334</v>
      </c>
      <c r="F1172" s="3" t="s">
        <v>788</v>
      </c>
      <c r="G1172" s="2" t="s">
        <v>24</v>
      </c>
      <c r="H1172" s="2"/>
      <c r="I1172" s="2"/>
      <c r="J1172" s="2"/>
      <c r="K1172" s="2" t="s">
        <v>18</v>
      </c>
      <c r="L1172" s="2"/>
    </row>
    <row r="1173">
      <c r="A1173" s="8" t="s">
        <v>1368</v>
      </c>
      <c r="B1173" s="8" t="s">
        <v>1368</v>
      </c>
      <c r="C1173" s="2" t="s">
        <v>943</v>
      </c>
      <c r="D1173" s="2" t="s">
        <v>944</v>
      </c>
      <c r="E1173" s="6">
        <v>45896.402337962965</v>
      </c>
      <c r="F1173" s="3" t="s">
        <v>945</v>
      </c>
      <c r="G1173" s="2" t="s">
        <v>16</v>
      </c>
      <c r="H1173" s="2"/>
      <c r="I1173" s="2" t="s">
        <v>395</v>
      </c>
      <c r="J1173" s="2"/>
      <c r="K1173" s="2" t="s">
        <v>18</v>
      </c>
      <c r="L1173" s="2"/>
    </row>
    <row r="1174">
      <c r="A1174" s="8" t="s">
        <v>1369</v>
      </c>
      <c r="B1174" s="8" t="s">
        <v>1369</v>
      </c>
      <c r="C1174" s="2" t="s">
        <v>904</v>
      </c>
      <c r="D1174" s="2" t="s">
        <v>905</v>
      </c>
      <c r="E1174" s="6">
        <v>45896.404490740744</v>
      </c>
      <c r="F1174" s="3" t="s">
        <v>906</v>
      </c>
      <c r="G1174" s="2" t="s">
        <v>16</v>
      </c>
      <c r="H1174" s="2"/>
      <c r="I1174" s="2" t="s">
        <v>395</v>
      </c>
      <c r="J1174" s="2"/>
      <c r="K1174" s="2" t="s">
        <v>18</v>
      </c>
      <c r="L1174" s="2"/>
    </row>
    <row r="1175">
      <c r="A1175" s="8" t="s">
        <v>1370</v>
      </c>
      <c r="B1175" s="8" t="s">
        <v>1370</v>
      </c>
      <c r="C1175" s="2" t="s">
        <v>1371</v>
      </c>
      <c r="D1175" s="2" t="s">
        <v>1372</v>
      </c>
      <c r="E1175" s="6">
        <v>45896.4090162037</v>
      </c>
      <c r="F1175" s="3" t="s">
        <v>1373</v>
      </c>
      <c r="G1175" s="2" t="s">
        <v>16</v>
      </c>
      <c r="H1175" s="2"/>
      <c r="I1175" s="2" t="s">
        <v>17</v>
      </c>
      <c r="J1175" s="2"/>
      <c r="K1175" s="2" t="s">
        <v>18</v>
      </c>
      <c r="L1175" s="2"/>
    </row>
    <row r="1176">
      <c r="A1176" s="8" t="s">
        <v>1374</v>
      </c>
      <c r="B1176" s="8" t="s">
        <v>1374</v>
      </c>
      <c r="C1176" s="2" t="s">
        <v>49</v>
      </c>
      <c r="D1176" s="2" t="s">
        <v>50</v>
      </c>
      <c r="E1176" s="6">
        <v>45896.48153935185</v>
      </c>
      <c r="F1176" s="3" t="s">
        <v>51</v>
      </c>
      <c r="G1176" s="2" t="s">
        <v>24</v>
      </c>
      <c r="H1176" s="2"/>
      <c r="I1176" s="2"/>
      <c r="J1176" s="2"/>
      <c r="K1176" s="2" t="s">
        <v>18</v>
      </c>
      <c r="L1176" s="2"/>
    </row>
    <row r="1177">
      <c r="A1177" s="8" t="s">
        <v>1375</v>
      </c>
      <c r="B1177" s="8" t="s">
        <v>1375</v>
      </c>
      <c r="C1177" s="2" t="s">
        <v>20</v>
      </c>
      <c r="D1177" s="2" t="s">
        <v>21</v>
      </c>
      <c r="E1177" s="6">
        <v>45896.484560185185</v>
      </c>
      <c r="F1177" s="3" t="s">
        <v>22</v>
      </c>
      <c r="G1177" s="2" t="s">
        <v>24</v>
      </c>
      <c r="H1177" s="2"/>
      <c r="I1177" s="2"/>
      <c r="J1177" s="2"/>
      <c r="K1177" s="2" t="s">
        <v>18</v>
      </c>
      <c r="L1177" s="2"/>
    </row>
    <row r="1178">
      <c r="A1178" s="8" t="s">
        <v>1376</v>
      </c>
      <c r="B1178" s="8" t="s">
        <v>1376</v>
      </c>
      <c r="C1178" s="2" t="s">
        <v>951</v>
      </c>
      <c r="D1178" s="2" t="s">
        <v>952</v>
      </c>
      <c r="E1178" s="6">
        <v>45896.5330787037</v>
      </c>
      <c r="F1178" s="3" t="s">
        <v>953</v>
      </c>
      <c r="G1178" s="2" t="s">
        <v>16</v>
      </c>
      <c r="H1178" s="2"/>
      <c r="I1178" s="2" t="s">
        <v>17</v>
      </c>
      <c r="J1178" s="2"/>
      <c r="K1178" s="2" t="s">
        <v>18</v>
      </c>
      <c r="L1178" s="2"/>
    </row>
    <row r="1179">
      <c r="A1179" s="8" t="s">
        <v>1377</v>
      </c>
      <c r="B1179" s="8" t="s">
        <v>1377</v>
      </c>
      <c r="C1179" s="2" t="s">
        <v>904</v>
      </c>
      <c r="D1179" s="2" t="s">
        <v>905</v>
      </c>
      <c r="E1179" s="6">
        <v>45896.580034722225</v>
      </c>
      <c r="F1179" s="3" t="s">
        <v>906</v>
      </c>
      <c r="G1179" s="2" t="s">
        <v>24</v>
      </c>
      <c r="H1179" s="2"/>
      <c r="I1179" s="2"/>
      <c r="J1179" s="2"/>
      <c r="K1179" s="2" t="s">
        <v>18</v>
      </c>
      <c r="L1179" s="2"/>
    </row>
    <row r="1180">
      <c r="A1180" s="8" t="s">
        <v>1378</v>
      </c>
      <c r="B1180" s="8" t="s">
        <v>1378</v>
      </c>
      <c r="C1180" s="2" t="s">
        <v>951</v>
      </c>
      <c r="D1180" s="2" t="s">
        <v>952</v>
      </c>
      <c r="E1180" s="6">
        <v>45896.61032407408</v>
      </c>
      <c r="F1180" s="3" t="s">
        <v>953</v>
      </c>
      <c r="G1180" s="2" t="s">
        <v>24</v>
      </c>
      <c r="H1180" s="2"/>
      <c r="I1180" s="2"/>
      <c r="J1180" s="2"/>
      <c r="K1180" s="2" t="s">
        <v>18</v>
      </c>
      <c r="L1180" s="2"/>
    </row>
    <row r="1181">
      <c r="A1181" s="8" t="s">
        <v>1379</v>
      </c>
      <c r="B1181" s="8" t="s">
        <v>1379</v>
      </c>
      <c r="C1181" s="2" t="s">
        <v>45</v>
      </c>
      <c r="D1181" s="2" t="s">
        <v>46</v>
      </c>
      <c r="E1181" s="6">
        <v>45897.352638888886</v>
      </c>
      <c r="F1181" s="3" t="s">
        <v>47</v>
      </c>
      <c r="G1181" s="2" t="s">
        <v>16</v>
      </c>
      <c r="H1181" s="2"/>
      <c r="I1181" s="2" t="s">
        <v>17</v>
      </c>
      <c r="J1181" s="2"/>
      <c r="K1181" s="2" t="s">
        <v>18</v>
      </c>
      <c r="L1181" s="2"/>
    </row>
    <row r="1182">
      <c r="A1182" s="8" t="s">
        <v>1380</v>
      </c>
      <c r="B1182" s="8" t="s">
        <v>1380</v>
      </c>
      <c r="C1182" s="2" t="s">
        <v>1084</v>
      </c>
      <c r="D1182" s="2" t="s">
        <v>1085</v>
      </c>
      <c r="E1182" s="6">
        <v>45897.35702546296</v>
      </c>
      <c r="F1182" s="3" t="s">
        <v>1086</v>
      </c>
      <c r="G1182" s="2" t="s">
        <v>16</v>
      </c>
      <c r="H1182" s="2"/>
      <c r="I1182" s="2" t="s">
        <v>17</v>
      </c>
      <c r="J1182" s="2"/>
      <c r="K1182" s="2" t="s">
        <v>18</v>
      </c>
      <c r="L1182" s="2"/>
    </row>
    <row r="1183">
      <c r="A1183" s="8" t="s">
        <v>1381</v>
      </c>
      <c r="B1183" s="8" t="s">
        <v>1381</v>
      </c>
      <c r="C1183" s="2" t="s">
        <v>1084</v>
      </c>
      <c r="D1183" s="2" t="s">
        <v>1085</v>
      </c>
      <c r="E1183" s="6">
        <v>45897.44210648148</v>
      </c>
      <c r="F1183" s="3" t="s">
        <v>1086</v>
      </c>
      <c r="G1183" s="2" t="s">
        <v>24</v>
      </c>
      <c r="H1183" s="2"/>
      <c r="I1183" s="2"/>
      <c r="J1183" s="2"/>
      <c r="K1183" s="2" t="s">
        <v>18</v>
      </c>
      <c r="L1183" s="2"/>
    </row>
    <row r="1184">
      <c r="A1184" s="8" t="s">
        <v>1382</v>
      </c>
      <c r="B1184" s="8" t="s">
        <v>1382</v>
      </c>
      <c r="C1184" s="2" t="s">
        <v>169</v>
      </c>
      <c r="D1184" s="2" t="s">
        <v>170</v>
      </c>
      <c r="E1184" s="6">
        <v>45897.46325231482</v>
      </c>
      <c r="F1184" s="3" t="s">
        <v>171</v>
      </c>
      <c r="G1184" s="2" t="s">
        <v>16</v>
      </c>
      <c r="H1184" s="2"/>
      <c r="I1184" s="2" t="s">
        <v>17</v>
      </c>
      <c r="J1184" s="2"/>
      <c r="K1184" s="2" t="s">
        <v>18</v>
      </c>
      <c r="L1184" s="2"/>
    </row>
    <row r="1185">
      <c r="A1185" s="8" t="s">
        <v>1383</v>
      </c>
      <c r="B1185" s="8" t="s">
        <v>1383</v>
      </c>
      <c r="C1185" s="2" t="s">
        <v>1237</v>
      </c>
      <c r="D1185" s="2" t="s">
        <v>1238</v>
      </c>
      <c r="E1185" s="6">
        <v>45897.46875</v>
      </c>
      <c r="F1185" s="3" t="s">
        <v>1239</v>
      </c>
      <c r="G1185" s="2" t="s">
        <v>24</v>
      </c>
      <c r="H1185" s="2"/>
      <c r="I1185" s="2"/>
      <c r="J1185" s="2"/>
      <c r="K1185" s="2" t="s">
        <v>18</v>
      </c>
      <c r="L1185" s="2"/>
    </row>
    <row r="1186">
      <c r="A1186" s="8" t="s">
        <v>1384</v>
      </c>
      <c r="B1186" s="8" t="s">
        <v>1384</v>
      </c>
      <c r="C1186" s="2" t="s">
        <v>169</v>
      </c>
      <c r="D1186" s="2" t="s">
        <v>170</v>
      </c>
      <c r="E1186" s="6">
        <v>45897.60212962963</v>
      </c>
      <c r="F1186" s="3" t="s">
        <v>1137</v>
      </c>
      <c r="G1186" s="2" t="s">
        <v>24</v>
      </c>
      <c r="H1186" s="2"/>
      <c r="I1186" s="2"/>
      <c r="J1186" s="2"/>
      <c r="K1186" s="2" t="s">
        <v>18</v>
      </c>
      <c r="L1186" s="2"/>
    </row>
    <row r="1187">
      <c r="A1187" s="8" t="s">
        <v>1385</v>
      </c>
      <c r="B1187" s="8" t="s">
        <v>1385</v>
      </c>
      <c r="C1187" s="2" t="s">
        <v>326</v>
      </c>
      <c r="D1187" s="2" t="s">
        <v>327</v>
      </c>
      <c r="E1187" s="6">
        <v>45897.62805555556</v>
      </c>
      <c r="F1187" s="3" t="s">
        <v>328</v>
      </c>
      <c r="G1187" s="2" t="s">
        <v>24</v>
      </c>
      <c r="H1187" s="2"/>
      <c r="I1187" s="2"/>
      <c r="J1187" s="2"/>
      <c r="K1187" s="2" t="s">
        <v>18</v>
      </c>
      <c r="L1187" s="2"/>
    </row>
    <row r="1188">
      <c r="A1188" s="8" t="s">
        <v>1386</v>
      </c>
      <c r="B1188" s="8" t="s">
        <v>1386</v>
      </c>
      <c r="C1188" s="2" t="s">
        <v>1014</v>
      </c>
      <c r="D1188" s="2" t="s">
        <v>1015</v>
      </c>
      <c r="E1188" s="6">
        <v>45897.652349537035</v>
      </c>
      <c r="F1188" s="3" t="s">
        <v>1016</v>
      </c>
      <c r="G1188" s="2" t="s">
        <v>24</v>
      </c>
      <c r="H1188" s="2"/>
      <c r="I1188" s="2"/>
      <c r="J1188" s="2"/>
      <c r="K1188" s="2" t="s">
        <v>18</v>
      </c>
      <c r="L1188" s="2"/>
    </row>
    <row r="1189">
      <c r="A1189" s="8" t="s">
        <v>1387</v>
      </c>
      <c r="B1189" s="8" t="s">
        <v>1387</v>
      </c>
      <c r="C1189" s="2" t="s">
        <v>326</v>
      </c>
      <c r="D1189" s="2" t="s">
        <v>327</v>
      </c>
      <c r="E1189" s="6">
        <v>45898.37396990741</v>
      </c>
      <c r="F1189" s="3" t="s">
        <v>328</v>
      </c>
      <c r="G1189" s="2" t="s">
        <v>16</v>
      </c>
      <c r="H1189" s="2"/>
      <c r="I1189" s="2" t="s">
        <v>395</v>
      </c>
      <c r="J1189" s="2"/>
      <c r="K1189" s="2" t="s">
        <v>18</v>
      </c>
      <c r="L1189" s="2"/>
    </row>
    <row r="1190">
      <c r="A1190" s="8" t="s">
        <v>1388</v>
      </c>
      <c r="B1190" s="8" t="s">
        <v>1388</v>
      </c>
      <c r="C1190" s="2" t="s">
        <v>1228</v>
      </c>
      <c r="D1190" s="2" t="s">
        <v>1229</v>
      </c>
      <c r="E1190" s="6">
        <v>45898.38087962963</v>
      </c>
      <c r="F1190" s="3" t="s">
        <v>1230</v>
      </c>
      <c r="G1190" s="2" t="s">
        <v>16</v>
      </c>
      <c r="H1190" s="2"/>
      <c r="I1190" s="2" t="s">
        <v>17</v>
      </c>
      <c r="J1190" s="2"/>
      <c r="K1190" s="2" t="s">
        <v>18</v>
      </c>
      <c r="L1190" s="2"/>
    </row>
    <row r="1191">
      <c r="A1191" s="8" t="s">
        <v>1389</v>
      </c>
      <c r="B1191" s="8" t="s">
        <v>1389</v>
      </c>
      <c r="C1191" s="2" t="s">
        <v>109</v>
      </c>
      <c r="D1191" s="2" t="s">
        <v>110</v>
      </c>
      <c r="E1191" s="6">
        <v>45898.47336805556</v>
      </c>
      <c r="F1191" s="3" t="s">
        <v>111</v>
      </c>
      <c r="G1191" s="2" t="s">
        <v>24</v>
      </c>
      <c r="H1191" s="2"/>
      <c r="I1191" s="2"/>
      <c r="J1191" s="2"/>
      <c r="K1191" s="2" t="s">
        <v>18</v>
      </c>
      <c r="L1191" s="2"/>
    </row>
    <row r="1192">
      <c r="A1192" s="8" t="s">
        <v>1390</v>
      </c>
      <c r="B1192" s="8" t="s">
        <v>1390</v>
      </c>
      <c r="C1192" s="2" t="s">
        <v>1228</v>
      </c>
      <c r="D1192" s="2" t="s">
        <v>1229</v>
      </c>
      <c r="E1192" s="6">
        <v>45898.60475694444</v>
      </c>
      <c r="F1192" s="3" t="s">
        <v>1230</v>
      </c>
      <c r="G1192" s="2" t="s">
        <v>24</v>
      </c>
      <c r="H1192" s="2"/>
      <c r="I1192" s="2"/>
      <c r="J1192" s="2"/>
      <c r="K1192" s="2" t="s">
        <v>18</v>
      </c>
      <c r="L1192" s="2"/>
    </row>
    <row r="1193">
      <c r="A1193" s="8" t="s">
        <v>1391</v>
      </c>
      <c r="B1193" s="8" t="s">
        <v>1391</v>
      </c>
      <c r="C1193" s="2" t="s">
        <v>213</v>
      </c>
      <c r="D1193" s="2" t="s">
        <v>214</v>
      </c>
      <c r="E1193" s="6">
        <v>45898.61517361111</v>
      </c>
      <c r="F1193" s="3" t="s">
        <v>215</v>
      </c>
      <c r="G1193" s="2" t="s">
        <v>24</v>
      </c>
      <c r="H1193" s="2"/>
      <c r="I1193" s="2"/>
      <c r="J1193" s="2"/>
      <c r="K1193" s="2" t="s">
        <v>18</v>
      </c>
      <c r="L1193" s="2"/>
    </row>
    <row r="1194">
      <c r="A1194" s="8" t="s">
        <v>1392</v>
      </c>
      <c r="B1194" s="8" t="s">
        <v>1392</v>
      </c>
      <c r="C1194" s="2" t="s">
        <v>45</v>
      </c>
      <c r="D1194" s="2" t="s">
        <v>46</v>
      </c>
      <c r="E1194" s="6">
        <v>45899.409525462965</v>
      </c>
      <c r="F1194" s="3" t="s">
        <v>47</v>
      </c>
      <c r="G1194" s="2" t="s">
        <v>16</v>
      </c>
      <c r="H1194" s="2"/>
      <c r="I1194" s="2" t="s">
        <v>17</v>
      </c>
      <c r="J1194" s="2"/>
      <c r="K1194" s="2" t="s">
        <v>18</v>
      </c>
      <c r="L1194" s="2"/>
    </row>
    <row r="1195">
      <c r="A1195" s="8" t="s">
        <v>1393</v>
      </c>
      <c r="B1195" s="8" t="s">
        <v>1393</v>
      </c>
      <c r="C1195" s="2" t="s">
        <v>679</v>
      </c>
      <c r="D1195" s="2" t="s">
        <v>680</v>
      </c>
      <c r="E1195" s="6">
        <v>45899.530694444446</v>
      </c>
      <c r="F1195" s="3" t="s">
        <v>681</v>
      </c>
      <c r="G1195" s="2" t="s">
        <v>24</v>
      </c>
      <c r="H1195" s="2"/>
      <c r="I1195" s="2"/>
      <c r="J1195" s="2"/>
      <c r="K1195" s="2" t="s">
        <v>18</v>
      </c>
      <c r="L1195" s="2"/>
    </row>
    <row r="1196">
      <c r="A1196" s="8" t="s">
        <v>1394</v>
      </c>
      <c r="B1196" s="8" t="s">
        <v>1394</v>
      </c>
      <c r="C1196" s="2" t="s">
        <v>464</v>
      </c>
      <c r="D1196" s="2" t="s">
        <v>465</v>
      </c>
      <c r="E1196" s="6">
        <v>45899.531805555554</v>
      </c>
      <c r="F1196" s="3" t="s">
        <v>466</v>
      </c>
      <c r="G1196" s="2" t="s">
        <v>24</v>
      </c>
      <c r="H1196" s="2"/>
      <c r="I1196" s="2"/>
      <c r="J1196" s="2"/>
      <c r="K1196" s="2" t="s">
        <v>18</v>
      </c>
      <c r="L1196" s="2"/>
    </row>
    <row r="1197">
      <c r="A1197" s="8" t="s">
        <v>1395</v>
      </c>
      <c r="B1197" s="8" t="s">
        <v>1395</v>
      </c>
      <c r="C1197" s="2" t="s">
        <v>799</v>
      </c>
      <c r="D1197" s="2" t="s">
        <v>800</v>
      </c>
      <c r="E1197" s="6">
        <v>45899.5328125</v>
      </c>
      <c r="F1197" s="3" t="s">
        <v>801</v>
      </c>
      <c r="G1197" s="2" t="s">
        <v>24</v>
      </c>
      <c r="H1197" s="2"/>
      <c r="I1197" s="2"/>
      <c r="J1197" s="2"/>
      <c r="K1197" s="2" t="s">
        <v>18</v>
      </c>
      <c r="L1197" s="2"/>
    </row>
    <row r="1198">
      <c r="A1198" s="8" t="s">
        <v>1396</v>
      </c>
      <c r="B1198" s="8" t="s">
        <v>1396</v>
      </c>
      <c r="C1198" s="2" t="s">
        <v>934</v>
      </c>
      <c r="D1198" s="2" t="s">
        <v>935</v>
      </c>
      <c r="E1198" s="6">
        <v>45899.533472222225</v>
      </c>
      <c r="F1198" s="3" t="s">
        <v>936</v>
      </c>
      <c r="G1198" s="2" t="s">
        <v>24</v>
      </c>
      <c r="H1198" s="2"/>
      <c r="I1198" s="2"/>
      <c r="J1198" s="2"/>
      <c r="K1198" s="2" t="s">
        <v>18</v>
      </c>
      <c r="L1198" s="2"/>
    </row>
    <row r="1199">
      <c r="A1199" s="8" t="s">
        <v>1397</v>
      </c>
      <c r="B1199" s="8" t="s">
        <v>1397</v>
      </c>
      <c r="C1199" s="2" t="s">
        <v>934</v>
      </c>
      <c r="D1199" s="2" t="s">
        <v>935</v>
      </c>
      <c r="E1199" s="6">
        <v>45899.602175925924</v>
      </c>
      <c r="F1199" s="3" t="s">
        <v>936</v>
      </c>
      <c r="G1199" s="2" t="s">
        <v>16</v>
      </c>
      <c r="H1199" s="2"/>
      <c r="I1199" s="2" t="s">
        <v>395</v>
      </c>
      <c r="J1199" s="2"/>
      <c r="K1199" s="2" t="s">
        <v>18</v>
      </c>
      <c r="L1199" s="2"/>
    </row>
    <row r="1200">
      <c r="A1200" s="8" t="s">
        <v>1398</v>
      </c>
      <c r="B1200" s="8" t="s">
        <v>1398</v>
      </c>
      <c r="C1200" s="10" t="s">
        <v>1399</v>
      </c>
      <c r="D1200" s="2" t="s">
        <v>1400</v>
      </c>
      <c r="E1200" s="6">
        <v>45899.64346064815</v>
      </c>
      <c r="F1200" s="3" t="s">
        <v>1401</v>
      </c>
      <c r="G1200" s="2" t="s">
        <v>16</v>
      </c>
      <c r="H1200" s="2"/>
      <c r="I1200" s="2" t="s">
        <v>17</v>
      </c>
      <c r="J1200" s="2"/>
      <c r="K1200" s="2" t="s">
        <v>18</v>
      </c>
      <c r="L1200" s="2"/>
    </row>
    <row r="1201">
      <c r="A1201" s="8" t="s">
        <v>1402</v>
      </c>
      <c r="B1201" s="8" t="s">
        <v>1402</v>
      </c>
      <c r="C1201" s="2" t="s">
        <v>1084</v>
      </c>
      <c r="D1201" s="2" t="s">
        <v>1085</v>
      </c>
      <c r="E1201" s="6">
        <v>45901.3503125</v>
      </c>
      <c r="F1201" s="3" t="s">
        <v>1086</v>
      </c>
      <c r="G1201" s="2" t="s">
        <v>16</v>
      </c>
      <c r="H1201" s="2"/>
      <c r="I1201" s="2" t="s">
        <v>17</v>
      </c>
      <c r="J1201" s="2"/>
      <c r="K1201" s="2" t="s">
        <v>18</v>
      </c>
      <c r="L1201" s="2"/>
    </row>
    <row r="1202">
      <c r="A1202" s="8" t="s">
        <v>1403</v>
      </c>
      <c r="B1202" s="8" t="s">
        <v>1403</v>
      </c>
      <c r="C1202" s="2" t="s">
        <v>1084</v>
      </c>
      <c r="D1202" s="2" t="s">
        <v>1085</v>
      </c>
      <c r="E1202" s="6">
        <v>45901.35319444445</v>
      </c>
      <c r="F1202" s="3" t="s">
        <v>1086</v>
      </c>
      <c r="G1202" s="2" t="s">
        <v>159</v>
      </c>
      <c r="H1202" s="2"/>
      <c r="I1202" s="2"/>
      <c r="J1202" s="2"/>
      <c r="K1202" s="2" t="s">
        <v>18</v>
      </c>
      <c r="L1202" s="2"/>
    </row>
    <row r="1203">
      <c r="A1203" s="8" t="s">
        <v>1404</v>
      </c>
      <c r="B1203" s="8" t="s">
        <v>1404</v>
      </c>
      <c r="C1203" s="2" t="s">
        <v>493</v>
      </c>
      <c r="D1203" s="2" t="s">
        <v>494</v>
      </c>
      <c r="E1203" s="6">
        <v>45901.361284722225</v>
      </c>
      <c r="F1203" s="3" t="s">
        <v>495</v>
      </c>
      <c r="G1203" s="2" t="s">
        <v>16</v>
      </c>
      <c r="H1203" s="2"/>
      <c r="I1203" s="2" t="s">
        <v>17</v>
      </c>
      <c r="J1203" s="2"/>
      <c r="K1203" s="2" t="s">
        <v>18</v>
      </c>
      <c r="L1203" s="2"/>
    </row>
    <row r="1204">
      <c r="A1204" s="8" t="s">
        <v>1405</v>
      </c>
      <c r="B1204" s="8" t="s">
        <v>1405</v>
      </c>
      <c r="C1204" s="2" t="s">
        <v>1406</v>
      </c>
      <c r="D1204" s="2" t="s">
        <v>1407</v>
      </c>
      <c r="E1204" s="6">
        <v>45901.36375</v>
      </c>
      <c r="F1204" s="3" t="s">
        <v>1408</v>
      </c>
      <c r="G1204" s="2" t="s">
        <v>16</v>
      </c>
      <c r="H1204" s="2"/>
      <c r="I1204" s="2" t="s">
        <v>395</v>
      </c>
      <c r="J1204" s="2"/>
      <c r="K1204" s="2" t="s">
        <v>18</v>
      </c>
      <c r="L1204" s="2"/>
    </row>
    <row r="1205">
      <c r="A1205" s="8" t="s">
        <v>1409</v>
      </c>
      <c r="B1205" s="8" t="s">
        <v>1409</v>
      </c>
      <c r="C1205" s="2" t="s">
        <v>464</v>
      </c>
      <c r="D1205" s="2" t="s">
        <v>465</v>
      </c>
      <c r="E1205" s="6">
        <v>45901.44354166667</v>
      </c>
      <c r="F1205" s="3" t="s">
        <v>466</v>
      </c>
      <c r="G1205" s="2" t="s">
        <v>16</v>
      </c>
      <c r="H1205" s="2"/>
      <c r="I1205" s="2" t="s">
        <v>395</v>
      </c>
      <c r="J1205" s="2"/>
      <c r="K1205" s="2" t="s">
        <v>18</v>
      </c>
      <c r="L1205" s="2"/>
    </row>
    <row r="1206">
      <c r="A1206" s="8" t="s">
        <v>1410</v>
      </c>
      <c r="B1206" s="8" t="s">
        <v>1410</v>
      </c>
      <c r="C1206" s="2" t="s">
        <v>1084</v>
      </c>
      <c r="D1206" s="2" t="s">
        <v>1085</v>
      </c>
      <c r="E1206" s="6">
        <v>45901.44537037037</v>
      </c>
      <c r="F1206" s="3" t="s">
        <v>1086</v>
      </c>
      <c r="G1206" s="2" t="s">
        <v>24</v>
      </c>
      <c r="H1206" s="2"/>
      <c r="I1206" s="2"/>
      <c r="J1206" s="2"/>
      <c r="K1206" s="2" t="s">
        <v>18</v>
      </c>
      <c r="L1206" s="2"/>
    </row>
    <row r="1207">
      <c r="A1207" s="8" t="s">
        <v>1411</v>
      </c>
      <c r="B1207" s="8" t="s">
        <v>1411</v>
      </c>
      <c r="C1207" s="2" t="s">
        <v>169</v>
      </c>
      <c r="D1207" s="2" t="s">
        <v>170</v>
      </c>
      <c r="E1207" s="6">
        <v>45901.46844907408</v>
      </c>
      <c r="F1207" s="3" t="s">
        <v>1137</v>
      </c>
      <c r="G1207" s="2" t="s">
        <v>24</v>
      </c>
      <c r="H1207" s="2"/>
      <c r="I1207" s="2"/>
      <c r="J1207" s="2"/>
      <c r="K1207" s="2" t="s">
        <v>18</v>
      </c>
      <c r="L1207" s="2"/>
    </row>
    <row r="1208">
      <c r="A1208" s="8" t="s">
        <v>1412</v>
      </c>
      <c r="B1208" s="8" t="s">
        <v>1412</v>
      </c>
      <c r="C1208" s="2" t="s">
        <v>464</v>
      </c>
      <c r="D1208" s="2" t="s">
        <v>465</v>
      </c>
      <c r="E1208" s="6">
        <v>45901.624976851854</v>
      </c>
      <c r="F1208" s="3" t="s">
        <v>466</v>
      </c>
      <c r="G1208" s="2" t="s">
        <v>24</v>
      </c>
      <c r="H1208" s="2"/>
      <c r="I1208" s="2"/>
      <c r="J1208" s="2"/>
      <c r="K1208" s="2" t="s">
        <v>18</v>
      </c>
      <c r="L1208" s="2"/>
    </row>
    <row r="1209">
      <c r="A1209" s="8" t="s">
        <v>1413</v>
      </c>
      <c r="B1209" s="8" t="s">
        <v>1413</v>
      </c>
      <c r="C1209" s="2" t="s">
        <v>326</v>
      </c>
      <c r="D1209" s="2" t="s">
        <v>327</v>
      </c>
      <c r="E1209" s="6">
        <v>45901.625868055555</v>
      </c>
      <c r="F1209" s="3" t="s">
        <v>328</v>
      </c>
      <c r="G1209" s="2" t="s">
        <v>24</v>
      </c>
      <c r="H1209" s="2"/>
      <c r="I1209" s="2"/>
      <c r="J1209" s="2"/>
      <c r="K1209" s="2" t="s">
        <v>18</v>
      </c>
      <c r="L1209" s="2"/>
    </row>
    <row r="1210">
      <c r="A1210" s="8" t="s">
        <v>1414</v>
      </c>
      <c r="B1210" s="8" t="s">
        <v>1414</v>
      </c>
      <c r="C1210" s="2" t="s">
        <v>493</v>
      </c>
      <c r="D1210" s="2" t="s">
        <v>494</v>
      </c>
      <c r="E1210" s="6">
        <v>45901.664606481485</v>
      </c>
      <c r="F1210" s="3" t="s">
        <v>495</v>
      </c>
      <c r="G1210" s="2" t="s">
        <v>24</v>
      </c>
      <c r="H1210" s="2"/>
      <c r="I1210" s="2"/>
      <c r="J1210" s="2"/>
      <c r="K1210" s="2" t="s">
        <v>18</v>
      </c>
      <c r="L1210" s="2"/>
    </row>
    <row r="1211">
      <c r="A1211" s="8" t="s">
        <v>1415</v>
      </c>
      <c r="B1211" s="8" t="s">
        <v>1415</v>
      </c>
      <c r="C1211" s="2" t="s">
        <v>213</v>
      </c>
      <c r="D1211" s="2" t="s">
        <v>214</v>
      </c>
      <c r="E1211" s="6">
        <v>45902.384305555555</v>
      </c>
      <c r="F1211" s="3" t="s">
        <v>215</v>
      </c>
      <c r="G1211" s="2" t="s">
        <v>16</v>
      </c>
      <c r="H1211" s="2"/>
      <c r="I1211" s="2" t="s">
        <v>17</v>
      </c>
      <c r="J1211" s="2"/>
      <c r="K1211" s="2" t="s">
        <v>18</v>
      </c>
      <c r="L1211" s="2"/>
    </row>
    <row r="1212">
      <c r="A1212" s="8" t="s">
        <v>1416</v>
      </c>
      <c r="B1212" s="8" t="s">
        <v>1416</v>
      </c>
      <c r="C1212" s="2" t="s">
        <v>951</v>
      </c>
      <c r="D1212" s="2" t="s">
        <v>952</v>
      </c>
      <c r="E1212" s="6">
        <v>45902.38717592593</v>
      </c>
      <c r="F1212" s="3" t="s">
        <v>953</v>
      </c>
      <c r="G1212" s="2" t="s">
        <v>16</v>
      </c>
      <c r="H1212" s="2"/>
      <c r="I1212" s="2" t="s">
        <v>17</v>
      </c>
      <c r="J1212" s="2"/>
      <c r="K1212" s="2" t="s">
        <v>18</v>
      </c>
      <c r="L1212" s="2"/>
    </row>
    <row r="1213">
      <c r="A1213" s="8" t="s">
        <v>1417</v>
      </c>
      <c r="B1213" s="8" t="s">
        <v>1417</v>
      </c>
      <c r="C1213" s="2" t="s">
        <v>45</v>
      </c>
      <c r="D1213" s="2" t="s">
        <v>46</v>
      </c>
      <c r="E1213" s="6">
        <v>45902.658217592594</v>
      </c>
      <c r="F1213" s="3" t="s">
        <v>47</v>
      </c>
      <c r="G1213" s="2" t="s">
        <v>16</v>
      </c>
      <c r="H1213" s="2"/>
      <c r="I1213" s="2" t="s">
        <v>17</v>
      </c>
      <c r="J1213" s="2"/>
      <c r="K1213" s="2" t="s">
        <v>18</v>
      </c>
      <c r="L1213" s="2"/>
    </row>
    <row r="1214">
      <c r="A1214" s="8" t="s">
        <v>1418</v>
      </c>
      <c r="B1214" s="8" t="s">
        <v>1418</v>
      </c>
      <c r="C1214" s="2" t="s">
        <v>951</v>
      </c>
      <c r="D1214" s="2" t="s">
        <v>952</v>
      </c>
      <c r="E1214" s="6">
        <v>45902.66574074074</v>
      </c>
      <c r="F1214" s="3" t="s">
        <v>953</v>
      </c>
      <c r="G1214" s="2" t="s">
        <v>24</v>
      </c>
      <c r="H1214" s="2"/>
      <c r="I1214" s="2"/>
      <c r="J1214" s="2"/>
      <c r="K1214" s="2" t="s">
        <v>18</v>
      </c>
      <c r="L1214" s="2"/>
    </row>
    <row r="1215">
      <c r="A1215" s="8" t="s">
        <v>1419</v>
      </c>
      <c r="B1215" s="8" t="s">
        <v>1419</v>
      </c>
      <c r="C1215" s="2" t="s">
        <v>55</v>
      </c>
      <c r="D1215" s="2" t="s">
        <v>56</v>
      </c>
      <c r="E1215" s="6">
        <v>45903.3993287037</v>
      </c>
      <c r="F1215" s="3" t="s">
        <v>57</v>
      </c>
      <c r="G1215" s="2" t="s">
        <v>24</v>
      </c>
      <c r="H1215" s="2"/>
      <c r="I1215" s="2"/>
      <c r="J1215" s="2"/>
      <c r="K1215" s="2" t="s">
        <v>18</v>
      </c>
      <c r="L1215" s="2"/>
    </row>
    <row r="1216">
      <c r="A1216" s="8" t="s">
        <v>1420</v>
      </c>
      <c r="B1216" s="8" t="s">
        <v>1420</v>
      </c>
      <c r="C1216" s="2" t="s">
        <v>1203</v>
      </c>
      <c r="D1216" s="2" t="s">
        <v>1204</v>
      </c>
      <c r="E1216" s="6">
        <v>45903.49108796296</v>
      </c>
      <c r="F1216" s="3" t="s">
        <v>1205</v>
      </c>
      <c r="G1216" s="2" t="s">
        <v>16</v>
      </c>
      <c r="H1216" s="2"/>
      <c r="I1216" s="2" t="s">
        <v>17</v>
      </c>
      <c r="J1216" s="2"/>
      <c r="K1216" s="2" t="s">
        <v>18</v>
      </c>
      <c r="L1216" s="2"/>
    </row>
    <row r="1217">
      <c r="A1217" s="8" t="s">
        <v>1421</v>
      </c>
      <c r="B1217" s="8" t="s">
        <v>1421</v>
      </c>
      <c r="C1217" s="2" t="s">
        <v>55</v>
      </c>
      <c r="D1217" s="2" t="s">
        <v>56</v>
      </c>
      <c r="E1217" s="6">
        <v>45903.513761574075</v>
      </c>
      <c r="F1217" s="3" t="s">
        <v>57</v>
      </c>
      <c r="G1217" s="2" t="s">
        <v>16</v>
      </c>
      <c r="H1217" s="2"/>
      <c r="I1217" s="2" t="s">
        <v>17</v>
      </c>
      <c r="J1217" s="2"/>
      <c r="K1217" s="2" t="s">
        <v>18</v>
      </c>
      <c r="L1217" s="2"/>
    </row>
    <row r="1218">
      <c r="A1218" s="1"/>
      <c r="B1218" s="1"/>
      <c r="C1218" s="2"/>
      <c r="D1218" s="2"/>
      <c r="E1218" s="6"/>
      <c r="F1218" s="3"/>
      <c r="G1218" s="2"/>
      <c r="H1218" s="2"/>
      <c r="I1218" s="2"/>
      <c r="J1218" s="2"/>
      <c r="K1218" s="2"/>
      <c r="L1218" s="2"/>
    </row>
    <row r="1219">
      <c r="A1219" s="8" t="s">
        <v>1422</v>
      </c>
      <c r="B1219" s="8" t="s">
        <v>1422</v>
      </c>
      <c r="C1219" s="2" t="s">
        <v>943</v>
      </c>
      <c r="D1219" s="2" t="s">
        <v>944</v>
      </c>
      <c r="E1219" s="6">
        <v>45904.36384259259</v>
      </c>
      <c r="F1219" s="3" t="s">
        <v>945</v>
      </c>
      <c r="G1219" s="2" t="s">
        <v>16</v>
      </c>
      <c r="H1219" s="2"/>
      <c r="I1219" s="2" t="s">
        <v>395</v>
      </c>
      <c r="J1219" s="2"/>
      <c r="K1219" s="2" t="s">
        <v>18</v>
      </c>
      <c r="L1219" s="2"/>
    </row>
    <row r="1220">
      <c r="A1220" s="8" t="s">
        <v>1423</v>
      </c>
      <c r="B1220" s="8" t="s">
        <v>1423</v>
      </c>
      <c r="C1220" s="2" t="s">
        <v>1203</v>
      </c>
      <c r="D1220" s="2" t="s">
        <v>1204</v>
      </c>
      <c r="E1220" s="6">
        <v>45904.366215277776</v>
      </c>
      <c r="F1220" s="3" t="s">
        <v>1205</v>
      </c>
      <c r="G1220" s="2" t="s">
        <v>24</v>
      </c>
      <c r="H1220" s="2"/>
      <c r="I1220" s="2"/>
      <c r="J1220" s="2"/>
      <c r="K1220" s="2" t="s">
        <v>18</v>
      </c>
      <c r="L1220" s="2"/>
    </row>
    <row r="1221">
      <c r="A1221" s="8" t="s">
        <v>1424</v>
      </c>
      <c r="B1221" s="8" t="s">
        <v>1424</v>
      </c>
      <c r="C1221" s="2" t="s">
        <v>943</v>
      </c>
      <c r="D1221" s="2" t="s">
        <v>944</v>
      </c>
      <c r="E1221" s="6">
        <v>45904.54890046296</v>
      </c>
      <c r="F1221" s="3" t="s">
        <v>945</v>
      </c>
      <c r="G1221" s="2" t="s">
        <v>24</v>
      </c>
      <c r="H1221" s="2"/>
      <c r="I1221" s="2"/>
      <c r="J1221" s="2"/>
      <c r="K1221" s="2" t="s">
        <v>18</v>
      </c>
      <c r="L1221" s="2"/>
    </row>
    <row r="1222">
      <c r="A1222" s="8" t="s">
        <v>1425</v>
      </c>
      <c r="B1222" s="8" t="s">
        <v>1425</v>
      </c>
      <c r="C1222" s="2" t="s">
        <v>326</v>
      </c>
      <c r="D1222" s="2" t="s">
        <v>327</v>
      </c>
      <c r="E1222" s="6">
        <v>45904.55064814815</v>
      </c>
      <c r="F1222" s="3" t="s">
        <v>328</v>
      </c>
      <c r="G1222" s="2" t="s">
        <v>24</v>
      </c>
      <c r="H1222" s="2"/>
      <c r="I1222" s="2"/>
      <c r="J1222" s="2"/>
      <c r="K1222" s="2" t="s">
        <v>18</v>
      </c>
      <c r="L1222" s="2"/>
    </row>
    <row r="1223">
      <c r="A1223" s="8" t="s">
        <v>1426</v>
      </c>
      <c r="B1223" s="8" t="s">
        <v>1426</v>
      </c>
      <c r="C1223" s="2" t="s">
        <v>1084</v>
      </c>
      <c r="D1223" s="2" t="s">
        <v>1085</v>
      </c>
      <c r="E1223" s="6">
        <v>45906.348391203705</v>
      </c>
      <c r="F1223" s="3" t="s">
        <v>1086</v>
      </c>
      <c r="G1223" s="2" t="s">
        <v>24</v>
      </c>
      <c r="H1223" s="2"/>
      <c r="I1223" s="2"/>
      <c r="J1223" s="2"/>
      <c r="K1223" s="2" t="s">
        <v>18</v>
      </c>
      <c r="L1223" s="2"/>
    </row>
    <row r="1224">
      <c r="A1224" s="8" t="s">
        <v>1427</v>
      </c>
      <c r="B1224" s="8" t="s">
        <v>1427</v>
      </c>
      <c r="C1224" s="2" t="s">
        <v>1237</v>
      </c>
      <c r="D1224" s="2" t="s">
        <v>1238</v>
      </c>
      <c r="E1224" s="6">
        <v>45906.35597222222</v>
      </c>
      <c r="F1224" s="3" t="s">
        <v>1239</v>
      </c>
      <c r="G1224" s="2" t="s">
        <v>24</v>
      </c>
      <c r="H1224" s="2"/>
      <c r="I1224" s="2"/>
      <c r="J1224" s="2"/>
      <c r="K1224" s="2" t="s">
        <v>18</v>
      </c>
      <c r="L1224" s="2"/>
    </row>
    <row r="1225">
      <c r="A1225" s="8" t="s">
        <v>1428</v>
      </c>
      <c r="B1225" s="8" t="s">
        <v>1428</v>
      </c>
      <c r="C1225" s="2" t="s">
        <v>49</v>
      </c>
      <c r="D1225" s="2" t="s">
        <v>50</v>
      </c>
      <c r="E1225" s="6">
        <v>45906.36127314815</v>
      </c>
      <c r="F1225" s="3" t="s">
        <v>51</v>
      </c>
      <c r="G1225" s="2" t="s">
        <v>24</v>
      </c>
      <c r="H1225" s="2"/>
      <c r="I1225" s="2"/>
      <c r="J1225" s="2"/>
      <c r="K1225" s="2" t="s">
        <v>18</v>
      </c>
      <c r="L1225" s="2"/>
    </row>
    <row r="1226">
      <c r="A1226" s="8" t="s">
        <v>1429</v>
      </c>
      <c r="B1226" s="8" t="s">
        <v>1429</v>
      </c>
      <c r="C1226" s="2" t="s">
        <v>786</v>
      </c>
      <c r="D1226" s="2" t="s">
        <v>787</v>
      </c>
      <c r="E1226" s="6">
        <v>45906.382048611114</v>
      </c>
      <c r="F1226" s="3" t="s">
        <v>788</v>
      </c>
      <c r="G1226" s="2" t="s">
        <v>16</v>
      </c>
      <c r="H1226" s="2"/>
      <c r="I1226" s="2" t="s">
        <v>17</v>
      </c>
      <c r="J1226" s="2"/>
      <c r="K1226" s="2" t="s">
        <v>18</v>
      </c>
      <c r="L1226" s="2"/>
    </row>
    <row r="1227">
      <c r="A1227" s="8" t="s">
        <v>1430</v>
      </c>
      <c r="B1227" s="8" t="s">
        <v>1430</v>
      </c>
      <c r="C1227" s="2" t="s">
        <v>1311</v>
      </c>
      <c r="D1227" s="2" t="s">
        <v>1010</v>
      </c>
      <c r="E1227" s="6">
        <v>45906.383622685185</v>
      </c>
      <c r="F1227" s="3" t="s">
        <v>1312</v>
      </c>
      <c r="G1227" s="2" t="s">
        <v>16</v>
      </c>
      <c r="H1227" s="2"/>
      <c r="I1227" s="2" t="s">
        <v>395</v>
      </c>
      <c r="J1227" s="2"/>
      <c r="K1227" s="2" t="s">
        <v>18</v>
      </c>
      <c r="L1227" s="2"/>
    </row>
    <row r="1228">
      <c r="A1228" s="8" t="s">
        <v>1431</v>
      </c>
      <c r="B1228" s="8" t="s">
        <v>1431</v>
      </c>
      <c r="C1228" s="2" t="s">
        <v>1183</v>
      </c>
      <c r="D1228" s="2" t="s">
        <v>1184</v>
      </c>
      <c r="E1228" s="6">
        <v>45906.4278587963</v>
      </c>
      <c r="F1228" s="3" t="s">
        <v>1185</v>
      </c>
      <c r="G1228" s="2" t="s">
        <v>16</v>
      </c>
      <c r="H1228" s="2"/>
      <c r="I1228" s="2" t="s">
        <v>17</v>
      </c>
      <c r="J1228" s="2"/>
      <c r="K1228" s="2" t="s">
        <v>18</v>
      </c>
      <c r="L1228" s="2"/>
    </row>
    <row r="1229">
      <c r="A1229" s="8" t="s">
        <v>1432</v>
      </c>
      <c r="B1229" s="8" t="s">
        <v>1432</v>
      </c>
      <c r="C1229" s="2" t="s">
        <v>1183</v>
      </c>
      <c r="D1229" s="2" t="s">
        <v>1184</v>
      </c>
      <c r="E1229" s="6">
        <v>45906.461909722224</v>
      </c>
      <c r="F1229" s="3" t="s">
        <v>1185</v>
      </c>
      <c r="G1229" s="2" t="s">
        <v>24</v>
      </c>
      <c r="H1229" s="2"/>
      <c r="I1229" s="2"/>
      <c r="J1229" s="2"/>
      <c r="K1229" s="2" t="s">
        <v>18</v>
      </c>
      <c r="L1229" s="2"/>
    </row>
    <row r="1230">
      <c r="A1230" s="8" t="s">
        <v>1433</v>
      </c>
      <c r="B1230" s="8" t="s">
        <v>1433</v>
      </c>
      <c r="C1230" s="2" t="s">
        <v>1311</v>
      </c>
      <c r="D1230" s="2" t="s">
        <v>1010</v>
      </c>
      <c r="E1230" s="6">
        <v>45906.52075231481</v>
      </c>
      <c r="F1230" s="3" t="s">
        <v>1312</v>
      </c>
      <c r="G1230" s="2" t="s">
        <v>24</v>
      </c>
      <c r="H1230" s="2"/>
      <c r="I1230" s="2"/>
      <c r="J1230" s="2"/>
      <c r="K1230" s="2" t="s">
        <v>18</v>
      </c>
      <c r="L1230" s="2"/>
    </row>
    <row r="1231">
      <c r="A1231" s="8" t="s">
        <v>1434</v>
      </c>
      <c r="B1231" s="8" t="s">
        <v>1434</v>
      </c>
      <c r="C1231" s="2" t="s">
        <v>786</v>
      </c>
      <c r="D1231" s="2" t="s">
        <v>787</v>
      </c>
      <c r="E1231" s="6">
        <v>45906.52202546296</v>
      </c>
      <c r="F1231" s="3" t="s">
        <v>788</v>
      </c>
      <c r="G1231" s="2" t="s">
        <v>24</v>
      </c>
      <c r="H1231" s="2"/>
      <c r="I1231" s="2"/>
      <c r="J1231" s="2"/>
      <c r="K1231" s="2" t="s">
        <v>18</v>
      </c>
      <c r="L1231" s="2"/>
    </row>
    <row r="1232">
      <c r="A1232" s="8" t="s">
        <v>1435</v>
      </c>
      <c r="B1232" s="8" t="s">
        <v>1435</v>
      </c>
      <c r="C1232" s="2" t="s">
        <v>326</v>
      </c>
      <c r="D1232" s="2" t="s">
        <v>327</v>
      </c>
      <c r="E1232" s="6">
        <v>45906.52744212963</v>
      </c>
      <c r="F1232" s="3" t="s">
        <v>328</v>
      </c>
      <c r="G1232" s="2" t="s">
        <v>24</v>
      </c>
      <c r="H1232" s="2"/>
      <c r="I1232" s="2"/>
      <c r="J1232" s="2"/>
      <c r="K1232" s="2" t="s">
        <v>18</v>
      </c>
      <c r="L1232" s="2"/>
    </row>
    <row r="1233">
      <c r="A1233" s="8" t="s">
        <v>1436</v>
      </c>
      <c r="B1233" s="8" t="s">
        <v>1436</v>
      </c>
      <c r="C1233" s="2" t="s">
        <v>1228</v>
      </c>
      <c r="D1233" s="2" t="s">
        <v>1229</v>
      </c>
      <c r="E1233" s="6">
        <v>45861.54027777778</v>
      </c>
      <c r="F1233" s="3" t="s">
        <v>1230</v>
      </c>
      <c r="G1233" s="2" t="s">
        <v>16</v>
      </c>
      <c r="H1233" s="2"/>
      <c r="I1233" s="2" t="s">
        <v>17</v>
      </c>
      <c r="J1233" s="2"/>
      <c r="K1233" s="2" t="s">
        <v>18</v>
      </c>
      <c r="L1233" s="2"/>
    </row>
    <row r="1234">
      <c r="A1234" s="8" t="s">
        <v>1437</v>
      </c>
      <c r="B1234" s="8" t="s">
        <v>1437</v>
      </c>
      <c r="C1234" s="2" t="s">
        <v>326</v>
      </c>
      <c r="D1234" s="2" t="s">
        <v>327</v>
      </c>
      <c r="E1234" s="6">
        <v>45908.34265046296</v>
      </c>
      <c r="F1234" s="3" t="s">
        <v>328</v>
      </c>
      <c r="G1234" s="2" t="s">
        <v>16</v>
      </c>
      <c r="H1234" s="2"/>
      <c r="I1234" s="2" t="s">
        <v>395</v>
      </c>
      <c r="J1234" s="2"/>
      <c r="K1234" s="2" t="s">
        <v>18</v>
      </c>
      <c r="L1234" s="2"/>
    </row>
    <row r="1235">
      <c r="A1235" s="8" t="s">
        <v>1438</v>
      </c>
      <c r="B1235" s="8" t="s">
        <v>1438</v>
      </c>
      <c r="C1235" s="2" t="s">
        <v>943</v>
      </c>
      <c r="D1235" s="2" t="s">
        <v>944</v>
      </c>
      <c r="E1235" s="6">
        <v>45908.34410879629</v>
      </c>
      <c r="F1235" s="3" t="s">
        <v>945</v>
      </c>
      <c r="G1235" s="2" t="s">
        <v>16</v>
      </c>
      <c r="H1235" s="2"/>
      <c r="I1235" s="2" t="s">
        <v>395</v>
      </c>
      <c r="J1235" s="2"/>
      <c r="K1235" s="2" t="s">
        <v>18</v>
      </c>
      <c r="L1235" s="2"/>
    </row>
    <row r="1236">
      <c r="A1236" s="8" t="s">
        <v>1439</v>
      </c>
      <c r="B1236" s="8" t="s">
        <v>1439</v>
      </c>
      <c r="C1236" s="2" t="s">
        <v>1144</v>
      </c>
      <c r="D1236" s="2" t="s">
        <v>1145</v>
      </c>
      <c r="E1236" s="6">
        <v>45908.34452546296</v>
      </c>
      <c r="F1236" s="3" t="s">
        <v>1440</v>
      </c>
      <c r="G1236" s="2" t="s">
        <v>16</v>
      </c>
      <c r="H1236" s="2"/>
      <c r="I1236" s="2" t="s">
        <v>395</v>
      </c>
      <c r="J1236" s="2"/>
      <c r="K1236" s="2" t="s">
        <v>18</v>
      </c>
      <c r="L1236" s="2"/>
    </row>
    <row r="1237">
      <c r="A1237" s="8" t="s">
        <v>1441</v>
      </c>
      <c r="B1237" s="8" t="s">
        <v>1441</v>
      </c>
      <c r="C1237" s="2" t="s">
        <v>1084</v>
      </c>
      <c r="D1237" s="2" t="s">
        <v>1085</v>
      </c>
      <c r="E1237" s="6">
        <v>45908.37688657407</v>
      </c>
      <c r="F1237" s="3" t="s">
        <v>1086</v>
      </c>
      <c r="G1237" s="2" t="s">
        <v>16</v>
      </c>
      <c r="H1237" s="2"/>
      <c r="I1237" s="2" t="s">
        <v>17</v>
      </c>
      <c r="J1237" s="2"/>
      <c r="K1237" s="2" t="s">
        <v>18</v>
      </c>
      <c r="L1237" s="2"/>
    </row>
    <row r="1238">
      <c r="A1238" s="8" t="s">
        <v>1442</v>
      </c>
      <c r="B1238" s="8" t="s">
        <v>1442</v>
      </c>
      <c r="C1238" s="2" t="s">
        <v>1084</v>
      </c>
      <c r="D1238" s="2" t="s">
        <v>1085</v>
      </c>
      <c r="E1238" s="6">
        <v>45908.451516203706</v>
      </c>
      <c r="F1238" s="3" t="s">
        <v>1086</v>
      </c>
      <c r="G1238" s="2" t="s">
        <v>24</v>
      </c>
      <c r="H1238" s="2"/>
      <c r="I1238" s="2"/>
      <c r="J1238" s="2"/>
      <c r="K1238" s="2" t="s">
        <v>18</v>
      </c>
      <c r="L1238" s="2"/>
    </row>
    <row r="1239">
      <c r="A1239" s="8" t="s">
        <v>1443</v>
      </c>
      <c r="B1239" s="8" t="s">
        <v>1443</v>
      </c>
      <c r="C1239" s="2" t="s">
        <v>951</v>
      </c>
      <c r="D1239" s="2" t="s">
        <v>952</v>
      </c>
      <c r="E1239" s="6">
        <v>45908.45606481482</v>
      </c>
      <c r="F1239" s="3" t="s">
        <v>953</v>
      </c>
      <c r="G1239" s="2" t="s">
        <v>16</v>
      </c>
      <c r="H1239" s="2"/>
      <c r="I1239" s="2" t="s">
        <v>17</v>
      </c>
      <c r="J1239" s="2"/>
      <c r="K1239" s="2" t="s">
        <v>18</v>
      </c>
      <c r="L1239" s="2"/>
    </row>
    <row r="1240">
      <c r="A1240" s="8" t="s">
        <v>1444</v>
      </c>
      <c r="B1240" s="8" t="s">
        <v>1444</v>
      </c>
      <c r="C1240" s="2" t="s">
        <v>951</v>
      </c>
      <c r="D1240" s="2" t="s">
        <v>952</v>
      </c>
      <c r="E1240" s="6">
        <v>45908.49046296296</v>
      </c>
      <c r="F1240" s="3" t="s">
        <v>953</v>
      </c>
      <c r="G1240" s="2" t="s">
        <v>24</v>
      </c>
      <c r="H1240" s="2"/>
      <c r="I1240" s="2"/>
      <c r="J1240" s="2"/>
      <c r="K1240" s="2" t="s">
        <v>18</v>
      </c>
      <c r="L1240" s="2"/>
    </row>
    <row r="1241">
      <c r="A1241" s="8" t="s">
        <v>1445</v>
      </c>
      <c r="B1241" s="8" t="s">
        <v>1445</v>
      </c>
      <c r="C1241" s="2" t="s">
        <v>213</v>
      </c>
      <c r="D1241" s="2" t="s">
        <v>214</v>
      </c>
      <c r="E1241" s="6">
        <v>45908.5221875</v>
      </c>
      <c r="F1241" s="3" t="s">
        <v>215</v>
      </c>
      <c r="G1241" s="2" t="s">
        <v>24</v>
      </c>
      <c r="H1241" s="2"/>
      <c r="I1241" s="2"/>
      <c r="J1241" s="2"/>
      <c r="K1241" s="2" t="s">
        <v>18</v>
      </c>
      <c r="L1241" s="2"/>
    </row>
    <row r="1242">
      <c r="A1242" s="8" t="s">
        <v>1446</v>
      </c>
      <c r="B1242" s="8" t="s">
        <v>1446</v>
      </c>
      <c r="C1242" s="2" t="s">
        <v>1228</v>
      </c>
      <c r="D1242" s="2" t="s">
        <v>1229</v>
      </c>
      <c r="E1242" s="6">
        <v>45908.52940972222</v>
      </c>
      <c r="F1242" s="3" t="s">
        <v>1230</v>
      </c>
      <c r="G1242" s="2" t="s">
        <v>24</v>
      </c>
      <c r="H1242" s="2"/>
      <c r="I1242" s="2"/>
      <c r="J1242" s="2"/>
      <c r="K1242" s="2" t="s">
        <v>18</v>
      </c>
      <c r="L1242" s="2"/>
    </row>
    <row r="1243">
      <c r="A1243" s="8" t="s">
        <v>1447</v>
      </c>
      <c r="B1243" s="8" t="s">
        <v>1447</v>
      </c>
      <c r="C1243" s="2" t="s">
        <v>1084</v>
      </c>
      <c r="D1243" s="2" t="s">
        <v>1085</v>
      </c>
      <c r="E1243" s="6">
        <v>45909.40738425926</v>
      </c>
      <c r="F1243" s="3" t="s">
        <v>1086</v>
      </c>
      <c r="G1243" s="2" t="s">
        <v>16</v>
      </c>
      <c r="H1243" s="2"/>
      <c r="I1243" s="2" t="s">
        <v>17</v>
      </c>
      <c r="J1243" s="2"/>
      <c r="K1243" s="2" t="s">
        <v>18</v>
      </c>
      <c r="L1243" s="2"/>
    </row>
    <row r="1244">
      <c r="A1244" s="8" t="s">
        <v>1448</v>
      </c>
      <c r="B1244" s="8" t="s">
        <v>1448</v>
      </c>
      <c r="C1244" s="2" t="s">
        <v>45</v>
      </c>
      <c r="D1244" s="2" t="s">
        <v>46</v>
      </c>
      <c r="E1244" s="6">
        <v>45909.41106481481</v>
      </c>
      <c r="F1244" s="3" t="s">
        <v>47</v>
      </c>
      <c r="G1244" s="2" t="s">
        <v>16</v>
      </c>
      <c r="H1244" s="2"/>
      <c r="I1244" s="2" t="s">
        <v>17</v>
      </c>
      <c r="J1244" s="2"/>
      <c r="K1244" s="2" t="s">
        <v>18</v>
      </c>
      <c r="L1244" s="2"/>
    </row>
    <row r="1245">
      <c r="A1245" s="8" t="s">
        <v>1449</v>
      </c>
      <c r="B1245" s="8" t="s">
        <v>1449</v>
      </c>
      <c r="C1245" s="2" t="s">
        <v>45</v>
      </c>
      <c r="D1245" s="2" t="s">
        <v>46</v>
      </c>
      <c r="E1245" s="6">
        <v>45909.67020833334</v>
      </c>
      <c r="F1245" s="3" t="s">
        <v>47</v>
      </c>
      <c r="G1245" s="2" t="s">
        <v>24</v>
      </c>
      <c r="H1245" s="2"/>
      <c r="I1245" s="2"/>
      <c r="J1245" s="2"/>
      <c r="K1245" s="2" t="s">
        <v>18</v>
      </c>
      <c r="L1245" s="2"/>
    </row>
    <row r="1246">
      <c r="A1246" s="8" t="s">
        <v>1450</v>
      </c>
      <c r="B1246" s="8" t="s">
        <v>1450</v>
      </c>
      <c r="C1246" s="2" t="s">
        <v>13</v>
      </c>
      <c r="D1246" s="2" t="s">
        <v>14</v>
      </c>
      <c r="E1246" s="6">
        <v>45910.37024305556</v>
      </c>
      <c r="F1246" s="3" t="s">
        <v>15</v>
      </c>
      <c r="G1246" s="2" t="s">
        <v>16</v>
      </c>
      <c r="H1246" s="2"/>
      <c r="I1246" s="2" t="s">
        <v>395</v>
      </c>
      <c r="J1246" s="2"/>
      <c r="K1246" s="2" t="s">
        <v>18</v>
      </c>
      <c r="L1246" s="2"/>
    </row>
    <row r="1247">
      <c r="A1247" s="8" t="s">
        <v>1451</v>
      </c>
      <c r="B1247" s="8" t="s">
        <v>1451</v>
      </c>
      <c r="C1247" s="2" t="s">
        <v>45</v>
      </c>
      <c r="D1247" s="2" t="s">
        <v>46</v>
      </c>
      <c r="E1247" s="6">
        <v>45910.46359953703</v>
      </c>
      <c r="F1247" s="3" t="s">
        <v>47</v>
      </c>
      <c r="G1247" s="2" t="s">
        <v>24</v>
      </c>
      <c r="H1247" s="2"/>
      <c r="I1247" s="2"/>
      <c r="J1247" s="2"/>
      <c r="K1247" s="2" t="s">
        <v>18</v>
      </c>
      <c r="L1247" s="2"/>
    </row>
    <row r="1248">
      <c r="A1248" s="8" t="s">
        <v>1452</v>
      </c>
      <c r="B1248" s="8" t="s">
        <v>1452</v>
      </c>
      <c r="C1248" s="2" t="s">
        <v>213</v>
      </c>
      <c r="D1248" s="2" t="s">
        <v>214</v>
      </c>
      <c r="E1248" s="6">
        <v>45911.33715277778</v>
      </c>
      <c r="F1248" s="3" t="s">
        <v>215</v>
      </c>
      <c r="G1248" s="2" t="s">
        <v>16</v>
      </c>
      <c r="H1248" s="2"/>
      <c r="I1248" s="2" t="s">
        <v>17</v>
      </c>
      <c r="J1248" s="2"/>
      <c r="K1248" s="2" t="s">
        <v>18</v>
      </c>
      <c r="L1248" s="2"/>
    </row>
    <row r="1249">
      <c r="A1249" s="8" t="s">
        <v>1453</v>
      </c>
      <c r="B1249" s="8" t="s">
        <v>1453</v>
      </c>
      <c r="C1249" s="2" t="s">
        <v>45</v>
      </c>
      <c r="D1249" s="2" t="s">
        <v>46</v>
      </c>
      <c r="E1249" s="6">
        <v>45911.33866898148</v>
      </c>
      <c r="F1249" s="3" t="s">
        <v>47</v>
      </c>
      <c r="G1249" s="2" t="s">
        <v>16</v>
      </c>
      <c r="H1249" s="2"/>
      <c r="I1249" s="2" t="s">
        <v>17</v>
      </c>
      <c r="J1249" s="2"/>
      <c r="K1249" s="2" t="s">
        <v>18</v>
      </c>
      <c r="L1249" s="2"/>
    </row>
    <row r="1250">
      <c r="A1250" s="8" t="s">
        <v>1454</v>
      </c>
      <c r="B1250" s="8" t="s">
        <v>1454</v>
      </c>
      <c r="C1250" s="2" t="s">
        <v>109</v>
      </c>
      <c r="D1250" s="2" t="s">
        <v>110</v>
      </c>
      <c r="E1250" s="6">
        <v>45911.3593287037</v>
      </c>
      <c r="F1250" s="3" t="s">
        <v>111</v>
      </c>
      <c r="G1250" s="2" t="s">
        <v>16</v>
      </c>
      <c r="H1250" s="2"/>
      <c r="I1250" s="2" t="s">
        <v>17</v>
      </c>
      <c r="J1250" s="2"/>
      <c r="K1250" s="2" t="s">
        <v>18</v>
      </c>
      <c r="L1250" s="2"/>
    </row>
    <row r="1251">
      <c r="A1251" s="8" t="s">
        <v>1455</v>
      </c>
      <c r="B1251" s="8" t="s">
        <v>1455</v>
      </c>
      <c r="C1251" s="2" t="s">
        <v>169</v>
      </c>
      <c r="D1251" s="2" t="s">
        <v>170</v>
      </c>
      <c r="E1251" s="6">
        <v>45911.3612037037</v>
      </c>
      <c r="F1251" s="3" t="s">
        <v>171</v>
      </c>
      <c r="G1251" s="2" t="s">
        <v>16</v>
      </c>
      <c r="H1251" s="2"/>
      <c r="I1251" s="2" t="s">
        <v>17</v>
      </c>
      <c r="J1251" s="2"/>
      <c r="K1251" s="2" t="s">
        <v>18</v>
      </c>
      <c r="L1251" s="2"/>
    </row>
    <row r="1252">
      <c r="A1252" s="8" t="s">
        <v>1456</v>
      </c>
      <c r="B1252" s="8" t="s">
        <v>1456</v>
      </c>
      <c r="C1252" s="2" t="s">
        <v>13</v>
      </c>
      <c r="D1252" s="2" t="s">
        <v>14</v>
      </c>
      <c r="E1252" s="6">
        <v>45911.40394675926</v>
      </c>
      <c r="F1252" s="3" t="s">
        <v>15</v>
      </c>
      <c r="G1252" s="2" t="s">
        <v>24</v>
      </c>
      <c r="H1252" s="2"/>
      <c r="I1252" s="2"/>
      <c r="J1252" s="2"/>
      <c r="K1252" s="2" t="s">
        <v>18</v>
      </c>
      <c r="L1252" s="2"/>
    </row>
    <row r="1253">
      <c r="A1253" s="8" t="s">
        <v>1457</v>
      </c>
      <c r="B1253" s="8" t="s">
        <v>1457</v>
      </c>
      <c r="C1253" s="2" t="s">
        <v>213</v>
      </c>
      <c r="D1253" s="2" t="s">
        <v>214</v>
      </c>
      <c r="E1253" s="6">
        <v>45911.489849537036</v>
      </c>
      <c r="F1253" s="3" t="s">
        <v>215</v>
      </c>
      <c r="G1253" s="2" t="s">
        <v>24</v>
      </c>
      <c r="H1253" s="2"/>
      <c r="I1253" s="2"/>
      <c r="J1253" s="2"/>
      <c r="K1253" s="2" t="s">
        <v>18</v>
      </c>
      <c r="L1253" s="2"/>
    </row>
    <row r="1254">
      <c r="A1254" s="8" t="s">
        <v>1458</v>
      </c>
      <c r="B1254" s="8" t="s">
        <v>1458</v>
      </c>
      <c r="C1254" s="2" t="s">
        <v>169</v>
      </c>
      <c r="D1254" s="2" t="s">
        <v>170</v>
      </c>
      <c r="E1254" s="6">
        <v>45911.49130787037</v>
      </c>
      <c r="F1254" s="3" t="s">
        <v>171</v>
      </c>
      <c r="G1254" s="2" t="s">
        <v>24</v>
      </c>
      <c r="H1254" s="2"/>
      <c r="I1254" s="2"/>
      <c r="J1254" s="2"/>
      <c r="K1254" s="2" t="s">
        <v>18</v>
      </c>
      <c r="L1254" s="2"/>
    </row>
    <row r="1255">
      <c r="A1255" s="8" t="s">
        <v>1459</v>
      </c>
      <c r="B1255" s="8" t="s">
        <v>1459</v>
      </c>
      <c r="C1255" s="2" t="s">
        <v>109</v>
      </c>
      <c r="D1255" s="2" t="s">
        <v>110</v>
      </c>
      <c r="E1255" s="6">
        <v>45911.49490740741</v>
      </c>
      <c r="F1255" s="3" t="s">
        <v>111</v>
      </c>
      <c r="G1255" s="2" t="s">
        <v>24</v>
      </c>
      <c r="H1255" s="2"/>
      <c r="I1255" s="2"/>
      <c r="J1255" s="2"/>
      <c r="K1255" s="2" t="s">
        <v>18</v>
      </c>
      <c r="L1255" s="2"/>
    </row>
    <row r="1256">
      <c r="A1256" s="8" t="s">
        <v>1460</v>
      </c>
      <c r="B1256" s="8" t="s">
        <v>1460</v>
      </c>
      <c r="C1256" s="2" t="s">
        <v>169</v>
      </c>
      <c r="D1256" s="2" t="s">
        <v>170</v>
      </c>
      <c r="E1256" s="6">
        <v>45911.653182870374</v>
      </c>
      <c r="F1256" s="3" t="s">
        <v>1137</v>
      </c>
      <c r="G1256" s="2" t="s">
        <v>24</v>
      </c>
      <c r="H1256" s="2"/>
      <c r="I1256" s="2"/>
      <c r="J1256" s="2"/>
      <c r="K1256" s="2" t="s">
        <v>18</v>
      </c>
      <c r="L1256" s="2"/>
    </row>
    <row r="1257">
      <c r="A1257" s="8" t="s">
        <v>1461</v>
      </c>
      <c r="B1257" s="8" t="s">
        <v>1461</v>
      </c>
      <c r="C1257" s="2" t="s">
        <v>392</v>
      </c>
      <c r="D1257" s="2" t="s">
        <v>393</v>
      </c>
      <c r="E1257" s="6">
        <v>45911.668078703704</v>
      </c>
      <c r="F1257" s="3" t="s">
        <v>394</v>
      </c>
      <c r="G1257" s="2" t="s">
        <v>24</v>
      </c>
      <c r="H1257" s="2"/>
      <c r="I1257" s="2"/>
      <c r="J1257" s="2"/>
      <c r="K1257" s="2" t="s">
        <v>18</v>
      </c>
      <c r="L1257" s="2"/>
    </row>
    <row r="1258">
      <c r="A1258" s="8" t="s">
        <v>1462</v>
      </c>
      <c r="B1258" s="8" t="s">
        <v>1462</v>
      </c>
      <c r="C1258" s="2" t="s">
        <v>1228</v>
      </c>
      <c r="D1258" s="2" t="s">
        <v>1229</v>
      </c>
      <c r="E1258" s="6">
        <v>45912.3794212963</v>
      </c>
      <c r="F1258" s="3" t="s">
        <v>1230</v>
      </c>
      <c r="G1258" s="2" t="s">
        <v>16</v>
      </c>
      <c r="H1258" s="2"/>
      <c r="I1258" s="2" t="s">
        <v>17</v>
      </c>
      <c r="J1258" s="2"/>
      <c r="K1258" s="2" t="s">
        <v>18</v>
      </c>
      <c r="L1258" s="2"/>
    </row>
    <row r="1259">
      <c r="A1259" s="8" t="s">
        <v>1463</v>
      </c>
      <c r="B1259" s="8" t="s">
        <v>1463</v>
      </c>
      <c r="C1259" s="2" t="s">
        <v>326</v>
      </c>
      <c r="D1259" s="2" t="s">
        <v>327</v>
      </c>
      <c r="E1259" s="6">
        <v>45912.38028935185</v>
      </c>
      <c r="F1259" s="3" t="s">
        <v>328</v>
      </c>
      <c r="G1259" s="2" t="s">
        <v>16</v>
      </c>
      <c r="H1259" s="2"/>
      <c r="I1259" s="2" t="s">
        <v>395</v>
      </c>
      <c r="J1259" s="2"/>
      <c r="K1259" s="2" t="s">
        <v>18</v>
      </c>
      <c r="L1259" s="2"/>
    </row>
    <row r="1260">
      <c r="A1260" s="8" t="s">
        <v>1464</v>
      </c>
      <c r="B1260" s="8" t="s">
        <v>1464</v>
      </c>
      <c r="C1260" s="2" t="s">
        <v>885</v>
      </c>
      <c r="D1260" s="2" t="s">
        <v>886</v>
      </c>
      <c r="E1260" s="6">
        <v>45912.38164351852</v>
      </c>
      <c r="F1260" s="3" t="s">
        <v>887</v>
      </c>
      <c r="G1260" s="2" t="s">
        <v>16</v>
      </c>
      <c r="H1260" s="2"/>
      <c r="I1260" s="2" t="s">
        <v>17</v>
      </c>
      <c r="J1260" s="2"/>
      <c r="K1260" s="2" t="s">
        <v>18</v>
      </c>
      <c r="L1260" s="2"/>
    </row>
    <row r="1261">
      <c r="A1261" s="8" t="s">
        <v>1465</v>
      </c>
      <c r="B1261" s="8" t="s">
        <v>1465</v>
      </c>
      <c r="C1261" s="2" t="s">
        <v>904</v>
      </c>
      <c r="D1261" s="2" t="s">
        <v>905</v>
      </c>
      <c r="E1261" s="6">
        <v>45912.38248842592</v>
      </c>
      <c r="F1261" s="3" t="s">
        <v>906</v>
      </c>
      <c r="G1261" s="2" t="s">
        <v>16</v>
      </c>
      <c r="H1261" s="2"/>
      <c r="I1261" s="2" t="s">
        <v>395</v>
      </c>
      <c r="J1261" s="2"/>
      <c r="K1261" s="2" t="s">
        <v>18</v>
      </c>
      <c r="L1261" s="2"/>
    </row>
    <row r="1262">
      <c r="A1262" s="8" t="s">
        <v>1466</v>
      </c>
      <c r="B1262" s="8" t="s">
        <v>1466</v>
      </c>
      <c r="C1262" s="2" t="s">
        <v>885</v>
      </c>
      <c r="D1262" s="2" t="s">
        <v>886</v>
      </c>
      <c r="E1262" s="6">
        <v>45912.584085648145</v>
      </c>
      <c r="F1262" s="3" t="s">
        <v>887</v>
      </c>
      <c r="G1262" s="2" t="s">
        <v>24</v>
      </c>
      <c r="H1262" s="2"/>
      <c r="I1262" s="2"/>
      <c r="J1262" s="2"/>
      <c r="K1262" s="2" t="s">
        <v>18</v>
      </c>
      <c r="L1262" s="2"/>
    </row>
    <row r="1263">
      <c r="A1263" s="8" t="s">
        <v>1467</v>
      </c>
      <c r="B1263" s="8" t="s">
        <v>1467</v>
      </c>
      <c r="C1263" s="2" t="s">
        <v>326</v>
      </c>
      <c r="D1263" s="2" t="s">
        <v>327</v>
      </c>
      <c r="E1263" s="6">
        <v>45912.59519675926</v>
      </c>
      <c r="F1263" s="3" t="s">
        <v>328</v>
      </c>
      <c r="G1263" s="2" t="s">
        <v>24</v>
      </c>
      <c r="H1263" s="2"/>
      <c r="I1263" s="2"/>
      <c r="J1263" s="2"/>
      <c r="K1263" s="2" t="s">
        <v>18</v>
      </c>
      <c r="L1263" s="2"/>
    </row>
    <row r="1264">
      <c r="A1264" s="8" t="s">
        <v>1468</v>
      </c>
      <c r="B1264" s="8" t="s">
        <v>1468</v>
      </c>
      <c r="C1264" s="2" t="s">
        <v>392</v>
      </c>
      <c r="D1264" s="2" t="s">
        <v>393</v>
      </c>
      <c r="E1264" s="6">
        <v>45912.62982638889</v>
      </c>
      <c r="F1264" s="3" t="s">
        <v>394</v>
      </c>
      <c r="G1264" s="2" t="s">
        <v>16</v>
      </c>
      <c r="H1264" s="2"/>
      <c r="I1264" s="2" t="s">
        <v>395</v>
      </c>
      <c r="J1264" s="2"/>
      <c r="K1264" s="2" t="s">
        <v>18</v>
      </c>
      <c r="L1264" s="2"/>
    </row>
    <row r="1265">
      <c r="A1265" s="8" t="s">
        <v>1469</v>
      </c>
      <c r="B1265" s="8" t="s">
        <v>1469</v>
      </c>
      <c r="C1265" s="2" t="s">
        <v>45</v>
      </c>
      <c r="D1265" s="2" t="s">
        <v>46</v>
      </c>
      <c r="E1265" s="6">
        <v>45913.34074074074</v>
      </c>
      <c r="F1265" s="3" t="s">
        <v>47</v>
      </c>
      <c r="G1265" s="2" t="s">
        <v>16</v>
      </c>
      <c r="H1265" s="2"/>
      <c r="I1265" s="2" t="s">
        <v>17</v>
      </c>
      <c r="J1265" s="2"/>
      <c r="K1265" s="2" t="s">
        <v>18</v>
      </c>
      <c r="L1265" s="2"/>
    </row>
    <row r="1266">
      <c r="A1266" s="8" t="s">
        <v>1470</v>
      </c>
      <c r="B1266" s="8" t="s">
        <v>1470</v>
      </c>
      <c r="C1266" s="2" t="s">
        <v>786</v>
      </c>
      <c r="D1266" s="2" t="s">
        <v>787</v>
      </c>
      <c r="E1266" s="6">
        <v>45913.35074074074</v>
      </c>
      <c r="F1266" s="3" t="s">
        <v>788</v>
      </c>
      <c r="G1266" s="2" t="s">
        <v>16</v>
      </c>
      <c r="H1266" s="2"/>
      <c r="I1266" s="2" t="s">
        <v>17</v>
      </c>
      <c r="J1266" s="2"/>
      <c r="K1266" s="2" t="s">
        <v>18</v>
      </c>
      <c r="L1266" s="2"/>
    </row>
    <row r="1267">
      <c r="A1267" s="8" t="s">
        <v>1471</v>
      </c>
      <c r="B1267" s="8" t="s">
        <v>1471</v>
      </c>
      <c r="C1267" s="2" t="s">
        <v>885</v>
      </c>
      <c r="D1267" s="2" t="s">
        <v>886</v>
      </c>
      <c r="E1267" s="6">
        <v>45913.358298611114</v>
      </c>
      <c r="F1267" s="3" t="s">
        <v>887</v>
      </c>
      <c r="G1267" s="2" t="s">
        <v>16</v>
      </c>
      <c r="H1267" s="2"/>
      <c r="I1267" s="2" t="s">
        <v>17</v>
      </c>
      <c r="J1267" s="2"/>
      <c r="K1267" s="2" t="s">
        <v>18</v>
      </c>
      <c r="L1267" s="2"/>
    </row>
    <row r="1268">
      <c r="A1268" s="1"/>
      <c r="B1268" s="1"/>
      <c r="C1268" s="2"/>
      <c r="D1268" s="2"/>
      <c r="E1268" s="6"/>
      <c r="F1268" s="3"/>
      <c r="G1268" s="2"/>
      <c r="H1268" s="2"/>
      <c r="I1268" s="2"/>
      <c r="J1268" s="2"/>
      <c r="K1268" s="2"/>
      <c r="L1268" s="2"/>
    </row>
    <row r="1269">
      <c r="A1269" s="8" t="s">
        <v>1472</v>
      </c>
      <c r="B1269" s="8" t="s">
        <v>1472</v>
      </c>
      <c r="C1269" s="2" t="s">
        <v>45</v>
      </c>
      <c r="D1269" s="2" t="s">
        <v>46</v>
      </c>
      <c r="E1269" s="6">
        <v>45913.48409722222</v>
      </c>
      <c r="F1269" s="3" t="s">
        <v>47</v>
      </c>
      <c r="G1269" s="2" t="s">
        <v>24</v>
      </c>
      <c r="H1269" s="2"/>
      <c r="I1269" s="2"/>
      <c r="J1269" s="2"/>
      <c r="K1269" s="2" t="s">
        <v>18</v>
      </c>
      <c r="L1269" s="2"/>
    </row>
    <row r="1270">
      <c r="A1270" s="8" t="s">
        <v>1473</v>
      </c>
      <c r="B1270" s="8" t="s">
        <v>1473</v>
      </c>
      <c r="C1270" s="2" t="s">
        <v>786</v>
      </c>
      <c r="D1270" s="2" t="s">
        <v>787</v>
      </c>
      <c r="E1270" s="6">
        <v>45913.48479166667</v>
      </c>
      <c r="F1270" s="3" t="s">
        <v>788</v>
      </c>
      <c r="G1270" s="2" t="s">
        <v>24</v>
      </c>
      <c r="H1270" s="2"/>
      <c r="I1270" s="2"/>
      <c r="J1270" s="2"/>
      <c r="K1270" s="2" t="s">
        <v>18</v>
      </c>
      <c r="L1270" s="2"/>
    </row>
    <row r="1271">
      <c r="A1271" s="8" t="s">
        <v>1474</v>
      </c>
      <c r="B1271" s="8" t="s">
        <v>1474</v>
      </c>
      <c r="C1271" s="2" t="s">
        <v>904</v>
      </c>
      <c r="D1271" s="2" t="s">
        <v>905</v>
      </c>
      <c r="E1271" s="6">
        <v>45913.48877314815</v>
      </c>
      <c r="F1271" s="3" t="s">
        <v>906</v>
      </c>
      <c r="G1271" s="2" t="s">
        <v>24</v>
      </c>
      <c r="H1271" s="2"/>
      <c r="I1271" s="2"/>
      <c r="J1271" s="2"/>
      <c r="K1271" s="2" t="s">
        <v>18</v>
      </c>
      <c r="L1271" s="2"/>
    </row>
    <row r="1272">
      <c r="A1272" s="8" t="s">
        <v>1475</v>
      </c>
      <c r="B1272" s="8" t="s">
        <v>1475</v>
      </c>
      <c r="C1272" s="2" t="s">
        <v>1476</v>
      </c>
      <c r="D1272" s="2" t="s">
        <v>1477</v>
      </c>
      <c r="E1272" s="6">
        <v>45913.49836805555</v>
      </c>
      <c r="F1272" s="3" t="s">
        <v>1478</v>
      </c>
      <c r="G1272" s="2" t="s">
        <v>16</v>
      </c>
      <c r="H1272" s="2"/>
      <c r="I1272" s="2" t="s">
        <v>17</v>
      </c>
      <c r="J1272" s="2"/>
      <c r="K1272" s="2" t="s">
        <v>18</v>
      </c>
      <c r="L1272" s="2"/>
    </row>
    <row r="1273">
      <c r="A1273" s="8" t="s">
        <v>1479</v>
      </c>
      <c r="B1273" s="8" t="s">
        <v>1479</v>
      </c>
      <c r="C1273" s="2" t="s">
        <v>951</v>
      </c>
      <c r="D1273" s="2" t="s">
        <v>952</v>
      </c>
      <c r="E1273" s="6">
        <v>45913.66913194444</v>
      </c>
      <c r="F1273" s="3" t="s">
        <v>953</v>
      </c>
      <c r="G1273" s="2" t="s">
        <v>16</v>
      </c>
      <c r="H1273" s="2"/>
      <c r="I1273" s="2" t="s">
        <v>17</v>
      </c>
      <c r="J1273" s="2"/>
      <c r="K1273" s="2" t="s">
        <v>18</v>
      </c>
      <c r="L1273" s="2"/>
    </row>
    <row r="1274">
      <c r="A1274" s="8" t="s">
        <v>1480</v>
      </c>
      <c r="B1274" s="8" t="s">
        <v>1480</v>
      </c>
      <c r="C1274" s="2" t="s">
        <v>951</v>
      </c>
      <c r="D1274" s="2" t="s">
        <v>952</v>
      </c>
      <c r="E1274" s="6">
        <v>45915.34680555556</v>
      </c>
      <c r="F1274" s="3" t="s">
        <v>953</v>
      </c>
      <c r="G1274" s="2" t="s">
        <v>24</v>
      </c>
      <c r="H1274" s="2"/>
      <c r="I1274" s="2"/>
      <c r="J1274" s="2"/>
      <c r="K1274" s="2" t="s">
        <v>18</v>
      </c>
      <c r="L1274" s="2"/>
    </row>
    <row r="1275">
      <c r="A1275" s="8" t="s">
        <v>1481</v>
      </c>
      <c r="B1275" s="8" t="s">
        <v>1481</v>
      </c>
      <c r="C1275" s="2" t="s">
        <v>49</v>
      </c>
      <c r="D1275" s="2" t="s">
        <v>50</v>
      </c>
      <c r="E1275" s="6">
        <v>45915.36953703704</v>
      </c>
      <c r="F1275" s="3" t="s">
        <v>51</v>
      </c>
      <c r="G1275" s="2" t="s">
        <v>16</v>
      </c>
      <c r="H1275" s="2"/>
      <c r="I1275" s="2" t="s">
        <v>395</v>
      </c>
      <c r="J1275" s="2"/>
      <c r="K1275" s="2" t="s">
        <v>18</v>
      </c>
      <c r="L1275" s="2"/>
    </row>
    <row r="1276">
      <c r="A1276" s="8" t="s">
        <v>1482</v>
      </c>
      <c r="B1276" s="8" t="s">
        <v>1482</v>
      </c>
      <c r="C1276" s="2" t="s">
        <v>49</v>
      </c>
      <c r="D1276" s="2" t="s">
        <v>50</v>
      </c>
      <c r="E1276" s="6">
        <v>45915.40625</v>
      </c>
      <c r="F1276" s="3" t="s">
        <v>51</v>
      </c>
      <c r="G1276" s="2" t="s">
        <v>24</v>
      </c>
      <c r="H1276" s="2"/>
      <c r="I1276" s="2"/>
      <c r="J1276" s="2"/>
      <c r="K1276" s="2" t="s">
        <v>18</v>
      </c>
      <c r="L1276" s="2"/>
    </row>
    <row r="1277">
      <c r="A1277" s="8" t="s">
        <v>1483</v>
      </c>
      <c r="B1277" s="8" t="s">
        <v>1483</v>
      </c>
      <c r="C1277" s="2" t="s">
        <v>45</v>
      </c>
      <c r="D1277" s="2" t="s">
        <v>46</v>
      </c>
      <c r="E1277" s="6">
        <v>45915.56512731482</v>
      </c>
      <c r="F1277" s="3" t="s">
        <v>47</v>
      </c>
      <c r="G1277" s="2" t="s">
        <v>16</v>
      </c>
      <c r="H1277" s="2"/>
      <c r="I1277" s="2" t="s">
        <v>17</v>
      </c>
      <c r="J1277" s="2"/>
      <c r="K1277" s="2" t="s">
        <v>18</v>
      </c>
      <c r="L1277" s="2"/>
    </row>
    <row r="1278">
      <c r="A1278" s="8" t="s">
        <v>1484</v>
      </c>
      <c r="B1278" s="8" t="s">
        <v>1484</v>
      </c>
      <c r="C1278" s="2" t="s">
        <v>45</v>
      </c>
      <c r="D1278" s="2" t="s">
        <v>46</v>
      </c>
      <c r="E1278" s="6">
        <v>45916.343773148146</v>
      </c>
      <c r="F1278" s="3" t="s">
        <v>47</v>
      </c>
      <c r="G1278" s="2" t="s">
        <v>24</v>
      </c>
      <c r="H1278" s="2"/>
      <c r="I1278" s="2"/>
      <c r="J1278" s="2"/>
      <c r="K1278" s="2" t="s">
        <v>18</v>
      </c>
      <c r="L1278" s="2"/>
    </row>
    <row r="1279">
      <c r="A1279" s="8" t="s">
        <v>1485</v>
      </c>
      <c r="B1279" s="8" t="s">
        <v>1485</v>
      </c>
      <c r="C1279" s="2" t="s">
        <v>45</v>
      </c>
      <c r="D1279" s="2" t="s">
        <v>46</v>
      </c>
      <c r="E1279" s="6">
        <v>45916.35209490741</v>
      </c>
      <c r="F1279" s="3" t="s">
        <v>47</v>
      </c>
      <c r="G1279" s="2" t="s">
        <v>16</v>
      </c>
      <c r="H1279" s="2"/>
      <c r="I1279" s="2" t="s">
        <v>17</v>
      </c>
      <c r="J1279" s="2"/>
      <c r="K1279" s="2" t="s">
        <v>18</v>
      </c>
      <c r="L1279" s="2"/>
    </row>
    <row r="1280">
      <c r="A1280" s="8" t="s">
        <v>1486</v>
      </c>
      <c r="B1280" s="8" t="s">
        <v>1486</v>
      </c>
      <c r="C1280" s="2" t="s">
        <v>213</v>
      </c>
      <c r="D1280" s="2" t="s">
        <v>214</v>
      </c>
      <c r="E1280" s="6">
        <v>45916.454305555555</v>
      </c>
      <c r="F1280" s="3" t="s">
        <v>215</v>
      </c>
      <c r="G1280" s="2" t="s">
        <v>24</v>
      </c>
      <c r="H1280" s="2"/>
      <c r="I1280" s="2"/>
      <c r="J1280" s="2"/>
      <c r="K1280" s="2" t="s">
        <v>18</v>
      </c>
      <c r="L1280" s="2"/>
    </row>
    <row r="1281">
      <c r="A1281" s="8" t="s">
        <v>1487</v>
      </c>
      <c r="B1281" s="8" t="s">
        <v>1487</v>
      </c>
      <c r="C1281" s="2" t="s">
        <v>45</v>
      </c>
      <c r="D1281" s="2" t="s">
        <v>46</v>
      </c>
      <c r="E1281" s="6">
        <v>45916.45773148148</v>
      </c>
      <c r="F1281" s="3" t="s">
        <v>47</v>
      </c>
      <c r="G1281" s="2" t="s">
        <v>24</v>
      </c>
      <c r="H1281" s="2"/>
      <c r="I1281" s="2"/>
      <c r="J1281" s="2"/>
      <c r="K1281" s="2" t="s">
        <v>18</v>
      </c>
      <c r="L1281" s="2"/>
    </row>
    <row r="1282">
      <c r="A1282" s="8" t="s">
        <v>1488</v>
      </c>
      <c r="B1282" s="8" t="s">
        <v>1488</v>
      </c>
      <c r="C1282" s="2" t="s">
        <v>943</v>
      </c>
      <c r="D1282" s="2" t="s">
        <v>944</v>
      </c>
      <c r="E1282" s="6">
        <v>45917.361226851855</v>
      </c>
      <c r="F1282" s="3" t="s">
        <v>945</v>
      </c>
      <c r="G1282" s="2" t="s">
        <v>16</v>
      </c>
      <c r="H1282" s="2"/>
      <c r="I1282" s="2" t="s">
        <v>395</v>
      </c>
      <c r="J1282" s="2"/>
      <c r="K1282" s="2" t="s">
        <v>18</v>
      </c>
      <c r="L1282" s="2"/>
    </row>
    <row r="1283">
      <c r="A1283" s="8" t="s">
        <v>1489</v>
      </c>
      <c r="B1283" s="8" t="s">
        <v>1489</v>
      </c>
      <c r="C1283" s="2" t="s">
        <v>951</v>
      </c>
      <c r="D1283" s="2" t="s">
        <v>952</v>
      </c>
      <c r="E1283" s="6">
        <v>45916.68015046296</v>
      </c>
      <c r="F1283" s="3" t="s">
        <v>953</v>
      </c>
      <c r="G1283" s="2" t="s">
        <v>16</v>
      </c>
      <c r="H1283" s="2"/>
      <c r="I1283" s="2" t="s">
        <v>17</v>
      </c>
      <c r="J1283" s="2"/>
      <c r="K1283" s="2" t="s">
        <v>18</v>
      </c>
      <c r="L1283" s="2"/>
    </row>
    <row r="1284">
      <c r="A1284" s="8" t="s">
        <v>1490</v>
      </c>
      <c r="B1284" s="8" t="s">
        <v>1490</v>
      </c>
      <c r="C1284" s="2" t="s">
        <v>951</v>
      </c>
      <c r="D1284" s="2" t="s">
        <v>952</v>
      </c>
      <c r="E1284" s="6">
        <v>45917.365381944444</v>
      </c>
      <c r="F1284" s="3" t="s">
        <v>953</v>
      </c>
      <c r="G1284" s="2" t="s">
        <v>24</v>
      </c>
      <c r="H1284" s="2"/>
      <c r="I1284" s="2"/>
      <c r="J1284" s="2"/>
      <c r="K1284" s="2" t="s">
        <v>18</v>
      </c>
      <c r="L1284" s="2"/>
    </row>
    <row r="1285">
      <c r="A1285" s="8" t="s">
        <v>1491</v>
      </c>
      <c r="B1285" s="8" t="s">
        <v>1491</v>
      </c>
      <c r="C1285" s="2" t="s">
        <v>943</v>
      </c>
      <c r="D1285" s="2" t="s">
        <v>944</v>
      </c>
      <c r="E1285" s="6">
        <v>45917.518055555556</v>
      </c>
      <c r="F1285" s="3" t="s">
        <v>945</v>
      </c>
      <c r="G1285" s="2" t="s">
        <v>24</v>
      </c>
      <c r="H1285" s="2"/>
      <c r="I1285" s="2"/>
      <c r="J1285" s="2"/>
      <c r="K1285" s="2" t="s">
        <v>18</v>
      </c>
      <c r="L1285" s="2"/>
    </row>
    <row r="1286">
      <c r="A1286" s="8" t="s">
        <v>1492</v>
      </c>
      <c r="B1286" s="8" t="s">
        <v>1492</v>
      </c>
      <c r="C1286" s="2" t="s">
        <v>812</v>
      </c>
      <c r="D1286" s="2" t="s">
        <v>813</v>
      </c>
      <c r="E1286" s="6">
        <v>45917.51900462963</v>
      </c>
      <c r="F1286" s="3" t="s">
        <v>814</v>
      </c>
      <c r="G1286" s="2" t="s">
        <v>24</v>
      </c>
      <c r="H1286" s="2"/>
      <c r="I1286" s="2"/>
      <c r="J1286" s="2"/>
      <c r="K1286" s="2" t="s">
        <v>18</v>
      </c>
      <c r="L1286" s="2"/>
    </row>
    <row r="1287">
      <c r="A1287" s="8" t="s">
        <v>1493</v>
      </c>
      <c r="B1287" s="8" t="s">
        <v>1493</v>
      </c>
      <c r="C1287" s="2" t="s">
        <v>326</v>
      </c>
      <c r="D1287" s="2" t="s">
        <v>327</v>
      </c>
      <c r="E1287" s="6">
        <v>45918.38240740741</v>
      </c>
      <c r="F1287" s="3" t="s">
        <v>328</v>
      </c>
      <c r="G1287" s="2" t="s">
        <v>16</v>
      </c>
      <c r="H1287" s="2"/>
      <c r="I1287" s="2" t="s">
        <v>395</v>
      </c>
      <c r="J1287" s="2"/>
      <c r="K1287" s="2" t="s">
        <v>18</v>
      </c>
      <c r="L1287" s="2"/>
    </row>
    <row r="1288">
      <c r="A1288" s="8" t="s">
        <v>1494</v>
      </c>
      <c r="B1288" s="8" t="s">
        <v>1494</v>
      </c>
      <c r="C1288" s="2" t="s">
        <v>812</v>
      </c>
      <c r="D1288" s="2" t="s">
        <v>813</v>
      </c>
      <c r="E1288" s="6">
        <v>45918.368310185186</v>
      </c>
      <c r="F1288" s="3" t="s">
        <v>814</v>
      </c>
      <c r="G1288" s="2" t="s">
        <v>16</v>
      </c>
      <c r="H1288" s="2"/>
      <c r="I1288" s="2" t="s">
        <v>395</v>
      </c>
      <c r="J1288" s="2"/>
      <c r="K1288" s="2" t="s">
        <v>18</v>
      </c>
      <c r="L1288" s="2"/>
    </row>
    <row r="1289">
      <c r="A1289" s="8" t="s">
        <v>1495</v>
      </c>
      <c r="B1289" s="8" t="s">
        <v>1495</v>
      </c>
      <c r="C1289" s="2" t="s">
        <v>1084</v>
      </c>
      <c r="D1289" s="2" t="s">
        <v>1085</v>
      </c>
      <c r="E1289" s="6">
        <v>45918.35894675926</v>
      </c>
      <c r="F1289" s="3" t="s">
        <v>1086</v>
      </c>
      <c r="G1289" s="2" t="s">
        <v>24</v>
      </c>
      <c r="H1289" s="2"/>
      <c r="I1289" s="2"/>
      <c r="J1289" s="2"/>
      <c r="K1289" s="2" t="s">
        <v>18</v>
      </c>
      <c r="L1289" s="2"/>
    </row>
    <row r="1290">
      <c r="A1290" s="8" t="s">
        <v>1496</v>
      </c>
      <c r="B1290" s="8" t="s">
        <v>1496</v>
      </c>
      <c r="C1290" s="2" t="s">
        <v>213</v>
      </c>
      <c r="D1290" s="2" t="s">
        <v>214</v>
      </c>
      <c r="E1290" s="6">
        <v>45918.36730324074</v>
      </c>
      <c r="F1290" s="3" t="s">
        <v>215</v>
      </c>
      <c r="G1290" s="2" t="s">
        <v>16</v>
      </c>
      <c r="H1290" s="2"/>
      <c r="I1290" s="2" t="s">
        <v>17</v>
      </c>
      <c r="J1290" s="2"/>
      <c r="K1290" s="2" t="s">
        <v>18</v>
      </c>
      <c r="L1290" s="2"/>
    </row>
    <row r="1291">
      <c r="A1291" s="1"/>
      <c r="B1291" s="1"/>
      <c r="C1291" s="2"/>
      <c r="D1291" s="2"/>
      <c r="E1291" s="6"/>
      <c r="F1291" s="3"/>
      <c r="G1291" s="2"/>
      <c r="H1291" s="2"/>
      <c r="I1291" s="2"/>
      <c r="J1291" s="2"/>
      <c r="K1291" s="2"/>
      <c r="L1291" s="2"/>
    </row>
    <row r="1292">
      <c r="A1292" s="8" t="s">
        <v>1497</v>
      </c>
      <c r="B1292" s="8" t="s">
        <v>1497</v>
      </c>
      <c r="C1292" s="2" t="s">
        <v>20</v>
      </c>
      <c r="D1292" s="2" t="s">
        <v>21</v>
      </c>
      <c r="E1292" s="6">
        <v>45918.37185185185</v>
      </c>
      <c r="F1292" s="3" t="s">
        <v>22</v>
      </c>
      <c r="G1292" s="2" t="s">
        <v>16</v>
      </c>
      <c r="H1292" s="2"/>
      <c r="I1292" s="2" t="s">
        <v>17</v>
      </c>
      <c r="J1292" s="2"/>
      <c r="K1292" s="2" t="s">
        <v>18</v>
      </c>
      <c r="L1292" s="2"/>
    </row>
    <row r="1293">
      <c r="A1293" s="1"/>
      <c r="B1293" s="1"/>
      <c r="C1293" s="2"/>
      <c r="D1293" s="2"/>
      <c r="E1293" s="6"/>
      <c r="F1293" s="3"/>
      <c r="G1293" s="2"/>
      <c r="H1293" s="2"/>
      <c r="I1293" s="2"/>
      <c r="J1293" s="2"/>
      <c r="K1293" s="2"/>
      <c r="L1293" s="2"/>
    </row>
    <row r="1294">
      <c r="A1294" s="1"/>
      <c r="B1294" s="1"/>
      <c r="C1294" s="2"/>
      <c r="D1294" s="2"/>
      <c r="E1294" s="6"/>
      <c r="F1294" s="3"/>
      <c r="G1294" s="2"/>
      <c r="H1294" s="2"/>
      <c r="I1294" s="2"/>
      <c r="J1294" s="2"/>
      <c r="K1294" s="2"/>
      <c r="L1294" s="2"/>
    </row>
    <row r="1295">
      <c r="A1295" s="8" t="s">
        <v>1498</v>
      </c>
      <c r="B1295" s="8" t="s">
        <v>1498</v>
      </c>
      <c r="C1295" s="2" t="s">
        <v>326</v>
      </c>
      <c r="D1295" s="2" t="s">
        <v>327</v>
      </c>
      <c r="E1295" s="6">
        <v>45918.43210648148</v>
      </c>
      <c r="F1295" s="3" t="s">
        <v>328</v>
      </c>
      <c r="G1295" s="2" t="s">
        <v>24</v>
      </c>
      <c r="H1295" s="2"/>
      <c r="I1295" s="2"/>
      <c r="J1295" s="2"/>
      <c r="K1295" s="2" t="s">
        <v>18</v>
      </c>
      <c r="L1295" s="2"/>
    </row>
    <row r="1296">
      <c r="A1296" s="1"/>
      <c r="B1296" s="1"/>
      <c r="C1296" s="2"/>
      <c r="D1296" s="2"/>
      <c r="E1296" s="6"/>
      <c r="F1296" s="3"/>
      <c r="G1296" s="2"/>
      <c r="H1296" s="2"/>
      <c r="I1296" s="2"/>
      <c r="J1296" s="2"/>
      <c r="K1296" s="2"/>
      <c r="L1296" s="2"/>
    </row>
    <row r="1297">
      <c r="A1297" s="8" t="s">
        <v>1499</v>
      </c>
      <c r="B1297" s="8" t="s">
        <v>1499</v>
      </c>
      <c r="C1297" s="2" t="s">
        <v>353</v>
      </c>
      <c r="D1297" s="2" t="s">
        <v>1500</v>
      </c>
      <c r="E1297" s="6">
        <v>45918.46178240741</v>
      </c>
      <c r="F1297" s="3" t="s">
        <v>1501</v>
      </c>
      <c r="G1297" s="2" t="s">
        <v>16</v>
      </c>
      <c r="H1297" s="2"/>
      <c r="I1297" s="2" t="s">
        <v>395</v>
      </c>
      <c r="J1297" s="2"/>
      <c r="K1297" s="2" t="s">
        <v>18</v>
      </c>
      <c r="L1297" s="2"/>
    </row>
    <row r="1298">
      <c r="A1298" s="8" t="s">
        <v>1502</v>
      </c>
      <c r="B1298" s="8" t="s">
        <v>1502</v>
      </c>
      <c r="C1298" s="2" t="s">
        <v>309</v>
      </c>
      <c r="D1298" s="2" t="s">
        <v>310</v>
      </c>
      <c r="E1298" s="6">
        <v>45918.68369212963</v>
      </c>
      <c r="F1298" s="3" t="s">
        <v>617</v>
      </c>
      <c r="G1298" s="2" t="s">
        <v>24</v>
      </c>
      <c r="H1298" s="2"/>
      <c r="I1298" s="2"/>
      <c r="J1298" s="2"/>
      <c r="K1298" s="2" t="s">
        <v>18</v>
      </c>
      <c r="L1298" s="2"/>
    </row>
    <row r="1299">
      <c r="A1299" s="8" t="s">
        <v>1503</v>
      </c>
      <c r="B1299" s="8" t="s">
        <v>1503</v>
      </c>
      <c r="C1299" s="2" t="s">
        <v>213</v>
      </c>
      <c r="D1299" s="2" t="s">
        <v>214</v>
      </c>
      <c r="E1299" s="6">
        <v>45918.68709490741</v>
      </c>
      <c r="F1299" s="3" t="s">
        <v>215</v>
      </c>
      <c r="G1299" s="2" t="s">
        <v>24</v>
      </c>
      <c r="H1299" s="2"/>
      <c r="I1299" s="2"/>
      <c r="J1299" s="2"/>
      <c r="K1299" s="2" t="s">
        <v>18</v>
      </c>
      <c r="L1299" s="2"/>
    </row>
    <row r="1300">
      <c r="A1300" s="8" t="s">
        <v>1504</v>
      </c>
      <c r="B1300" s="8" t="s">
        <v>1504</v>
      </c>
      <c r="C1300" s="2" t="s">
        <v>309</v>
      </c>
      <c r="D1300" s="2" t="s">
        <v>310</v>
      </c>
      <c r="E1300" s="6">
        <v>45919.58709490741</v>
      </c>
      <c r="F1300" s="3" t="s">
        <v>311</v>
      </c>
      <c r="G1300" s="2" t="s">
        <v>16</v>
      </c>
      <c r="H1300" s="2"/>
      <c r="I1300" s="2" t="s">
        <v>395</v>
      </c>
      <c r="J1300" s="2"/>
      <c r="K1300" s="2" t="s">
        <v>18</v>
      </c>
      <c r="L1300" s="2"/>
    </row>
    <row r="1301">
      <c r="A1301" s="8" t="s">
        <v>1505</v>
      </c>
      <c r="B1301" s="8" t="s">
        <v>1505</v>
      </c>
      <c r="C1301" s="2" t="s">
        <v>309</v>
      </c>
      <c r="D1301" s="2" t="s">
        <v>310</v>
      </c>
      <c r="E1301" s="6">
        <v>45919.59028935185</v>
      </c>
      <c r="F1301" s="3" t="s">
        <v>311</v>
      </c>
      <c r="G1301" s="2" t="s">
        <v>159</v>
      </c>
      <c r="H1301" s="2"/>
      <c r="I1301" s="2"/>
      <c r="J1301" s="2"/>
      <c r="K1301" s="2" t="s">
        <v>18</v>
      </c>
      <c r="L1301" s="2"/>
    </row>
    <row r="1302">
      <c r="A1302" s="8" t="s">
        <v>1506</v>
      </c>
      <c r="B1302" s="8" t="s">
        <v>1506</v>
      </c>
      <c r="C1302" s="2" t="s">
        <v>109</v>
      </c>
      <c r="D1302" s="2" t="s">
        <v>110</v>
      </c>
      <c r="E1302" s="6">
        <v>45919.59371527778</v>
      </c>
      <c r="F1302" s="3" t="s">
        <v>111</v>
      </c>
      <c r="G1302" s="2" t="s">
        <v>16</v>
      </c>
      <c r="H1302" s="2"/>
      <c r="I1302" s="2" t="s">
        <v>17</v>
      </c>
      <c r="J1302" s="2"/>
      <c r="K1302" s="2" t="s">
        <v>18</v>
      </c>
      <c r="L1302" s="2"/>
    </row>
    <row r="1303">
      <c r="A1303" s="8" t="s">
        <v>1507</v>
      </c>
      <c r="B1303" s="8" t="s">
        <v>1507</v>
      </c>
      <c r="C1303" s="2" t="s">
        <v>1237</v>
      </c>
      <c r="D1303" s="2" t="s">
        <v>1238</v>
      </c>
      <c r="E1303" s="6">
        <v>45919.65185185185</v>
      </c>
      <c r="F1303" s="3" t="s">
        <v>1239</v>
      </c>
      <c r="G1303" s="2" t="s">
        <v>24</v>
      </c>
      <c r="H1303" s="2"/>
      <c r="I1303" s="2"/>
      <c r="J1303" s="2"/>
      <c r="K1303" s="2" t="s">
        <v>18</v>
      </c>
      <c r="L1303" s="2"/>
    </row>
    <row r="1304">
      <c r="A1304" s="8" t="s">
        <v>1508</v>
      </c>
      <c r="B1304" s="8" t="s">
        <v>1508</v>
      </c>
      <c r="C1304" s="2" t="s">
        <v>109</v>
      </c>
      <c r="D1304" s="2" t="s">
        <v>110</v>
      </c>
      <c r="E1304" s="6">
        <v>45919.702465277776</v>
      </c>
      <c r="F1304" s="3" t="s">
        <v>111</v>
      </c>
      <c r="G1304" s="2" t="s">
        <v>24</v>
      </c>
      <c r="H1304" s="2"/>
      <c r="I1304" s="2"/>
      <c r="J1304" s="2"/>
      <c r="K1304" s="2" t="s">
        <v>18</v>
      </c>
      <c r="L1304" s="2"/>
    </row>
    <row r="1305">
      <c r="A1305" s="8" t="s">
        <v>1509</v>
      </c>
      <c r="B1305" s="8" t="s">
        <v>1509</v>
      </c>
      <c r="C1305" s="2" t="s">
        <v>309</v>
      </c>
      <c r="D1305" s="2" t="s">
        <v>310</v>
      </c>
      <c r="E1305" s="6">
        <v>45919.70353009259</v>
      </c>
      <c r="F1305" s="3" t="s">
        <v>311</v>
      </c>
      <c r="G1305" s="2" t="s">
        <v>24</v>
      </c>
      <c r="H1305" s="2"/>
      <c r="I1305" s="2"/>
      <c r="J1305" s="2"/>
      <c r="K1305" s="2" t="s">
        <v>18</v>
      </c>
      <c r="L1305" s="2"/>
    </row>
    <row r="1306">
      <c r="A1306" s="8" t="s">
        <v>1510</v>
      </c>
      <c r="B1306" s="8" t="s">
        <v>1510</v>
      </c>
      <c r="C1306" s="2" t="s">
        <v>320</v>
      </c>
      <c r="D1306" s="2" t="s">
        <v>321</v>
      </c>
      <c r="E1306" s="6">
        <v>45920.358194444445</v>
      </c>
      <c r="F1306" s="3" t="s">
        <v>322</v>
      </c>
      <c r="G1306" s="2" t="s">
        <v>16</v>
      </c>
      <c r="H1306" s="2"/>
      <c r="I1306" s="2" t="s">
        <v>17</v>
      </c>
      <c r="J1306" s="2"/>
      <c r="K1306" s="2" t="s">
        <v>18</v>
      </c>
      <c r="L1306" s="2"/>
    </row>
    <row r="1307">
      <c r="A1307" s="8" t="s">
        <v>1511</v>
      </c>
      <c r="B1307" s="8" t="s">
        <v>1511</v>
      </c>
      <c r="C1307" s="2" t="s">
        <v>45</v>
      </c>
      <c r="D1307" s="2" t="s">
        <v>46</v>
      </c>
      <c r="E1307" s="6">
        <v>45920.51771990741</v>
      </c>
      <c r="F1307" s="3" t="s">
        <v>47</v>
      </c>
      <c r="G1307" s="2" t="s">
        <v>24</v>
      </c>
      <c r="H1307" s="2"/>
      <c r="I1307" s="2"/>
      <c r="J1307" s="2"/>
      <c r="K1307" s="2" t="s">
        <v>18</v>
      </c>
      <c r="L1307" s="2"/>
    </row>
    <row r="1308">
      <c r="A1308" s="8" t="s">
        <v>1512</v>
      </c>
      <c r="B1308" s="8" t="s">
        <v>1512</v>
      </c>
      <c r="C1308" s="2" t="s">
        <v>320</v>
      </c>
      <c r="D1308" s="2" t="s">
        <v>321</v>
      </c>
      <c r="E1308" s="6">
        <v>45920.51974537037</v>
      </c>
      <c r="F1308" s="3" t="s">
        <v>322</v>
      </c>
      <c r="G1308" s="2" t="s">
        <v>24</v>
      </c>
      <c r="H1308" s="2"/>
      <c r="I1308" s="2"/>
      <c r="J1308" s="2"/>
      <c r="K1308" s="2" t="s">
        <v>18</v>
      </c>
      <c r="L1308" s="2"/>
    </row>
    <row r="1309">
      <c r="A1309" s="8" t="s">
        <v>1513</v>
      </c>
      <c r="B1309" s="8" t="s">
        <v>1513</v>
      </c>
      <c r="C1309" s="2" t="s">
        <v>1203</v>
      </c>
      <c r="D1309" s="2" t="s">
        <v>1204</v>
      </c>
      <c r="E1309" s="6">
        <v>45922.45142361111</v>
      </c>
      <c r="F1309" s="3" t="s">
        <v>1205</v>
      </c>
      <c r="G1309" s="2" t="s">
        <v>24</v>
      </c>
      <c r="H1309" s="2"/>
      <c r="I1309" s="2"/>
      <c r="J1309" s="2"/>
      <c r="K1309" s="2" t="s">
        <v>18</v>
      </c>
      <c r="L1309" s="2"/>
    </row>
    <row r="1310">
      <c r="A1310" s="8" t="s">
        <v>1514</v>
      </c>
      <c r="B1310" s="8" t="s">
        <v>1514</v>
      </c>
      <c r="C1310" s="2" t="s">
        <v>45</v>
      </c>
      <c r="D1310" s="2" t="s">
        <v>46</v>
      </c>
      <c r="E1310" s="6">
        <v>45922.60189814815</v>
      </c>
      <c r="F1310" s="3" t="s">
        <v>47</v>
      </c>
      <c r="G1310" s="2" t="s">
        <v>16</v>
      </c>
      <c r="H1310" s="2"/>
      <c r="I1310" s="2" t="s">
        <v>17</v>
      </c>
      <c r="J1310" s="2"/>
      <c r="K1310" s="2" t="s">
        <v>18</v>
      </c>
      <c r="L1310" s="2"/>
    </row>
    <row r="1311">
      <c r="A1311" s="8" t="s">
        <v>1515</v>
      </c>
      <c r="B1311" s="8" t="s">
        <v>1515</v>
      </c>
      <c r="C1311" s="2" t="s">
        <v>45</v>
      </c>
      <c r="D1311" s="2" t="s">
        <v>46</v>
      </c>
      <c r="E1311" s="6">
        <v>45922.65332175926</v>
      </c>
      <c r="F1311" s="3" t="s">
        <v>47</v>
      </c>
      <c r="G1311" s="2" t="s">
        <v>24</v>
      </c>
      <c r="H1311" s="2"/>
      <c r="I1311" s="2"/>
      <c r="J1311" s="2"/>
      <c r="K1311" s="2" t="s">
        <v>18</v>
      </c>
      <c r="L1311" s="2"/>
    </row>
    <row r="1312">
      <c r="A1312" s="8" t="s">
        <v>1516</v>
      </c>
      <c r="B1312" s="8" t="s">
        <v>1516</v>
      </c>
      <c r="C1312" s="2" t="s">
        <v>786</v>
      </c>
      <c r="D1312" s="2" t="s">
        <v>787</v>
      </c>
      <c r="E1312" s="6">
        <v>45923.354317129626</v>
      </c>
      <c r="F1312" s="3" t="s">
        <v>788</v>
      </c>
      <c r="G1312" s="2" t="s">
        <v>16</v>
      </c>
      <c r="H1312" s="2"/>
      <c r="I1312" s="2" t="s">
        <v>17</v>
      </c>
      <c r="J1312" s="2"/>
      <c r="K1312" s="2" t="s">
        <v>18</v>
      </c>
      <c r="L1312" s="2"/>
    </row>
    <row r="1313">
      <c r="A1313" s="8" t="s">
        <v>1517</v>
      </c>
      <c r="B1313" s="8" t="s">
        <v>1517</v>
      </c>
      <c r="C1313" s="2" t="s">
        <v>943</v>
      </c>
      <c r="D1313" s="2" t="s">
        <v>944</v>
      </c>
      <c r="E1313" s="6">
        <v>45923.360300925924</v>
      </c>
      <c r="F1313" s="3" t="s">
        <v>945</v>
      </c>
      <c r="G1313" s="2" t="s">
        <v>16</v>
      </c>
      <c r="H1313" s="2"/>
      <c r="I1313" s="2" t="s">
        <v>395</v>
      </c>
      <c r="J1313" s="2"/>
      <c r="K1313" s="2" t="s">
        <v>18</v>
      </c>
      <c r="L1313" s="2"/>
    </row>
    <row r="1314">
      <c r="A1314" s="8" t="s">
        <v>1518</v>
      </c>
      <c r="B1314" s="8" t="s">
        <v>1518</v>
      </c>
      <c r="C1314" s="2" t="s">
        <v>1519</v>
      </c>
      <c r="D1314" s="2" t="s">
        <v>1520</v>
      </c>
      <c r="E1314" s="6">
        <v>45923.38313657408</v>
      </c>
      <c r="F1314" s="3" t="s">
        <v>1521</v>
      </c>
      <c r="G1314" s="2" t="s">
        <v>16</v>
      </c>
      <c r="H1314" s="2"/>
      <c r="I1314" s="2" t="s">
        <v>395</v>
      </c>
      <c r="J1314" s="2"/>
      <c r="K1314" s="2" t="s">
        <v>18</v>
      </c>
      <c r="L1314" s="2"/>
    </row>
    <row r="1315">
      <c r="A1315" s="8" t="s">
        <v>1522</v>
      </c>
      <c r="B1315" s="8" t="s">
        <v>1522</v>
      </c>
      <c r="C1315" s="2" t="s">
        <v>1523</v>
      </c>
      <c r="D1315" s="2" t="s">
        <v>1524</v>
      </c>
      <c r="E1315" s="6">
        <v>45923.38631944444</v>
      </c>
      <c r="F1315" s="3" t="s">
        <v>1525</v>
      </c>
      <c r="G1315" s="2" t="s">
        <v>16</v>
      </c>
      <c r="H1315" s="2"/>
      <c r="I1315" s="2" t="s">
        <v>395</v>
      </c>
      <c r="J1315" s="2"/>
      <c r="K1315" s="2" t="s">
        <v>18</v>
      </c>
      <c r="L1315" s="2"/>
    </row>
    <row r="1316">
      <c r="A1316" s="8" t="s">
        <v>1526</v>
      </c>
      <c r="B1316" s="8" t="s">
        <v>1526</v>
      </c>
      <c r="C1316" s="2" t="s">
        <v>1519</v>
      </c>
      <c r="D1316" s="2" t="s">
        <v>1520</v>
      </c>
      <c r="E1316" s="6">
        <v>45923.40394675926</v>
      </c>
      <c r="F1316" s="3" t="s">
        <v>1521</v>
      </c>
      <c r="G1316" s="2" t="s">
        <v>24</v>
      </c>
      <c r="H1316" s="2"/>
      <c r="I1316" s="2"/>
      <c r="J1316" s="2"/>
      <c r="K1316" s="2" t="s">
        <v>18</v>
      </c>
      <c r="L1316" s="2"/>
    </row>
    <row r="1317">
      <c r="A1317" s="8" t="s">
        <v>1527</v>
      </c>
      <c r="B1317" s="8" t="s">
        <v>1527</v>
      </c>
      <c r="C1317" s="2" t="s">
        <v>904</v>
      </c>
      <c r="D1317" s="2" t="s">
        <v>905</v>
      </c>
      <c r="E1317" s="6">
        <v>45923.586226851854</v>
      </c>
      <c r="F1317" s="3" t="s">
        <v>906</v>
      </c>
      <c r="G1317" s="2" t="s">
        <v>24</v>
      </c>
      <c r="H1317" s="2"/>
      <c r="I1317" s="2"/>
      <c r="J1317" s="2"/>
      <c r="K1317" s="2" t="s">
        <v>18</v>
      </c>
      <c r="L1317" s="2"/>
    </row>
    <row r="1318">
      <c r="A1318" s="8" t="s">
        <v>1528</v>
      </c>
      <c r="B1318" s="8" t="s">
        <v>1528</v>
      </c>
      <c r="C1318" s="2" t="s">
        <v>943</v>
      </c>
      <c r="D1318" s="2" t="s">
        <v>944</v>
      </c>
      <c r="E1318" s="6">
        <v>45923.58707175926</v>
      </c>
      <c r="F1318" s="3" t="s">
        <v>945</v>
      </c>
      <c r="G1318" s="2" t="s">
        <v>24</v>
      </c>
      <c r="H1318" s="2"/>
      <c r="I1318" s="2"/>
      <c r="J1318" s="2"/>
      <c r="K1318" s="2" t="s">
        <v>18</v>
      </c>
      <c r="L1318" s="2"/>
    </row>
    <row r="1319">
      <c r="A1319" s="8" t="s">
        <v>1529</v>
      </c>
      <c r="B1319" s="8" t="s">
        <v>1529</v>
      </c>
      <c r="C1319" s="2" t="s">
        <v>786</v>
      </c>
      <c r="D1319" s="2" t="s">
        <v>787</v>
      </c>
      <c r="E1319" s="6">
        <v>45923.5875</v>
      </c>
      <c r="F1319" s="3" t="s">
        <v>788</v>
      </c>
      <c r="G1319" s="2" t="s">
        <v>24</v>
      </c>
      <c r="H1319" s="2"/>
      <c r="I1319" s="2"/>
      <c r="J1319" s="2"/>
      <c r="K1319" s="2" t="s">
        <v>18</v>
      </c>
      <c r="L1319" s="2"/>
    </row>
    <row r="1320">
      <c r="A1320" s="8" t="s">
        <v>1530</v>
      </c>
      <c r="B1320" s="8" t="s">
        <v>1530</v>
      </c>
      <c r="C1320" s="2" t="s">
        <v>464</v>
      </c>
      <c r="D1320" s="2" t="s">
        <v>465</v>
      </c>
      <c r="E1320" s="6">
        <v>45923.58894675926</v>
      </c>
      <c r="F1320" s="3" t="s">
        <v>466</v>
      </c>
      <c r="G1320" s="2" t="s">
        <v>24</v>
      </c>
      <c r="H1320" s="2"/>
      <c r="I1320" s="2"/>
      <c r="J1320" s="2"/>
      <c r="K1320" s="2" t="s">
        <v>18</v>
      </c>
      <c r="L1320" s="2"/>
    </row>
    <row r="1321">
      <c r="A1321" s="8" t="s">
        <v>1531</v>
      </c>
      <c r="B1321" s="8" t="s">
        <v>1531</v>
      </c>
      <c r="C1321" s="2" t="s">
        <v>326</v>
      </c>
      <c r="D1321" s="2" t="s">
        <v>327</v>
      </c>
      <c r="E1321" s="6">
        <v>45923.589907407404</v>
      </c>
      <c r="F1321" s="3" t="s">
        <v>328</v>
      </c>
      <c r="G1321" s="2" t="s">
        <v>24</v>
      </c>
      <c r="H1321" s="2"/>
      <c r="I1321" s="2"/>
      <c r="J1321" s="2"/>
      <c r="K1321" s="2" t="s">
        <v>18</v>
      </c>
      <c r="L1321" s="2"/>
    </row>
    <row r="1322">
      <c r="A1322" s="8" t="s">
        <v>1532</v>
      </c>
      <c r="B1322" s="8" t="s">
        <v>1532</v>
      </c>
      <c r="C1322" s="10" t="s">
        <v>1399</v>
      </c>
      <c r="D1322" s="2" t="s">
        <v>1400</v>
      </c>
      <c r="E1322" s="6">
        <v>45923.62472222222</v>
      </c>
      <c r="F1322" s="3" t="s">
        <v>1401</v>
      </c>
      <c r="G1322" s="2" t="s">
        <v>16</v>
      </c>
      <c r="H1322" s="2"/>
      <c r="I1322" s="2" t="s">
        <v>17</v>
      </c>
      <c r="J1322" s="2"/>
      <c r="K1322" s="2" t="s">
        <v>18</v>
      </c>
      <c r="L1322" s="2"/>
    </row>
    <row r="1323">
      <c r="A1323" s="8" t="s">
        <v>1533</v>
      </c>
      <c r="B1323" s="8" t="s">
        <v>1533</v>
      </c>
      <c r="C1323" s="10" t="s">
        <v>1399</v>
      </c>
      <c r="D1323" s="2" t="s">
        <v>1400</v>
      </c>
      <c r="E1323" s="6">
        <v>45923.70034722222</v>
      </c>
      <c r="F1323" s="3" t="s">
        <v>1401</v>
      </c>
      <c r="G1323" s="2" t="s">
        <v>24</v>
      </c>
      <c r="H1323" s="2"/>
      <c r="I1323" s="2"/>
      <c r="J1323" s="2"/>
      <c r="K1323" s="2" t="s">
        <v>18</v>
      </c>
      <c r="L1323" s="2"/>
    </row>
    <row r="1324">
      <c r="A1324" s="8" t="s">
        <v>1534</v>
      </c>
      <c r="B1324" s="8" t="s">
        <v>1534</v>
      </c>
      <c r="C1324" s="2" t="s">
        <v>1084</v>
      </c>
      <c r="D1324" s="2" t="s">
        <v>1085</v>
      </c>
      <c r="E1324" s="6">
        <v>45924.367118055554</v>
      </c>
      <c r="F1324" s="3" t="s">
        <v>1086</v>
      </c>
      <c r="G1324" s="2" t="s">
        <v>16</v>
      </c>
      <c r="H1324" s="2"/>
      <c r="I1324" s="2" t="s">
        <v>17</v>
      </c>
      <c r="J1324" s="2"/>
      <c r="K1324" s="2" t="s">
        <v>18</v>
      </c>
      <c r="L1324" s="2"/>
    </row>
    <row r="1325">
      <c r="A1325" s="8" t="s">
        <v>1535</v>
      </c>
      <c r="B1325" s="8" t="s">
        <v>1535</v>
      </c>
      <c r="C1325" s="2" t="s">
        <v>951</v>
      </c>
      <c r="D1325" s="2" t="s">
        <v>952</v>
      </c>
      <c r="E1325" s="6">
        <v>45924.37144675926</v>
      </c>
      <c r="F1325" s="3" t="s">
        <v>953</v>
      </c>
      <c r="G1325" s="2" t="s">
        <v>16</v>
      </c>
      <c r="H1325" s="2"/>
      <c r="I1325" s="2" t="s">
        <v>17</v>
      </c>
      <c r="J1325" s="2"/>
      <c r="K1325" s="2" t="s">
        <v>18</v>
      </c>
      <c r="L1325" s="2"/>
    </row>
    <row r="1326">
      <c r="A1326" s="8" t="s">
        <v>1536</v>
      </c>
      <c r="B1326" s="8" t="s">
        <v>1536</v>
      </c>
      <c r="C1326" s="2" t="s">
        <v>45</v>
      </c>
      <c r="D1326" s="2" t="s">
        <v>46</v>
      </c>
      <c r="E1326" s="6">
        <v>45924.37400462963</v>
      </c>
      <c r="F1326" s="3" t="s">
        <v>47</v>
      </c>
      <c r="G1326" s="2" t="s">
        <v>16</v>
      </c>
      <c r="H1326" s="2"/>
      <c r="I1326" s="2" t="s">
        <v>17</v>
      </c>
      <c r="J1326" s="2"/>
      <c r="K1326" s="2" t="s">
        <v>18</v>
      </c>
      <c r="L1326" s="2"/>
    </row>
    <row r="1327">
      <c r="A1327" s="8" t="s">
        <v>1537</v>
      </c>
      <c r="B1327" s="8" t="s">
        <v>1537</v>
      </c>
      <c r="C1327" s="2" t="s">
        <v>20</v>
      </c>
      <c r="D1327" s="2" t="s">
        <v>21</v>
      </c>
      <c r="E1327" s="6">
        <v>45924.40516203704</v>
      </c>
      <c r="F1327" s="3" t="s">
        <v>22</v>
      </c>
      <c r="G1327" s="2" t="s">
        <v>16</v>
      </c>
      <c r="H1327" s="2"/>
      <c r="I1327" s="2" t="s">
        <v>17</v>
      </c>
      <c r="J1327" s="2"/>
      <c r="K1327" s="2" t="s">
        <v>18</v>
      </c>
      <c r="L1327" s="2"/>
    </row>
    <row r="1328">
      <c r="A1328" s="8" t="s">
        <v>1538</v>
      </c>
      <c r="B1328" s="8" t="s">
        <v>1538</v>
      </c>
      <c r="C1328" s="2" t="s">
        <v>1519</v>
      </c>
      <c r="D1328" s="2" t="s">
        <v>1520</v>
      </c>
      <c r="E1328" s="6">
        <v>45924.574467592596</v>
      </c>
      <c r="F1328" s="3" t="s">
        <v>1521</v>
      </c>
      <c r="G1328" s="2" t="s">
        <v>16</v>
      </c>
      <c r="H1328" s="2"/>
      <c r="I1328" s="2" t="s">
        <v>395</v>
      </c>
      <c r="J1328" s="2"/>
      <c r="K1328" s="2" t="s">
        <v>18</v>
      </c>
      <c r="L1328" s="2"/>
    </row>
    <row r="1329">
      <c r="A1329" s="8" t="s">
        <v>1539</v>
      </c>
      <c r="B1329" s="8" t="s">
        <v>1539</v>
      </c>
      <c r="C1329" s="2" t="s">
        <v>1519</v>
      </c>
      <c r="D1329" s="2" t="s">
        <v>1520</v>
      </c>
      <c r="E1329" s="6">
        <v>45924.60070601852</v>
      </c>
      <c r="F1329" s="3" t="s">
        <v>1521</v>
      </c>
      <c r="G1329" s="2" t="s">
        <v>24</v>
      </c>
      <c r="H1329" s="2"/>
      <c r="I1329" s="2"/>
      <c r="J1329" s="2"/>
      <c r="K1329" s="2" t="s">
        <v>18</v>
      </c>
      <c r="L1329" s="2"/>
    </row>
    <row r="1330">
      <c r="A1330" s="8" t="s">
        <v>1540</v>
      </c>
      <c r="B1330" s="8" t="s">
        <v>1540</v>
      </c>
      <c r="C1330" s="2" t="s">
        <v>1084</v>
      </c>
      <c r="D1330" s="2" t="s">
        <v>1085</v>
      </c>
      <c r="E1330" s="6">
        <v>45924.608125</v>
      </c>
      <c r="F1330" s="3" t="s">
        <v>1086</v>
      </c>
      <c r="G1330" s="2" t="s">
        <v>24</v>
      </c>
      <c r="H1330" s="2"/>
      <c r="I1330" s="2"/>
      <c r="J1330" s="2"/>
      <c r="K1330" s="2" t="s">
        <v>18</v>
      </c>
      <c r="L1330" s="2"/>
    </row>
    <row r="1331">
      <c r="A1331" s="1"/>
      <c r="B1331" s="1"/>
      <c r="C1331" s="2"/>
      <c r="D1331" s="2"/>
      <c r="E1331" s="6"/>
      <c r="F1331" s="3"/>
      <c r="G1331" s="2"/>
      <c r="H1331" s="2"/>
      <c r="I1331" s="2"/>
      <c r="J1331" s="2"/>
      <c r="K1331" s="2"/>
      <c r="L1331" s="2"/>
    </row>
    <row r="1332">
      <c r="A1332" s="8" t="s">
        <v>1541</v>
      </c>
      <c r="B1332" s="8" t="s">
        <v>1541</v>
      </c>
      <c r="C1332" s="2" t="s">
        <v>326</v>
      </c>
      <c r="D1332" s="2" t="s">
        <v>327</v>
      </c>
      <c r="E1332" s="6">
        <v>45925.38827546296</v>
      </c>
      <c r="F1332" s="3" t="s">
        <v>328</v>
      </c>
      <c r="G1332" s="2" t="s">
        <v>16</v>
      </c>
      <c r="H1332" s="2"/>
      <c r="I1332" s="2" t="s">
        <v>395</v>
      </c>
      <c r="J1332" s="2"/>
      <c r="K1332" s="2" t="s">
        <v>18</v>
      </c>
      <c r="L1332" s="2"/>
    </row>
    <row r="1333">
      <c r="A1333" s="8" t="s">
        <v>1542</v>
      </c>
      <c r="B1333" s="8" t="s">
        <v>1542</v>
      </c>
      <c r="C1333" s="2" t="s">
        <v>943</v>
      </c>
      <c r="D1333" s="2" t="s">
        <v>944</v>
      </c>
      <c r="E1333" s="6">
        <v>45925.35712962963</v>
      </c>
      <c r="F1333" s="3" t="s">
        <v>945</v>
      </c>
      <c r="G1333" s="2" t="s">
        <v>16</v>
      </c>
      <c r="H1333" s="2"/>
      <c r="I1333" s="2" t="s">
        <v>395</v>
      </c>
      <c r="J1333" s="2"/>
      <c r="K1333" s="2" t="s">
        <v>18</v>
      </c>
      <c r="L1333" s="2"/>
    </row>
    <row r="1334">
      <c r="A1334" s="8" t="s">
        <v>1543</v>
      </c>
      <c r="B1334" s="8" t="s">
        <v>1543</v>
      </c>
      <c r="C1334" s="2" t="s">
        <v>943</v>
      </c>
      <c r="D1334" s="2" t="s">
        <v>944</v>
      </c>
      <c r="E1334" s="6">
        <v>45925.35748842593</v>
      </c>
      <c r="F1334" s="3" t="s">
        <v>945</v>
      </c>
      <c r="G1334" s="2" t="s">
        <v>159</v>
      </c>
      <c r="H1334" s="2"/>
      <c r="I1334" s="2"/>
      <c r="J1334" s="2"/>
      <c r="K1334" s="2" t="s">
        <v>18</v>
      </c>
      <c r="L1334" s="2"/>
    </row>
    <row r="1335">
      <c r="A1335" s="8" t="s">
        <v>1544</v>
      </c>
      <c r="B1335" s="8" t="s">
        <v>1544</v>
      </c>
      <c r="C1335" s="2" t="s">
        <v>169</v>
      </c>
      <c r="D1335" s="2" t="s">
        <v>170</v>
      </c>
      <c r="E1335" s="6">
        <v>45925.37299768518</v>
      </c>
      <c r="F1335" s="3" t="s">
        <v>171</v>
      </c>
      <c r="G1335" s="2" t="s">
        <v>16</v>
      </c>
      <c r="H1335" s="2"/>
      <c r="I1335" s="2" t="s">
        <v>17</v>
      </c>
      <c r="J1335" s="2"/>
      <c r="K1335" s="2" t="s">
        <v>18</v>
      </c>
      <c r="L1335" s="2"/>
    </row>
    <row r="1336">
      <c r="A1336" s="8" t="s">
        <v>1545</v>
      </c>
      <c r="B1336" s="8" t="s">
        <v>1545</v>
      </c>
      <c r="C1336" s="2" t="s">
        <v>943</v>
      </c>
      <c r="D1336" s="2" t="s">
        <v>944</v>
      </c>
      <c r="E1336" s="6">
        <v>45925.45459490741</v>
      </c>
      <c r="F1336" s="3" t="s">
        <v>945</v>
      </c>
      <c r="G1336" s="2" t="s">
        <v>24</v>
      </c>
      <c r="H1336" s="2"/>
      <c r="I1336" s="2"/>
      <c r="J1336" s="2"/>
      <c r="K1336" s="2" t="s">
        <v>18</v>
      </c>
      <c r="L1336" s="2"/>
    </row>
    <row r="1337">
      <c r="A1337" s="8" t="s">
        <v>1546</v>
      </c>
      <c r="B1337" s="8" t="s">
        <v>1546</v>
      </c>
      <c r="C1337" s="2" t="s">
        <v>45</v>
      </c>
      <c r="D1337" s="2" t="s">
        <v>46</v>
      </c>
      <c r="E1337" s="6">
        <v>45925.46853009259</v>
      </c>
      <c r="F1337" s="3" t="s">
        <v>47</v>
      </c>
      <c r="G1337" s="2" t="s">
        <v>24</v>
      </c>
      <c r="H1337" s="2"/>
      <c r="I1337" s="2"/>
      <c r="J1337" s="2"/>
      <c r="K1337" s="2" t="s">
        <v>18</v>
      </c>
      <c r="L1337" s="2"/>
    </row>
    <row r="1338">
      <c r="A1338" s="8" t="s">
        <v>1547</v>
      </c>
      <c r="B1338" s="8" t="s">
        <v>1547</v>
      </c>
      <c r="C1338" s="2" t="s">
        <v>951</v>
      </c>
      <c r="D1338" s="2" t="s">
        <v>952</v>
      </c>
      <c r="E1338" s="6">
        <v>45925.469872685186</v>
      </c>
      <c r="F1338" s="3" t="s">
        <v>953</v>
      </c>
      <c r="G1338" s="2" t="s">
        <v>24</v>
      </c>
      <c r="H1338" s="2"/>
      <c r="I1338" s="2"/>
      <c r="J1338" s="2"/>
      <c r="K1338" s="2" t="s">
        <v>18</v>
      </c>
      <c r="L1338" s="2"/>
    </row>
    <row r="1339">
      <c r="A1339" s="8" t="s">
        <v>1548</v>
      </c>
      <c r="B1339" s="8" t="s">
        <v>1548</v>
      </c>
      <c r="C1339" s="2" t="s">
        <v>326</v>
      </c>
      <c r="D1339" s="2" t="s">
        <v>327</v>
      </c>
      <c r="E1339" s="6">
        <v>45925.47076388889</v>
      </c>
      <c r="F1339" s="3" t="s">
        <v>328</v>
      </c>
      <c r="G1339" s="2" t="s">
        <v>24</v>
      </c>
      <c r="H1339" s="2"/>
      <c r="I1339" s="2"/>
      <c r="J1339" s="2"/>
      <c r="K1339" s="2" t="s">
        <v>18</v>
      </c>
      <c r="L1339" s="2"/>
    </row>
    <row r="1340">
      <c r="A1340" s="8" t="s">
        <v>1549</v>
      </c>
      <c r="B1340" s="8" t="s">
        <v>1549</v>
      </c>
      <c r="C1340" s="2" t="s">
        <v>169</v>
      </c>
      <c r="D1340" s="2" t="s">
        <v>170</v>
      </c>
      <c r="E1340" s="6">
        <v>45925.59806712963</v>
      </c>
      <c r="F1340" s="3" t="s">
        <v>1137</v>
      </c>
      <c r="G1340" s="2" t="s">
        <v>24</v>
      </c>
      <c r="H1340" s="2"/>
      <c r="I1340" s="2"/>
      <c r="J1340" s="2"/>
      <c r="K1340" s="2" t="s">
        <v>18</v>
      </c>
      <c r="L1340" s="2"/>
    </row>
    <row r="1341">
      <c r="A1341" s="8" t="s">
        <v>1550</v>
      </c>
      <c r="B1341" s="8" t="s">
        <v>1550</v>
      </c>
      <c r="C1341" s="2" t="s">
        <v>1311</v>
      </c>
      <c r="D1341" s="2" t="s">
        <v>1010</v>
      </c>
      <c r="E1341" s="6">
        <v>45926.343506944446</v>
      </c>
      <c r="F1341" s="3" t="s">
        <v>1312</v>
      </c>
      <c r="G1341" s="2" t="s">
        <v>16</v>
      </c>
      <c r="H1341" s="2"/>
      <c r="I1341" s="2" t="s">
        <v>395</v>
      </c>
      <c r="J1341" s="2"/>
      <c r="K1341" s="2" t="s">
        <v>18</v>
      </c>
      <c r="L1341" s="2"/>
    </row>
    <row r="1342">
      <c r="A1342" s="8" t="s">
        <v>1551</v>
      </c>
      <c r="B1342" s="8" t="s">
        <v>1551</v>
      </c>
      <c r="C1342" s="2" t="s">
        <v>1311</v>
      </c>
      <c r="D1342" s="2" t="s">
        <v>1010</v>
      </c>
      <c r="E1342" s="6">
        <v>45926.36158564815</v>
      </c>
      <c r="F1342" s="3" t="s">
        <v>1312</v>
      </c>
      <c r="G1342" s="2" t="s">
        <v>24</v>
      </c>
      <c r="H1342" s="2"/>
      <c r="I1342" s="2"/>
      <c r="J1342" s="2"/>
      <c r="K1342" s="2" t="s">
        <v>18</v>
      </c>
      <c r="L1342" s="2"/>
    </row>
    <row r="1343">
      <c r="A1343" s="8" t="s">
        <v>1552</v>
      </c>
      <c r="B1343" s="8" t="s">
        <v>1552</v>
      </c>
      <c r="C1343" s="2" t="s">
        <v>904</v>
      </c>
      <c r="D1343" s="2" t="s">
        <v>905</v>
      </c>
      <c r="E1343" s="6">
        <v>45927.354166666664</v>
      </c>
      <c r="F1343" s="3" t="s">
        <v>906</v>
      </c>
      <c r="G1343" s="2" t="s">
        <v>16</v>
      </c>
      <c r="H1343" s="2"/>
      <c r="I1343" s="2" t="s">
        <v>395</v>
      </c>
      <c r="J1343" s="2"/>
      <c r="K1343" s="2" t="s">
        <v>18</v>
      </c>
      <c r="L1343" s="2"/>
    </row>
    <row r="1344">
      <c r="A1344" s="8" t="s">
        <v>1553</v>
      </c>
      <c r="B1344" s="8" t="s">
        <v>1553</v>
      </c>
      <c r="C1344" s="2" t="s">
        <v>45</v>
      </c>
      <c r="D1344" s="2" t="s">
        <v>46</v>
      </c>
      <c r="E1344" s="6">
        <v>45927.36041666667</v>
      </c>
      <c r="F1344" s="3" t="s">
        <v>47</v>
      </c>
      <c r="G1344" s="2" t="s">
        <v>16</v>
      </c>
      <c r="H1344" s="2"/>
      <c r="I1344" s="2" t="s">
        <v>17</v>
      </c>
      <c r="J1344" s="2"/>
      <c r="K1344" s="2" t="s">
        <v>18</v>
      </c>
      <c r="L1344" s="2"/>
    </row>
    <row r="1345">
      <c r="A1345" s="8" t="s">
        <v>1554</v>
      </c>
      <c r="B1345" s="8" t="s">
        <v>1554</v>
      </c>
      <c r="C1345" s="2" t="s">
        <v>464</v>
      </c>
      <c r="D1345" s="2" t="s">
        <v>465</v>
      </c>
      <c r="E1345" s="6">
        <v>45927.361805555556</v>
      </c>
      <c r="F1345" s="3" t="s">
        <v>466</v>
      </c>
      <c r="G1345" s="2" t="s">
        <v>16</v>
      </c>
      <c r="H1345" s="2"/>
      <c r="I1345" s="2" t="s">
        <v>395</v>
      </c>
      <c r="J1345" s="2"/>
      <c r="K1345" s="2" t="s">
        <v>18</v>
      </c>
      <c r="L1345" s="2"/>
    </row>
    <row r="1346">
      <c r="A1346" s="8" t="s">
        <v>1555</v>
      </c>
      <c r="B1346" s="8" t="s">
        <v>1555</v>
      </c>
      <c r="C1346" s="2" t="s">
        <v>493</v>
      </c>
      <c r="D1346" s="2" t="s">
        <v>494</v>
      </c>
      <c r="E1346" s="6">
        <v>45927.368055555555</v>
      </c>
      <c r="F1346" s="3" t="s">
        <v>495</v>
      </c>
      <c r="G1346" s="2" t="s">
        <v>159</v>
      </c>
      <c r="H1346" s="2"/>
      <c r="I1346" s="2"/>
      <c r="J1346" s="2"/>
      <c r="K1346" s="2" t="s">
        <v>18</v>
      </c>
      <c r="L1346" s="2"/>
    </row>
    <row r="1347">
      <c r="A1347" s="8" t="s">
        <v>1556</v>
      </c>
      <c r="B1347" s="8" t="s">
        <v>1556</v>
      </c>
      <c r="C1347" s="2" t="s">
        <v>45</v>
      </c>
      <c r="D1347" s="2" t="s">
        <v>46</v>
      </c>
      <c r="E1347" s="6">
        <v>45927.390752314815</v>
      </c>
      <c r="F1347" s="3" t="s">
        <v>47</v>
      </c>
      <c r="G1347" s="2" t="s">
        <v>24</v>
      </c>
      <c r="H1347" s="2"/>
      <c r="I1347" s="2"/>
      <c r="J1347" s="2"/>
      <c r="K1347" s="2" t="s">
        <v>18</v>
      </c>
      <c r="L1347" s="2"/>
    </row>
    <row r="1348">
      <c r="A1348" s="8" t="s">
        <v>1557</v>
      </c>
      <c r="B1348" s="8" t="s">
        <v>1557</v>
      </c>
      <c r="C1348" s="2" t="s">
        <v>493</v>
      </c>
      <c r="D1348" s="2" t="s">
        <v>494</v>
      </c>
      <c r="E1348" s="6">
        <v>45927.47534722222</v>
      </c>
      <c r="F1348" s="3" t="s">
        <v>495</v>
      </c>
      <c r="G1348" s="2" t="s">
        <v>24</v>
      </c>
      <c r="H1348" s="2"/>
      <c r="I1348" s="2"/>
      <c r="J1348" s="2"/>
      <c r="K1348" s="2" t="s">
        <v>18</v>
      </c>
      <c r="L1348" s="2"/>
    </row>
    <row r="1349">
      <c r="A1349" s="8" t="s">
        <v>1558</v>
      </c>
      <c r="B1349" s="8" t="s">
        <v>1558</v>
      </c>
      <c r="C1349" s="2" t="s">
        <v>464</v>
      </c>
      <c r="D1349" s="2" t="s">
        <v>465</v>
      </c>
      <c r="E1349" s="6">
        <v>45927.478530092594</v>
      </c>
      <c r="F1349" s="3" t="s">
        <v>466</v>
      </c>
      <c r="G1349" s="2" t="s">
        <v>24</v>
      </c>
      <c r="H1349" s="2"/>
      <c r="I1349" s="2"/>
      <c r="J1349" s="2"/>
      <c r="K1349" s="2" t="s">
        <v>18</v>
      </c>
      <c r="L1349" s="2"/>
    </row>
    <row r="1350">
      <c r="A1350" s="8" t="s">
        <v>1559</v>
      </c>
      <c r="B1350" s="8" t="s">
        <v>1559</v>
      </c>
      <c r="C1350" s="2" t="s">
        <v>326</v>
      </c>
      <c r="D1350" s="2" t="s">
        <v>327</v>
      </c>
      <c r="E1350" s="6">
        <v>45927.47888888889</v>
      </c>
      <c r="F1350" s="3" t="s">
        <v>328</v>
      </c>
      <c r="G1350" s="2" t="s">
        <v>24</v>
      </c>
      <c r="H1350" s="2"/>
      <c r="I1350" s="2"/>
      <c r="J1350" s="2"/>
      <c r="K1350" s="2" t="s">
        <v>18</v>
      </c>
      <c r="L1350" s="2"/>
    </row>
    <row r="1351">
      <c r="A1351" s="8" t="s">
        <v>1560</v>
      </c>
      <c r="B1351" s="8" t="s">
        <v>1560</v>
      </c>
      <c r="C1351" s="2" t="s">
        <v>20</v>
      </c>
      <c r="D1351" s="2" t="s">
        <v>21</v>
      </c>
      <c r="E1351" s="6">
        <v>45927.486921296295</v>
      </c>
      <c r="F1351" s="3" t="s">
        <v>22</v>
      </c>
      <c r="G1351" s="2" t="s">
        <v>16</v>
      </c>
      <c r="H1351" s="2"/>
      <c r="I1351" s="2" t="s">
        <v>17</v>
      </c>
      <c r="J1351" s="2"/>
      <c r="K1351" s="2" t="s">
        <v>18</v>
      </c>
      <c r="L1351" s="2"/>
    </row>
    <row r="1352">
      <c r="A1352" s="8" t="s">
        <v>1561</v>
      </c>
      <c r="B1352" s="8" t="s">
        <v>1561</v>
      </c>
      <c r="C1352" s="2" t="s">
        <v>20</v>
      </c>
      <c r="D1352" s="2" t="s">
        <v>21</v>
      </c>
      <c r="E1352" s="6">
        <v>45927.59462962963</v>
      </c>
      <c r="F1352" s="3" t="s">
        <v>22</v>
      </c>
      <c r="G1352" s="2" t="s">
        <v>24</v>
      </c>
      <c r="H1352" s="2"/>
      <c r="I1352" s="2"/>
      <c r="J1352" s="2"/>
      <c r="K1352" s="2" t="s">
        <v>18</v>
      </c>
      <c r="L1352" s="2"/>
    </row>
    <row r="1353">
      <c r="A1353" s="8" t="s">
        <v>1562</v>
      </c>
      <c r="B1353" s="8" t="s">
        <v>1562</v>
      </c>
      <c r="C1353" s="2" t="s">
        <v>1406</v>
      </c>
      <c r="D1353" s="2" t="s">
        <v>1407</v>
      </c>
      <c r="E1353" s="6">
        <v>45927.606516203705</v>
      </c>
      <c r="F1353" s="3" t="s">
        <v>1408</v>
      </c>
      <c r="G1353" s="2" t="s">
        <v>24</v>
      </c>
      <c r="H1353" s="2"/>
      <c r="I1353" s="2"/>
      <c r="J1353" s="2"/>
      <c r="K1353" s="2" t="s">
        <v>18</v>
      </c>
      <c r="L1353" s="2"/>
    </row>
    <row r="1354">
      <c r="A1354" s="8" t="s">
        <v>1563</v>
      </c>
      <c r="B1354" s="8" t="s">
        <v>1563</v>
      </c>
      <c r="C1354" s="2" t="s">
        <v>1564</v>
      </c>
      <c r="D1354" s="2" t="s">
        <v>1565</v>
      </c>
      <c r="E1354" s="6">
        <v>45929.37200231481</v>
      </c>
      <c r="F1354" s="3" t="s">
        <v>1566</v>
      </c>
      <c r="G1354" s="2" t="s">
        <v>16</v>
      </c>
      <c r="H1354" s="2"/>
      <c r="I1354" s="2" t="s">
        <v>395</v>
      </c>
      <c r="J1354" s="2"/>
      <c r="K1354" s="2" t="s">
        <v>18</v>
      </c>
      <c r="L1354" s="2"/>
    </row>
    <row r="1355">
      <c r="A1355" s="8" t="s">
        <v>1567</v>
      </c>
      <c r="B1355" s="8" t="s">
        <v>1567</v>
      </c>
      <c r="C1355" s="2" t="s">
        <v>1311</v>
      </c>
      <c r="D1355" s="2" t="s">
        <v>1010</v>
      </c>
      <c r="E1355" s="6">
        <v>45929.42978009259</v>
      </c>
      <c r="F1355" s="3" t="s">
        <v>1312</v>
      </c>
      <c r="G1355" s="2" t="s">
        <v>16</v>
      </c>
      <c r="H1355" s="2"/>
      <c r="I1355" s="2" t="s">
        <v>17</v>
      </c>
      <c r="J1355" s="2"/>
      <c r="K1355" s="2" t="s">
        <v>18</v>
      </c>
      <c r="L1355" s="2"/>
    </row>
    <row r="1356">
      <c r="A1356" s="8" t="s">
        <v>1568</v>
      </c>
      <c r="B1356" s="8" t="s">
        <v>1568</v>
      </c>
      <c r="C1356" s="2" t="s">
        <v>49</v>
      </c>
      <c r="D1356" s="2" t="s">
        <v>50</v>
      </c>
      <c r="E1356" s="6">
        <v>45929.50282407407</v>
      </c>
      <c r="F1356" s="3" t="s">
        <v>51</v>
      </c>
      <c r="G1356" s="2" t="s">
        <v>24</v>
      </c>
      <c r="H1356" s="2"/>
      <c r="I1356" s="2"/>
      <c r="J1356" s="2"/>
      <c r="K1356" s="2" t="s">
        <v>18</v>
      </c>
      <c r="L1356" s="2"/>
    </row>
    <row r="1357">
      <c r="A1357" s="8" t="s">
        <v>1569</v>
      </c>
      <c r="B1357" s="8" t="s">
        <v>1569</v>
      </c>
      <c r="C1357" s="2" t="s">
        <v>55</v>
      </c>
      <c r="D1357" s="2" t="s">
        <v>56</v>
      </c>
      <c r="E1357" s="6">
        <v>45929.50518518518</v>
      </c>
      <c r="F1357" s="3" t="s">
        <v>57</v>
      </c>
      <c r="G1357" s="2" t="s">
        <v>24</v>
      </c>
      <c r="H1357" s="2"/>
      <c r="I1357" s="2"/>
      <c r="J1357" s="2"/>
      <c r="K1357" s="2" t="s">
        <v>18</v>
      </c>
      <c r="L1357" s="2"/>
    </row>
    <row r="1358">
      <c r="A1358" s="8" t="s">
        <v>1570</v>
      </c>
      <c r="B1358" s="8" t="s">
        <v>1570</v>
      </c>
      <c r="C1358" s="2" t="s">
        <v>109</v>
      </c>
      <c r="D1358" s="2" t="s">
        <v>110</v>
      </c>
      <c r="E1358" s="6">
        <v>45929.50572916667</v>
      </c>
      <c r="F1358" s="3" t="s">
        <v>111</v>
      </c>
      <c r="G1358" s="2" t="s">
        <v>24</v>
      </c>
      <c r="H1358" s="2"/>
      <c r="I1358" s="2"/>
      <c r="J1358" s="2"/>
      <c r="K1358" s="2" t="s">
        <v>18</v>
      </c>
      <c r="L1358" s="2"/>
    </row>
    <row r="1359">
      <c r="A1359" s="8" t="s">
        <v>1571</v>
      </c>
      <c r="B1359" s="8" t="s">
        <v>1571</v>
      </c>
      <c r="C1359" s="2" t="s">
        <v>951</v>
      </c>
      <c r="D1359" s="2" t="s">
        <v>952</v>
      </c>
      <c r="E1359" s="6">
        <v>45929.50630787037</v>
      </c>
      <c r="F1359" s="3" t="s">
        <v>953</v>
      </c>
      <c r="G1359" s="2" t="s">
        <v>24</v>
      </c>
      <c r="H1359" s="2"/>
      <c r="I1359" s="2"/>
      <c r="J1359" s="2"/>
      <c r="K1359" s="2" t="s">
        <v>18</v>
      </c>
      <c r="L1359" s="2"/>
    </row>
    <row r="1360">
      <c r="A1360" s="8" t="s">
        <v>1572</v>
      </c>
      <c r="B1360" s="8" t="s">
        <v>1572</v>
      </c>
      <c r="C1360" s="2" t="s">
        <v>1573</v>
      </c>
      <c r="D1360" s="2" t="s">
        <v>1574</v>
      </c>
      <c r="E1360" s="6">
        <v>45929.85039351852</v>
      </c>
      <c r="F1360" s="3" t="s">
        <v>1575</v>
      </c>
      <c r="G1360" s="2" t="s">
        <v>16</v>
      </c>
      <c r="H1360" s="2"/>
      <c r="I1360" s="2" t="s">
        <v>17</v>
      </c>
      <c r="J1360" s="2"/>
      <c r="K1360" s="2" t="s">
        <v>18</v>
      </c>
      <c r="L1360" s="2"/>
    </row>
    <row r="1361">
      <c r="A1361" s="8" t="s">
        <v>1576</v>
      </c>
      <c r="B1361" s="8" t="s">
        <v>1576</v>
      </c>
      <c r="C1361" s="2" t="s">
        <v>326</v>
      </c>
      <c r="D1361" s="2" t="s">
        <v>327</v>
      </c>
      <c r="E1361" s="6">
        <v>45930.364270833335</v>
      </c>
      <c r="F1361" s="3" t="s">
        <v>328</v>
      </c>
      <c r="G1361" s="2" t="s">
        <v>16</v>
      </c>
      <c r="H1361" s="2"/>
      <c r="I1361" s="2" t="s">
        <v>395</v>
      </c>
      <c r="J1361" s="2"/>
      <c r="K1361" s="2" t="s">
        <v>18</v>
      </c>
      <c r="L1361" s="2"/>
    </row>
    <row r="1362">
      <c r="A1362" s="8" t="s">
        <v>1577</v>
      </c>
      <c r="B1362" s="8" t="s">
        <v>1577</v>
      </c>
      <c r="C1362" s="2" t="s">
        <v>20</v>
      </c>
      <c r="D1362" s="2" t="s">
        <v>21</v>
      </c>
      <c r="E1362" s="6">
        <v>45930.366956018515</v>
      </c>
      <c r="F1362" s="3" t="s">
        <v>22</v>
      </c>
      <c r="G1362" s="2" t="s">
        <v>16</v>
      </c>
      <c r="H1362" s="2"/>
      <c r="I1362" s="2" t="s">
        <v>17</v>
      </c>
      <c r="J1362" s="2"/>
      <c r="K1362" s="2" t="s">
        <v>18</v>
      </c>
      <c r="L1362" s="2"/>
    </row>
    <row r="1363">
      <c r="A1363" s="8" t="s">
        <v>1578</v>
      </c>
      <c r="B1363" s="8" t="s">
        <v>1578</v>
      </c>
      <c r="C1363" s="2" t="s">
        <v>464</v>
      </c>
      <c r="D1363" s="2" t="s">
        <v>465</v>
      </c>
      <c r="E1363" s="6">
        <v>45930.372453703705</v>
      </c>
      <c r="F1363" s="3" t="s">
        <v>466</v>
      </c>
      <c r="G1363" s="2" t="s">
        <v>16</v>
      </c>
      <c r="H1363" s="2"/>
      <c r="I1363" s="2" t="s">
        <v>395</v>
      </c>
      <c r="J1363" s="2"/>
      <c r="K1363" s="2" t="s">
        <v>18</v>
      </c>
      <c r="L1363" s="2"/>
    </row>
    <row r="1364">
      <c r="A1364" s="8" t="s">
        <v>1579</v>
      </c>
      <c r="B1364" s="8" t="s">
        <v>1579</v>
      </c>
      <c r="C1364" s="2" t="s">
        <v>309</v>
      </c>
      <c r="D1364" s="2" t="s">
        <v>310</v>
      </c>
      <c r="E1364" s="6">
        <v>45889.495092592595</v>
      </c>
      <c r="F1364" s="3" t="s">
        <v>311</v>
      </c>
      <c r="G1364" s="2" t="s">
        <v>16</v>
      </c>
      <c r="H1364" s="2"/>
      <c r="I1364" s="2"/>
      <c r="J1364" s="2"/>
      <c r="K1364" s="2" t="s">
        <v>18</v>
      </c>
      <c r="L1364" s="2"/>
    </row>
    <row r="1365">
      <c r="A1365" s="8" t="s">
        <v>1580</v>
      </c>
      <c r="B1365" s="8" t="s">
        <v>1580</v>
      </c>
      <c r="C1365" s="2" t="s">
        <v>20</v>
      </c>
      <c r="D1365" s="2" t="s">
        <v>21</v>
      </c>
      <c r="E1365" s="6">
        <v>45930.437268518515</v>
      </c>
      <c r="F1365" s="3" t="s">
        <v>22</v>
      </c>
      <c r="G1365" s="2" t="s">
        <v>24</v>
      </c>
      <c r="H1365" s="2"/>
      <c r="I1365" s="2"/>
      <c r="J1365" s="2"/>
      <c r="K1365" s="2" t="s">
        <v>18</v>
      </c>
      <c r="L1365" s="2"/>
    </row>
    <row r="1366">
      <c r="A1366" s="8" t="s">
        <v>1581</v>
      </c>
      <c r="B1366" s="8" t="s">
        <v>1581</v>
      </c>
      <c r="C1366" s="2" t="s">
        <v>45</v>
      </c>
      <c r="D1366" s="2" t="s">
        <v>46</v>
      </c>
      <c r="E1366" s="6">
        <v>45930.51658564815</v>
      </c>
      <c r="F1366" s="3" t="s">
        <v>47</v>
      </c>
      <c r="G1366" s="2" t="s">
        <v>16</v>
      </c>
      <c r="H1366" s="2"/>
      <c r="I1366" s="2" t="s">
        <v>17</v>
      </c>
      <c r="J1366" s="2"/>
      <c r="K1366" s="2" t="s">
        <v>18</v>
      </c>
      <c r="L1366" s="2"/>
    </row>
    <row r="1367">
      <c r="A1367" s="8" t="s">
        <v>1582</v>
      </c>
      <c r="B1367" s="8" t="s">
        <v>1582</v>
      </c>
      <c r="C1367" s="2" t="s">
        <v>20</v>
      </c>
      <c r="D1367" s="2" t="s">
        <v>21</v>
      </c>
      <c r="E1367" s="6">
        <v>45930.521840277775</v>
      </c>
      <c r="F1367" s="3" t="s">
        <v>22</v>
      </c>
      <c r="G1367" s="2" t="s">
        <v>16</v>
      </c>
      <c r="H1367" s="2"/>
      <c r="I1367" s="2" t="s">
        <v>17</v>
      </c>
      <c r="J1367" s="2"/>
      <c r="K1367" s="2" t="s">
        <v>18</v>
      </c>
      <c r="L1367" s="2"/>
    </row>
    <row r="1368">
      <c r="A1368" s="8" t="s">
        <v>1583</v>
      </c>
      <c r="B1368" s="8" t="s">
        <v>1583</v>
      </c>
      <c r="C1368" s="2" t="s">
        <v>326</v>
      </c>
      <c r="D1368" s="2" t="s">
        <v>327</v>
      </c>
      <c r="E1368" s="6">
        <v>45930.53331018519</v>
      </c>
      <c r="F1368" s="3" t="s">
        <v>328</v>
      </c>
      <c r="G1368" s="2" t="s">
        <v>24</v>
      </c>
      <c r="H1368" s="2"/>
      <c r="I1368" s="2"/>
      <c r="J1368" s="2"/>
      <c r="K1368" s="2" t="s">
        <v>18</v>
      </c>
      <c r="L1368" s="2"/>
    </row>
    <row r="1369">
      <c r="A1369" s="8" t="s">
        <v>1584</v>
      </c>
      <c r="B1369" s="8" t="s">
        <v>1584</v>
      </c>
      <c r="C1369" s="2" t="s">
        <v>1084</v>
      </c>
      <c r="D1369" s="2" t="s">
        <v>1085</v>
      </c>
      <c r="E1369" s="6">
        <v>45931.41202546296</v>
      </c>
      <c r="F1369" s="3" t="s">
        <v>1086</v>
      </c>
      <c r="G1369" s="2" t="s">
        <v>16</v>
      </c>
      <c r="H1369" s="2"/>
      <c r="I1369" s="2" t="s">
        <v>17</v>
      </c>
      <c r="J1369" s="2"/>
      <c r="K1369" s="2" t="s">
        <v>18</v>
      </c>
      <c r="L1369" s="2"/>
    </row>
    <row r="1370">
      <c r="A1370" s="8" t="s">
        <v>1585</v>
      </c>
      <c r="B1370" s="8" t="s">
        <v>1585</v>
      </c>
      <c r="C1370" s="2" t="s">
        <v>943</v>
      </c>
      <c r="D1370" s="2" t="s">
        <v>944</v>
      </c>
      <c r="E1370" s="6">
        <v>45932.35099537037</v>
      </c>
      <c r="F1370" s="3" t="s">
        <v>945</v>
      </c>
      <c r="G1370" s="2" t="s">
        <v>16</v>
      </c>
      <c r="H1370" s="2"/>
      <c r="I1370" s="2" t="s">
        <v>395</v>
      </c>
      <c r="J1370" s="2"/>
      <c r="K1370" s="2" t="s">
        <v>18</v>
      </c>
      <c r="L1370" s="2"/>
    </row>
    <row r="1371">
      <c r="A1371" s="8" t="s">
        <v>1586</v>
      </c>
      <c r="B1371" s="8" t="s">
        <v>1586</v>
      </c>
      <c r="C1371" s="2" t="s">
        <v>1587</v>
      </c>
      <c r="D1371" s="2" t="s">
        <v>1588</v>
      </c>
      <c r="E1371" s="6">
        <v>45932.35375</v>
      </c>
      <c r="F1371" s="3" t="s">
        <v>1589</v>
      </c>
      <c r="G1371" s="2" t="s">
        <v>16</v>
      </c>
      <c r="H1371" s="2"/>
      <c r="I1371" s="2" t="s">
        <v>17</v>
      </c>
      <c r="J1371" s="2"/>
      <c r="K1371" s="2" t="s">
        <v>18</v>
      </c>
      <c r="L1371" s="2"/>
    </row>
    <row r="1372">
      <c r="A1372" s="8" t="s">
        <v>1590</v>
      </c>
      <c r="B1372" s="8" t="s">
        <v>1590</v>
      </c>
      <c r="C1372" s="2" t="s">
        <v>49</v>
      </c>
      <c r="D1372" s="2" t="s">
        <v>50</v>
      </c>
      <c r="E1372" s="6">
        <v>45933.3468287037</v>
      </c>
      <c r="F1372" s="3" t="s">
        <v>51</v>
      </c>
      <c r="G1372" s="2" t="s">
        <v>16</v>
      </c>
      <c r="H1372" s="2"/>
      <c r="I1372" s="2" t="s">
        <v>395</v>
      </c>
      <c r="J1372" s="2"/>
      <c r="K1372" s="2" t="s">
        <v>18</v>
      </c>
      <c r="L1372" s="2"/>
    </row>
    <row r="1373">
      <c r="A1373" s="8" t="s">
        <v>1591</v>
      </c>
      <c r="B1373" s="8" t="s">
        <v>1591</v>
      </c>
      <c r="C1373" s="2" t="s">
        <v>1592</v>
      </c>
      <c r="D1373" s="2" t="s">
        <v>1593</v>
      </c>
      <c r="E1373" s="6">
        <v>45933.348541666666</v>
      </c>
      <c r="F1373" s="3" t="s">
        <v>1594</v>
      </c>
      <c r="G1373" s="2" t="s">
        <v>16</v>
      </c>
      <c r="H1373" s="2"/>
      <c r="I1373" s="2" t="s">
        <v>395</v>
      </c>
      <c r="J1373" s="2"/>
      <c r="K1373" s="2" t="s">
        <v>18</v>
      </c>
      <c r="L1373" s="2"/>
    </row>
    <row r="1374">
      <c r="A1374" s="8" t="s">
        <v>1595</v>
      </c>
      <c r="B1374" s="8" t="s">
        <v>1595</v>
      </c>
      <c r="C1374" s="2" t="s">
        <v>55</v>
      </c>
      <c r="D1374" s="2" t="s">
        <v>56</v>
      </c>
      <c r="E1374" s="6">
        <v>45933.404386574075</v>
      </c>
      <c r="F1374" s="3" t="s">
        <v>57</v>
      </c>
      <c r="G1374" s="2" t="s">
        <v>16</v>
      </c>
      <c r="H1374" s="2"/>
      <c r="I1374" s="2" t="s">
        <v>17</v>
      </c>
      <c r="J1374" s="2"/>
      <c r="K1374" s="2" t="s">
        <v>18</v>
      </c>
      <c r="L1374" s="2"/>
    </row>
    <row r="1375">
      <c r="A1375" s="8" t="s">
        <v>1596</v>
      </c>
      <c r="B1375" s="8" t="s">
        <v>1596</v>
      </c>
      <c r="C1375" s="2" t="s">
        <v>213</v>
      </c>
      <c r="D1375" s="2" t="s">
        <v>214</v>
      </c>
      <c r="E1375" s="6">
        <v>45932.407638888886</v>
      </c>
      <c r="F1375" s="3" t="s">
        <v>215</v>
      </c>
      <c r="G1375" s="2" t="s">
        <v>24</v>
      </c>
      <c r="H1375" s="2"/>
      <c r="I1375" s="2"/>
      <c r="J1375" s="2"/>
      <c r="K1375" s="2" t="s">
        <v>18</v>
      </c>
      <c r="L1375" s="2"/>
    </row>
    <row r="1376">
      <c r="A1376" s="8" t="s">
        <v>1597</v>
      </c>
      <c r="B1376" s="8" t="s">
        <v>1597</v>
      </c>
      <c r="C1376" s="2" t="s">
        <v>1228</v>
      </c>
      <c r="D1376" s="2" t="s">
        <v>1229</v>
      </c>
      <c r="E1376" s="6">
        <v>45932.40833333333</v>
      </c>
      <c r="F1376" s="3" t="s">
        <v>1230</v>
      </c>
      <c r="G1376" s="2" t="s">
        <v>24</v>
      </c>
      <c r="H1376" s="2"/>
      <c r="I1376" s="2"/>
      <c r="J1376" s="2"/>
      <c r="K1376" s="2" t="s">
        <v>18</v>
      </c>
      <c r="L1376" s="2"/>
    </row>
    <row r="1377">
      <c r="A1377" s="8" t="s">
        <v>1598</v>
      </c>
      <c r="B1377" s="8" t="s">
        <v>1598</v>
      </c>
      <c r="C1377" s="2" t="s">
        <v>1084</v>
      </c>
      <c r="D1377" s="2" t="s">
        <v>1085</v>
      </c>
      <c r="E1377" s="6">
        <v>45931.45277777778</v>
      </c>
      <c r="F1377" s="3" t="s">
        <v>1086</v>
      </c>
      <c r="G1377" s="2" t="s">
        <v>24</v>
      </c>
      <c r="H1377" s="2"/>
      <c r="I1377" s="2"/>
      <c r="J1377" s="2"/>
      <c r="K1377" s="2" t="s">
        <v>18</v>
      </c>
      <c r="L1377" s="2"/>
    </row>
    <row r="1378">
      <c r="A1378" s="8" t="s">
        <v>1599</v>
      </c>
      <c r="B1378" s="8" t="s">
        <v>1599</v>
      </c>
      <c r="C1378" s="2" t="s">
        <v>943</v>
      </c>
      <c r="D1378" s="2" t="s">
        <v>944</v>
      </c>
      <c r="E1378" s="6">
        <v>45932.40972222222</v>
      </c>
      <c r="F1378" s="3" t="s">
        <v>945</v>
      </c>
      <c r="G1378" s="2" t="s">
        <v>24</v>
      </c>
      <c r="H1378" s="2"/>
      <c r="I1378" s="2"/>
      <c r="J1378" s="2"/>
      <c r="K1378" s="2" t="s">
        <v>18</v>
      </c>
      <c r="L1378" s="2"/>
    </row>
    <row r="1379">
      <c r="A1379" s="8" t="s">
        <v>1600</v>
      </c>
      <c r="B1379" s="8" t="s">
        <v>1600</v>
      </c>
      <c r="C1379" s="2" t="s">
        <v>45</v>
      </c>
      <c r="D1379" s="2" t="s">
        <v>46</v>
      </c>
      <c r="E1379" s="6">
        <v>45931.41111111111</v>
      </c>
      <c r="F1379" s="3" t="s">
        <v>47</v>
      </c>
      <c r="G1379" s="2" t="s">
        <v>24</v>
      </c>
      <c r="H1379" s="2"/>
      <c r="I1379" s="2"/>
      <c r="J1379" s="2"/>
      <c r="K1379" s="2" t="s">
        <v>18</v>
      </c>
      <c r="L1379" s="2"/>
    </row>
    <row r="1380">
      <c r="A1380" s="8" t="s">
        <v>1601</v>
      </c>
      <c r="B1380" s="8" t="s">
        <v>1601</v>
      </c>
      <c r="C1380" s="2" t="s">
        <v>326</v>
      </c>
      <c r="D1380" s="2" t="s">
        <v>327</v>
      </c>
      <c r="E1380" s="6">
        <v>45932.413194444445</v>
      </c>
      <c r="F1380" s="3" t="s">
        <v>328</v>
      </c>
      <c r="G1380" s="2" t="s">
        <v>24</v>
      </c>
      <c r="H1380" s="2"/>
      <c r="I1380" s="2"/>
      <c r="J1380" s="2"/>
      <c r="K1380" s="2" t="s">
        <v>18</v>
      </c>
      <c r="L1380" s="2"/>
    </row>
    <row r="1381">
      <c r="A1381" s="8" t="s">
        <v>1602</v>
      </c>
      <c r="B1381" s="8" t="s">
        <v>1602</v>
      </c>
      <c r="C1381" s="2" t="s">
        <v>55</v>
      </c>
      <c r="D1381" s="2" t="s">
        <v>56</v>
      </c>
      <c r="E1381" s="6">
        <v>45933.469351851854</v>
      </c>
      <c r="F1381" s="3" t="s">
        <v>57</v>
      </c>
      <c r="G1381" s="2" t="s">
        <v>24</v>
      </c>
      <c r="H1381" s="2"/>
      <c r="I1381" s="2"/>
      <c r="J1381" s="2"/>
      <c r="K1381" s="2" t="s">
        <v>18</v>
      </c>
      <c r="L1381" s="2"/>
    </row>
    <row r="1382">
      <c r="A1382" s="8" t="s">
        <v>1603</v>
      </c>
      <c r="B1382" s="8" t="s">
        <v>1603</v>
      </c>
      <c r="C1382" s="2" t="s">
        <v>49</v>
      </c>
      <c r="D1382" s="2" t="s">
        <v>50</v>
      </c>
      <c r="E1382" s="6">
        <v>45933.47009259259</v>
      </c>
      <c r="F1382" s="3" t="s">
        <v>51</v>
      </c>
      <c r="G1382" s="2" t="s">
        <v>24</v>
      </c>
      <c r="H1382" s="2"/>
      <c r="I1382" s="2"/>
      <c r="J1382" s="2"/>
      <c r="K1382" s="2" t="s">
        <v>18</v>
      </c>
      <c r="L1382" s="2"/>
    </row>
    <row r="1383">
      <c r="A1383" s="8" t="s">
        <v>1604</v>
      </c>
      <c r="B1383" s="8" t="s">
        <v>1604</v>
      </c>
      <c r="C1383" s="2" t="s">
        <v>20</v>
      </c>
      <c r="D1383" s="2" t="s">
        <v>21</v>
      </c>
      <c r="E1383" s="6">
        <v>45933.54539351852</v>
      </c>
      <c r="F1383" s="3" t="s">
        <v>22</v>
      </c>
      <c r="G1383" s="2" t="s">
        <v>16</v>
      </c>
      <c r="H1383" s="2"/>
      <c r="I1383" s="2" t="s">
        <v>17</v>
      </c>
      <c r="J1383" s="2"/>
      <c r="K1383" s="2" t="s">
        <v>18</v>
      </c>
      <c r="L1383" s="2"/>
    </row>
    <row r="1384">
      <c r="A1384" s="8" t="s">
        <v>1605</v>
      </c>
      <c r="B1384" s="8" t="s">
        <v>1605</v>
      </c>
      <c r="C1384" s="2" t="s">
        <v>1606</v>
      </c>
      <c r="D1384" s="2" t="s">
        <v>1607</v>
      </c>
      <c r="E1384" s="6">
        <v>45934.40032407407</v>
      </c>
      <c r="F1384" s="3" t="s">
        <v>1608</v>
      </c>
      <c r="G1384" s="2" t="s">
        <v>16</v>
      </c>
      <c r="H1384" s="2"/>
      <c r="I1384" s="2" t="s">
        <v>395</v>
      </c>
      <c r="J1384" s="2"/>
      <c r="K1384" s="2" t="s">
        <v>18</v>
      </c>
      <c r="L1384" s="2"/>
    </row>
    <row r="1385">
      <c r="A1385" s="8" t="s">
        <v>1609</v>
      </c>
      <c r="B1385" s="8" t="s">
        <v>1609</v>
      </c>
      <c r="C1385" s="2" t="s">
        <v>951</v>
      </c>
      <c r="D1385" s="2" t="s">
        <v>952</v>
      </c>
      <c r="E1385" s="6">
        <v>45934.403958333336</v>
      </c>
      <c r="F1385" s="3" t="s">
        <v>953</v>
      </c>
      <c r="G1385" s="2" t="s">
        <v>16</v>
      </c>
      <c r="H1385" s="2"/>
      <c r="I1385" s="2" t="s">
        <v>395</v>
      </c>
      <c r="J1385" s="2"/>
      <c r="K1385" s="2" t="s">
        <v>18</v>
      </c>
      <c r="L1385" s="2"/>
    </row>
    <row r="1386">
      <c r="A1386" s="8" t="s">
        <v>1610</v>
      </c>
      <c r="B1386" s="8" t="s">
        <v>1610</v>
      </c>
      <c r="C1386" s="2" t="s">
        <v>169</v>
      </c>
      <c r="D1386" s="2" t="s">
        <v>170</v>
      </c>
      <c r="E1386" s="6">
        <v>45934.421377314815</v>
      </c>
      <c r="F1386" s="3" t="s">
        <v>171</v>
      </c>
      <c r="G1386" s="2" t="s">
        <v>16</v>
      </c>
      <c r="H1386" s="2"/>
      <c r="I1386" s="2" t="s">
        <v>17</v>
      </c>
      <c r="J1386" s="2"/>
      <c r="K1386" s="2" t="s">
        <v>18</v>
      </c>
      <c r="L1386" s="2"/>
    </row>
    <row r="1387">
      <c r="A1387" s="8" t="s">
        <v>1611</v>
      </c>
      <c r="B1387" s="8" t="s">
        <v>1611</v>
      </c>
      <c r="C1387" s="2" t="s">
        <v>20</v>
      </c>
      <c r="D1387" s="2" t="s">
        <v>21</v>
      </c>
      <c r="E1387" s="6">
        <v>45934.427083333336</v>
      </c>
      <c r="F1387" s="3" t="s">
        <v>22</v>
      </c>
      <c r="G1387" s="2" t="s">
        <v>24</v>
      </c>
      <c r="H1387" s="2"/>
      <c r="I1387" s="2"/>
      <c r="J1387" s="2"/>
      <c r="K1387" s="2" t="s">
        <v>18</v>
      </c>
      <c r="L1387" s="2"/>
    </row>
    <row r="1388">
      <c r="A1388" s="8" t="s">
        <v>1612</v>
      </c>
      <c r="B1388" s="8" t="s">
        <v>1612</v>
      </c>
      <c r="C1388" s="2" t="s">
        <v>1613</v>
      </c>
      <c r="D1388" s="2" t="s">
        <v>1614</v>
      </c>
      <c r="E1388" s="6">
        <v>45934.43690972222</v>
      </c>
      <c r="F1388" s="3" t="s">
        <v>1615</v>
      </c>
      <c r="G1388" s="2" t="s">
        <v>16</v>
      </c>
      <c r="H1388" s="2"/>
      <c r="I1388" s="2" t="s">
        <v>395</v>
      </c>
      <c r="J1388" s="2"/>
      <c r="K1388" s="2" t="s">
        <v>18</v>
      </c>
      <c r="L1388" s="2"/>
    </row>
    <row r="1389">
      <c r="A1389" s="8" t="s">
        <v>1616</v>
      </c>
      <c r="B1389" s="8" t="s">
        <v>1616</v>
      </c>
      <c r="C1389" s="2" t="s">
        <v>951</v>
      </c>
      <c r="D1389" s="2" t="s">
        <v>952</v>
      </c>
      <c r="E1389" s="6">
        <v>45934.44248842593</v>
      </c>
      <c r="F1389" s="3" t="s">
        <v>953</v>
      </c>
      <c r="G1389" s="2" t="s">
        <v>24</v>
      </c>
      <c r="H1389" s="2"/>
      <c r="I1389" s="2"/>
      <c r="J1389" s="2"/>
      <c r="K1389" s="2" t="s">
        <v>18</v>
      </c>
      <c r="L1389" s="2"/>
    </row>
    <row r="1390">
      <c r="A1390" s="8" t="s">
        <v>1617</v>
      </c>
      <c r="B1390" s="8" t="s">
        <v>1617</v>
      </c>
      <c r="C1390" s="2" t="s">
        <v>1618</v>
      </c>
      <c r="D1390" s="2" t="s">
        <v>1619</v>
      </c>
      <c r="E1390" s="6">
        <v>45934.48863425926</v>
      </c>
      <c r="F1390" s="3" t="s">
        <v>1620</v>
      </c>
      <c r="G1390" s="2" t="s">
        <v>16</v>
      </c>
      <c r="H1390" s="2"/>
      <c r="I1390" s="2" t="s">
        <v>17</v>
      </c>
      <c r="J1390" s="2"/>
      <c r="K1390" s="2" t="s">
        <v>18</v>
      </c>
      <c r="L1390" s="2"/>
    </row>
    <row r="1391">
      <c r="A1391" s="8" t="s">
        <v>1621</v>
      </c>
      <c r="B1391" s="8" t="s">
        <v>1621</v>
      </c>
      <c r="C1391" s="2" t="s">
        <v>169</v>
      </c>
      <c r="D1391" s="2" t="s">
        <v>170</v>
      </c>
      <c r="E1391" s="6">
        <v>45934.56309027778</v>
      </c>
      <c r="F1391" s="3" t="s">
        <v>1137</v>
      </c>
      <c r="G1391" s="2" t="s">
        <v>24</v>
      </c>
      <c r="H1391" s="2"/>
      <c r="I1391" s="2"/>
      <c r="J1391" s="2"/>
      <c r="K1391" s="2" t="s">
        <v>18</v>
      </c>
      <c r="L1391" s="2"/>
    </row>
    <row r="1392">
      <c r="A1392" s="8" t="s">
        <v>1622</v>
      </c>
      <c r="B1392" s="8" t="s">
        <v>1622</v>
      </c>
      <c r="C1392" s="2" t="s">
        <v>1564</v>
      </c>
      <c r="D1392" s="2" t="s">
        <v>1565</v>
      </c>
      <c r="E1392" s="6">
        <v>45936.367118055554</v>
      </c>
      <c r="F1392" s="3" t="s">
        <v>1566</v>
      </c>
      <c r="G1392" s="2" t="s">
        <v>16</v>
      </c>
      <c r="H1392" s="2"/>
      <c r="I1392" s="2" t="s">
        <v>395</v>
      </c>
      <c r="J1392" s="2"/>
      <c r="K1392" s="2" t="s">
        <v>18</v>
      </c>
      <c r="L1392" s="2"/>
    </row>
    <row r="1393">
      <c r="A1393" s="1"/>
      <c r="B1393" s="1"/>
      <c r="C1393" s="2"/>
      <c r="D1393" s="2"/>
      <c r="E1393" s="6"/>
      <c r="F1393" s="3"/>
      <c r="G1393" s="2"/>
      <c r="H1393" s="2"/>
      <c r="I1393" s="2"/>
      <c r="J1393" s="2"/>
      <c r="K1393" s="2"/>
      <c r="L1393" s="2"/>
    </row>
    <row r="1394">
      <c r="A1394" s="8" t="s">
        <v>1623</v>
      </c>
      <c r="B1394" s="8" t="s">
        <v>1623</v>
      </c>
      <c r="C1394" s="2" t="s">
        <v>1564</v>
      </c>
      <c r="D1394" s="2" t="s">
        <v>1565</v>
      </c>
      <c r="E1394" s="6">
        <v>45935.84340277778</v>
      </c>
      <c r="F1394" s="3" t="s">
        <v>1566</v>
      </c>
      <c r="G1394" s="2" t="s">
        <v>24</v>
      </c>
      <c r="H1394" s="2"/>
      <c r="I1394" s="2"/>
      <c r="J1394" s="2"/>
      <c r="K1394" s="2" t="s">
        <v>18</v>
      </c>
      <c r="L1394" s="2"/>
    </row>
    <row r="1395">
      <c r="A1395" s="8" t="s">
        <v>1624</v>
      </c>
      <c r="B1395" s="8" t="s">
        <v>1624</v>
      </c>
      <c r="C1395" s="2" t="s">
        <v>45</v>
      </c>
      <c r="D1395" s="2" t="s">
        <v>46</v>
      </c>
      <c r="E1395" s="6">
        <v>45936.45359953704</v>
      </c>
      <c r="F1395" s="3" t="s">
        <v>47</v>
      </c>
      <c r="G1395" s="2" t="s">
        <v>16</v>
      </c>
      <c r="H1395" s="2"/>
      <c r="I1395" s="2" t="s">
        <v>17</v>
      </c>
      <c r="J1395" s="2"/>
      <c r="K1395" s="2" t="s">
        <v>18</v>
      </c>
      <c r="L1395" s="2"/>
    </row>
    <row r="1396">
      <c r="A1396" s="8" t="s">
        <v>1625</v>
      </c>
      <c r="B1396" s="8" t="s">
        <v>1625</v>
      </c>
      <c r="C1396" s="2" t="s">
        <v>943</v>
      </c>
      <c r="D1396" s="2" t="s">
        <v>944</v>
      </c>
      <c r="E1396" s="6">
        <v>45936.45538194444</v>
      </c>
      <c r="F1396" s="3" t="s">
        <v>945</v>
      </c>
      <c r="G1396" s="2" t="s">
        <v>16</v>
      </c>
      <c r="H1396" s="2"/>
      <c r="I1396" s="2" t="s">
        <v>395</v>
      </c>
      <c r="J1396" s="2"/>
      <c r="K1396" s="2" t="s">
        <v>18</v>
      </c>
      <c r="L1396" s="2"/>
    </row>
    <row r="1397">
      <c r="A1397" s="8" t="s">
        <v>1626</v>
      </c>
      <c r="B1397" s="8" t="s">
        <v>1626</v>
      </c>
      <c r="C1397" s="2" t="s">
        <v>1018</v>
      </c>
      <c r="D1397" s="2" t="s">
        <v>1019</v>
      </c>
      <c r="E1397" s="6">
        <v>45936.60836805555</v>
      </c>
      <c r="F1397" s="3" t="s">
        <v>1020</v>
      </c>
      <c r="G1397" s="2" t="s">
        <v>16</v>
      </c>
      <c r="H1397" s="2"/>
      <c r="I1397" s="2" t="s">
        <v>17</v>
      </c>
      <c r="J1397" s="2"/>
      <c r="K1397" s="2" t="s">
        <v>18</v>
      </c>
      <c r="L1397" s="2"/>
    </row>
    <row r="1398">
      <c r="A1398" s="8" t="s">
        <v>1627</v>
      </c>
      <c r="B1398" s="8" t="s">
        <v>1627</v>
      </c>
      <c r="C1398" s="2" t="s">
        <v>943</v>
      </c>
      <c r="D1398" s="2" t="s">
        <v>944</v>
      </c>
      <c r="E1398" s="6">
        <v>45936.62237268518</v>
      </c>
      <c r="F1398" s="3" t="s">
        <v>945</v>
      </c>
      <c r="G1398" s="2" t="s">
        <v>24</v>
      </c>
      <c r="H1398" s="2"/>
      <c r="I1398" s="2"/>
      <c r="J1398" s="2"/>
      <c r="K1398" s="2" t="s">
        <v>18</v>
      </c>
      <c r="L1398" s="2"/>
    </row>
    <row r="1399">
      <c r="A1399" s="8" t="s">
        <v>1628</v>
      </c>
      <c r="B1399" s="8" t="s">
        <v>1628</v>
      </c>
      <c r="C1399" s="2" t="s">
        <v>1606</v>
      </c>
      <c r="D1399" s="2" t="s">
        <v>1629</v>
      </c>
      <c r="E1399" s="6">
        <v>45936.634560185186</v>
      </c>
      <c r="F1399" s="3" t="s">
        <v>1608</v>
      </c>
      <c r="G1399" s="2" t="s">
        <v>16</v>
      </c>
      <c r="H1399" s="2"/>
      <c r="I1399" s="2" t="s">
        <v>395</v>
      </c>
      <c r="J1399" s="2"/>
      <c r="K1399" s="2" t="s">
        <v>18</v>
      </c>
      <c r="L1399" s="2"/>
    </row>
    <row r="1400">
      <c r="A1400" s="8" t="s">
        <v>1630</v>
      </c>
      <c r="B1400" s="8" t="s">
        <v>1630</v>
      </c>
      <c r="C1400" s="2" t="s">
        <v>1018</v>
      </c>
      <c r="D1400" s="2" t="s">
        <v>1019</v>
      </c>
      <c r="E1400" s="6">
        <v>45936.660833333335</v>
      </c>
      <c r="F1400" s="3" t="s">
        <v>1020</v>
      </c>
      <c r="G1400" s="2" t="s">
        <v>24</v>
      </c>
      <c r="H1400" s="2"/>
      <c r="I1400" s="2"/>
      <c r="J1400" s="2"/>
      <c r="K1400" s="2" t="s">
        <v>18</v>
      </c>
      <c r="L1400" s="2"/>
    </row>
    <row r="1401">
      <c r="A1401" s="8" t="s">
        <v>1631</v>
      </c>
      <c r="B1401" s="8" t="s">
        <v>1631</v>
      </c>
      <c r="C1401" s="2" t="s">
        <v>20</v>
      </c>
      <c r="D1401" s="2" t="s">
        <v>21</v>
      </c>
      <c r="E1401" s="6">
        <v>45937.38002314815</v>
      </c>
      <c r="F1401" s="3" t="s">
        <v>22</v>
      </c>
      <c r="G1401" s="2" t="s">
        <v>16</v>
      </c>
      <c r="H1401" s="2"/>
      <c r="I1401" s="2" t="s">
        <v>17</v>
      </c>
      <c r="J1401" s="2"/>
      <c r="K1401" s="2" t="s">
        <v>18</v>
      </c>
      <c r="L1401" s="2"/>
    </row>
    <row r="1402">
      <c r="A1402" s="8" t="s">
        <v>1632</v>
      </c>
      <c r="B1402" s="8" t="s">
        <v>1632</v>
      </c>
      <c r="C1402" s="2" t="s">
        <v>131</v>
      </c>
      <c r="D1402" s="2" t="s">
        <v>132</v>
      </c>
      <c r="E1402" s="6">
        <v>45937.43226851852</v>
      </c>
      <c r="F1402" s="3" t="s">
        <v>133</v>
      </c>
      <c r="G1402" s="2" t="s">
        <v>16</v>
      </c>
      <c r="H1402" s="2"/>
      <c r="I1402" s="2" t="s">
        <v>17</v>
      </c>
      <c r="J1402" s="2"/>
      <c r="K1402" s="2" t="s">
        <v>18</v>
      </c>
      <c r="L1402" s="2"/>
    </row>
    <row r="1403">
      <c r="A1403" s="8" t="s">
        <v>1633</v>
      </c>
      <c r="B1403" s="8" t="s">
        <v>1633</v>
      </c>
      <c r="C1403" s="2" t="s">
        <v>326</v>
      </c>
      <c r="D1403" s="2" t="s">
        <v>327</v>
      </c>
      <c r="E1403" s="6">
        <v>45937.56548611111</v>
      </c>
      <c r="F1403" s="3" t="s">
        <v>328</v>
      </c>
      <c r="G1403" s="2" t="s">
        <v>16</v>
      </c>
      <c r="H1403" s="2"/>
      <c r="I1403" s="2" t="s">
        <v>395</v>
      </c>
      <c r="J1403" s="2"/>
      <c r="K1403" s="2" t="s">
        <v>18</v>
      </c>
      <c r="L1403" s="2"/>
    </row>
    <row r="1404">
      <c r="A1404" s="8" t="s">
        <v>1634</v>
      </c>
      <c r="B1404" s="8" t="s">
        <v>1634</v>
      </c>
      <c r="C1404" s="2" t="s">
        <v>20</v>
      </c>
      <c r="D1404" s="2" t="s">
        <v>21</v>
      </c>
      <c r="E1404" s="6">
        <v>45937.68015046296</v>
      </c>
      <c r="F1404" s="3" t="s">
        <v>22</v>
      </c>
      <c r="G1404" s="2" t="s">
        <v>24</v>
      </c>
      <c r="H1404" s="2"/>
      <c r="I1404" s="2"/>
      <c r="J1404" s="2"/>
      <c r="K1404" s="2" t="s">
        <v>18</v>
      </c>
      <c r="L1404" s="2"/>
    </row>
    <row r="1405">
      <c r="A1405" s="8" t="s">
        <v>1635</v>
      </c>
      <c r="B1405" s="8" t="s">
        <v>1635</v>
      </c>
      <c r="C1405" s="2" t="s">
        <v>169</v>
      </c>
      <c r="D1405" s="2" t="s">
        <v>170</v>
      </c>
      <c r="E1405" s="6">
        <v>45938.36178240741</v>
      </c>
      <c r="F1405" s="3" t="s">
        <v>171</v>
      </c>
      <c r="G1405" s="2" t="s">
        <v>16</v>
      </c>
      <c r="H1405" s="2"/>
      <c r="I1405" s="2" t="s">
        <v>17</v>
      </c>
      <c r="J1405" s="2"/>
      <c r="K1405" s="2" t="s">
        <v>18</v>
      </c>
      <c r="L1405" s="2"/>
    </row>
    <row r="1406">
      <c r="A1406" s="8" t="s">
        <v>1636</v>
      </c>
      <c r="B1406" s="8" t="s">
        <v>1636</v>
      </c>
      <c r="C1406" s="2" t="s">
        <v>169</v>
      </c>
      <c r="D1406" s="2" t="s">
        <v>170</v>
      </c>
      <c r="E1406" s="6">
        <v>45938.45518518519</v>
      </c>
      <c r="F1406" s="3" t="s">
        <v>171</v>
      </c>
      <c r="G1406" s="2" t="s">
        <v>24</v>
      </c>
      <c r="H1406" s="2"/>
      <c r="I1406" s="2"/>
      <c r="J1406" s="2"/>
      <c r="K1406" s="2" t="s">
        <v>18</v>
      </c>
      <c r="L1406" s="2"/>
    </row>
    <row r="1407">
      <c r="A1407" s="8" t="s">
        <v>1637</v>
      </c>
      <c r="B1407" s="8" t="s">
        <v>1637</v>
      </c>
      <c r="C1407" s="2" t="s">
        <v>326</v>
      </c>
      <c r="D1407" s="2" t="s">
        <v>327</v>
      </c>
      <c r="E1407" s="6">
        <v>45938.49931712963</v>
      </c>
      <c r="F1407" s="3" t="s">
        <v>328</v>
      </c>
      <c r="G1407" s="2" t="s">
        <v>24</v>
      </c>
      <c r="H1407" s="2"/>
      <c r="I1407" s="2"/>
      <c r="J1407" s="2"/>
      <c r="K1407" s="2" t="s">
        <v>18</v>
      </c>
      <c r="L1407" s="2"/>
    </row>
    <row r="1408">
      <c r="A1408" s="8" t="s">
        <v>1638</v>
      </c>
      <c r="B1408" s="8" t="s">
        <v>1638</v>
      </c>
      <c r="C1408" s="2" t="s">
        <v>1519</v>
      </c>
      <c r="D1408" s="2" t="s">
        <v>1520</v>
      </c>
      <c r="E1408" s="6">
        <v>45938.56119212963</v>
      </c>
      <c r="F1408" s="3" t="s">
        <v>1521</v>
      </c>
      <c r="G1408" s="2" t="s">
        <v>16</v>
      </c>
      <c r="H1408" s="2"/>
      <c r="I1408" s="2" t="s">
        <v>395</v>
      </c>
      <c r="J1408" s="2"/>
      <c r="K1408" s="2" t="s">
        <v>18</v>
      </c>
      <c r="L1408" s="2"/>
    </row>
    <row r="1409">
      <c r="A1409" s="8" t="s">
        <v>1639</v>
      </c>
      <c r="B1409" s="8" t="s">
        <v>1639</v>
      </c>
      <c r="C1409" s="2" t="s">
        <v>45</v>
      </c>
      <c r="D1409" s="2" t="s">
        <v>46</v>
      </c>
      <c r="E1409" s="6">
        <v>45938.56868055555</v>
      </c>
      <c r="F1409" s="3" t="s">
        <v>47</v>
      </c>
      <c r="G1409" s="2" t="s">
        <v>16</v>
      </c>
      <c r="H1409" s="2"/>
      <c r="I1409" s="2" t="s">
        <v>17</v>
      </c>
      <c r="J1409" s="2"/>
      <c r="K1409" s="2" t="s">
        <v>18</v>
      </c>
      <c r="L1409" s="2"/>
    </row>
    <row r="1410">
      <c r="A1410" s="8" t="s">
        <v>1640</v>
      </c>
      <c r="B1410" s="8" t="s">
        <v>1640</v>
      </c>
      <c r="C1410" s="2" t="s">
        <v>109</v>
      </c>
      <c r="D1410" s="2" t="s">
        <v>110</v>
      </c>
      <c r="E1410" s="6">
        <v>45938.57545138889</v>
      </c>
      <c r="F1410" s="3" t="s">
        <v>111</v>
      </c>
      <c r="G1410" s="2" t="s">
        <v>16</v>
      </c>
      <c r="H1410" s="2"/>
      <c r="I1410" s="2" t="s">
        <v>17</v>
      </c>
      <c r="J1410" s="2"/>
      <c r="K1410" s="2" t="s">
        <v>18</v>
      </c>
      <c r="L1410" s="2"/>
    </row>
    <row r="1411">
      <c r="A1411" s="8" t="s">
        <v>1641</v>
      </c>
      <c r="B1411" s="8" t="s">
        <v>1641</v>
      </c>
      <c r="C1411" s="2" t="s">
        <v>109</v>
      </c>
      <c r="D1411" s="2" t="s">
        <v>110</v>
      </c>
      <c r="E1411" s="6">
        <v>45938.62908564815</v>
      </c>
      <c r="F1411" s="3" t="s">
        <v>111</v>
      </c>
      <c r="G1411" s="2" t="s">
        <v>24</v>
      </c>
      <c r="H1411" s="2"/>
      <c r="I1411" s="2"/>
      <c r="J1411" s="2"/>
      <c r="K1411" s="2" t="s">
        <v>18</v>
      </c>
      <c r="L1411" s="2"/>
    </row>
    <row r="1412">
      <c r="A1412" s="8" t="s">
        <v>1642</v>
      </c>
      <c r="B1412" s="8" t="s">
        <v>1642</v>
      </c>
      <c r="C1412" s="2" t="s">
        <v>45</v>
      </c>
      <c r="D1412" s="2" t="s">
        <v>46</v>
      </c>
      <c r="E1412" s="6">
        <v>45938.666666666664</v>
      </c>
      <c r="F1412" s="3" t="s">
        <v>47</v>
      </c>
      <c r="G1412" s="2" t="s">
        <v>24</v>
      </c>
      <c r="H1412" s="2"/>
      <c r="I1412" s="2"/>
      <c r="J1412" s="2"/>
      <c r="K1412" s="2" t="s">
        <v>18</v>
      </c>
      <c r="L1412" s="2"/>
    </row>
    <row r="1413">
      <c r="A1413" s="8" t="s">
        <v>1643</v>
      </c>
      <c r="B1413" s="8" t="s">
        <v>1643</v>
      </c>
      <c r="C1413" s="2" t="s">
        <v>1228</v>
      </c>
      <c r="D1413" s="2" t="s">
        <v>1229</v>
      </c>
      <c r="E1413" s="6">
        <v>45939.3690162037</v>
      </c>
      <c r="F1413" s="3" t="s">
        <v>1230</v>
      </c>
      <c r="G1413" s="2" t="s">
        <v>16</v>
      </c>
      <c r="H1413" s="2"/>
      <c r="I1413" s="2" t="s">
        <v>17</v>
      </c>
      <c r="J1413" s="2"/>
      <c r="K1413" s="2" t="s">
        <v>18</v>
      </c>
      <c r="L1413" s="2"/>
    </row>
    <row r="1414">
      <c r="A1414" s="1"/>
      <c r="B1414" s="1"/>
      <c r="C1414" s="2"/>
      <c r="D1414" s="2"/>
      <c r="E1414" s="6"/>
      <c r="F1414" s="3"/>
      <c r="G1414" s="2"/>
      <c r="H1414" s="2"/>
      <c r="I1414" s="2"/>
      <c r="J1414" s="2"/>
      <c r="K1414" s="2"/>
      <c r="L1414" s="2"/>
    </row>
    <row r="1415">
      <c r="A1415" s="8" t="s">
        <v>1644</v>
      </c>
      <c r="B1415" s="8" t="s">
        <v>1644</v>
      </c>
      <c r="C1415" s="2" t="s">
        <v>1228</v>
      </c>
      <c r="D1415" s="2" t="s">
        <v>1229</v>
      </c>
      <c r="E1415" s="6">
        <v>45939.478483796294</v>
      </c>
      <c r="F1415" s="3" t="s">
        <v>1230</v>
      </c>
      <c r="G1415" s="2" t="s">
        <v>24</v>
      </c>
      <c r="H1415" s="2"/>
      <c r="I1415" s="2"/>
      <c r="J1415" s="2"/>
      <c r="K1415" s="2" t="s">
        <v>18</v>
      </c>
      <c r="L1415" s="2"/>
    </row>
    <row r="1416">
      <c r="A1416" s="8" t="s">
        <v>1645</v>
      </c>
      <c r="B1416" s="8" t="s">
        <v>1645</v>
      </c>
      <c r="C1416" s="2" t="s">
        <v>49</v>
      </c>
      <c r="D1416" s="2" t="s">
        <v>50</v>
      </c>
      <c r="E1416" s="6">
        <v>45939.48125</v>
      </c>
      <c r="F1416" s="3" t="s">
        <v>51</v>
      </c>
      <c r="G1416" s="2" t="s">
        <v>24</v>
      </c>
      <c r="H1416" s="2"/>
      <c r="I1416" s="2"/>
      <c r="J1416" s="2"/>
      <c r="K1416" s="2" t="s">
        <v>18</v>
      </c>
      <c r="L1416" s="2"/>
    </row>
    <row r="1417">
      <c r="A1417" s="8" t="s">
        <v>1646</v>
      </c>
      <c r="B1417" s="8" t="s">
        <v>1646</v>
      </c>
      <c r="C1417" s="2" t="s">
        <v>131</v>
      </c>
      <c r="D1417" s="2" t="s">
        <v>132</v>
      </c>
      <c r="E1417" s="6">
        <v>45939.48175925926</v>
      </c>
      <c r="F1417" s="3" t="s">
        <v>133</v>
      </c>
      <c r="G1417" s="2" t="s">
        <v>24</v>
      </c>
      <c r="H1417" s="2"/>
      <c r="I1417" s="2"/>
      <c r="J1417" s="2"/>
      <c r="K1417" s="2" t="s">
        <v>18</v>
      </c>
      <c r="L1417" s="2"/>
    </row>
    <row r="1418">
      <c r="A1418" s="8" t="s">
        <v>1647</v>
      </c>
      <c r="B1418" s="8" t="s">
        <v>1647</v>
      </c>
      <c r="C1418" s="2" t="s">
        <v>131</v>
      </c>
      <c r="D1418" s="2" t="s">
        <v>132</v>
      </c>
      <c r="E1418" s="6">
        <v>45939.899618055555</v>
      </c>
      <c r="F1418" s="3" t="s">
        <v>133</v>
      </c>
      <c r="G1418" s="2" t="s">
        <v>159</v>
      </c>
      <c r="H1418" s="2"/>
      <c r="I1418" s="2"/>
      <c r="J1418" s="2"/>
      <c r="K1418" s="2" t="s">
        <v>18</v>
      </c>
      <c r="L1418" s="2"/>
    </row>
    <row r="1419">
      <c r="A1419" s="8" t="s">
        <v>1648</v>
      </c>
      <c r="B1419" s="8" t="s">
        <v>1648</v>
      </c>
      <c r="C1419" s="2" t="s">
        <v>213</v>
      </c>
      <c r="D1419" s="2" t="s">
        <v>214</v>
      </c>
      <c r="E1419" s="6">
        <v>45940.64686342593</v>
      </c>
      <c r="F1419" s="3" t="s">
        <v>215</v>
      </c>
      <c r="G1419" s="2" t="s">
        <v>24</v>
      </c>
      <c r="H1419" s="2"/>
      <c r="I1419" s="2"/>
      <c r="J1419" s="2"/>
      <c r="K1419" s="2" t="s">
        <v>18</v>
      </c>
      <c r="L1419" s="2"/>
    </row>
    <row r="1420">
      <c r="A1420" s="8" t="s">
        <v>1649</v>
      </c>
      <c r="B1420" s="8" t="s">
        <v>1649</v>
      </c>
      <c r="C1420" s="2" t="s">
        <v>951</v>
      </c>
      <c r="D1420" s="2" t="s">
        <v>952</v>
      </c>
      <c r="E1420" s="6">
        <v>45941.36009259259</v>
      </c>
      <c r="F1420" s="3" t="s">
        <v>953</v>
      </c>
      <c r="G1420" s="2" t="s">
        <v>16</v>
      </c>
      <c r="H1420" s="2"/>
      <c r="I1420" s="2" t="s">
        <v>17</v>
      </c>
      <c r="J1420" s="2"/>
      <c r="K1420" s="2" t="s">
        <v>18</v>
      </c>
      <c r="L1420" s="2"/>
    </row>
    <row r="1421">
      <c r="A1421" s="8" t="s">
        <v>1650</v>
      </c>
      <c r="B1421" s="8" t="s">
        <v>1650</v>
      </c>
      <c r="C1421" s="2" t="s">
        <v>320</v>
      </c>
      <c r="D1421" s="2" t="s">
        <v>321</v>
      </c>
      <c r="E1421" s="6">
        <v>45941.36954861111</v>
      </c>
      <c r="F1421" s="3" t="s">
        <v>322</v>
      </c>
      <c r="G1421" s="2" t="s">
        <v>16</v>
      </c>
      <c r="H1421" s="2"/>
      <c r="I1421" s="2" t="s">
        <v>17</v>
      </c>
      <c r="J1421" s="2"/>
      <c r="K1421" s="2" t="s">
        <v>18</v>
      </c>
      <c r="L1421" s="2"/>
    </row>
    <row r="1422">
      <c r="A1422" s="8" t="s">
        <v>1651</v>
      </c>
      <c r="B1422" s="8" t="s">
        <v>1651</v>
      </c>
      <c r="C1422" s="2" t="s">
        <v>786</v>
      </c>
      <c r="D1422" s="2" t="s">
        <v>787</v>
      </c>
      <c r="E1422" s="6">
        <v>45941.381215277775</v>
      </c>
      <c r="F1422" s="3" t="s">
        <v>788</v>
      </c>
      <c r="G1422" s="2" t="s">
        <v>16</v>
      </c>
      <c r="H1422" s="2"/>
      <c r="I1422" s="2" t="s">
        <v>17</v>
      </c>
      <c r="J1422" s="2"/>
      <c r="K1422" s="2" t="s">
        <v>18</v>
      </c>
      <c r="L1422" s="2"/>
    </row>
    <row r="1423">
      <c r="A1423" s="8" t="s">
        <v>1652</v>
      </c>
      <c r="B1423" s="8" t="s">
        <v>1652</v>
      </c>
      <c r="C1423" s="2" t="s">
        <v>45</v>
      </c>
      <c r="D1423" s="2" t="s">
        <v>46</v>
      </c>
      <c r="E1423" s="6">
        <v>45941.42616898148</v>
      </c>
      <c r="F1423" s="3" t="s">
        <v>47</v>
      </c>
      <c r="G1423" s="2" t="s">
        <v>16</v>
      </c>
      <c r="H1423" s="2"/>
      <c r="I1423" s="2" t="s">
        <v>17</v>
      </c>
      <c r="J1423" s="2"/>
      <c r="K1423" s="2" t="s">
        <v>18</v>
      </c>
      <c r="L1423" s="2"/>
    </row>
    <row r="1424">
      <c r="A1424" s="8" t="s">
        <v>1653</v>
      </c>
      <c r="B1424" s="8" t="s">
        <v>1653</v>
      </c>
      <c r="C1424" s="2" t="s">
        <v>320</v>
      </c>
      <c r="D1424" s="2" t="s">
        <v>321</v>
      </c>
      <c r="E1424" s="6">
        <v>45941.4369212963</v>
      </c>
      <c r="F1424" s="3" t="s">
        <v>322</v>
      </c>
      <c r="G1424" s="2" t="s">
        <v>24</v>
      </c>
      <c r="H1424" s="2"/>
      <c r="I1424" s="2"/>
      <c r="J1424" s="2"/>
      <c r="K1424" s="2" t="s">
        <v>18</v>
      </c>
      <c r="L1424" s="2"/>
    </row>
    <row r="1425">
      <c r="A1425" s="8" t="s">
        <v>1654</v>
      </c>
      <c r="B1425" s="8" t="s">
        <v>1654</v>
      </c>
      <c r="C1425" s="2" t="s">
        <v>951</v>
      </c>
      <c r="D1425" s="2" t="s">
        <v>952</v>
      </c>
      <c r="E1425" s="6">
        <v>45941.437569444446</v>
      </c>
      <c r="F1425" s="3" t="s">
        <v>953</v>
      </c>
      <c r="G1425" s="2" t="s">
        <v>24</v>
      </c>
      <c r="H1425" s="2"/>
      <c r="I1425" s="2"/>
      <c r="J1425" s="2"/>
      <c r="K1425" s="2" t="s">
        <v>18</v>
      </c>
      <c r="L1425" s="2"/>
    </row>
    <row r="1426">
      <c r="A1426" s="8" t="s">
        <v>1655</v>
      </c>
      <c r="B1426" s="8" t="s">
        <v>1655</v>
      </c>
      <c r="C1426" s="2" t="s">
        <v>20</v>
      </c>
      <c r="D1426" s="2" t="s">
        <v>21</v>
      </c>
      <c r="E1426" s="6">
        <v>45941.534004629626</v>
      </c>
      <c r="F1426" s="3" t="s">
        <v>22</v>
      </c>
      <c r="G1426" s="2" t="s">
        <v>16</v>
      </c>
      <c r="H1426" s="2"/>
      <c r="I1426" s="2" t="s">
        <v>17</v>
      </c>
      <c r="J1426" s="2"/>
      <c r="K1426" s="2" t="s">
        <v>18</v>
      </c>
      <c r="L1426" s="2"/>
    </row>
    <row r="1427">
      <c r="A1427" s="8" t="s">
        <v>1656</v>
      </c>
      <c r="B1427" s="8" t="s">
        <v>1656</v>
      </c>
      <c r="C1427" s="2" t="s">
        <v>786</v>
      </c>
      <c r="D1427" s="2" t="s">
        <v>787</v>
      </c>
      <c r="E1427" s="6">
        <v>45940.9530787037</v>
      </c>
      <c r="F1427" s="3" t="s">
        <v>788</v>
      </c>
      <c r="G1427" s="2" t="s">
        <v>24</v>
      </c>
      <c r="H1427" s="2"/>
      <c r="I1427" s="2"/>
      <c r="J1427" s="2"/>
      <c r="K1427" s="2" t="s">
        <v>18</v>
      </c>
      <c r="L1427" s="2"/>
    </row>
    <row r="1428">
      <c r="A1428" s="8" t="s">
        <v>1657</v>
      </c>
      <c r="B1428" s="8" t="s">
        <v>1657</v>
      </c>
      <c r="C1428" s="2" t="s">
        <v>45</v>
      </c>
      <c r="D1428" s="2" t="s">
        <v>46</v>
      </c>
      <c r="E1428" s="6">
        <v>45941.56730324074</v>
      </c>
      <c r="F1428" s="3" t="s">
        <v>47</v>
      </c>
      <c r="G1428" s="2" t="s">
        <v>24</v>
      </c>
      <c r="H1428" s="2"/>
      <c r="I1428" s="2"/>
      <c r="J1428" s="2"/>
      <c r="K1428" s="2" t="s">
        <v>18</v>
      </c>
      <c r="L1428" s="2"/>
    </row>
    <row r="1429">
      <c r="A1429" s="8" t="s">
        <v>1658</v>
      </c>
      <c r="B1429" s="8" t="s">
        <v>1658</v>
      </c>
      <c r="C1429" s="2" t="s">
        <v>20</v>
      </c>
      <c r="D1429" s="2" t="s">
        <v>21</v>
      </c>
      <c r="E1429" s="6">
        <v>45941.58078703703</v>
      </c>
      <c r="F1429" s="3" t="s">
        <v>22</v>
      </c>
      <c r="G1429" s="2" t="s">
        <v>24</v>
      </c>
      <c r="H1429" s="2"/>
      <c r="I1429" s="2"/>
      <c r="J1429" s="2"/>
      <c r="K1429" s="2" t="s">
        <v>18</v>
      </c>
      <c r="L1429" s="2"/>
    </row>
    <row r="1430">
      <c r="A1430" s="8" t="s">
        <v>1659</v>
      </c>
      <c r="B1430" s="8" t="s">
        <v>1659</v>
      </c>
      <c r="C1430" s="2" t="s">
        <v>685</v>
      </c>
      <c r="D1430" s="2" t="s">
        <v>686</v>
      </c>
      <c r="E1430" s="6">
        <v>45943.418078703704</v>
      </c>
      <c r="F1430" s="3" t="s">
        <v>687</v>
      </c>
      <c r="G1430" s="2" t="s">
        <v>16</v>
      </c>
      <c r="H1430" s="2"/>
      <c r="I1430" s="2"/>
      <c r="J1430" s="2"/>
      <c r="K1430" s="2" t="s">
        <v>18</v>
      </c>
      <c r="L1430" s="2"/>
    </row>
    <row r="1431">
      <c r="A1431" s="8" t="s">
        <v>1660</v>
      </c>
      <c r="B1431" s="8" t="s">
        <v>1660</v>
      </c>
      <c r="C1431" s="2" t="s">
        <v>1183</v>
      </c>
      <c r="D1431" s="2" t="s">
        <v>1184</v>
      </c>
      <c r="E1431" s="6">
        <v>45943.43068287037</v>
      </c>
      <c r="F1431" s="3" t="s">
        <v>1185</v>
      </c>
      <c r="G1431" s="2" t="s">
        <v>16</v>
      </c>
      <c r="H1431" s="2"/>
      <c r="I1431" s="2" t="s">
        <v>17</v>
      </c>
      <c r="J1431" s="2"/>
      <c r="K1431" s="2" t="s">
        <v>18</v>
      </c>
      <c r="L1431" s="2"/>
    </row>
    <row r="1432">
      <c r="A1432" s="8" t="s">
        <v>1661</v>
      </c>
      <c r="B1432" s="8" t="s">
        <v>1661</v>
      </c>
      <c r="C1432" s="10" t="s">
        <v>1399</v>
      </c>
      <c r="D1432" s="2" t="s">
        <v>1400</v>
      </c>
      <c r="E1432" s="6">
        <v>45943.43388888889</v>
      </c>
      <c r="F1432" s="3" t="s">
        <v>1401</v>
      </c>
      <c r="G1432" s="2" t="s">
        <v>16</v>
      </c>
      <c r="H1432" s="2"/>
      <c r="I1432" s="2"/>
      <c r="J1432" s="2"/>
      <c r="K1432" s="2" t="s">
        <v>18</v>
      </c>
      <c r="L1432" s="2"/>
    </row>
    <row r="1433">
      <c r="A1433" s="8" t="s">
        <v>1662</v>
      </c>
      <c r="B1433" s="8" t="s">
        <v>1662</v>
      </c>
      <c r="C1433" s="2" t="s">
        <v>131</v>
      </c>
      <c r="D1433" s="2" t="s">
        <v>132</v>
      </c>
      <c r="E1433" s="6">
        <v>45943.440671296295</v>
      </c>
      <c r="F1433" s="3" t="s">
        <v>133</v>
      </c>
      <c r="G1433" s="2" t="s">
        <v>16</v>
      </c>
      <c r="H1433" s="2"/>
      <c r="I1433" s="2" t="s">
        <v>17</v>
      </c>
      <c r="J1433" s="2"/>
      <c r="K1433" s="2" t="s">
        <v>18</v>
      </c>
      <c r="L1433" s="2"/>
    </row>
    <row r="1434">
      <c r="A1434" s="8" t="s">
        <v>1663</v>
      </c>
      <c r="B1434" s="8" t="s">
        <v>1663</v>
      </c>
      <c r="C1434" s="2" t="s">
        <v>309</v>
      </c>
      <c r="D1434" s="2" t="s">
        <v>310</v>
      </c>
      <c r="E1434" s="6">
        <v>45943.48337962963</v>
      </c>
      <c r="F1434" s="3" t="s">
        <v>311</v>
      </c>
      <c r="G1434" s="2" t="s">
        <v>16</v>
      </c>
      <c r="H1434" s="2"/>
      <c r="I1434" s="2" t="s">
        <v>395</v>
      </c>
      <c r="J1434" s="2"/>
      <c r="K1434" s="2" t="s">
        <v>18</v>
      </c>
      <c r="L1434" s="2"/>
    </row>
    <row r="1435">
      <c r="A1435" s="8" t="s">
        <v>1664</v>
      </c>
      <c r="B1435" s="8" t="s">
        <v>1664</v>
      </c>
      <c r="C1435" s="2" t="s">
        <v>131</v>
      </c>
      <c r="D1435" s="2" t="s">
        <v>132</v>
      </c>
      <c r="E1435" s="6">
        <v>45943.51568287037</v>
      </c>
      <c r="F1435" s="3" t="s">
        <v>133</v>
      </c>
      <c r="G1435" s="2" t="s">
        <v>24</v>
      </c>
      <c r="H1435" s="2"/>
      <c r="I1435" s="2"/>
      <c r="J1435" s="2"/>
      <c r="K1435" s="2" t="s">
        <v>18</v>
      </c>
      <c r="L1435" s="2"/>
    </row>
    <row r="1436">
      <c r="A1436" s="8" t="s">
        <v>1665</v>
      </c>
      <c r="B1436" s="8" t="s">
        <v>1665</v>
      </c>
      <c r="C1436" s="2" t="s">
        <v>951</v>
      </c>
      <c r="D1436" s="2" t="s">
        <v>952</v>
      </c>
      <c r="E1436" s="6">
        <v>45943.51634259259</v>
      </c>
      <c r="F1436" s="3" t="s">
        <v>953</v>
      </c>
      <c r="G1436" s="2" t="s">
        <v>24</v>
      </c>
      <c r="H1436" s="2"/>
      <c r="I1436" s="2"/>
      <c r="J1436" s="2"/>
      <c r="K1436" s="2" t="s">
        <v>18</v>
      </c>
      <c r="L1436" s="2"/>
    </row>
    <row r="1437">
      <c r="A1437" s="8" t="s">
        <v>1666</v>
      </c>
      <c r="B1437" s="8" t="s">
        <v>1666</v>
      </c>
      <c r="C1437" s="2" t="s">
        <v>685</v>
      </c>
      <c r="D1437" s="2" t="s">
        <v>686</v>
      </c>
      <c r="E1437" s="6">
        <v>45943.5168287037</v>
      </c>
      <c r="F1437" s="3" t="s">
        <v>687</v>
      </c>
      <c r="G1437" s="2" t="s">
        <v>24</v>
      </c>
      <c r="H1437" s="2"/>
      <c r="I1437" s="2"/>
      <c r="J1437" s="2"/>
      <c r="K1437" s="2" t="s">
        <v>18</v>
      </c>
      <c r="L1437" s="2"/>
    </row>
    <row r="1438">
      <c r="A1438" s="8" t="s">
        <v>1667</v>
      </c>
      <c r="B1438" s="8" t="s">
        <v>1667</v>
      </c>
      <c r="C1438" s="10" t="s">
        <v>1399</v>
      </c>
      <c r="D1438" s="2" t="s">
        <v>1400</v>
      </c>
      <c r="E1438" s="6">
        <v>45943.53596064815</v>
      </c>
      <c r="F1438" s="3" t="s">
        <v>1401</v>
      </c>
      <c r="G1438" s="2" t="s">
        <v>24</v>
      </c>
      <c r="H1438" s="2"/>
      <c r="I1438" s="2"/>
      <c r="J1438" s="2"/>
      <c r="K1438" s="2" t="s">
        <v>18</v>
      </c>
      <c r="L1438" s="2"/>
    </row>
    <row r="1439">
      <c r="A1439" s="8" t="s">
        <v>1668</v>
      </c>
      <c r="B1439" s="8" t="s">
        <v>1668</v>
      </c>
      <c r="C1439" s="2" t="s">
        <v>309</v>
      </c>
      <c r="D1439" s="2" t="s">
        <v>310</v>
      </c>
      <c r="E1439" s="6">
        <v>45943.537094907406</v>
      </c>
      <c r="F1439" s="3" t="s">
        <v>311</v>
      </c>
      <c r="G1439" s="2" t="s">
        <v>24</v>
      </c>
      <c r="H1439" s="2"/>
      <c r="I1439" s="2"/>
      <c r="J1439" s="2"/>
      <c r="K1439" s="2" t="s">
        <v>18</v>
      </c>
      <c r="L1439" s="2"/>
    </row>
    <row r="1440">
      <c r="A1440" s="8" t="s">
        <v>1669</v>
      </c>
      <c r="B1440" s="8" t="s">
        <v>1669</v>
      </c>
      <c r="C1440" s="2" t="s">
        <v>131</v>
      </c>
      <c r="D1440" s="2" t="s">
        <v>132</v>
      </c>
      <c r="E1440" s="6">
        <v>45943.612592592595</v>
      </c>
      <c r="F1440" s="3" t="s">
        <v>133</v>
      </c>
      <c r="G1440" s="2" t="s">
        <v>16</v>
      </c>
      <c r="H1440" s="2"/>
      <c r="I1440" s="2" t="s">
        <v>17</v>
      </c>
      <c r="J1440" s="2"/>
      <c r="K1440" s="2" t="s">
        <v>18</v>
      </c>
      <c r="L1440" s="2"/>
    </row>
    <row r="1441">
      <c r="A1441" s="8" t="s">
        <v>1670</v>
      </c>
      <c r="B1441" s="8" t="s">
        <v>1670</v>
      </c>
      <c r="C1441" s="2" t="s">
        <v>309</v>
      </c>
      <c r="D1441" s="2" t="s">
        <v>310</v>
      </c>
      <c r="E1441" s="6">
        <v>45943.67273148148</v>
      </c>
      <c r="F1441" s="3" t="s">
        <v>311</v>
      </c>
      <c r="G1441" s="2" t="s">
        <v>24</v>
      </c>
      <c r="H1441" s="2"/>
      <c r="I1441" s="2"/>
      <c r="J1441" s="2"/>
      <c r="K1441" s="2" t="s">
        <v>18</v>
      </c>
      <c r="L1441" s="2"/>
    </row>
    <row r="1442">
      <c r="A1442" s="8" t="s">
        <v>1671</v>
      </c>
      <c r="B1442" s="8" t="s">
        <v>1671</v>
      </c>
      <c r="C1442" s="2" t="s">
        <v>1564</v>
      </c>
      <c r="D1442" s="2" t="s">
        <v>1565</v>
      </c>
      <c r="E1442" s="6">
        <v>45944.344039351854</v>
      </c>
      <c r="F1442" s="3" t="s">
        <v>1566</v>
      </c>
      <c r="G1442" s="2" t="s">
        <v>16</v>
      </c>
      <c r="H1442" s="2"/>
      <c r="I1442" s="2" t="s">
        <v>395</v>
      </c>
      <c r="J1442" s="2"/>
      <c r="K1442" s="2" t="s">
        <v>18</v>
      </c>
      <c r="L1442" s="2"/>
    </row>
    <row r="1443">
      <c r="A1443" s="8" t="s">
        <v>1672</v>
      </c>
      <c r="B1443" s="8" t="s">
        <v>1672</v>
      </c>
      <c r="C1443" s="2" t="s">
        <v>213</v>
      </c>
      <c r="D1443" s="2" t="s">
        <v>214</v>
      </c>
      <c r="E1443" s="6">
        <v>45944.35037037037</v>
      </c>
      <c r="F1443" s="3" t="s">
        <v>215</v>
      </c>
      <c r="G1443" s="2" t="s">
        <v>16</v>
      </c>
      <c r="H1443" s="2"/>
      <c r="I1443" s="2" t="s">
        <v>17</v>
      </c>
      <c r="J1443" s="2"/>
      <c r="K1443" s="2" t="s">
        <v>18</v>
      </c>
      <c r="L1443" s="2"/>
    </row>
    <row r="1444">
      <c r="A1444" s="8" t="s">
        <v>1673</v>
      </c>
      <c r="B1444" s="8" t="s">
        <v>1673</v>
      </c>
      <c r="C1444" s="2" t="s">
        <v>1084</v>
      </c>
      <c r="D1444" s="2" t="s">
        <v>1085</v>
      </c>
      <c r="E1444" s="6">
        <v>45944.35423611111</v>
      </c>
      <c r="F1444" s="3" t="s">
        <v>1086</v>
      </c>
      <c r="G1444" s="2" t="s">
        <v>24</v>
      </c>
      <c r="H1444" s="2"/>
      <c r="I1444" s="2"/>
      <c r="J1444" s="2"/>
      <c r="K1444" s="2" t="s">
        <v>18</v>
      </c>
      <c r="L1444" s="2"/>
    </row>
    <row r="1445">
      <c r="A1445" s="8" t="s">
        <v>1674</v>
      </c>
      <c r="B1445" s="8" t="s">
        <v>1674</v>
      </c>
      <c r="C1445" s="2" t="s">
        <v>812</v>
      </c>
      <c r="D1445" s="2" t="s">
        <v>813</v>
      </c>
      <c r="E1445" s="6">
        <v>45944.35853009259</v>
      </c>
      <c r="F1445" s="3" t="s">
        <v>814</v>
      </c>
      <c r="G1445" s="2" t="s">
        <v>24</v>
      </c>
      <c r="H1445" s="2"/>
      <c r="I1445" s="2"/>
      <c r="J1445" s="2"/>
      <c r="K1445" s="2" t="s">
        <v>18</v>
      </c>
      <c r="L1445" s="2"/>
    </row>
    <row r="1446">
      <c r="A1446" s="8" t="s">
        <v>1675</v>
      </c>
      <c r="B1446" s="8" t="s">
        <v>1675</v>
      </c>
      <c r="C1446" s="2" t="s">
        <v>786</v>
      </c>
      <c r="D1446" s="2" t="s">
        <v>787</v>
      </c>
      <c r="E1446" s="6">
        <v>45944.40820601852</v>
      </c>
      <c r="F1446" s="3" t="s">
        <v>788</v>
      </c>
      <c r="G1446" s="2" t="s">
        <v>16</v>
      </c>
      <c r="H1446" s="2"/>
      <c r="I1446" s="2" t="s">
        <v>17</v>
      </c>
      <c r="J1446" s="2"/>
      <c r="K1446" s="2" t="s">
        <v>18</v>
      </c>
      <c r="L1446" s="2"/>
    </row>
    <row r="1447">
      <c r="A1447" s="8" t="s">
        <v>1676</v>
      </c>
      <c r="B1447" s="8" t="s">
        <v>1676</v>
      </c>
      <c r="C1447" s="2" t="s">
        <v>812</v>
      </c>
      <c r="D1447" s="2" t="s">
        <v>813</v>
      </c>
      <c r="E1447" s="6">
        <v>45944.43466435185</v>
      </c>
      <c r="F1447" s="3" t="s">
        <v>814</v>
      </c>
      <c r="G1447" s="2" t="s">
        <v>16</v>
      </c>
      <c r="H1447" s="2"/>
      <c r="I1447" s="2" t="s">
        <v>395</v>
      </c>
      <c r="J1447" s="2"/>
      <c r="K1447" s="2" t="s">
        <v>18</v>
      </c>
      <c r="L1447" s="2"/>
    </row>
    <row r="1448">
      <c r="A1448" s="8" t="s">
        <v>1677</v>
      </c>
      <c r="B1448" s="8" t="s">
        <v>1677</v>
      </c>
      <c r="C1448" s="2" t="s">
        <v>786</v>
      </c>
      <c r="D1448" s="2" t="s">
        <v>787</v>
      </c>
      <c r="E1448" s="6">
        <v>45944.5865162037</v>
      </c>
      <c r="F1448" s="3" t="s">
        <v>788</v>
      </c>
      <c r="G1448" s="2" t="s">
        <v>24</v>
      </c>
      <c r="H1448" s="2"/>
      <c r="I1448" s="2"/>
      <c r="J1448" s="2"/>
      <c r="K1448" s="2" t="s">
        <v>18</v>
      </c>
      <c r="L1448" s="2"/>
    </row>
    <row r="1449">
      <c r="A1449" s="8" t="s">
        <v>1678</v>
      </c>
      <c r="B1449" s="8" t="s">
        <v>1678</v>
      </c>
      <c r="C1449" s="2" t="s">
        <v>1564</v>
      </c>
      <c r="D1449" s="2" t="s">
        <v>1565</v>
      </c>
      <c r="E1449" s="6">
        <v>45944.59799768519</v>
      </c>
      <c r="F1449" s="3" t="s">
        <v>1566</v>
      </c>
      <c r="G1449" s="2" t="s">
        <v>24</v>
      </c>
      <c r="H1449" s="2"/>
      <c r="I1449" s="2"/>
      <c r="J1449" s="2"/>
      <c r="K1449" s="2" t="s">
        <v>18</v>
      </c>
      <c r="L1449" s="2"/>
    </row>
    <row r="1450">
      <c r="A1450" s="8" t="s">
        <v>1679</v>
      </c>
      <c r="B1450" s="8" t="s">
        <v>1679</v>
      </c>
      <c r="C1450" s="2" t="s">
        <v>309</v>
      </c>
      <c r="D1450" s="2" t="s">
        <v>310</v>
      </c>
      <c r="E1450" s="6">
        <v>45945.34211805555</v>
      </c>
      <c r="F1450" s="3" t="s">
        <v>311</v>
      </c>
      <c r="G1450" s="2" t="s">
        <v>16</v>
      </c>
      <c r="H1450" s="2"/>
      <c r="I1450" s="2" t="s">
        <v>395</v>
      </c>
      <c r="J1450" s="2"/>
      <c r="K1450" s="2" t="s">
        <v>18</v>
      </c>
      <c r="L1450" s="2"/>
    </row>
    <row r="1451">
      <c r="A1451" s="8" t="s">
        <v>1680</v>
      </c>
      <c r="B1451" s="8" t="s">
        <v>1680</v>
      </c>
      <c r="C1451" s="2" t="s">
        <v>169</v>
      </c>
      <c r="D1451" s="2" t="s">
        <v>170</v>
      </c>
      <c r="E1451" s="6">
        <v>45945.35493055556</v>
      </c>
      <c r="F1451" s="3" t="s">
        <v>171</v>
      </c>
      <c r="G1451" s="2" t="s">
        <v>16</v>
      </c>
      <c r="H1451" s="2"/>
      <c r="I1451" s="2" t="s">
        <v>17</v>
      </c>
      <c r="J1451" s="2"/>
      <c r="K1451" s="2" t="s">
        <v>18</v>
      </c>
      <c r="L1451" s="2"/>
    </row>
    <row r="1452">
      <c r="A1452" s="1"/>
      <c r="B1452" s="1"/>
      <c r="C1452" s="2"/>
      <c r="D1452" s="2"/>
      <c r="E1452" s="6"/>
      <c r="F1452" s="3"/>
      <c r="G1452" s="2"/>
      <c r="H1452" s="2"/>
      <c r="I1452" s="2"/>
      <c r="J1452" s="2"/>
      <c r="K1452" s="2"/>
      <c r="L1452" s="2"/>
    </row>
    <row r="1453">
      <c r="A1453" s="8" t="s">
        <v>1681</v>
      </c>
      <c r="B1453" s="8" t="s">
        <v>1681</v>
      </c>
      <c r="C1453" s="2" t="s">
        <v>1183</v>
      </c>
      <c r="D1453" s="2" t="s">
        <v>1184</v>
      </c>
      <c r="E1453" s="6">
        <v>45945.48181712963</v>
      </c>
      <c r="F1453" s="3" t="s">
        <v>1185</v>
      </c>
      <c r="G1453" s="2" t="s">
        <v>16</v>
      </c>
      <c r="H1453" s="2"/>
      <c r="I1453" s="2" t="s">
        <v>17</v>
      </c>
      <c r="J1453" s="2"/>
      <c r="K1453" s="2" t="s">
        <v>18</v>
      </c>
      <c r="L1453" s="2"/>
    </row>
    <row r="1454">
      <c r="A1454" s="8" t="s">
        <v>1682</v>
      </c>
      <c r="B1454" s="8" t="s">
        <v>1682</v>
      </c>
      <c r="C1454" s="2" t="s">
        <v>1183</v>
      </c>
      <c r="D1454" s="2" t="s">
        <v>1184</v>
      </c>
      <c r="E1454" s="6">
        <v>45945.52868055556</v>
      </c>
      <c r="F1454" s="3" t="s">
        <v>1185</v>
      </c>
      <c r="G1454" s="2" t="s">
        <v>24</v>
      </c>
      <c r="H1454" s="2"/>
      <c r="I1454" s="2"/>
      <c r="J1454" s="2"/>
      <c r="K1454" s="2" t="s">
        <v>18</v>
      </c>
      <c r="L1454" s="2"/>
    </row>
    <row r="1455">
      <c r="A1455" s="8" t="s">
        <v>1683</v>
      </c>
      <c r="B1455" s="8" t="s">
        <v>1683</v>
      </c>
      <c r="C1455" s="2" t="s">
        <v>45</v>
      </c>
      <c r="D1455" s="2" t="s">
        <v>46</v>
      </c>
      <c r="E1455" s="6">
        <v>45945.530439814815</v>
      </c>
      <c r="F1455" s="3" t="s">
        <v>47</v>
      </c>
      <c r="G1455" s="2" t="s">
        <v>24</v>
      </c>
      <c r="H1455" s="2"/>
      <c r="I1455" s="2"/>
      <c r="J1455" s="2"/>
      <c r="K1455" s="2" t="s">
        <v>18</v>
      </c>
      <c r="L1455" s="2"/>
    </row>
    <row r="1456">
      <c r="A1456" s="8" t="s">
        <v>1684</v>
      </c>
      <c r="B1456" s="8" t="s">
        <v>1684</v>
      </c>
      <c r="C1456" s="2" t="s">
        <v>493</v>
      </c>
      <c r="D1456" s="2" t="s">
        <v>494</v>
      </c>
      <c r="E1456" s="6">
        <v>45945.54178240741</v>
      </c>
      <c r="F1456" s="3" t="s">
        <v>495</v>
      </c>
      <c r="G1456" s="2" t="s">
        <v>16</v>
      </c>
      <c r="H1456" s="2"/>
      <c r="I1456" s="2" t="s">
        <v>17</v>
      </c>
      <c r="J1456" s="2"/>
      <c r="K1456" s="2" t="s">
        <v>18</v>
      </c>
      <c r="L1456" s="2"/>
    </row>
    <row r="1457">
      <c r="A1457" s="8" t="s">
        <v>1685</v>
      </c>
      <c r="B1457" s="8" t="s">
        <v>1685</v>
      </c>
      <c r="C1457" s="2" t="s">
        <v>493</v>
      </c>
      <c r="D1457" s="2" t="s">
        <v>494</v>
      </c>
      <c r="E1457" s="6">
        <v>45945.65557870371</v>
      </c>
      <c r="F1457" s="3" t="s">
        <v>495</v>
      </c>
      <c r="G1457" s="2" t="s">
        <v>24</v>
      </c>
      <c r="H1457" s="2"/>
      <c r="I1457" s="2"/>
      <c r="J1457" s="2"/>
      <c r="K1457" s="2" t="s">
        <v>18</v>
      </c>
      <c r="L1457" s="2"/>
    </row>
    <row r="1458">
      <c r="A1458" s="8" t="s">
        <v>1686</v>
      </c>
      <c r="B1458" s="8" t="s">
        <v>1686</v>
      </c>
      <c r="C1458" s="2" t="s">
        <v>109</v>
      </c>
      <c r="D1458" s="2" t="s">
        <v>110</v>
      </c>
      <c r="E1458" s="6">
        <v>45946.45172453704</v>
      </c>
      <c r="F1458" s="3" t="s">
        <v>111</v>
      </c>
      <c r="G1458" s="2" t="s">
        <v>16</v>
      </c>
      <c r="H1458" s="2"/>
      <c r="I1458" s="2" t="s">
        <v>17</v>
      </c>
      <c r="J1458" s="2"/>
      <c r="K1458" s="2" t="s">
        <v>18</v>
      </c>
      <c r="L1458" s="2"/>
    </row>
    <row r="1459">
      <c r="A1459" s="8" t="s">
        <v>1687</v>
      </c>
      <c r="B1459" s="8" t="s">
        <v>1687</v>
      </c>
      <c r="C1459" s="2" t="s">
        <v>786</v>
      </c>
      <c r="D1459" s="2" t="s">
        <v>787</v>
      </c>
      <c r="E1459" s="6">
        <v>45946.452939814815</v>
      </c>
      <c r="F1459" s="3" t="s">
        <v>788</v>
      </c>
      <c r="G1459" s="2" t="s">
        <v>16</v>
      </c>
      <c r="H1459" s="2"/>
      <c r="I1459" s="2" t="s">
        <v>17</v>
      </c>
      <c r="J1459" s="2"/>
      <c r="K1459" s="2" t="s">
        <v>18</v>
      </c>
      <c r="L1459" s="2"/>
    </row>
    <row r="1460">
      <c r="A1460" s="8" t="s">
        <v>1688</v>
      </c>
      <c r="B1460" s="8" t="s">
        <v>1688</v>
      </c>
      <c r="C1460" s="2" t="s">
        <v>951</v>
      </c>
      <c r="D1460" s="2" t="s">
        <v>952</v>
      </c>
      <c r="E1460" s="6">
        <v>45946.47357638889</v>
      </c>
      <c r="F1460" s="3" t="s">
        <v>953</v>
      </c>
      <c r="G1460" s="2" t="s">
        <v>24</v>
      </c>
      <c r="H1460" s="2"/>
      <c r="I1460" s="2"/>
      <c r="J1460" s="2"/>
      <c r="K1460" s="2" t="s">
        <v>18</v>
      </c>
      <c r="L1460" s="2"/>
    </row>
    <row r="1461">
      <c r="A1461" s="8" t="s">
        <v>1689</v>
      </c>
      <c r="B1461" s="8" t="s">
        <v>1689</v>
      </c>
      <c r="C1461" s="2" t="s">
        <v>1203</v>
      </c>
      <c r="D1461" s="2" t="s">
        <v>1204</v>
      </c>
      <c r="E1461" s="6">
        <v>45946.34722222222</v>
      </c>
      <c r="F1461" s="3" t="s">
        <v>1205</v>
      </c>
      <c r="G1461" s="2" t="s">
        <v>24</v>
      </c>
      <c r="H1461" s="2"/>
      <c r="I1461" s="2"/>
      <c r="J1461" s="2"/>
      <c r="K1461" s="2" t="s">
        <v>18</v>
      </c>
      <c r="L1461" s="2"/>
    </row>
    <row r="1462">
      <c r="A1462" s="8" t="s">
        <v>1690</v>
      </c>
      <c r="B1462" s="8" t="s">
        <v>1690</v>
      </c>
      <c r="C1462" s="2" t="s">
        <v>109</v>
      </c>
      <c r="D1462" s="2" t="s">
        <v>110</v>
      </c>
      <c r="E1462" s="6">
        <v>45946.47681712963</v>
      </c>
      <c r="F1462" s="3" t="s">
        <v>111</v>
      </c>
      <c r="G1462" s="2" t="s">
        <v>24</v>
      </c>
      <c r="H1462" s="2"/>
      <c r="I1462" s="2"/>
      <c r="J1462" s="2"/>
      <c r="K1462" s="2" t="s">
        <v>18</v>
      </c>
      <c r="L1462" s="2"/>
    </row>
    <row r="1463">
      <c r="A1463" s="8" t="s">
        <v>1691</v>
      </c>
      <c r="B1463" s="8" t="s">
        <v>1691</v>
      </c>
      <c r="C1463" s="2" t="s">
        <v>109</v>
      </c>
      <c r="D1463" s="2" t="s">
        <v>110</v>
      </c>
      <c r="E1463" s="6">
        <v>45946.58607638889</v>
      </c>
      <c r="F1463" s="3" t="s">
        <v>111</v>
      </c>
      <c r="G1463" s="2" t="s">
        <v>24</v>
      </c>
      <c r="H1463" s="2"/>
      <c r="I1463" s="2"/>
      <c r="J1463" s="2"/>
      <c r="K1463" s="2" t="s">
        <v>18</v>
      </c>
      <c r="L1463" s="2"/>
    </row>
    <row r="1464">
      <c r="A1464" s="8" t="s">
        <v>1692</v>
      </c>
      <c r="B1464" s="8" t="s">
        <v>1692</v>
      </c>
      <c r="C1464" s="2" t="s">
        <v>786</v>
      </c>
      <c r="D1464" s="2" t="s">
        <v>787</v>
      </c>
      <c r="E1464" s="6">
        <v>45946.61587962963</v>
      </c>
      <c r="F1464" s="3" t="s">
        <v>788</v>
      </c>
      <c r="G1464" s="2" t="s">
        <v>24</v>
      </c>
      <c r="H1464" s="2"/>
      <c r="I1464" s="2"/>
      <c r="J1464" s="2"/>
      <c r="K1464" s="2" t="s">
        <v>18</v>
      </c>
      <c r="L1464" s="2"/>
    </row>
    <row r="1465">
      <c r="A1465" s="8" t="s">
        <v>1693</v>
      </c>
      <c r="B1465" s="8" t="s">
        <v>1693</v>
      </c>
      <c r="C1465" s="2" t="s">
        <v>392</v>
      </c>
      <c r="D1465" s="2" t="s">
        <v>393</v>
      </c>
      <c r="E1465" s="6">
        <v>45946.64258101852</v>
      </c>
      <c r="F1465" s="3" t="s">
        <v>394</v>
      </c>
      <c r="G1465" s="2" t="s">
        <v>24</v>
      </c>
      <c r="H1465" s="2"/>
      <c r="I1465" s="2"/>
      <c r="J1465" s="2"/>
      <c r="K1465" s="2" t="s">
        <v>18</v>
      </c>
      <c r="L1465" s="2"/>
    </row>
    <row r="1466">
      <c r="A1466" s="8" t="s">
        <v>1694</v>
      </c>
      <c r="B1466" s="8" t="s">
        <v>1694</v>
      </c>
      <c r="C1466" s="2" t="s">
        <v>786</v>
      </c>
      <c r="D1466" s="2" t="s">
        <v>787</v>
      </c>
      <c r="E1466" s="6">
        <v>45947.34284722222</v>
      </c>
      <c r="F1466" s="3" t="s">
        <v>788</v>
      </c>
      <c r="G1466" s="2" t="s">
        <v>159</v>
      </c>
      <c r="H1466" s="2"/>
      <c r="I1466" s="2"/>
      <c r="J1466" s="2"/>
      <c r="K1466" s="2" t="s">
        <v>18</v>
      </c>
      <c r="L1466" s="2"/>
    </row>
    <row r="1467">
      <c r="A1467" s="8" t="s">
        <v>1695</v>
      </c>
      <c r="B1467" s="8" t="s">
        <v>1695</v>
      </c>
      <c r="C1467" s="2" t="s">
        <v>109</v>
      </c>
      <c r="D1467" s="2" t="s">
        <v>110</v>
      </c>
      <c r="E1467" s="6">
        <v>45947.34385416667</v>
      </c>
      <c r="F1467" s="3" t="s">
        <v>111</v>
      </c>
      <c r="G1467" s="2" t="s">
        <v>16</v>
      </c>
      <c r="H1467" s="2"/>
      <c r="I1467" s="2" t="s">
        <v>17</v>
      </c>
      <c r="J1467" s="2"/>
      <c r="K1467" s="2" t="s">
        <v>18</v>
      </c>
      <c r="L1467" s="2"/>
    </row>
    <row r="1468">
      <c r="A1468" s="8" t="s">
        <v>1696</v>
      </c>
      <c r="B1468" s="8" t="s">
        <v>1696</v>
      </c>
      <c r="C1468" s="2" t="s">
        <v>392</v>
      </c>
      <c r="D1468" s="2" t="s">
        <v>393</v>
      </c>
      <c r="E1468" s="6">
        <v>45947.34658564815</v>
      </c>
      <c r="F1468" s="3" t="s">
        <v>394</v>
      </c>
      <c r="G1468" s="2" t="s">
        <v>16</v>
      </c>
      <c r="H1468" s="2"/>
      <c r="I1468" s="2" t="s">
        <v>395</v>
      </c>
      <c r="J1468" s="2"/>
      <c r="K1468" s="2" t="s">
        <v>18</v>
      </c>
      <c r="L1468" s="2"/>
    </row>
    <row r="1469">
      <c r="A1469" s="8" t="s">
        <v>1697</v>
      </c>
      <c r="B1469" s="8" t="s">
        <v>1697</v>
      </c>
      <c r="C1469" s="2" t="s">
        <v>1084</v>
      </c>
      <c r="D1469" s="2" t="s">
        <v>1085</v>
      </c>
      <c r="E1469" s="6">
        <v>45947.415914351855</v>
      </c>
      <c r="F1469" s="3" t="s">
        <v>1086</v>
      </c>
      <c r="G1469" s="2" t="s">
        <v>16</v>
      </c>
      <c r="H1469" s="2"/>
      <c r="I1469" s="2" t="s">
        <v>17</v>
      </c>
      <c r="J1469" s="2"/>
      <c r="K1469" s="2" t="s">
        <v>18</v>
      </c>
      <c r="L1469" s="2"/>
    </row>
    <row r="1470">
      <c r="A1470" s="8" t="s">
        <v>1698</v>
      </c>
      <c r="B1470" s="8" t="s">
        <v>1698</v>
      </c>
      <c r="C1470" s="2" t="s">
        <v>45</v>
      </c>
      <c r="D1470" s="2" t="s">
        <v>46</v>
      </c>
      <c r="E1470" s="6">
        <v>45947.41853009259</v>
      </c>
      <c r="F1470" s="3" t="s">
        <v>47</v>
      </c>
      <c r="G1470" s="2" t="s">
        <v>16</v>
      </c>
      <c r="H1470" s="2"/>
      <c r="I1470" s="2" t="s">
        <v>17</v>
      </c>
      <c r="J1470" s="2"/>
      <c r="K1470" s="2" t="s">
        <v>18</v>
      </c>
      <c r="L1470" s="2"/>
    </row>
    <row r="1471">
      <c r="A1471" s="8" t="s">
        <v>1699</v>
      </c>
      <c r="B1471" s="8" t="s">
        <v>1699</v>
      </c>
      <c r="C1471" s="2" t="s">
        <v>169</v>
      </c>
      <c r="D1471" s="2" t="s">
        <v>170</v>
      </c>
      <c r="E1471" s="6">
        <v>45947.41998842593</v>
      </c>
      <c r="F1471" s="3" t="s">
        <v>171</v>
      </c>
      <c r="G1471" s="2" t="s">
        <v>16</v>
      </c>
      <c r="H1471" s="2"/>
      <c r="I1471" s="2" t="s">
        <v>17</v>
      </c>
      <c r="J1471" s="2"/>
      <c r="K1471" s="2" t="s">
        <v>18</v>
      </c>
      <c r="L1471" s="2"/>
    </row>
    <row r="1472">
      <c r="A1472" s="8" t="s">
        <v>1700</v>
      </c>
      <c r="B1472" s="8" t="s">
        <v>1700</v>
      </c>
      <c r="C1472" s="2" t="s">
        <v>1084</v>
      </c>
      <c r="D1472" s="2" t="s">
        <v>1085</v>
      </c>
      <c r="E1472" s="6">
        <v>45947.55255787037</v>
      </c>
      <c r="F1472" s="3" t="s">
        <v>1086</v>
      </c>
      <c r="G1472" s="2" t="s">
        <v>24</v>
      </c>
      <c r="H1472" s="2"/>
      <c r="I1472" s="2"/>
      <c r="J1472" s="2"/>
      <c r="K1472" s="2" t="s">
        <v>18</v>
      </c>
      <c r="L1472" s="2"/>
    </row>
    <row r="1473">
      <c r="A1473" s="8" t="s">
        <v>1701</v>
      </c>
      <c r="B1473" s="8" t="s">
        <v>1701</v>
      </c>
      <c r="C1473" s="2" t="s">
        <v>169</v>
      </c>
      <c r="D1473" s="2" t="s">
        <v>170</v>
      </c>
      <c r="E1473" s="6">
        <v>45947.64142361111</v>
      </c>
      <c r="F1473" s="3" t="s">
        <v>171</v>
      </c>
      <c r="G1473" s="2" t="s">
        <v>24</v>
      </c>
      <c r="H1473" s="2"/>
      <c r="I1473" s="2"/>
      <c r="J1473" s="2"/>
      <c r="K1473" s="2" t="s">
        <v>18</v>
      </c>
      <c r="L1473" s="2"/>
    </row>
    <row r="1474">
      <c r="A1474" s="8" t="s">
        <v>1702</v>
      </c>
      <c r="B1474" s="8" t="s">
        <v>1702</v>
      </c>
      <c r="C1474" s="2" t="s">
        <v>1618</v>
      </c>
      <c r="D1474" s="2" t="s">
        <v>1619</v>
      </c>
      <c r="E1474" s="6">
        <v>45948.45806712963</v>
      </c>
      <c r="F1474" s="3" t="s">
        <v>1620</v>
      </c>
      <c r="G1474" s="2" t="s">
        <v>24</v>
      </c>
      <c r="H1474" s="2"/>
      <c r="I1474" s="2"/>
      <c r="J1474" s="2"/>
      <c r="K1474" s="2" t="s">
        <v>18</v>
      </c>
      <c r="L1474" s="2"/>
    </row>
    <row r="1475">
      <c r="A1475" s="8" t="s">
        <v>1703</v>
      </c>
      <c r="B1475" s="8" t="s">
        <v>1703</v>
      </c>
      <c r="C1475" s="2" t="s">
        <v>786</v>
      </c>
      <c r="D1475" s="2" t="s">
        <v>787</v>
      </c>
      <c r="E1475" s="6">
        <v>45948.45922453704</v>
      </c>
      <c r="F1475" s="3" t="s">
        <v>788</v>
      </c>
      <c r="G1475" s="2" t="s">
        <v>16</v>
      </c>
      <c r="H1475" s="2"/>
      <c r="I1475" s="2" t="s">
        <v>17</v>
      </c>
      <c r="J1475" s="2"/>
      <c r="K1475" s="2" t="s">
        <v>18</v>
      </c>
      <c r="L1475" s="2"/>
    </row>
    <row r="1476">
      <c r="A1476" s="8" t="s">
        <v>1704</v>
      </c>
      <c r="B1476" s="8" t="s">
        <v>1704</v>
      </c>
      <c r="C1476" s="2" t="s">
        <v>1705</v>
      </c>
      <c r="D1476" s="2" t="s">
        <v>1706</v>
      </c>
      <c r="E1476" s="6">
        <v>45948.46082175926</v>
      </c>
      <c r="F1476" s="3" t="s">
        <v>1707</v>
      </c>
      <c r="G1476" s="2" t="s">
        <v>16</v>
      </c>
      <c r="H1476" s="2"/>
      <c r="I1476" s="2" t="s">
        <v>17</v>
      </c>
      <c r="J1476" s="2"/>
      <c r="K1476" s="2" t="s">
        <v>18</v>
      </c>
      <c r="L1476" s="2"/>
    </row>
    <row r="1477">
      <c r="A1477" s="8" t="s">
        <v>1708</v>
      </c>
      <c r="B1477" s="8" t="s">
        <v>1708</v>
      </c>
      <c r="C1477" s="2" t="s">
        <v>326</v>
      </c>
      <c r="D1477" s="2" t="s">
        <v>327</v>
      </c>
      <c r="E1477" s="6">
        <v>45948.46366898148</v>
      </c>
      <c r="F1477" s="3" t="s">
        <v>328</v>
      </c>
      <c r="G1477" s="2" t="s">
        <v>16</v>
      </c>
      <c r="H1477" s="2"/>
      <c r="I1477" s="2" t="s">
        <v>395</v>
      </c>
      <c r="J1477" s="2"/>
      <c r="K1477" s="2" t="s">
        <v>18</v>
      </c>
      <c r="L1477" s="2"/>
    </row>
    <row r="1478">
      <c r="A1478" s="8" t="s">
        <v>1709</v>
      </c>
      <c r="B1478" s="8" t="s">
        <v>1709</v>
      </c>
      <c r="C1478" s="2" t="s">
        <v>1476</v>
      </c>
      <c r="D1478" s="2" t="s">
        <v>1477</v>
      </c>
      <c r="E1478" s="6">
        <v>45948.52778935185</v>
      </c>
      <c r="F1478" s="3" t="s">
        <v>1478</v>
      </c>
      <c r="G1478" s="2" t="s">
        <v>16</v>
      </c>
      <c r="H1478" s="2"/>
      <c r="I1478" s="2" t="s">
        <v>395</v>
      </c>
      <c r="J1478" s="2"/>
      <c r="K1478" s="2" t="s">
        <v>18</v>
      </c>
      <c r="L1478" s="2"/>
    </row>
    <row r="1479">
      <c r="A1479" s="8" t="s">
        <v>1710</v>
      </c>
      <c r="B1479" s="8" t="s">
        <v>1710</v>
      </c>
      <c r="C1479" s="2" t="s">
        <v>1476</v>
      </c>
      <c r="D1479" s="2" t="s">
        <v>1477</v>
      </c>
      <c r="E1479" s="6">
        <v>45948.5753125</v>
      </c>
      <c r="F1479" s="3" t="s">
        <v>1478</v>
      </c>
      <c r="G1479" s="2" t="s">
        <v>24</v>
      </c>
      <c r="H1479" s="2"/>
      <c r="I1479" s="2"/>
      <c r="J1479" s="2"/>
      <c r="K1479" s="2" t="s">
        <v>18</v>
      </c>
      <c r="L1479" s="2"/>
    </row>
    <row r="1480">
      <c r="A1480" s="8" t="s">
        <v>1711</v>
      </c>
      <c r="B1480" s="8" t="s">
        <v>1711</v>
      </c>
      <c r="C1480" s="2" t="s">
        <v>45</v>
      </c>
      <c r="D1480" s="2" t="s">
        <v>46</v>
      </c>
      <c r="E1480" s="6">
        <v>45948.5762962963</v>
      </c>
      <c r="F1480" s="3" t="s">
        <v>47</v>
      </c>
      <c r="G1480" s="2" t="s">
        <v>16</v>
      </c>
      <c r="H1480" s="2"/>
      <c r="I1480" s="2" t="s">
        <v>17</v>
      </c>
      <c r="J1480" s="2"/>
      <c r="K1480" s="2" t="s">
        <v>18</v>
      </c>
      <c r="L1480" s="2"/>
    </row>
    <row r="1481">
      <c r="A1481" s="8" t="s">
        <v>1712</v>
      </c>
      <c r="B1481" s="8" t="s">
        <v>1712</v>
      </c>
      <c r="C1481" s="2" t="s">
        <v>786</v>
      </c>
      <c r="D1481" s="2" t="s">
        <v>787</v>
      </c>
      <c r="E1481" s="6">
        <v>45948.57711805555</v>
      </c>
      <c r="F1481" s="3" t="s">
        <v>788</v>
      </c>
      <c r="G1481" s="2" t="s">
        <v>24</v>
      </c>
      <c r="H1481" s="2"/>
      <c r="I1481" s="2"/>
      <c r="J1481" s="2"/>
      <c r="K1481" s="2" t="s">
        <v>18</v>
      </c>
      <c r="L1481" s="2"/>
    </row>
    <row r="1482">
      <c r="A1482" s="8" t="s">
        <v>1713</v>
      </c>
      <c r="B1482" s="8" t="s">
        <v>1713</v>
      </c>
      <c r="C1482" s="2" t="s">
        <v>326</v>
      </c>
      <c r="D1482" s="2" t="s">
        <v>327</v>
      </c>
      <c r="E1482" s="6">
        <v>45948.61890046296</v>
      </c>
      <c r="F1482" s="3" t="s">
        <v>328</v>
      </c>
      <c r="G1482" s="2" t="s">
        <v>24</v>
      </c>
      <c r="H1482" s="2"/>
      <c r="I1482" s="2"/>
      <c r="J1482" s="2"/>
      <c r="K1482" s="2" t="s">
        <v>18</v>
      </c>
      <c r="L1482" s="2"/>
    </row>
    <row r="1483">
      <c r="A1483" s="8" t="s">
        <v>1714</v>
      </c>
      <c r="B1483" s="8" t="s">
        <v>1714</v>
      </c>
      <c r="C1483" s="2" t="s">
        <v>904</v>
      </c>
      <c r="D1483" s="2" t="s">
        <v>905</v>
      </c>
      <c r="E1483" s="6">
        <v>45950.350324074076</v>
      </c>
      <c r="F1483" s="3" t="s">
        <v>906</v>
      </c>
      <c r="G1483" s="2" t="s">
        <v>16</v>
      </c>
      <c r="H1483" s="2"/>
      <c r="I1483" s="2" t="s">
        <v>395</v>
      </c>
      <c r="J1483" s="2"/>
      <c r="K1483" s="2" t="s">
        <v>18</v>
      </c>
      <c r="L1483" s="2"/>
    </row>
    <row r="1484">
      <c r="A1484" s="8" t="s">
        <v>1715</v>
      </c>
      <c r="B1484" s="8" t="s">
        <v>1715</v>
      </c>
      <c r="C1484" s="2" t="s">
        <v>20</v>
      </c>
      <c r="D1484" s="2" t="s">
        <v>21</v>
      </c>
      <c r="E1484" s="6">
        <v>45950.609131944446</v>
      </c>
      <c r="F1484" s="3" t="s">
        <v>22</v>
      </c>
      <c r="G1484" s="2" t="s">
        <v>24</v>
      </c>
      <c r="H1484" s="2"/>
      <c r="I1484" s="2"/>
      <c r="J1484" s="2"/>
      <c r="K1484" s="2" t="s">
        <v>18</v>
      </c>
      <c r="L1484" s="2"/>
    </row>
    <row r="1485">
      <c r="A1485" s="8" t="s">
        <v>1716</v>
      </c>
      <c r="B1485" s="8" t="s">
        <v>1716</v>
      </c>
      <c r="C1485" s="2" t="s">
        <v>786</v>
      </c>
      <c r="D1485" s="2" t="s">
        <v>787</v>
      </c>
      <c r="E1485" s="6">
        <v>45950.61042824074</v>
      </c>
      <c r="F1485" s="3" t="s">
        <v>788</v>
      </c>
      <c r="G1485" s="2" t="s">
        <v>16</v>
      </c>
      <c r="H1485" s="2"/>
      <c r="I1485" s="2" t="s">
        <v>17</v>
      </c>
      <c r="J1485" s="2"/>
      <c r="K1485" s="2" t="s">
        <v>18</v>
      </c>
      <c r="L1485" s="2"/>
    </row>
    <row r="1486">
      <c r="A1486" s="8" t="s">
        <v>1717</v>
      </c>
      <c r="B1486" s="8" t="s">
        <v>1717</v>
      </c>
      <c r="C1486" s="2" t="s">
        <v>49</v>
      </c>
      <c r="D1486" s="2" t="s">
        <v>50</v>
      </c>
      <c r="E1486" s="6">
        <v>45950.613229166665</v>
      </c>
      <c r="F1486" s="3" t="s">
        <v>51</v>
      </c>
      <c r="G1486" s="2" t="s">
        <v>16</v>
      </c>
      <c r="H1486" s="2"/>
      <c r="I1486" s="2" t="s">
        <v>395</v>
      </c>
      <c r="J1486" s="2"/>
      <c r="K1486" s="2" t="s">
        <v>18</v>
      </c>
      <c r="L1486" s="2"/>
    </row>
    <row r="1487">
      <c r="A1487" s="8" t="s">
        <v>1718</v>
      </c>
      <c r="B1487" s="8" t="s">
        <v>1718</v>
      </c>
      <c r="C1487" s="2" t="s">
        <v>131</v>
      </c>
      <c r="D1487" s="2" t="s">
        <v>132</v>
      </c>
      <c r="E1487" s="6">
        <v>45950.61371527778</v>
      </c>
      <c r="F1487" s="3" t="s">
        <v>133</v>
      </c>
      <c r="G1487" s="2" t="s">
        <v>16</v>
      </c>
      <c r="H1487" s="2"/>
      <c r="I1487" s="2" t="s">
        <v>17</v>
      </c>
      <c r="J1487" s="2"/>
      <c r="K1487" s="2" t="s">
        <v>18</v>
      </c>
      <c r="L1487" s="2"/>
    </row>
    <row r="1488">
      <c r="A1488" s="8" t="s">
        <v>1719</v>
      </c>
      <c r="B1488" s="8" t="s">
        <v>1719</v>
      </c>
      <c r="C1488" s="2" t="s">
        <v>1203</v>
      </c>
      <c r="D1488" s="2" t="s">
        <v>1204</v>
      </c>
      <c r="E1488" s="6">
        <v>45950.617627314816</v>
      </c>
      <c r="F1488" s="3" t="s">
        <v>1205</v>
      </c>
      <c r="G1488" s="2" t="s">
        <v>16</v>
      </c>
      <c r="H1488" s="2"/>
      <c r="I1488" s="2" t="s">
        <v>17</v>
      </c>
      <c r="J1488" s="2"/>
      <c r="K1488" s="2" t="s">
        <v>18</v>
      </c>
      <c r="L1488" s="2"/>
    </row>
    <row r="1489">
      <c r="A1489" s="8" t="s">
        <v>1720</v>
      </c>
      <c r="B1489" s="8" t="s">
        <v>1720</v>
      </c>
      <c r="C1489" s="2" t="s">
        <v>45</v>
      </c>
      <c r="D1489" s="2" t="s">
        <v>46</v>
      </c>
      <c r="E1489" s="6">
        <v>45950.625706018516</v>
      </c>
      <c r="F1489" s="3" t="s">
        <v>47</v>
      </c>
      <c r="G1489" s="2" t="s">
        <v>24</v>
      </c>
      <c r="H1489" s="2"/>
      <c r="I1489" s="2"/>
      <c r="J1489" s="2"/>
      <c r="K1489" s="2" t="s">
        <v>18</v>
      </c>
      <c r="L1489" s="2"/>
    </row>
    <row r="1490">
      <c r="A1490" s="8" t="s">
        <v>1721</v>
      </c>
      <c r="B1490" s="8" t="s">
        <v>1721</v>
      </c>
      <c r="C1490" s="2" t="s">
        <v>213</v>
      </c>
      <c r="D1490" s="2" t="s">
        <v>214</v>
      </c>
      <c r="E1490" s="6">
        <v>45950.636516203704</v>
      </c>
      <c r="F1490" s="3" t="s">
        <v>215</v>
      </c>
      <c r="G1490" s="2" t="s">
        <v>24</v>
      </c>
      <c r="H1490" s="2"/>
      <c r="I1490" s="2"/>
      <c r="J1490" s="2"/>
      <c r="K1490" s="2" t="s">
        <v>18</v>
      </c>
      <c r="L1490" s="2"/>
    </row>
    <row r="1491">
      <c r="A1491" s="8" t="s">
        <v>1722</v>
      </c>
      <c r="B1491" s="8" t="s">
        <v>1722</v>
      </c>
      <c r="C1491" s="2" t="s">
        <v>904</v>
      </c>
      <c r="D1491" s="2" t="s">
        <v>905</v>
      </c>
      <c r="E1491" s="6">
        <v>45950.638240740744</v>
      </c>
      <c r="F1491" s="3" t="s">
        <v>906</v>
      </c>
      <c r="G1491" s="2" t="s">
        <v>24</v>
      </c>
      <c r="H1491" s="2"/>
      <c r="I1491" s="2"/>
      <c r="J1491" s="2"/>
      <c r="K1491" s="2" t="s">
        <v>18</v>
      </c>
      <c r="L1491" s="2"/>
    </row>
    <row r="1492">
      <c r="A1492" s="8" t="s">
        <v>1723</v>
      </c>
      <c r="B1492" s="8" t="s">
        <v>1723</v>
      </c>
      <c r="C1492" s="2" t="s">
        <v>943</v>
      </c>
      <c r="D1492" s="2" t="s">
        <v>944</v>
      </c>
      <c r="E1492" s="6">
        <v>45950.639236111114</v>
      </c>
      <c r="F1492" s="3" t="s">
        <v>945</v>
      </c>
      <c r="G1492" s="2" t="s">
        <v>24</v>
      </c>
      <c r="H1492" s="2"/>
      <c r="I1492" s="2"/>
      <c r="J1492" s="2"/>
      <c r="K1492" s="2" t="s">
        <v>18</v>
      </c>
      <c r="L1492" s="2"/>
    </row>
    <row r="1493">
      <c r="A1493" s="8" t="s">
        <v>1724</v>
      </c>
      <c r="B1493" s="8" t="s">
        <v>1724</v>
      </c>
      <c r="C1493" s="2" t="s">
        <v>131</v>
      </c>
      <c r="D1493" s="2" t="s">
        <v>132</v>
      </c>
      <c r="E1493" s="6">
        <v>45950.663148148145</v>
      </c>
      <c r="F1493" s="3" t="s">
        <v>133</v>
      </c>
      <c r="G1493" s="2" t="s">
        <v>24</v>
      </c>
      <c r="H1493" s="2"/>
      <c r="I1493" s="2"/>
      <c r="J1493" s="2"/>
      <c r="K1493" s="2" t="s">
        <v>18</v>
      </c>
      <c r="L1493" s="2"/>
    </row>
    <row r="1494">
      <c r="A1494" s="8" t="s">
        <v>1725</v>
      </c>
      <c r="B1494" s="8" t="s">
        <v>1725</v>
      </c>
      <c r="C1494" s="2" t="s">
        <v>786</v>
      </c>
      <c r="D1494" s="2" t="s">
        <v>787</v>
      </c>
      <c r="E1494" s="6">
        <v>45950.69126157407</v>
      </c>
      <c r="F1494" s="3" t="s">
        <v>788</v>
      </c>
      <c r="G1494" s="2" t="s">
        <v>24</v>
      </c>
      <c r="H1494" s="2"/>
      <c r="I1494" s="2"/>
      <c r="J1494" s="2"/>
      <c r="K1494" s="2" t="s">
        <v>18</v>
      </c>
      <c r="L1494" s="2"/>
    </row>
    <row r="1495">
      <c r="A1495" s="8" t="s">
        <v>1726</v>
      </c>
      <c r="B1495" s="8" t="s">
        <v>1726</v>
      </c>
      <c r="C1495" s="2" t="s">
        <v>943</v>
      </c>
      <c r="D1495" s="2" t="s">
        <v>944</v>
      </c>
      <c r="E1495" s="6">
        <v>45951.426354166666</v>
      </c>
      <c r="F1495" s="3" t="s">
        <v>945</v>
      </c>
      <c r="G1495" s="2" t="s">
        <v>16</v>
      </c>
      <c r="H1495" s="2"/>
      <c r="I1495" s="2" t="s">
        <v>395</v>
      </c>
      <c r="J1495" s="2"/>
      <c r="K1495" s="2" t="s">
        <v>18</v>
      </c>
      <c r="L1495" s="2"/>
    </row>
    <row r="1496">
      <c r="A1496" s="8" t="s">
        <v>1727</v>
      </c>
      <c r="B1496" s="8" t="s">
        <v>1727</v>
      </c>
      <c r="C1496" s="2" t="s">
        <v>943</v>
      </c>
      <c r="D1496" s="2" t="s">
        <v>944</v>
      </c>
      <c r="E1496" s="6">
        <v>45951.43142361111</v>
      </c>
      <c r="F1496" s="3" t="s">
        <v>945</v>
      </c>
      <c r="G1496" s="2" t="s">
        <v>159</v>
      </c>
      <c r="H1496" s="2"/>
      <c r="I1496" s="2"/>
      <c r="J1496" s="2"/>
      <c r="K1496" s="2" t="s">
        <v>18</v>
      </c>
      <c r="L1496" s="2"/>
    </row>
    <row r="1497">
      <c r="A1497" s="8" t="s">
        <v>1728</v>
      </c>
      <c r="B1497" s="8" t="s">
        <v>1728</v>
      </c>
      <c r="C1497" s="2" t="s">
        <v>45</v>
      </c>
      <c r="D1497" s="2" t="s">
        <v>46</v>
      </c>
      <c r="E1497" s="6">
        <v>45951.433912037035</v>
      </c>
      <c r="F1497" s="3" t="s">
        <v>47</v>
      </c>
      <c r="G1497" s="2" t="s">
        <v>16</v>
      </c>
      <c r="H1497" s="2"/>
      <c r="I1497" s="2" t="s">
        <v>17</v>
      </c>
      <c r="J1497" s="2"/>
      <c r="K1497" s="2" t="s">
        <v>18</v>
      </c>
      <c r="L1497" s="2"/>
    </row>
    <row r="1498">
      <c r="A1498" s="8" t="s">
        <v>1729</v>
      </c>
      <c r="B1498" s="8" t="s">
        <v>1729</v>
      </c>
      <c r="C1498" s="2" t="s">
        <v>326</v>
      </c>
      <c r="D1498" s="2" t="s">
        <v>327</v>
      </c>
      <c r="E1498" s="6">
        <v>45951.44097222222</v>
      </c>
      <c r="F1498" s="3" t="s">
        <v>328</v>
      </c>
      <c r="G1498" s="2" t="s">
        <v>16</v>
      </c>
      <c r="H1498" s="2"/>
      <c r="I1498" s="2" t="s">
        <v>395</v>
      </c>
      <c r="J1498" s="2"/>
      <c r="K1498" s="2" t="s">
        <v>18</v>
      </c>
      <c r="L1498" s="2"/>
    </row>
    <row r="1499">
      <c r="A1499" s="8" t="s">
        <v>1730</v>
      </c>
      <c r="B1499" s="8" t="s">
        <v>1730</v>
      </c>
      <c r="C1499" s="2" t="s">
        <v>464</v>
      </c>
      <c r="D1499" s="2" t="s">
        <v>465</v>
      </c>
      <c r="E1499" s="6">
        <v>45951.52545138889</v>
      </c>
      <c r="F1499" s="3" t="s">
        <v>466</v>
      </c>
      <c r="G1499" s="2" t="s">
        <v>24</v>
      </c>
      <c r="H1499" s="2"/>
      <c r="I1499" s="2"/>
      <c r="J1499" s="2"/>
      <c r="K1499" s="2" t="s">
        <v>18</v>
      </c>
      <c r="L1499" s="2"/>
    </row>
    <row r="1500">
      <c r="A1500" s="8" t="s">
        <v>1731</v>
      </c>
      <c r="B1500" s="8" t="s">
        <v>1731</v>
      </c>
      <c r="C1500" s="2" t="s">
        <v>1613</v>
      </c>
      <c r="D1500" s="2" t="s">
        <v>1614</v>
      </c>
      <c r="E1500" s="6">
        <v>45951.525925925926</v>
      </c>
      <c r="F1500" s="3" t="s">
        <v>1615</v>
      </c>
      <c r="G1500" s="2" t="s">
        <v>24</v>
      </c>
      <c r="H1500" s="2"/>
      <c r="I1500" s="2"/>
      <c r="J1500" s="2"/>
      <c r="K1500" s="2" t="s">
        <v>18</v>
      </c>
      <c r="L1500" s="2"/>
    </row>
    <row r="1501">
      <c r="A1501" s="8" t="s">
        <v>1732</v>
      </c>
      <c r="B1501" s="8" t="s">
        <v>1732</v>
      </c>
      <c r="C1501" s="2" t="s">
        <v>951</v>
      </c>
      <c r="D1501" s="2" t="s">
        <v>952</v>
      </c>
      <c r="E1501" s="6">
        <v>45951.53780092593</v>
      </c>
      <c r="F1501" s="3" t="s">
        <v>953</v>
      </c>
      <c r="G1501" s="2" t="s">
        <v>16</v>
      </c>
      <c r="H1501" s="2"/>
      <c r="I1501" s="2" t="s">
        <v>17</v>
      </c>
      <c r="J1501" s="2"/>
      <c r="K1501" s="2" t="s">
        <v>18</v>
      </c>
      <c r="L1501" s="2"/>
    </row>
    <row r="1502">
      <c r="A1502" s="8" t="s">
        <v>1733</v>
      </c>
      <c r="B1502" s="8" t="s">
        <v>1733</v>
      </c>
      <c r="C1502" s="2" t="s">
        <v>109</v>
      </c>
      <c r="D1502" s="2" t="s">
        <v>110</v>
      </c>
      <c r="E1502" s="6">
        <v>45951.65675925926</v>
      </c>
      <c r="F1502" s="3" t="s">
        <v>111</v>
      </c>
      <c r="G1502" s="2" t="s">
        <v>24</v>
      </c>
      <c r="H1502" s="2"/>
      <c r="I1502" s="2"/>
      <c r="J1502" s="2"/>
      <c r="K1502" s="2" t="s">
        <v>18</v>
      </c>
      <c r="L1502" s="2"/>
    </row>
    <row r="1503">
      <c r="A1503" s="8" t="s">
        <v>1734</v>
      </c>
      <c r="B1503" s="8" t="s">
        <v>1734</v>
      </c>
      <c r="C1503" s="2" t="s">
        <v>55</v>
      </c>
      <c r="D1503" s="2" t="s">
        <v>56</v>
      </c>
      <c r="E1503" s="6">
        <v>45951.658900462964</v>
      </c>
      <c r="F1503" s="3" t="s">
        <v>57</v>
      </c>
      <c r="G1503" s="2" t="s">
        <v>24</v>
      </c>
      <c r="H1503" s="2"/>
      <c r="I1503" s="2"/>
      <c r="J1503" s="2"/>
      <c r="K1503" s="2" t="s">
        <v>18</v>
      </c>
      <c r="L1503" s="2"/>
    </row>
    <row r="1504">
      <c r="A1504" s="8" t="s">
        <v>1735</v>
      </c>
      <c r="B1504" s="8" t="s">
        <v>1735</v>
      </c>
      <c r="C1504" s="2" t="s">
        <v>49</v>
      </c>
      <c r="D1504" s="2" t="s">
        <v>50</v>
      </c>
      <c r="E1504" s="6">
        <v>45951.65961805556</v>
      </c>
      <c r="F1504" s="3" t="s">
        <v>51</v>
      </c>
      <c r="G1504" s="2" t="s">
        <v>24</v>
      </c>
      <c r="H1504" s="2"/>
      <c r="I1504" s="2"/>
      <c r="J1504" s="2"/>
      <c r="K1504" s="2" t="s">
        <v>18</v>
      </c>
      <c r="L1504" s="2"/>
    </row>
    <row r="1505">
      <c r="A1505" s="8" t="s">
        <v>1736</v>
      </c>
      <c r="B1505" s="8" t="s">
        <v>1736</v>
      </c>
      <c r="C1505" s="2" t="s">
        <v>326</v>
      </c>
      <c r="D1505" s="2" t="s">
        <v>327</v>
      </c>
      <c r="E1505" s="6">
        <v>45951.66751157407</v>
      </c>
      <c r="F1505" s="3" t="s">
        <v>328</v>
      </c>
      <c r="G1505" s="2" t="s">
        <v>24</v>
      </c>
      <c r="H1505" s="2"/>
      <c r="I1505" s="2"/>
      <c r="J1505" s="2"/>
      <c r="K1505" s="2" t="s">
        <v>18</v>
      </c>
      <c r="L1505" s="2"/>
    </row>
    <row r="1506">
      <c r="A1506" s="8" t="s">
        <v>1737</v>
      </c>
      <c r="B1506" s="8" t="s">
        <v>1737</v>
      </c>
      <c r="C1506" s="2" t="s">
        <v>786</v>
      </c>
      <c r="D1506" s="2" t="s">
        <v>787</v>
      </c>
      <c r="E1506" s="6">
        <v>45952.34341435185</v>
      </c>
      <c r="F1506" s="3" t="s">
        <v>788</v>
      </c>
      <c r="G1506" s="2" t="s">
        <v>16</v>
      </c>
      <c r="H1506" s="2"/>
      <c r="I1506" s="2" t="s">
        <v>17</v>
      </c>
      <c r="J1506" s="2"/>
      <c r="K1506" s="2" t="s">
        <v>18</v>
      </c>
      <c r="L1506" s="2"/>
    </row>
    <row r="1507">
      <c r="A1507" s="8" t="s">
        <v>1738</v>
      </c>
      <c r="B1507" s="8" t="s">
        <v>1738</v>
      </c>
      <c r="C1507" s="2" t="s">
        <v>786</v>
      </c>
      <c r="D1507" s="2" t="s">
        <v>787</v>
      </c>
      <c r="E1507" s="6">
        <v>45952.34517361111</v>
      </c>
      <c r="F1507" s="3" t="s">
        <v>788</v>
      </c>
      <c r="G1507" s="2" t="s">
        <v>159</v>
      </c>
      <c r="H1507" s="2"/>
      <c r="I1507" s="2"/>
      <c r="J1507" s="2"/>
      <c r="K1507" s="2" t="s">
        <v>18</v>
      </c>
      <c r="L1507" s="2"/>
    </row>
    <row r="1508">
      <c r="A1508" s="8" t="s">
        <v>1739</v>
      </c>
      <c r="B1508" s="8" t="s">
        <v>1739</v>
      </c>
      <c r="C1508" s="2" t="s">
        <v>786</v>
      </c>
      <c r="D1508" s="2" t="s">
        <v>787</v>
      </c>
      <c r="E1508" s="6">
        <v>45952.449525462966</v>
      </c>
      <c r="F1508" s="3" t="s">
        <v>788</v>
      </c>
      <c r="G1508" s="2" t="s">
        <v>24</v>
      </c>
      <c r="H1508" s="2"/>
      <c r="I1508" s="2"/>
      <c r="J1508" s="2"/>
      <c r="K1508" s="2" t="s">
        <v>18</v>
      </c>
      <c r="L1508" s="2"/>
    </row>
    <row r="1509">
      <c r="A1509" s="8" t="s">
        <v>1740</v>
      </c>
      <c r="B1509" s="8" t="s">
        <v>1740</v>
      </c>
      <c r="C1509" s="2" t="s">
        <v>1618</v>
      </c>
      <c r="D1509" s="2" t="s">
        <v>1619</v>
      </c>
      <c r="E1509" s="6">
        <v>45952.4516087963</v>
      </c>
      <c r="F1509" s="3" t="s">
        <v>1620</v>
      </c>
      <c r="G1509" s="2" t="s">
        <v>16</v>
      </c>
      <c r="H1509" s="2"/>
      <c r="I1509" s="2" t="s">
        <v>17</v>
      </c>
      <c r="J1509" s="2"/>
      <c r="K1509" s="2" t="s">
        <v>18</v>
      </c>
      <c r="L1509" s="2"/>
    </row>
    <row r="1510">
      <c r="A1510" s="8" t="s">
        <v>1741</v>
      </c>
      <c r="B1510" s="8" t="s">
        <v>1741</v>
      </c>
      <c r="C1510" s="2" t="s">
        <v>109</v>
      </c>
      <c r="D1510" s="2" t="s">
        <v>110</v>
      </c>
      <c r="E1510" s="6">
        <v>45952.45814814815</v>
      </c>
      <c r="F1510" s="3" t="s">
        <v>111</v>
      </c>
      <c r="G1510" s="2" t="s">
        <v>16</v>
      </c>
      <c r="H1510" s="2"/>
      <c r="I1510" s="2" t="s">
        <v>17</v>
      </c>
      <c r="J1510" s="2"/>
      <c r="K1510" s="2" t="s">
        <v>18</v>
      </c>
      <c r="L1510" s="2"/>
    </row>
    <row r="1511">
      <c r="A1511" s="8" t="s">
        <v>1742</v>
      </c>
      <c r="B1511" s="8" t="s">
        <v>1742</v>
      </c>
      <c r="C1511" s="2" t="s">
        <v>45</v>
      </c>
      <c r="D1511" s="2" t="s">
        <v>46</v>
      </c>
      <c r="E1511" s="6">
        <v>45952.460023148145</v>
      </c>
      <c r="F1511" s="3" t="s">
        <v>47</v>
      </c>
      <c r="G1511" s="2" t="s">
        <v>16</v>
      </c>
      <c r="H1511" s="2"/>
      <c r="I1511" s="2" t="s">
        <v>17</v>
      </c>
      <c r="J1511" s="2"/>
      <c r="K1511" s="2" t="s">
        <v>18</v>
      </c>
      <c r="L1511" s="2"/>
    </row>
    <row r="1512">
      <c r="A1512" s="8" t="s">
        <v>1743</v>
      </c>
      <c r="B1512" s="8" t="s">
        <v>1743</v>
      </c>
      <c r="C1512" s="2" t="s">
        <v>1084</v>
      </c>
      <c r="D1512" s="2" t="s">
        <v>1085</v>
      </c>
      <c r="E1512" s="6">
        <v>45952.46258101852</v>
      </c>
      <c r="F1512" s="3" t="s">
        <v>1086</v>
      </c>
      <c r="G1512" s="2" t="s">
        <v>24</v>
      </c>
      <c r="H1512" s="2"/>
      <c r="I1512" s="2"/>
      <c r="J1512" s="2"/>
      <c r="K1512" s="2" t="s">
        <v>18</v>
      </c>
      <c r="L1512" s="2"/>
    </row>
    <row r="1513">
      <c r="A1513" s="8" t="s">
        <v>1744</v>
      </c>
      <c r="B1513" s="8" t="s">
        <v>1744</v>
      </c>
      <c r="C1513" s="2" t="s">
        <v>1745</v>
      </c>
      <c r="D1513" s="2" t="s">
        <v>1746</v>
      </c>
      <c r="E1513" s="6">
        <v>45952.518900462965</v>
      </c>
      <c r="F1513" s="3" t="s">
        <v>1747</v>
      </c>
      <c r="G1513" s="2" t="s">
        <v>16</v>
      </c>
      <c r="H1513" s="2"/>
      <c r="I1513" s="2" t="s">
        <v>395</v>
      </c>
      <c r="J1513" s="2"/>
      <c r="K1513" s="2" t="s">
        <v>18</v>
      </c>
      <c r="L1513" s="2"/>
    </row>
    <row r="1514">
      <c r="A1514" s="8" t="s">
        <v>1748</v>
      </c>
      <c r="B1514" s="8" t="s">
        <v>1748</v>
      </c>
      <c r="C1514" s="2" t="s">
        <v>1618</v>
      </c>
      <c r="D1514" s="2" t="s">
        <v>1619</v>
      </c>
      <c r="E1514" s="6">
        <v>45952.57927083333</v>
      </c>
      <c r="F1514" s="3" t="s">
        <v>1620</v>
      </c>
      <c r="G1514" s="2" t="s">
        <v>24</v>
      </c>
      <c r="H1514" s="2"/>
      <c r="I1514" s="2"/>
      <c r="J1514" s="2"/>
      <c r="K1514" s="2" t="s">
        <v>18</v>
      </c>
      <c r="L1514" s="2"/>
    </row>
    <row r="1515">
      <c r="A1515" s="8" t="s">
        <v>1749</v>
      </c>
      <c r="B1515" s="8" t="s">
        <v>1749</v>
      </c>
      <c r="C1515" s="2" t="s">
        <v>1745</v>
      </c>
      <c r="D1515" s="2" t="s">
        <v>1746</v>
      </c>
      <c r="E1515" s="6">
        <v>45952.58011574074</v>
      </c>
      <c r="F1515" s="3" t="s">
        <v>1747</v>
      </c>
      <c r="G1515" s="2" t="s">
        <v>24</v>
      </c>
      <c r="H1515" s="2"/>
      <c r="I1515" s="2"/>
      <c r="J1515" s="2"/>
      <c r="K1515" s="2" t="s">
        <v>18</v>
      </c>
      <c r="L1515" s="2"/>
    </row>
    <row r="1516">
      <c r="A1516" s="8" t="s">
        <v>1750</v>
      </c>
      <c r="B1516" s="8" t="s">
        <v>1750</v>
      </c>
      <c r="C1516" s="2" t="s">
        <v>1371</v>
      </c>
      <c r="D1516" s="2" t="s">
        <v>1372</v>
      </c>
      <c r="E1516" s="6">
        <v>45953.36607638889</v>
      </c>
      <c r="F1516" s="3" t="s">
        <v>1373</v>
      </c>
      <c r="G1516" s="2" t="s">
        <v>16</v>
      </c>
      <c r="H1516" s="2"/>
      <c r="I1516" s="2" t="s">
        <v>395</v>
      </c>
      <c r="J1516" s="2"/>
      <c r="K1516" s="2" t="s">
        <v>18</v>
      </c>
      <c r="L1516" s="2"/>
    </row>
    <row r="1517">
      <c r="A1517" s="8" t="s">
        <v>1751</v>
      </c>
      <c r="B1517" s="8" t="s">
        <v>1751</v>
      </c>
      <c r="C1517" s="2" t="s">
        <v>786</v>
      </c>
      <c r="D1517" s="2" t="s">
        <v>787</v>
      </c>
      <c r="E1517" s="6">
        <v>45953.44002314815</v>
      </c>
      <c r="F1517" s="3" t="s">
        <v>788</v>
      </c>
      <c r="G1517" s="2" t="s">
        <v>16</v>
      </c>
      <c r="H1517" s="2"/>
      <c r="I1517" s="2" t="s">
        <v>17</v>
      </c>
      <c r="J1517" s="2"/>
      <c r="K1517" s="2" t="s">
        <v>18</v>
      </c>
      <c r="L1517" s="2"/>
    </row>
    <row r="1518">
      <c r="A1518" s="8" t="s">
        <v>1752</v>
      </c>
      <c r="B1518" s="8" t="s">
        <v>1752</v>
      </c>
      <c r="C1518" s="2" t="s">
        <v>1371</v>
      </c>
      <c r="D1518" s="2" t="s">
        <v>1372</v>
      </c>
      <c r="E1518" s="6">
        <v>45953.49215277778</v>
      </c>
      <c r="F1518" s="3" t="s">
        <v>1373</v>
      </c>
      <c r="G1518" s="2" t="s">
        <v>24</v>
      </c>
      <c r="H1518" s="2"/>
      <c r="I1518" s="2"/>
      <c r="J1518" s="2"/>
      <c r="K1518" s="2" t="s">
        <v>18</v>
      </c>
      <c r="L1518" s="2"/>
    </row>
    <row r="1519">
      <c r="A1519" s="8" t="s">
        <v>1753</v>
      </c>
      <c r="B1519" s="8" t="s">
        <v>1753</v>
      </c>
      <c r="C1519" s="2" t="s">
        <v>131</v>
      </c>
      <c r="D1519" s="2" t="s">
        <v>132</v>
      </c>
      <c r="E1519" s="6">
        <v>45953.55740740741</v>
      </c>
      <c r="F1519" s="3" t="s">
        <v>133</v>
      </c>
      <c r="G1519" s="2" t="s">
        <v>24</v>
      </c>
      <c r="H1519" s="2"/>
      <c r="I1519" s="2"/>
      <c r="J1519" s="2"/>
      <c r="K1519" s="2" t="s">
        <v>18</v>
      </c>
      <c r="L1519" s="2"/>
    </row>
    <row r="1520">
      <c r="A1520" s="8" t="s">
        <v>1754</v>
      </c>
      <c r="B1520" s="8" t="s">
        <v>1754</v>
      </c>
      <c r="C1520" s="2" t="s">
        <v>786</v>
      </c>
      <c r="D1520" s="2" t="s">
        <v>787</v>
      </c>
      <c r="E1520" s="6">
        <v>45953.5584375</v>
      </c>
      <c r="F1520" s="3" t="s">
        <v>788</v>
      </c>
      <c r="G1520" s="2" t="s">
        <v>24</v>
      </c>
      <c r="H1520" s="2"/>
      <c r="I1520" s="2"/>
      <c r="J1520" s="2"/>
      <c r="K1520" s="2" t="s">
        <v>18</v>
      </c>
      <c r="L1520" s="2"/>
    </row>
    <row r="1521">
      <c r="A1521" s="8" t="s">
        <v>1755</v>
      </c>
      <c r="B1521" s="8" t="s">
        <v>1755</v>
      </c>
      <c r="C1521" s="2" t="s">
        <v>1756</v>
      </c>
      <c r="D1521" s="2" t="s">
        <v>1757</v>
      </c>
      <c r="E1521" s="6">
        <v>45954.359143518515</v>
      </c>
      <c r="F1521" s="3" t="s">
        <v>1758</v>
      </c>
      <c r="G1521" s="2" t="s">
        <v>16</v>
      </c>
      <c r="H1521" s="2"/>
      <c r="I1521" s="2" t="s">
        <v>17</v>
      </c>
      <c r="J1521" s="2"/>
      <c r="K1521" s="2" t="s">
        <v>18</v>
      </c>
      <c r="L1521" s="2"/>
    </row>
    <row r="1522">
      <c r="A1522" s="8" t="s">
        <v>1759</v>
      </c>
      <c r="B1522" s="8" t="s">
        <v>1759</v>
      </c>
      <c r="C1522" s="2" t="s">
        <v>1618</v>
      </c>
      <c r="D1522" s="2" t="s">
        <v>1619</v>
      </c>
      <c r="E1522" s="6">
        <v>45954.45784722222</v>
      </c>
      <c r="F1522" s="3" t="s">
        <v>1620</v>
      </c>
      <c r="G1522" s="2" t="s">
        <v>16</v>
      </c>
      <c r="H1522" s="2"/>
      <c r="I1522" s="2" t="s">
        <v>17</v>
      </c>
      <c r="J1522" s="2"/>
      <c r="K1522" s="2" t="s">
        <v>18</v>
      </c>
      <c r="L1522" s="2"/>
    </row>
    <row r="1523">
      <c r="A1523" s="8" t="s">
        <v>1760</v>
      </c>
      <c r="B1523" s="8" t="s">
        <v>1760</v>
      </c>
      <c r="C1523" s="2" t="s">
        <v>45</v>
      </c>
      <c r="D1523" s="2" t="s">
        <v>46</v>
      </c>
      <c r="E1523" s="6">
        <v>45954.458599537036</v>
      </c>
      <c r="F1523" s="3" t="s">
        <v>47</v>
      </c>
      <c r="G1523" s="2" t="s">
        <v>24</v>
      </c>
      <c r="H1523" s="2"/>
      <c r="I1523" s="2"/>
      <c r="J1523" s="2"/>
      <c r="K1523" s="2" t="s">
        <v>18</v>
      </c>
      <c r="L1523" s="2"/>
    </row>
    <row r="1524">
      <c r="A1524" s="8" t="s">
        <v>1761</v>
      </c>
      <c r="B1524" s="8" t="s">
        <v>1761</v>
      </c>
      <c r="C1524" s="2" t="s">
        <v>786</v>
      </c>
      <c r="D1524" s="2" t="s">
        <v>787</v>
      </c>
      <c r="E1524" s="6">
        <v>45954.47542824074</v>
      </c>
      <c r="F1524" s="3" t="s">
        <v>788</v>
      </c>
      <c r="G1524" s="2" t="s">
        <v>24</v>
      </c>
      <c r="H1524" s="2"/>
      <c r="I1524" s="2"/>
      <c r="J1524" s="2"/>
      <c r="K1524" s="2" t="s">
        <v>18</v>
      </c>
      <c r="L1524" s="2"/>
    </row>
    <row r="1525">
      <c r="A1525" s="8" t="s">
        <v>1762</v>
      </c>
      <c r="B1525" s="8" t="s">
        <v>1762</v>
      </c>
      <c r="C1525" s="2" t="s">
        <v>1763</v>
      </c>
      <c r="D1525" s="2" t="s">
        <v>1764</v>
      </c>
      <c r="E1525" s="6">
        <v>45954.52258101852</v>
      </c>
      <c r="F1525" s="3" t="s">
        <v>1765</v>
      </c>
      <c r="G1525" s="2" t="s">
        <v>16</v>
      </c>
      <c r="H1525" s="2"/>
      <c r="I1525" s="2" t="s">
        <v>395</v>
      </c>
      <c r="J1525" s="2"/>
      <c r="K1525" s="2" t="s">
        <v>18</v>
      </c>
      <c r="L1525" s="2"/>
    </row>
    <row r="1526">
      <c r="A1526" s="8" t="s">
        <v>1766</v>
      </c>
      <c r="B1526" s="8" t="s">
        <v>1766</v>
      </c>
      <c r="C1526" s="2" t="s">
        <v>1763</v>
      </c>
      <c r="D1526" s="2" t="s">
        <v>1764</v>
      </c>
      <c r="E1526" s="6">
        <v>45954.548993055556</v>
      </c>
      <c r="F1526" s="3" t="s">
        <v>1765</v>
      </c>
      <c r="G1526" s="2" t="s">
        <v>24</v>
      </c>
      <c r="H1526" s="2"/>
      <c r="I1526" s="2"/>
      <c r="J1526" s="2"/>
      <c r="K1526" s="2" t="s">
        <v>18</v>
      </c>
      <c r="L1526" s="2"/>
    </row>
    <row r="1527">
      <c r="A1527" s="8" t="s">
        <v>1767</v>
      </c>
      <c r="B1527" s="8" t="s">
        <v>1767</v>
      </c>
      <c r="C1527" s="2" t="s">
        <v>786</v>
      </c>
      <c r="D1527" s="2" t="s">
        <v>787</v>
      </c>
      <c r="E1527" s="6">
        <v>45955.34459490741</v>
      </c>
      <c r="F1527" s="3" t="s">
        <v>788</v>
      </c>
      <c r="G1527" s="2" t="s">
        <v>16</v>
      </c>
      <c r="H1527" s="2"/>
      <c r="I1527" s="2" t="s">
        <v>17</v>
      </c>
      <c r="J1527" s="2"/>
      <c r="K1527" s="2" t="s">
        <v>18</v>
      </c>
      <c r="L1527" s="2"/>
    </row>
    <row r="1528">
      <c r="A1528" s="8" t="s">
        <v>1768</v>
      </c>
      <c r="B1528" s="8" t="s">
        <v>1768</v>
      </c>
      <c r="C1528" s="2" t="s">
        <v>464</v>
      </c>
      <c r="D1528" s="2" t="s">
        <v>465</v>
      </c>
      <c r="E1528" s="6">
        <v>45955.34546296296</v>
      </c>
      <c r="F1528" s="3" t="s">
        <v>466</v>
      </c>
      <c r="G1528" s="2" t="s">
        <v>16</v>
      </c>
      <c r="H1528" s="2"/>
      <c r="I1528" s="2" t="s">
        <v>395</v>
      </c>
      <c r="J1528" s="2"/>
      <c r="K1528" s="2" t="s">
        <v>18</v>
      </c>
      <c r="L1528" s="2"/>
    </row>
    <row r="1529">
      <c r="A1529" s="8" t="s">
        <v>1769</v>
      </c>
      <c r="B1529" s="8" t="s">
        <v>1769</v>
      </c>
      <c r="C1529" s="2" t="s">
        <v>326</v>
      </c>
      <c r="D1529" s="2" t="s">
        <v>327</v>
      </c>
      <c r="E1529" s="6">
        <v>45955.464525462965</v>
      </c>
      <c r="F1529" s="3" t="s">
        <v>328</v>
      </c>
      <c r="G1529" s="2" t="s">
        <v>24</v>
      </c>
      <c r="H1529" s="2"/>
      <c r="I1529" s="2"/>
      <c r="J1529" s="2"/>
      <c r="K1529" s="2" t="s">
        <v>18</v>
      </c>
      <c r="L1529" s="2"/>
    </row>
    <row r="1530">
      <c r="A1530" s="8" t="s">
        <v>1770</v>
      </c>
      <c r="B1530" s="8" t="s">
        <v>1770</v>
      </c>
      <c r="C1530" s="2" t="s">
        <v>45</v>
      </c>
      <c r="D1530" s="2" t="s">
        <v>46</v>
      </c>
      <c r="E1530" s="6">
        <v>45955.565474537034</v>
      </c>
      <c r="F1530" s="3" t="s">
        <v>47</v>
      </c>
      <c r="G1530" s="2" t="s">
        <v>16</v>
      </c>
      <c r="H1530" s="2"/>
      <c r="I1530" s="2" t="s">
        <v>17</v>
      </c>
      <c r="J1530" s="2"/>
      <c r="K1530" s="2" t="s">
        <v>18</v>
      </c>
      <c r="L1530" s="2"/>
    </row>
    <row r="1531">
      <c r="A1531" s="8" t="s">
        <v>1771</v>
      </c>
      <c r="B1531" s="8" t="s">
        <v>1771</v>
      </c>
      <c r="C1531" s="2" t="s">
        <v>1613</v>
      </c>
      <c r="D1531" s="2" t="s">
        <v>1614</v>
      </c>
      <c r="E1531" s="6">
        <v>45955.458599537036</v>
      </c>
      <c r="F1531" s="3" t="s">
        <v>1615</v>
      </c>
      <c r="G1531" s="2" t="s">
        <v>16</v>
      </c>
      <c r="H1531" s="2"/>
      <c r="I1531" s="2" t="s">
        <v>395</v>
      </c>
      <c r="J1531" s="2"/>
      <c r="K1531" s="2" t="s">
        <v>18</v>
      </c>
      <c r="L1531" s="2"/>
    </row>
    <row r="1532">
      <c r="A1532" s="8" t="s">
        <v>1772</v>
      </c>
      <c r="B1532" s="8" t="s">
        <v>1772</v>
      </c>
      <c r="C1532" s="2" t="s">
        <v>1587</v>
      </c>
      <c r="D1532" s="2" t="s">
        <v>1588</v>
      </c>
      <c r="E1532" s="6">
        <v>45957.34722222222</v>
      </c>
      <c r="F1532" s="3" t="s">
        <v>1589</v>
      </c>
      <c r="G1532" s="2" t="s">
        <v>16</v>
      </c>
      <c r="H1532" s="2"/>
      <c r="I1532" s="2" t="s">
        <v>17</v>
      </c>
      <c r="J1532" s="2"/>
      <c r="K1532" s="2" t="s">
        <v>18</v>
      </c>
      <c r="L1532" s="2"/>
    </row>
    <row r="1533">
      <c r="A1533" s="8" t="s">
        <v>1773</v>
      </c>
      <c r="B1533" s="8" t="s">
        <v>1773</v>
      </c>
      <c r="C1533" s="2" t="s">
        <v>786</v>
      </c>
      <c r="D1533" s="2" t="s">
        <v>787</v>
      </c>
      <c r="E1533" s="6">
        <v>45955.56458333333</v>
      </c>
      <c r="F1533" s="3" t="s">
        <v>788</v>
      </c>
      <c r="G1533" s="2" t="s">
        <v>24</v>
      </c>
      <c r="H1533" s="2"/>
      <c r="I1533" s="2"/>
      <c r="J1533" s="2"/>
      <c r="K1533" s="2" t="s">
        <v>18</v>
      </c>
      <c r="L1533" s="2"/>
    </row>
    <row r="1534">
      <c r="A1534" s="8" t="s">
        <v>1774</v>
      </c>
      <c r="B1534" s="8" t="s">
        <v>1774</v>
      </c>
      <c r="C1534" s="2" t="s">
        <v>464</v>
      </c>
      <c r="D1534" s="2" t="s">
        <v>465</v>
      </c>
      <c r="E1534" s="6">
        <v>45955.56527777778</v>
      </c>
      <c r="F1534" s="3" t="s">
        <v>466</v>
      </c>
      <c r="G1534" s="2" t="s">
        <v>24</v>
      </c>
      <c r="H1534" s="2"/>
      <c r="I1534" s="2"/>
      <c r="J1534" s="2"/>
      <c r="K1534" s="2" t="s">
        <v>18</v>
      </c>
      <c r="L1534" s="2"/>
    </row>
    <row r="1535">
      <c r="A1535" s="8" t="s">
        <v>1775</v>
      </c>
      <c r="B1535" s="8" t="s">
        <v>1775</v>
      </c>
      <c r="C1535" s="2" t="s">
        <v>1776</v>
      </c>
      <c r="D1535" s="2" t="s">
        <v>1777</v>
      </c>
      <c r="E1535" s="6">
        <v>45957.36834490741</v>
      </c>
      <c r="F1535" s="3" t="s">
        <v>1778</v>
      </c>
      <c r="G1535" s="2" t="s">
        <v>24</v>
      </c>
      <c r="H1535" s="2"/>
      <c r="I1535" s="2"/>
      <c r="J1535" s="2"/>
      <c r="K1535" s="2" t="s">
        <v>18</v>
      </c>
      <c r="L1535" s="2"/>
    </row>
    <row r="1536">
      <c r="A1536" s="8" t="s">
        <v>1779</v>
      </c>
      <c r="B1536" s="8" t="s">
        <v>1779</v>
      </c>
      <c r="C1536" s="2" t="s">
        <v>951</v>
      </c>
      <c r="D1536" s="2" t="s">
        <v>952</v>
      </c>
      <c r="E1536" s="6">
        <v>45957.4134837963</v>
      </c>
      <c r="F1536" s="3" t="s">
        <v>953</v>
      </c>
      <c r="G1536" s="2" t="s">
        <v>24</v>
      </c>
      <c r="H1536" s="2"/>
      <c r="I1536" s="2"/>
      <c r="J1536" s="2"/>
      <c r="K1536" s="2" t="s">
        <v>18</v>
      </c>
      <c r="L1536" s="2"/>
    </row>
    <row r="1537">
      <c r="A1537" s="8" t="s">
        <v>1780</v>
      </c>
      <c r="B1537" s="8" t="s">
        <v>1780</v>
      </c>
      <c r="C1537" s="2" t="s">
        <v>109</v>
      </c>
      <c r="D1537" s="2" t="s">
        <v>110</v>
      </c>
      <c r="E1537" s="6">
        <v>45957.41486111111</v>
      </c>
      <c r="F1537" s="3" t="s">
        <v>111</v>
      </c>
      <c r="G1537" s="2" t="s">
        <v>24</v>
      </c>
      <c r="H1537" s="2"/>
      <c r="I1537" s="2"/>
      <c r="J1537" s="2"/>
      <c r="K1537" s="2" t="s">
        <v>18</v>
      </c>
      <c r="L1537" s="2"/>
    </row>
    <row r="1538">
      <c r="A1538" s="8" t="s">
        <v>1781</v>
      </c>
      <c r="B1538" s="8" t="s">
        <v>1781</v>
      </c>
      <c r="C1538" s="2" t="s">
        <v>786</v>
      </c>
      <c r="D1538" s="2" t="s">
        <v>787</v>
      </c>
      <c r="E1538" s="6">
        <v>45957.44943287037</v>
      </c>
      <c r="F1538" s="3" t="s">
        <v>788</v>
      </c>
      <c r="G1538" s="2" t="s">
        <v>16</v>
      </c>
      <c r="H1538" s="2"/>
      <c r="I1538" s="2" t="s">
        <v>17</v>
      </c>
      <c r="J1538" s="2"/>
      <c r="K1538" s="2" t="s">
        <v>18</v>
      </c>
      <c r="L1538" s="2"/>
    </row>
    <row r="1539">
      <c r="A1539" s="8" t="s">
        <v>1782</v>
      </c>
      <c r="B1539" s="8" t="s">
        <v>1782</v>
      </c>
      <c r="C1539" s="2" t="s">
        <v>1084</v>
      </c>
      <c r="D1539" s="2" t="s">
        <v>1085</v>
      </c>
      <c r="E1539" s="6">
        <v>45957.66763888889</v>
      </c>
      <c r="F1539" s="3" t="s">
        <v>1086</v>
      </c>
      <c r="G1539" s="2" t="s">
        <v>24</v>
      </c>
      <c r="H1539" s="2"/>
      <c r="I1539" s="2"/>
      <c r="J1539" s="2"/>
      <c r="K1539" s="2" t="s">
        <v>18</v>
      </c>
      <c r="L1539" s="2"/>
    </row>
    <row r="1540">
      <c r="A1540" s="8" t="s">
        <v>1783</v>
      </c>
      <c r="B1540" s="8" t="s">
        <v>1783</v>
      </c>
      <c r="C1540" s="2" t="s">
        <v>131</v>
      </c>
      <c r="D1540" s="2" t="s">
        <v>132</v>
      </c>
      <c r="E1540" s="6">
        <v>45957.669270833336</v>
      </c>
      <c r="F1540" s="3" t="s">
        <v>133</v>
      </c>
      <c r="G1540" s="2" t="s">
        <v>24</v>
      </c>
      <c r="H1540" s="2"/>
      <c r="I1540" s="2"/>
      <c r="J1540" s="2"/>
      <c r="K1540" s="2" t="s">
        <v>18</v>
      </c>
      <c r="L1540" s="2"/>
    </row>
    <row r="1541">
      <c r="A1541" s="8" t="s">
        <v>1784</v>
      </c>
      <c r="B1541" s="8" t="s">
        <v>1784</v>
      </c>
      <c r="C1541" s="2" t="s">
        <v>786</v>
      </c>
      <c r="D1541" s="2" t="s">
        <v>787</v>
      </c>
      <c r="E1541" s="6">
        <v>45957.67024305555</v>
      </c>
      <c r="F1541" s="3" t="s">
        <v>788</v>
      </c>
      <c r="G1541" s="2" t="s">
        <v>24</v>
      </c>
      <c r="H1541" s="2"/>
      <c r="I1541" s="2"/>
      <c r="J1541" s="2"/>
      <c r="K1541" s="2" t="s">
        <v>18</v>
      </c>
      <c r="L1541" s="2"/>
    </row>
    <row r="1542">
      <c r="A1542" s="8" t="s">
        <v>1785</v>
      </c>
      <c r="B1542" s="8" t="s">
        <v>1785</v>
      </c>
      <c r="C1542" s="2" t="s">
        <v>1587</v>
      </c>
      <c r="D1542" s="2" t="s">
        <v>1588</v>
      </c>
      <c r="E1542" s="6">
        <v>45957.67140046296</v>
      </c>
      <c r="F1542" s="3" t="s">
        <v>1589</v>
      </c>
      <c r="G1542" s="2" t="s">
        <v>24</v>
      </c>
      <c r="H1542" s="2"/>
      <c r="I1542" s="2"/>
      <c r="J1542" s="2"/>
      <c r="K1542" s="2" t="s">
        <v>18</v>
      </c>
      <c r="L1542" s="2"/>
    </row>
    <row r="1543">
      <c r="A1543" s="8" t="s">
        <v>1786</v>
      </c>
      <c r="B1543" s="8" t="s">
        <v>1786</v>
      </c>
      <c r="C1543" s="2" t="s">
        <v>169</v>
      </c>
      <c r="D1543" s="2" t="s">
        <v>170</v>
      </c>
      <c r="E1543" s="6">
        <v>45958.354166666664</v>
      </c>
      <c r="F1543" s="3" t="s">
        <v>171</v>
      </c>
      <c r="G1543" s="2" t="s">
        <v>16</v>
      </c>
      <c r="H1543" s="2"/>
      <c r="I1543" s="2" t="s">
        <v>17</v>
      </c>
      <c r="J1543" s="2"/>
      <c r="K1543" s="2" t="s">
        <v>18</v>
      </c>
      <c r="L1543" s="2"/>
    </row>
    <row r="1544">
      <c r="A1544" s="8" t="s">
        <v>1787</v>
      </c>
      <c r="B1544" s="8" t="s">
        <v>1787</v>
      </c>
      <c r="C1544" s="2" t="s">
        <v>943</v>
      </c>
      <c r="D1544" s="2" t="s">
        <v>944</v>
      </c>
      <c r="E1544" s="6">
        <v>45958.35469907407</v>
      </c>
      <c r="F1544" s="3" t="s">
        <v>945</v>
      </c>
      <c r="G1544" s="2" t="s">
        <v>16</v>
      </c>
      <c r="H1544" s="2"/>
      <c r="I1544" s="2" t="s">
        <v>395</v>
      </c>
      <c r="J1544" s="2"/>
      <c r="K1544" s="2" t="s">
        <v>18</v>
      </c>
      <c r="L1544" s="2"/>
    </row>
    <row r="1545">
      <c r="A1545" s="8" t="s">
        <v>1788</v>
      </c>
      <c r="B1545" s="8" t="s">
        <v>1788</v>
      </c>
      <c r="C1545" s="2" t="s">
        <v>943</v>
      </c>
      <c r="D1545" s="2" t="s">
        <v>944</v>
      </c>
      <c r="E1545" s="6">
        <v>45958.35527777778</v>
      </c>
      <c r="F1545" s="3" t="s">
        <v>945</v>
      </c>
      <c r="G1545" s="2" t="s">
        <v>159</v>
      </c>
      <c r="H1545" s="2"/>
      <c r="I1545" s="2"/>
      <c r="J1545" s="2"/>
      <c r="K1545" s="2" t="s">
        <v>18</v>
      </c>
      <c r="L1545" s="2"/>
    </row>
    <row r="1546">
      <c r="A1546" s="8" t="s">
        <v>1789</v>
      </c>
      <c r="B1546" s="8" t="s">
        <v>1789</v>
      </c>
      <c r="C1546" s="2" t="s">
        <v>1183</v>
      </c>
      <c r="D1546" s="2" t="s">
        <v>1184</v>
      </c>
      <c r="E1546" s="6">
        <v>45958.35815972222</v>
      </c>
      <c r="F1546" s="3" t="s">
        <v>1185</v>
      </c>
      <c r="G1546" s="2" t="s">
        <v>16</v>
      </c>
      <c r="H1546" s="2"/>
      <c r="I1546" s="2" t="s">
        <v>17</v>
      </c>
      <c r="J1546" s="2"/>
      <c r="K1546" s="2" t="s">
        <v>18</v>
      </c>
      <c r="L1546" s="2"/>
    </row>
    <row r="1547">
      <c r="A1547" s="8" t="s">
        <v>1790</v>
      </c>
      <c r="B1547" s="8" t="s">
        <v>1790</v>
      </c>
      <c r="C1547" s="2" t="s">
        <v>45</v>
      </c>
      <c r="D1547" s="2" t="s">
        <v>46</v>
      </c>
      <c r="E1547" s="6">
        <v>45958.36167824074</v>
      </c>
      <c r="F1547" s="3" t="s">
        <v>47</v>
      </c>
      <c r="G1547" s="2" t="s">
        <v>16</v>
      </c>
      <c r="H1547" s="2"/>
      <c r="I1547" s="2" t="s">
        <v>17</v>
      </c>
      <c r="J1547" s="2"/>
      <c r="K1547" s="2" t="s">
        <v>18</v>
      </c>
      <c r="L1547" s="2"/>
    </row>
    <row r="1548">
      <c r="A1548" s="8" t="s">
        <v>1791</v>
      </c>
      <c r="B1548" s="8" t="s">
        <v>1791</v>
      </c>
      <c r="C1548" s="2" t="s">
        <v>131</v>
      </c>
      <c r="D1548" s="2" t="s">
        <v>132</v>
      </c>
      <c r="E1548" s="6">
        <v>45958.458125</v>
      </c>
      <c r="F1548" s="3" t="s">
        <v>133</v>
      </c>
      <c r="G1548" s="2" t="s">
        <v>16</v>
      </c>
      <c r="H1548" s="2"/>
      <c r="I1548" s="2" t="s">
        <v>17</v>
      </c>
      <c r="J1548" s="2"/>
      <c r="K1548" s="2" t="s">
        <v>18</v>
      </c>
      <c r="L1548" s="2"/>
    </row>
    <row r="1549">
      <c r="A1549" s="8" t="s">
        <v>1792</v>
      </c>
      <c r="B1549" s="8" t="s">
        <v>1792</v>
      </c>
      <c r="C1549" s="2" t="s">
        <v>951</v>
      </c>
      <c r="D1549" s="2" t="s">
        <v>952</v>
      </c>
      <c r="E1549" s="6">
        <v>45958.47210648148</v>
      </c>
      <c r="F1549" s="3" t="s">
        <v>953</v>
      </c>
      <c r="G1549" s="2" t="s">
        <v>16</v>
      </c>
      <c r="H1549" s="2"/>
      <c r="I1549" s="2" t="s">
        <v>17</v>
      </c>
      <c r="J1549" s="2"/>
      <c r="K1549" s="2" t="s">
        <v>18</v>
      </c>
      <c r="L1549" s="2"/>
    </row>
    <row r="1550">
      <c r="A1550" s="8" t="s">
        <v>1793</v>
      </c>
      <c r="B1550" s="8" t="s">
        <v>1793</v>
      </c>
      <c r="C1550" s="2" t="s">
        <v>309</v>
      </c>
      <c r="D1550" s="2" t="s">
        <v>310</v>
      </c>
      <c r="E1550" s="6">
        <v>45958.47336805556</v>
      </c>
      <c r="F1550" s="3" t="s">
        <v>311</v>
      </c>
      <c r="G1550" s="2" t="s">
        <v>16</v>
      </c>
      <c r="H1550" s="2"/>
      <c r="I1550" s="2" t="s">
        <v>395</v>
      </c>
      <c r="J1550" s="2"/>
      <c r="K1550" s="2" t="s">
        <v>18</v>
      </c>
      <c r="L1550" s="2"/>
    </row>
    <row r="1551">
      <c r="A1551" s="8" t="s">
        <v>1794</v>
      </c>
      <c r="B1551" s="8" t="s">
        <v>1794</v>
      </c>
      <c r="C1551" s="2" t="s">
        <v>1183</v>
      </c>
      <c r="D1551" s="2" t="s">
        <v>1184</v>
      </c>
      <c r="E1551" s="6">
        <v>45958.53486111111</v>
      </c>
      <c r="F1551" s="3" t="s">
        <v>1185</v>
      </c>
      <c r="G1551" s="2" t="s">
        <v>24</v>
      </c>
      <c r="H1551" s="2"/>
      <c r="I1551" s="2"/>
      <c r="J1551" s="2"/>
      <c r="K1551" s="2" t="s">
        <v>18</v>
      </c>
      <c r="L1551" s="2"/>
    </row>
    <row r="1552">
      <c r="A1552" s="8" t="s">
        <v>1795</v>
      </c>
      <c r="B1552" s="8" t="s">
        <v>1795</v>
      </c>
      <c r="C1552" s="2" t="s">
        <v>169</v>
      </c>
      <c r="D1552" s="2" t="s">
        <v>170</v>
      </c>
      <c r="E1552" s="6">
        <v>45958.536990740744</v>
      </c>
      <c r="F1552" s="3" t="s">
        <v>1137</v>
      </c>
      <c r="G1552" s="2" t="s">
        <v>24</v>
      </c>
      <c r="H1552" s="2"/>
      <c r="I1552" s="2"/>
      <c r="J1552" s="2"/>
      <c r="K1552" s="2" t="s">
        <v>18</v>
      </c>
      <c r="L1552" s="2"/>
    </row>
    <row r="1553">
      <c r="A1553" s="8" t="s">
        <v>1796</v>
      </c>
      <c r="B1553" s="8" t="s">
        <v>1796</v>
      </c>
      <c r="C1553" s="2" t="s">
        <v>131</v>
      </c>
      <c r="D1553" s="2" t="s">
        <v>132</v>
      </c>
      <c r="E1553" s="6">
        <v>45958.537939814814</v>
      </c>
      <c r="F1553" s="3" t="s">
        <v>133</v>
      </c>
      <c r="G1553" s="2" t="s">
        <v>24</v>
      </c>
      <c r="H1553" s="2"/>
      <c r="I1553" s="2"/>
      <c r="J1553" s="2"/>
      <c r="K1553" s="2" t="s">
        <v>18</v>
      </c>
      <c r="L1553" s="2"/>
    </row>
    <row r="1554">
      <c r="A1554" s="8" t="s">
        <v>1797</v>
      </c>
      <c r="B1554" s="8" t="s">
        <v>1797</v>
      </c>
      <c r="C1554" s="2" t="s">
        <v>943</v>
      </c>
      <c r="D1554" s="2" t="s">
        <v>944</v>
      </c>
      <c r="E1554" s="6">
        <v>45958.553611111114</v>
      </c>
      <c r="F1554" s="3" t="s">
        <v>945</v>
      </c>
      <c r="G1554" s="2" t="s">
        <v>24</v>
      </c>
      <c r="H1554" s="2"/>
      <c r="I1554" s="2"/>
      <c r="J1554" s="2"/>
      <c r="K1554" s="2" t="s">
        <v>18</v>
      </c>
      <c r="L1554" s="2"/>
    </row>
    <row r="1555">
      <c r="A1555" s="8" t="s">
        <v>1798</v>
      </c>
      <c r="B1555" s="8" t="s">
        <v>1798</v>
      </c>
      <c r="C1555" s="2" t="s">
        <v>45</v>
      </c>
      <c r="D1555" s="2" t="s">
        <v>46</v>
      </c>
      <c r="E1555" s="6">
        <v>45958.573125</v>
      </c>
      <c r="F1555" s="3" t="s">
        <v>47</v>
      </c>
      <c r="G1555" s="2" t="s">
        <v>24</v>
      </c>
      <c r="H1555" s="2"/>
      <c r="I1555" s="2"/>
      <c r="J1555" s="2"/>
      <c r="K1555" s="2" t="s">
        <v>18</v>
      </c>
      <c r="L1555" s="2"/>
    </row>
    <row r="1556">
      <c r="A1556" s="8" t="s">
        <v>1799</v>
      </c>
      <c r="B1556" s="8" t="s">
        <v>1799</v>
      </c>
      <c r="C1556" s="2" t="s">
        <v>326</v>
      </c>
      <c r="D1556" s="2" t="s">
        <v>327</v>
      </c>
      <c r="E1556" s="6">
        <v>45958.64494212963</v>
      </c>
      <c r="F1556" s="3" t="s">
        <v>328</v>
      </c>
      <c r="G1556" s="2" t="s">
        <v>16</v>
      </c>
      <c r="H1556" s="2"/>
      <c r="I1556" s="2" t="s">
        <v>395</v>
      </c>
      <c r="J1556" s="2"/>
      <c r="K1556" s="2" t="s">
        <v>18</v>
      </c>
      <c r="L1556" s="2"/>
    </row>
    <row r="1557">
      <c r="A1557" s="8" t="s">
        <v>1800</v>
      </c>
      <c r="B1557" s="8" t="s">
        <v>1800</v>
      </c>
      <c r="C1557" s="2" t="s">
        <v>309</v>
      </c>
      <c r="D1557" s="2" t="s">
        <v>310</v>
      </c>
      <c r="E1557" s="6">
        <v>45958.68659722222</v>
      </c>
      <c r="F1557" s="3" t="s">
        <v>311</v>
      </c>
      <c r="G1557" s="2" t="s">
        <v>24</v>
      </c>
      <c r="H1557" s="2"/>
      <c r="I1557" s="2"/>
      <c r="J1557" s="2"/>
      <c r="K1557" s="2" t="s">
        <v>18</v>
      </c>
      <c r="L1557" s="2"/>
    </row>
    <row r="1558">
      <c r="A1558" s="8" t="s">
        <v>1801</v>
      </c>
      <c r="B1558" s="8" t="s">
        <v>1801</v>
      </c>
      <c r="C1558" s="2" t="s">
        <v>213</v>
      </c>
      <c r="D1558" s="2" t="s">
        <v>214</v>
      </c>
      <c r="E1558" s="6">
        <v>45958.687314814815</v>
      </c>
      <c r="F1558" s="3" t="s">
        <v>215</v>
      </c>
      <c r="G1558" s="2" t="s">
        <v>24</v>
      </c>
      <c r="H1558" s="2"/>
      <c r="I1558" s="2"/>
      <c r="J1558" s="2"/>
      <c r="K1558" s="2" t="s">
        <v>18</v>
      </c>
      <c r="L1558" s="2"/>
    </row>
    <row r="1559">
      <c r="A1559" s="8" t="s">
        <v>1802</v>
      </c>
      <c r="B1559" s="8" t="s">
        <v>1802</v>
      </c>
      <c r="C1559" s="2" t="s">
        <v>49</v>
      </c>
      <c r="D1559" s="2" t="s">
        <v>50</v>
      </c>
      <c r="E1559" s="6">
        <v>45959.4705787037</v>
      </c>
      <c r="F1559" s="3" t="s">
        <v>51</v>
      </c>
      <c r="G1559" s="2" t="s">
        <v>24</v>
      </c>
      <c r="H1559" s="2"/>
      <c r="I1559" s="2"/>
      <c r="J1559" s="2"/>
      <c r="K1559" s="2" t="s">
        <v>18</v>
      </c>
      <c r="L1559" s="2"/>
    </row>
    <row r="1560">
      <c r="A1560" s="8" t="s">
        <v>1803</v>
      </c>
      <c r="B1560" s="8" t="s">
        <v>1803</v>
      </c>
      <c r="C1560" s="2" t="s">
        <v>786</v>
      </c>
      <c r="D1560" s="2" t="s">
        <v>787</v>
      </c>
      <c r="E1560" s="6">
        <v>45959.47224537037</v>
      </c>
      <c r="F1560" s="3" t="s">
        <v>788</v>
      </c>
      <c r="G1560" s="2" t="s">
        <v>16</v>
      </c>
      <c r="H1560" s="2"/>
      <c r="I1560" s="2" t="s">
        <v>17</v>
      </c>
      <c r="J1560" s="2"/>
      <c r="K1560" s="2" t="s">
        <v>18</v>
      </c>
      <c r="L1560" s="2"/>
    </row>
    <row r="1561">
      <c r="A1561" s="8" t="s">
        <v>1804</v>
      </c>
      <c r="B1561" s="8" t="s">
        <v>1804</v>
      </c>
      <c r="C1561" s="2" t="s">
        <v>309</v>
      </c>
      <c r="D1561" s="2" t="s">
        <v>310</v>
      </c>
      <c r="E1561" s="6">
        <v>45960.342361111114</v>
      </c>
      <c r="F1561" s="3" t="s">
        <v>311</v>
      </c>
      <c r="G1561" s="2" t="s">
        <v>16</v>
      </c>
      <c r="H1561" s="2"/>
      <c r="I1561" s="2" t="s">
        <v>395</v>
      </c>
      <c r="J1561" s="2"/>
      <c r="K1561" s="2" t="s">
        <v>18</v>
      </c>
      <c r="L1561" s="2"/>
    </row>
    <row r="1562">
      <c r="A1562" s="8" t="s">
        <v>1805</v>
      </c>
      <c r="B1562" s="8" t="s">
        <v>1805</v>
      </c>
      <c r="C1562" s="2" t="s">
        <v>326</v>
      </c>
      <c r="D1562" s="2" t="s">
        <v>327</v>
      </c>
      <c r="E1562" s="6">
        <v>45959.48335648148</v>
      </c>
      <c r="F1562" s="3" t="s">
        <v>328</v>
      </c>
      <c r="G1562" s="2" t="s">
        <v>24</v>
      </c>
      <c r="H1562" s="2"/>
      <c r="I1562" s="2"/>
      <c r="J1562" s="2"/>
      <c r="K1562" s="2" t="s">
        <v>18</v>
      </c>
      <c r="L1562" s="2"/>
    </row>
    <row r="1563">
      <c r="A1563" s="8" t="s">
        <v>1806</v>
      </c>
      <c r="B1563" s="8" t="s">
        <v>1806</v>
      </c>
      <c r="C1563" s="2" t="s">
        <v>1564</v>
      </c>
      <c r="D1563" s="2" t="s">
        <v>1565</v>
      </c>
      <c r="E1563" s="6">
        <v>45959.48434027778</v>
      </c>
      <c r="F1563" s="3" t="s">
        <v>1566</v>
      </c>
      <c r="G1563" s="2" t="s">
        <v>24</v>
      </c>
      <c r="H1563" s="2"/>
      <c r="I1563" s="2"/>
      <c r="J1563" s="2"/>
      <c r="K1563" s="2" t="s">
        <v>18</v>
      </c>
      <c r="L1563" s="2"/>
    </row>
    <row r="1564">
      <c r="A1564" s="8" t="s">
        <v>1807</v>
      </c>
      <c r="B1564" s="8" t="s">
        <v>1807</v>
      </c>
      <c r="C1564" s="2" t="s">
        <v>786</v>
      </c>
      <c r="D1564" s="2" t="s">
        <v>787</v>
      </c>
      <c r="E1564" s="6">
        <v>45959.63114583334</v>
      </c>
      <c r="F1564" s="3" t="s">
        <v>788</v>
      </c>
      <c r="G1564" s="2" t="s">
        <v>24</v>
      </c>
      <c r="H1564" s="2"/>
      <c r="I1564" s="2"/>
      <c r="J1564" s="2"/>
      <c r="K1564" s="2" t="s">
        <v>18</v>
      </c>
      <c r="L1564" s="2"/>
    </row>
    <row r="1565">
      <c r="A1565" s="8" t="s">
        <v>1808</v>
      </c>
      <c r="B1565" s="8" t="s">
        <v>1808</v>
      </c>
      <c r="C1565" s="2" t="s">
        <v>20</v>
      </c>
      <c r="D1565" s="2" t="s">
        <v>21</v>
      </c>
      <c r="E1565" s="6">
        <v>45960.34097222222</v>
      </c>
      <c r="F1565" s="3" t="s">
        <v>22</v>
      </c>
      <c r="G1565" s="2" t="s">
        <v>16</v>
      </c>
      <c r="H1565" s="2"/>
      <c r="I1565" s="2" t="s">
        <v>17</v>
      </c>
      <c r="J1565" s="2"/>
      <c r="K1565" s="2" t="s">
        <v>18</v>
      </c>
      <c r="L1565" s="2"/>
    </row>
    <row r="1566">
      <c r="A1566" s="8" t="s">
        <v>1809</v>
      </c>
      <c r="B1566" s="8" t="s">
        <v>1809</v>
      </c>
      <c r="C1566" s="2" t="s">
        <v>1810</v>
      </c>
      <c r="D1566" s="2" t="s">
        <v>1811</v>
      </c>
      <c r="E1566" s="6">
        <v>45960.39680555555</v>
      </c>
      <c r="F1566" s="3" t="s">
        <v>1812</v>
      </c>
      <c r="G1566" s="2" t="s">
        <v>16</v>
      </c>
      <c r="H1566" s="2"/>
      <c r="I1566" s="2" t="s">
        <v>395</v>
      </c>
      <c r="J1566" s="2"/>
      <c r="K1566" s="2" t="s">
        <v>18</v>
      </c>
      <c r="L1566" s="2"/>
    </row>
    <row r="1567">
      <c r="A1567" s="8" t="s">
        <v>1813</v>
      </c>
      <c r="B1567" s="8" t="s">
        <v>1813</v>
      </c>
      <c r="C1567" s="2" t="s">
        <v>45</v>
      </c>
      <c r="D1567" s="2" t="s">
        <v>46</v>
      </c>
      <c r="E1567" s="6">
        <v>45960.45584490741</v>
      </c>
      <c r="F1567" s="3" t="s">
        <v>47</v>
      </c>
      <c r="G1567" s="2" t="s">
        <v>16</v>
      </c>
      <c r="H1567" s="2"/>
      <c r="I1567" s="2" t="s">
        <v>17</v>
      </c>
      <c r="J1567" s="2"/>
      <c r="K1567" s="2" t="s">
        <v>18</v>
      </c>
      <c r="L1567" s="2"/>
    </row>
    <row r="1568">
      <c r="A1568" s="8" t="s">
        <v>1814</v>
      </c>
      <c r="B1568" s="8" t="s">
        <v>1814</v>
      </c>
      <c r="C1568" s="2" t="s">
        <v>685</v>
      </c>
      <c r="D1568" s="2" t="s">
        <v>686</v>
      </c>
      <c r="E1568" s="6">
        <v>45960.49217592592</v>
      </c>
      <c r="F1568" s="3" t="s">
        <v>687</v>
      </c>
      <c r="G1568" s="2" t="s">
        <v>16</v>
      </c>
      <c r="H1568" s="2"/>
      <c r="I1568" s="2"/>
      <c r="J1568" s="2"/>
      <c r="K1568" s="2" t="s">
        <v>18</v>
      </c>
      <c r="L1568" s="2"/>
    </row>
    <row r="1569">
      <c r="A1569" s="8" t="s">
        <v>1815</v>
      </c>
      <c r="B1569" s="8" t="s">
        <v>1815</v>
      </c>
      <c r="C1569" s="2" t="s">
        <v>20</v>
      </c>
      <c r="D1569" s="2" t="s">
        <v>21</v>
      </c>
      <c r="E1569" s="6">
        <v>45960.51168981481</v>
      </c>
      <c r="F1569" s="3" t="s">
        <v>22</v>
      </c>
      <c r="G1569" s="2" t="s">
        <v>24</v>
      </c>
      <c r="H1569" s="2"/>
      <c r="I1569" s="2"/>
      <c r="J1569" s="2"/>
      <c r="K1569" s="2" t="s">
        <v>18</v>
      </c>
      <c r="L1569" s="2"/>
    </row>
    <row r="1570">
      <c r="A1570" s="8" t="s">
        <v>1816</v>
      </c>
      <c r="B1570" s="8" t="s">
        <v>1816</v>
      </c>
      <c r="C1570" s="2" t="s">
        <v>685</v>
      </c>
      <c r="D1570" s="2" t="s">
        <v>686</v>
      </c>
      <c r="E1570" s="6">
        <v>45960.5943287037</v>
      </c>
      <c r="F1570" s="3" t="s">
        <v>687</v>
      </c>
      <c r="G1570" s="2" t="s">
        <v>24</v>
      </c>
      <c r="H1570" s="2"/>
      <c r="I1570" s="2"/>
      <c r="J1570" s="2"/>
      <c r="K1570" s="2" t="s">
        <v>18</v>
      </c>
      <c r="L1570" s="2"/>
    </row>
    <row r="1571">
      <c r="A1571" s="8" t="s">
        <v>1817</v>
      </c>
      <c r="B1571" s="8" t="s">
        <v>1817</v>
      </c>
      <c r="C1571" s="2" t="s">
        <v>464</v>
      </c>
      <c r="D1571" s="2" t="s">
        <v>465</v>
      </c>
      <c r="E1571" s="6">
        <v>45960.61620370371</v>
      </c>
      <c r="F1571" s="3" t="s">
        <v>466</v>
      </c>
      <c r="G1571" s="2" t="s">
        <v>24</v>
      </c>
      <c r="H1571" s="2"/>
      <c r="I1571" s="2"/>
      <c r="J1571" s="2"/>
      <c r="K1571" s="2" t="s">
        <v>18</v>
      </c>
      <c r="L1571" s="2"/>
    </row>
    <row r="1572">
      <c r="A1572" s="8" t="s">
        <v>1818</v>
      </c>
      <c r="B1572" s="8" t="s">
        <v>1818</v>
      </c>
      <c r="C1572" s="2" t="s">
        <v>943</v>
      </c>
      <c r="D1572" s="2" t="s">
        <v>944</v>
      </c>
      <c r="E1572" s="6">
        <v>45961.392430555556</v>
      </c>
      <c r="F1572" s="3" t="s">
        <v>945</v>
      </c>
      <c r="G1572" s="2" t="s">
        <v>16</v>
      </c>
      <c r="H1572" s="2"/>
      <c r="I1572" s="2" t="s">
        <v>395</v>
      </c>
      <c r="J1572" s="2"/>
      <c r="K1572" s="2" t="s">
        <v>18</v>
      </c>
      <c r="L1572" s="2"/>
    </row>
    <row r="1573">
      <c r="A1573" s="8" t="s">
        <v>1819</v>
      </c>
      <c r="B1573" s="8" t="s">
        <v>1819</v>
      </c>
      <c r="C1573" s="2" t="s">
        <v>786</v>
      </c>
      <c r="D1573" s="2" t="s">
        <v>787</v>
      </c>
      <c r="E1573" s="6">
        <v>45961.394594907404</v>
      </c>
      <c r="F1573" s="3" t="s">
        <v>788</v>
      </c>
      <c r="G1573" s="2" t="s">
        <v>16</v>
      </c>
      <c r="H1573" s="2"/>
      <c r="I1573" s="2" t="s">
        <v>17</v>
      </c>
      <c r="J1573" s="2"/>
      <c r="K1573" s="2" t="s">
        <v>18</v>
      </c>
      <c r="L1573" s="2"/>
    </row>
    <row r="1574">
      <c r="A1574" s="8" t="s">
        <v>1820</v>
      </c>
      <c r="B1574" s="8" t="s">
        <v>1820</v>
      </c>
      <c r="C1574" s="2" t="s">
        <v>464</v>
      </c>
      <c r="D1574" s="2" t="s">
        <v>465</v>
      </c>
      <c r="E1574" s="6">
        <v>45961.39618055556</v>
      </c>
      <c r="F1574" s="3" t="s">
        <v>466</v>
      </c>
      <c r="G1574" s="2" t="s">
        <v>16</v>
      </c>
      <c r="H1574" s="2"/>
      <c r="I1574" s="2" t="s">
        <v>395</v>
      </c>
      <c r="J1574" s="2"/>
      <c r="K1574" s="2" t="s">
        <v>18</v>
      </c>
      <c r="L1574" s="2"/>
    </row>
    <row r="1575">
      <c r="A1575" s="8" t="s">
        <v>1821</v>
      </c>
      <c r="B1575" s="8" t="s">
        <v>1821</v>
      </c>
      <c r="C1575" s="2" t="s">
        <v>943</v>
      </c>
      <c r="D1575" s="2" t="s">
        <v>944</v>
      </c>
      <c r="E1575" s="6">
        <v>45961.489282407405</v>
      </c>
      <c r="F1575" s="3" t="s">
        <v>945</v>
      </c>
      <c r="G1575" s="2" t="s">
        <v>24</v>
      </c>
      <c r="H1575" s="2"/>
      <c r="I1575" s="2"/>
      <c r="J1575" s="2"/>
      <c r="K1575" s="2" t="s">
        <v>18</v>
      </c>
      <c r="L1575" s="2"/>
    </row>
    <row r="1576">
      <c r="A1576" s="8" t="s">
        <v>1822</v>
      </c>
      <c r="B1576" s="8" t="s">
        <v>1822</v>
      </c>
      <c r="C1576" s="2" t="s">
        <v>109</v>
      </c>
      <c r="D1576" s="2" t="s">
        <v>110</v>
      </c>
      <c r="E1576" s="6">
        <v>45961.61261574074</v>
      </c>
      <c r="F1576" s="3" t="s">
        <v>111</v>
      </c>
      <c r="G1576" s="2" t="s">
        <v>16</v>
      </c>
      <c r="H1576" s="2"/>
      <c r="I1576" s="2" t="s">
        <v>17</v>
      </c>
      <c r="J1576" s="2"/>
      <c r="K1576" s="2" t="s">
        <v>18</v>
      </c>
      <c r="L1576" s="2"/>
    </row>
    <row r="1577">
      <c r="A1577" s="8" t="s">
        <v>1823</v>
      </c>
      <c r="B1577" s="8" t="s">
        <v>1823</v>
      </c>
      <c r="C1577" s="2" t="s">
        <v>786</v>
      </c>
      <c r="D1577" s="2" t="s">
        <v>787</v>
      </c>
      <c r="E1577" s="6">
        <v>45961.614583333336</v>
      </c>
      <c r="F1577" s="3" t="s">
        <v>788</v>
      </c>
      <c r="G1577" s="2" t="s">
        <v>24</v>
      </c>
      <c r="H1577" s="2"/>
      <c r="I1577" s="2"/>
      <c r="J1577" s="2"/>
      <c r="K1577" s="2" t="s">
        <v>18</v>
      </c>
      <c r="L1577" s="2"/>
    </row>
    <row r="1578">
      <c r="A1578" s="1"/>
      <c r="B1578" s="1"/>
      <c r="C1578" s="2"/>
      <c r="D1578" s="2"/>
      <c r="E1578" s="6"/>
      <c r="F1578" s="3"/>
      <c r="G1578" s="2"/>
      <c r="H1578" s="2"/>
      <c r="I1578" s="2"/>
      <c r="J1578" s="2"/>
      <c r="K1578" s="2"/>
      <c r="L1578" s="2"/>
    </row>
    <row r="1579">
      <c r="A1579" s="8" t="s">
        <v>1824</v>
      </c>
      <c r="B1579" s="8" t="s">
        <v>1824</v>
      </c>
      <c r="C1579" s="2" t="s">
        <v>1587</v>
      </c>
      <c r="D1579" s="2" t="s">
        <v>1588</v>
      </c>
      <c r="E1579" s="6">
        <v>45962.34027777778</v>
      </c>
      <c r="F1579" s="3" t="s">
        <v>1589</v>
      </c>
      <c r="G1579" s="2" t="s">
        <v>16</v>
      </c>
      <c r="H1579" s="2"/>
      <c r="I1579" s="2" t="s">
        <v>17</v>
      </c>
      <c r="J1579" s="2"/>
      <c r="K1579" s="2" t="s">
        <v>18</v>
      </c>
      <c r="L1579" s="2"/>
    </row>
    <row r="1580">
      <c r="A1580" s="8" t="s">
        <v>1825</v>
      </c>
      <c r="B1580" s="8" t="s">
        <v>1825</v>
      </c>
      <c r="C1580" s="2" t="s">
        <v>109</v>
      </c>
      <c r="D1580" s="2" t="s">
        <v>110</v>
      </c>
      <c r="E1580" s="6">
        <v>45961.63905092593</v>
      </c>
      <c r="F1580" s="3" t="s">
        <v>111</v>
      </c>
      <c r="G1580" s="2" t="s">
        <v>24</v>
      </c>
      <c r="H1580" s="2"/>
      <c r="I1580" s="2"/>
      <c r="J1580" s="2"/>
      <c r="K1580" s="2" t="s">
        <v>18</v>
      </c>
      <c r="L1580" s="2"/>
    </row>
    <row r="1581">
      <c r="A1581" s="8" t="s">
        <v>1826</v>
      </c>
      <c r="B1581" s="8" t="s">
        <v>1826</v>
      </c>
      <c r="C1581" s="10" t="s">
        <v>1399</v>
      </c>
      <c r="D1581" s="2" t="s">
        <v>1400</v>
      </c>
      <c r="E1581" s="6">
        <v>45962.3696875</v>
      </c>
      <c r="F1581" s="3" t="s">
        <v>1401</v>
      </c>
      <c r="G1581" s="2" t="s">
        <v>16</v>
      </c>
      <c r="H1581" s="2"/>
      <c r="I1581" s="2"/>
      <c r="J1581" s="2"/>
      <c r="K1581" s="2" t="s">
        <v>18</v>
      </c>
      <c r="L1581" s="2"/>
    </row>
    <row r="1582">
      <c r="A1582" s="8" t="s">
        <v>1827</v>
      </c>
      <c r="B1582" s="8" t="s">
        <v>1827</v>
      </c>
      <c r="C1582" s="2" t="s">
        <v>951</v>
      </c>
      <c r="D1582" s="2" t="s">
        <v>952</v>
      </c>
      <c r="E1582" s="6">
        <v>45962.47216435185</v>
      </c>
      <c r="F1582" s="3" t="s">
        <v>953</v>
      </c>
      <c r="G1582" s="2" t="s">
        <v>16</v>
      </c>
      <c r="H1582" s="2"/>
      <c r="I1582" s="2"/>
      <c r="J1582" s="2"/>
      <c r="K1582" s="2" t="s">
        <v>18</v>
      </c>
      <c r="L1582" s="2"/>
    </row>
    <row r="1583">
      <c r="A1583" s="8" t="s">
        <v>1828</v>
      </c>
      <c r="B1583" s="8" t="s">
        <v>1828</v>
      </c>
      <c r="C1583" s="2" t="s">
        <v>786</v>
      </c>
      <c r="D1583" s="2" t="s">
        <v>787</v>
      </c>
      <c r="E1583" s="6">
        <v>45962.53811342592</v>
      </c>
      <c r="F1583" s="3" t="s">
        <v>788</v>
      </c>
      <c r="G1583" s="2" t="s">
        <v>16</v>
      </c>
      <c r="H1583" s="2"/>
      <c r="I1583" s="2" t="s">
        <v>17</v>
      </c>
      <c r="J1583" s="2"/>
      <c r="K1583" s="2" t="s">
        <v>18</v>
      </c>
      <c r="L1583" s="2"/>
    </row>
    <row r="1584">
      <c r="A1584" s="8" t="s">
        <v>1829</v>
      </c>
      <c r="B1584" s="8" t="s">
        <v>1829</v>
      </c>
      <c r="C1584" s="2" t="s">
        <v>1830</v>
      </c>
      <c r="D1584" s="2" t="s">
        <v>1831</v>
      </c>
      <c r="E1584" s="6">
        <v>45962.604467592595</v>
      </c>
      <c r="F1584" s="3" t="s">
        <v>1832</v>
      </c>
      <c r="G1584" s="2" t="s">
        <v>16</v>
      </c>
      <c r="H1584" s="2"/>
      <c r="I1584" s="2" t="s">
        <v>395</v>
      </c>
      <c r="J1584" s="2"/>
      <c r="K1584" s="2" t="s">
        <v>18</v>
      </c>
      <c r="L1584" s="2"/>
    </row>
    <row r="1585">
      <c r="A1585" s="8" t="s">
        <v>1833</v>
      </c>
      <c r="B1585" s="8" t="s">
        <v>1833</v>
      </c>
      <c r="C1585" s="2" t="s">
        <v>786</v>
      </c>
      <c r="D1585" s="2" t="s">
        <v>787</v>
      </c>
      <c r="E1585" s="6">
        <v>45962.60965277778</v>
      </c>
      <c r="F1585" s="3" t="s">
        <v>788</v>
      </c>
      <c r="G1585" s="2" t="s">
        <v>24</v>
      </c>
      <c r="H1585" s="2"/>
      <c r="I1585" s="2"/>
      <c r="J1585" s="2"/>
      <c r="K1585" s="2" t="s">
        <v>18</v>
      </c>
      <c r="L1585" s="2"/>
    </row>
    <row r="1586">
      <c r="A1586" s="8" t="s">
        <v>1834</v>
      </c>
      <c r="B1586" s="8" t="s">
        <v>1834</v>
      </c>
      <c r="C1586" s="2" t="s">
        <v>1303</v>
      </c>
      <c r="D1586" s="2" t="s">
        <v>1304</v>
      </c>
      <c r="E1586" s="6">
        <v>45962.69405092593</v>
      </c>
      <c r="F1586" s="3" t="s">
        <v>1305</v>
      </c>
      <c r="G1586" s="2" t="s">
        <v>16</v>
      </c>
      <c r="H1586" s="2"/>
      <c r="I1586" s="2" t="s">
        <v>395</v>
      </c>
      <c r="J1586" s="2"/>
      <c r="K1586" s="2" t="s">
        <v>18</v>
      </c>
      <c r="L1586" s="2"/>
    </row>
    <row r="1587">
      <c r="A1587" s="1" t="s">
        <v>1835</v>
      </c>
      <c r="B1587" s="1" t="s">
        <v>1835</v>
      </c>
      <c r="C1587" s="2" t="s">
        <v>1303</v>
      </c>
      <c r="D1587" s="2" t="s">
        <v>1304</v>
      </c>
      <c r="E1587" s="6">
        <v>45962.69668981482</v>
      </c>
      <c r="F1587" s="3" t="s">
        <v>1305</v>
      </c>
      <c r="G1587" s="2" t="s">
        <v>24</v>
      </c>
      <c r="H1587" s="2"/>
      <c r="I1587" s="2"/>
      <c r="J1587" s="2"/>
      <c r="K1587" s="2" t="s">
        <v>18</v>
      </c>
      <c r="L1587" s="2"/>
    </row>
    <row r="1588">
      <c r="A1588" s="8" t="s">
        <v>1836</v>
      </c>
      <c r="B1588" s="8" t="s">
        <v>1836</v>
      </c>
      <c r="C1588" s="2" t="s">
        <v>951</v>
      </c>
      <c r="D1588" s="2" t="s">
        <v>952</v>
      </c>
      <c r="E1588" s="6">
        <v>45962.71791666667</v>
      </c>
      <c r="F1588" s="3" t="s">
        <v>953</v>
      </c>
      <c r="G1588" s="2" t="s">
        <v>24</v>
      </c>
      <c r="H1588" s="2"/>
      <c r="I1588" s="2"/>
      <c r="J1588" s="2"/>
      <c r="K1588" s="2" t="s">
        <v>18</v>
      </c>
      <c r="L1588" s="2"/>
    </row>
    <row r="1589">
      <c r="A1589" s="8" t="s">
        <v>1837</v>
      </c>
      <c r="B1589" s="8" t="s">
        <v>1837</v>
      </c>
      <c r="C1589" s="2" t="s">
        <v>1838</v>
      </c>
      <c r="D1589" s="2" t="s">
        <v>1839</v>
      </c>
      <c r="E1589" s="6">
        <v>45964.364270833335</v>
      </c>
      <c r="F1589" s="3" t="s">
        <v>1840</v>
      </c>
      <c r="G1589" s="2" t="s">
        <v>16</v>
      </c>
      <c r="H1589" s="2"/>
      <c r="I1589" s="2" t="s">
        <v>395</v>
      </c>
      <c r="J1589" s="2"/>
      <c r="K1589" s="2" t="s">
        <v>18</v>
      </c>
      <c r="L1589" s="2"/>
    </row>
    <row r="1590">
      <c r="A1590" s="8" t="s">
        <v>1841</v>
      </c>
      <c r="B1590" s="8" t="s">
        <v>1841</v>
      </c>
      <c r="C1590" s="2" t="s">
        <v>169</v>
      </c>
      <c r="D1590" s="2" t="s">
        <v>170</v>
      </c>
      <c r="E1590" s="6">
        <v>45964.368796296294</v>
      </c>
      <c r="F1590" s="3" t="s">
        <v>171</v>
      </c>
      <c r="G1590" s="2" t="s">
        <v>16</v>
      </c>
      <c r="H1590" s="2"/>
      <c r="I1590" s="2" t="s">
        <v>17</v>
      </c>
      <c r="J1590" s="2"/>
      <c r="K1590" s="2" t="s">
        <v>18</v>
      </c>
      <c r="L1590" s="2"/>
    </row>
    <row r="1591">
      <c r="A1591" s="8" t="s">
        <v>1842</v>
      </c>
      <c r="B1591" s="8" t="s">
        <v>1842</v>
      </c>
      <c r="C1591" s="2" t="s">
        <v>786</v>
      </c>
      <c r="D1591" s="2" t="s">
        <v>787</v>
      </c>
      <c r="E1591" s="6">
        <v>45964.375972222224</v>
      </c>
      <c r="F1591" s="3" t="s">
        <v>788</v>
      </c>
      <c r="G1591" s="2" t="s">
        <v>16</v>
      </c>
      <c r="H1591" s="2"/>
      <c r="I1591" s="2" t="s">
        <v>17</v>
      </c>
      <c r="J1591" s="2"/>
      <c r="K1591" s="2" t="s">
        <v>18</v>
      </c>
      <c r="L1591" s="2"/>
    </row>
    <row r="1592">
      <c r="A1592" s="8" t="s">
        <v>1843</v>
      </c>
      <c r="B1592" s="8" t="s">
        <v>1843</v>
      </c>
      <c r="C1592" s="2" t="s">
        <v>169</v>
      </c>
      <c r="D1592" s="2" t="s">
        <v>170</v>
      </c>
      <c r="E1592" s="6">
        <v>45964.537210648145</v>
      </c>
      <c r="F1592" s="3" t="s">
        <v>1137</v>
      </c>
      <c r="G1592" s="2" t="s">
        <v>24</v>
      </c>
      <c r="H1592" s="2"/>
      <c r="I1592" s="2"/>
      <c r="J1592" s="2"/>
      <c r="K1592" s="2" t="s">
        <v>18</v>
      </c>
      <c r="L1592" s="2"/>
    </row>
    <row r="1593">
      <c r="A1593" s="8" t="s">
        <v>1844</v>
      </c>
      <c r="B1593" s="8" t="s">
        <v>1844</v>
      </c>
      <c r="C1593" s="2" t="s">
        <v>1756</v>
      </c>
      <c r="D1593" s="2" t="s">
        <v>1757</v>
      </c>
      <c r="E1593" s="6">
        <v>45964.60951388889</v>
      </c>
      <c r="F1593" s="3" t="s">
        <v>1758</v>
      </c>
      <c r="G1593" s="2" t="s">
        <v>16</v>
      </c>
      <c r="H1593" s="2"/>
      <c r="I1593" s="2" t="s">
        <v>17</v>
      </c>
      <c r="J1593" s="2"/>
      <c r="K1593" s="2" t="s">
        <v>18</v>
      </c>
      <c r="L1593" s="2"/>
    </row>
    <row r="1594">
      <c r="A1594" s="8" t="s">
        <v>1845</v>
      </c>
      <c r="B1594" s="8" t="s">
        <v>1845</v>
      </c>
      <c r="C1594" s="2" t="s">
        <v>786</v>
      </c>
      <c r="D1594" s="2" t="s">
        <v>787</v>
      </c>
      <c r="E1594" s="6">
        <v>45964.612488425926</v>
      </c>
      <c r="F1594" s="3" t="s">
        <v>788</v>
      </c>
      <c r="G1594" s="2" t="s">
        <v>24</v>
      </c>
      <c r="H1594" s="2"/>
      <c r="I1594" s="2"/>
      <c r="J1594" s="2"/>
      <c r="K1594" s="2" t="s">
        <v>18</v>
      </c>
      <c r="L1594" s="2"/>
    </row>
    <row r="1595">
      <c r="A1595" s="8" t="s">
        <v>1846</v>
      </c>
      <c r="B1595" s="8" t="s">
        <v>1846</v>
      </c>
      <c r="C1595" s="2" t="s">
        <v>49</v>
      </c>
      <c r="D1595" s="2" t="s">
        <v>50</v>
      </c>
      <c r="E1595" s="6">
        <v>45964.613900462966</v>
      </c>
      <c r="F1595" s="3" t="s">
        <v>51</v>
      </c>
      <c r="G1595" s="2" t="s">
        <v>24</v>
      </c>
      <c r="H1595" s="2"/>
      <c r="I1595" s="2"/>
      <c r="J1595" s="2"/>
      <c r="K1595" s="2" t="s">
        <v>18</v>
      </c>
      <c r="L1595" s="2"/>
    </row>
    <row r="1596">
      <c r="A1596" s="8" t="s">
        <v>1847</v>
      </c>
      <c r="B1596" s="8" t="s">
        <v>1847</v>
      </c>
      <c r="C1596" s="2" t="s">
        <v>20</v>
      </c>
      <c r="D1596" s="2" t="s">
        <v>21</v>
      </c>
      <c r="E1596" s="6">
        <v>45964.61487268518</v>
      </c>
      <c r="F1596" s="3" t="s">
        <v>22</v>
      </c>
      <c r="G1596" s="2" t="s">
        <v>24</v>
      </c>
      <c r="H1596" s="2"/>
      <c r="I1596" s="2"/>
      <c r="J1596" s="2"/>
      <c r="K1596" s="2" t="s">
        <v>18</v>
      </c>
      <c r="L1596" s="2"/>
    </row>
    <row r="1597">
      <c r="A1597" s="1"/>
      <c r="B1597" s="1"/>
      <c r="C1597" s="2"/>
      <c r="D1597" s="2"/>
      <c r="E1597" s="6"/>
      <c r="F1597" s="3"/>
      <c r="G1597" s="2"/>
      <c r="H1597" s="2"/>
      <c r="I1597" s="2"/>
      <c r="J1597" s="2"/>
      <c r="K1597" s="2"/>
      <c r="L1597" s="2"/>
    </row>
    <row r="1598">
      <c r="A1598" s="1"/>
      <c r="B1598" s="1"/>
      <c r="C1598" s="2"/>
      <c r="D1598" s="2"/>
      <c r="E1598" s="6"/>
      <c r="F1598" s="3"/>
      <c r="G1598" s="2"/>
      <c r="H1598" s="2"/>
      <c r="I1598" s="2"/>
      <c r="J1598" s="2"/>
      <c r="K1598" s="2"/>
      <c r="L1598" s="2"/>
    </row>
    <row r="1599">
      <c r="A1599" s="8" t="s">
        <v>1848</v>
      </c>
      <c r="B1599" s="8" t="s">
        <v>1848</v>
      </c>
      <c r="C1599" s="2" t="s">
        <v>1756</v>
      </c>
      <c r="D1599" s="2" t="s">
        <v>1757</v>
      </c>
      <c r="E1599" s="6">
        <v>45964.678622685184</v>
      </c>
      <c r="F1599" s="3" t="s">
        <v>1758</v>
      </c>
      <c r="G1599" s="2" t="s">
        <v>24</v>
      </c>
      <c r="H1599" s="2"/>
      <c r="I1599" s="2"/>
      <c r="J1599" s="2"/>
      <c r="K1599" s="2" t="s">
        <v>18</v>
      </c>
      <c r="L1599" s="2"/>
    </row>
    <row r="1600">
      <c r="A1600" s="8" t="s">
        <v>1849</v>
      </c>
      <c r="B1600" s="8" t="s">
        <v>1849</v>
      </c>
      <c r="C1600" s="2" t="s">
        <v>45</v>
      </c>
      <c r="D1600" s="2" t="s">
        <v>46</v>
      </c>
      <c r="E1600" s="6">
        <v>45965.34722222222</v>
      </c>
      <c r="F1600" s="3" t="s">
        <v>47</v>
      </c>
      <c r="G1600" s="2" t="s">
        <v>16</v>
      </c>
      <c r="H1600" s="2"/>
      <c r="I1600" s="2" t="s">
        <v>17</v>
      </c>
      <c r="J1600" s="2"/>
      <c r="K1600" s="2" t="s">
        <v>18</v>
      </c>
      <c r="L1600" s="2"/>
    </row>
    <row r="1601">
      <c r="A1601" s="8" t="s">
        <v>1850</v>
      </c>
      <c r="B1601" s="8" t="s">
        <v>1850</v>
      </c>
      <c r="C1601" s="2" t="s">
        <v>1183</v>
      </c>
      <c r="D1601" s="2" t="s">
        <v>1184</v>
      </c>
      <c r="E1601" s="6">
        <v>45965.35335648148</v>
      </c>
      <c r="F1601" s="3" t="s">
        <v>1185</v>
      </c>
      <c r="G1601" s="2" t="s">
        <v>16</v>
      </c>
      <c r="H1601" s="2"/>
      <c r="I1601" s="2" t="s">
        <v>17</v>
      </c>
      <c r="J1601" s="2"/>
      <c r="K1601" s="2" t="s">
        <v>18</v>
      </c>
      <c r="L1601" s="2"/>
    </row>
    <row r="1602">
      <c r="A1602" s="8" t="s">
        <v>1851</v>
      </c>
      <c r="B1602" s="8" t="s">
        <v>1851</v>
      </c>
      <c r="C1602" s="2" t="s">
        <v>55</v>
      </c>
      <c r="D1602" s="2" t="s">
        <v>56</v>
      </c>
      <c r="E1602" s="6">
        <v>45965.35533564815</v>
      </c>
      <c r="F1602" s="3" t="s">
        <v>57</v>
      </c>
      <c r="G1602" s="2" t="s">
        <v>16</v>
      </c>
      <c r="H1602" s="2"/>
      <c r="I1602" s="2" t="s">
        <v>17</v>
      </c>
      <c r="J1602" s="2"/>
      <c r="K1602" s="2" t="s">
        <v>18</v>
      </c>
      <c r="L1602" s="2"/>
    </row>
    <row r="1603">
      <c r="A1603" s="8" t="s">
        <v>1852</v>
      </c>
      <c r="B1603" s="8" t="s">
        <v>1852</v>
      </c>
      <c r="C1603" s="2" t="s">
        <v>1613</v>
      </c>
      <c r="D1603" s="2" t="s">
        <v>1614</v>
      </c>
      <c r="E1603" s="6">
        <v>45965.37299768518</v>
      </c>
      <c r="F1603" s="3" t="s">
        <v>1615</v>
      </c>
      <c r="G1603" s="2" t="s">
        <v>16</v>
      </c>
      <c r="H1603" s="2"/>
      <c r="I1603" s="2" t="s">
        <v>395</v>
      </c>
      <c r="J1603" s="2"/>
      <c r="K1603" s="2" t="s">
        <v>18</v>
      </c>
      <c r="L1603" s="2"/>
    </row>
    <row r="1604">
      <c r="A1604" s="8" t="s">
        <v>1853</v>
      </c>
      <c r="B1604" s="8" t="s">
        <v>1853</v>
      </c>
      <c r="C1604" s="2" t="s">
        <v>1830</v>
      </c>
      <c r="D1604" s="2" t="s">
        <v>1831</v>
      </c>
      <c r="E1604" s="6">
        <v>45965.37328703704</v>
      </c>
      <c r="F1604" s="3" t="s">
        <v>1832</v>
      </c>
      <c r="G1604" s="2" t="s">
        <v>16</v>
      </c>
      <c r="H1604" s="2"/>
      <c r="I1604" s="2" t="s">
        <v>395</v>
      </c>
      <c r="J1604" s="2"/>
      <c r="K1604" s="2" t="s">
        <v>18</v>
      </c>
      <c r="L1604" s="2"/>
    </row>
    <row r="1605">
      <c r="A1605" s="8" t="s">
        <v>1854</v>
      </c>
      <c r="B1605" s="8" t="s">
        <v>1854</v>
      </c>
      <c r="C1605" s="2" t="s">
        <v>1183</v>
      </c>
      <c r="D1605" s="2" t="s">
        <v>1184</v>
      </c>
      <c r="E1605" s="6">
        <v>45965.405023148145</v>
      </c>
      <c r="F1605" s="3" t="s">
        <v>1185</v>
      </c>
      <c r="G1605" s="2" t="s">
        <v>24</v>
      </c>
      <c r="H1605" s="2"/>
      <c r="I1605" s="2"/>
      <c r="J1605" s="2"/>
      <c r="K1605" s="2" t="s">
        <v>18</v>
      </c>
      <c r="L1605" s="2"/>
    </row>
    <row r="1606">
      <c r="A1606" s="8" t="s">
        <v>1855</v>
      </c>
      <c r="B1606" s="8" t="s">
        <v>1855</v>
      </c>
      <c r="C1606" s="2" t="s">
        <v>55</v>
      </c>
      <c r="D1606" s="2" t="s">
        <v>56</v>
      </c>
      <c r="E1606" s="6">
        <v>45965.40625</v>
      </c>
      <c r="F1606" s="3" t="s">
        <v>57</v>
      </c>
      <c r="G1606" s="2" t="s">
        <v>24</v>
      </c>
      <c r="H1606" s="2"/>
      <c r="I1606" s="2"/>
      <c r="J1606" s="2"/>
      <c r="K1606" s="2" t="s">
        <v>18</v>
      </c>
      <c r="L1606" s="2"/>
    </row>
    <row r="1607">
      <c r="A1607" s="8" t="s">
        <v>1856</v>
      </c>
      <c r="B1607" s="8" t="s">
        <v>1856</v>
      </c>
      <c r="C1607" s="2" t="s">
        <v>45</v>
      </c>
      <c r="D1607" s="2" t="s">
        <v>46</v>
      </c>
      <c r="E1607" s="6">
        <v>45965.434652777774</v>
      </c>
      <c r="F1607" s="3" t="s">
        <v>47</v>
      </c>
      <c r="G1607" s="2" t="s">
        <v>24</v>
      </c>
      <c r="H1607" s="2"/>
      <c r="I1607" s="2"/>
      <c r="J1607" s="2"/>
      <c r="K1607" s="2" t="s">
        <v>18</v>
      </c>
      <c r="L1607" s="2"/>
    </row>
    <row r="1608">
      <c r="A1608" s="8" t="s">
        <v>1857</v>
      </c>
      <c r="B1608" s="8" t="s">
        <v>1857</v>
      </c>
      <c r="C1608" s="2" t="s">
        <v>1587</v>
      </c>
      <c r="D1608" s="2" t="s">
        <v>1588</v>
      </c>
      <c r="E1608" s="6">
        <v>45965.4384375</v>
      </c>
      <c r="F1608" s="3" t="s">
        <v>1589</v>
      </c>
      <c r="G1608" s="2" t="s">
        <v>24</v>
      </c>
      <c r="H1608" s="2"/>
      <c r="I1608" s="2"/>
      <c r="J1608" s="2"/>
      <c r="K1608" s="2" t="s">
        <v>18</v>
      </c>
      <c r="L1608" s="2"/>
    </row>
    <row r="1609">
      <c r="A1609" s="8" t="s">
        <v>1858</v>
      </c>
      <c r="B1609" s="8" t="s">
        <v>1858</v>
      </c>
      <c r="C1609" s="2" t="s">
        <v>1618</v>
      </c>
      <c r="D1609" s="2" t="s">
        <v>1619</v>
      </c>
      <c r="E1609" s="6">
        <v>45965.44012731482</v>
      </c>
      <c r="F1609" s="3" t="s">
        <v>1620</v>
      </c>
      <c r="G1609" s="2" t="s">
        <v>16</v>
      </c>
      <c r="H1609" s="2"/>
      <c r="I1609" s="2" t="s">
        <v>17</v>
      </c>
      <c r="J1609" s="2"/>
      <c r="K1609" s="2" t="s">
        <v>18</v>
      </c>
      <c r="L1609" s="2"/>
    </row>
    <row r="1610">
      <c r="A1610" s="8" t="s">
        <v>1859</v>
      </c>
      <c r="B1610" s="8" t="s">
        <v>1859</v>
      </c>
      <c r="C1610" s="2" t="s">
        <v>1613</v>
      </c>
      <c r="D1610" s="2" t="s">
        <v>1614</v>
      </c>
      <c r="E1610" s="6">
        <v>45965.44664351852</v>
      </c>
      <c r="F1610" s="3" t="s">
        <v>1615</v>
      </c>
      <c r="G1610" s="2" t="s">
        <v>24</v>
      </c>
      <c r="H1610" s="2"/>
      <c r="I1610" s="2"/>
      <c r="J1610" s="2"/>
      <c r="K1610" s="2" t="s">
        <v>18</v>
      </c>
      <c r="L1610" s="2"/>
    </row>
    <row r="1611">
      <c r="A1611" s="8" t="s">
        <v>1860</v>
      </c>
      <c r="B1611" s="8" t="s">
        <v>1860</v>
      </c>
      <c r="C1611" s="2" t="s">
        <v>20</v>
      </c>
      <c r="D1611" s="2" t="s">
        <v>21</v>
      </c>
      <c r="E1611" s="6">
        <v>45965.53481481481</v>
      </c>
      <c r="F1611" s="3" t="s">
        <v>22</v>
      </c>
      <c r="G1611" s="2" t="s">
        <v>16</v>
      </c>
      <c r="H1611" s="2"/>
      <c r="I1611" s="2" t="s">
        <v>17</v>
      </c>
      <c r="J1611" s="2"/>
      <c r="K1611" s="2" t="s">
        <v>18</v>
      </c>
      <c r="L1611" s="2"/>
    </row>
    <row r="1612">
      <c r="A1612" s="8" t="s">
        <v>1861</v>
      </c>
      <c r="B1612" s="8" t="s">
        <v>1861</v>
      </c>
      <c r="C1612" s="2" t="s">
        <v>1618</v>
      </c>
      <c r="D1612" s="2" t="s">
        <v>1619</v>
      </c>
      <c r="E1612" s="6">
        <v>45965.5658912037</v>
      </c>
      <c r="F1612" s="3" t="s">
        <v>1620</v>
      </c>
      <c r="G1612" s="2" t="s">
        <v>24</v>
      </c>
      <c r="H1612" s="2"/>
      <c r="I1612" s="2"/>
      <c r="J1612" s="2"/>
      <c r="K1612" s="2" t="s">
        <v>18</v>
      </c>
      <c r="L1612" s="2"/>
    </row>
    <row r="1613">
      <c r="A1613" s="8" t="s">
        <v>1862</v>
      </c>
      <c r="B1613" s="8" t="s">
        <v>1862</v>
      </c>
      <c r="C1613" s="2" t="s">
        <v>493</v>
      </c>
      <c r="D1613" s="2" t="s">
        <v>494</v>
      </c>
      <c r="E1613" s="6">
        <v>45965.64666666667</v>
      </c>
      <c r="F1613" s="3" t="s">
        <v>495</v>
      </c>
      <c r="G1613" s="2" t="s">
        <v>24</v>
      </c>
      <c r="H1613" s="2"/>
      <c r="I1613" s="2"/>
      <c r="J1613" s="2"/>
      <c r="K1613" s="2" t="s">
        <v>18</v>
      </c>
      <c r="L1613" s="2"/>
    </row>
    <row r="1614">
      <c r="A1614" s="8" t="s">
        <v>1863</v>
      </c>
      <c r="B1614" s="8" t="s">
        <v>1863</v>
      </c>
      <c r="C1614" s="2" t="s">
        <v>1830</v>
      </c>
      <c r="D1614" s="2" t="s">
        <v>1831</v>
      </c>
      <c r="E1614" s="6">
        <v>45965.65189814815</v>
      </c>
      <c r="F1614" s="3" t="s">
        <v>1832</v>
      </c>
      <c r="G1614" s="2" t="s">
        <v>24</v>
      </c>
      <c r="H1614" s="2"/>
      <c r="I1614" s="2"/>
      <c r="J1614" s="2"/>
      <c r="K1614" s="2" t="s">
        <v>18</v>
      </c>
      <c r="L1614" s="2"/>
    </row>
    <row r="1615">
      <c r="A1615" s="8" t="s">
        <v>1864</v>
      </c>
      <c r="B1615" s="8" t="s">
        <v>1864</v>
      </c>
      <c r="C1615" s="2" t="s">
        <v>20</v>
      </c>
      <c r="D1615" s="2" t="s">
        <v>21</v>
      </c>
      <c r="E1615" s="6">
        <v>45965.70097222222</v>
      </c>
      <c r="F1615" s="3" t="s">
        <v>22</v>
      </c>
      <c r="G1615" s="2" t="s">
        <v>24</v>
      </c>
      <c r="H1615" s="2"/>
      <c r="I1615" s="2"/>
      <c r="J1615" s="2"/>
      <c r="K1615" s="2" t="s">
        <v>18</v>
      </c>
      <c r="L1615" s="2"/>
    </row>
    <row r="1616">
      <c r="A1616" s="8" t="s">
        <v>1865</v>
      </c>
      <c r="B1616" s="8" t="s">
        <v>1865</v>
      </c>
      <c r="C1616" s="2" t="s">
        <v>786</v>
      </c>
      <c r="D1616" s="2" t="s">
        <v>787</v>
      </c>
      <c r="E1616" s="6">
        <v>45966.34071759259</v>
      </c>
      <c r="F1616" s="3" t="s">
        <v>788</v>
      </c>
      <c r="G1616" s="2" t="s">
        <v>16</v>
      </c>
      <c r="H1616" s="2"/>
      <c r="I1616" s="2" t="s">
        <v>17</v>
      </c>
      <c r="J1616" s="2"/>
      <c r="K1616" s="2" t="s">
        <v>18</v>
      </c>
      <c r="L1616" s="2"/>
    </row>
    <row r="1617">
      <c r="A1617" s="8" t="s">
        <v>1866</v>
      </c>
      <c r="B1617" s="8" t="s">
        <v>1866</v>
      </c>
      <c r="C1617" s="10" t="s">
        <v>1399</v>
      </c>
      <c r="D1617" s="2" t="s">
        <v>1400</v>
      </c>
      <c r="E1617" s="6">
        <v>45966.34138888889</v>
      </c>
      <c r="F1617" s="3" t="s">
        <v>1401</v>
      </c>
      <c r="G1617" s="2" t="s">
        <v>16</v>
      </c>
      <c r="H1617" s="2"/>
      <c r="I1617" s="2"/>
      <c r="J1617" s="2"/>
      <c r="K1617" s="2" t="s">
        <v>18</v>
      </c>
      <c r="L1617" s="2"/>
    </row>
    <row r="1618">
      <c r="A1618" s="8" t="s">
        <v>1867</v>
      </c>
      <c r="B1618" s="8" t="s">
        <v>1867</v>
      </c>
      <c r="C1618" s="2" t="s">
        <v>1830</v>
      </c>
      <c r="D1618" s="2" t="s">
        <v>1831</v>
      </c>
      <c r="E1618" s="6">
        <v>45966.34097222222</v>
      </c>
      <c r="F1618" s="3" t="s">
        <v>1832</v>
      </c>
      <c r="G1618" s="2" t="s">
        <v>16</v>
      </c>
      <c r="H1618" s="2"/>
      <c r="I1618" s="2" t="s">
        <v>395</v>
      </c>
      <c r="J1618" s="2"/>
      <c r="K1618" s="2" t="s">
        <v>18</v>
      </c>
      <c r="L1618" s="2"/>
    </row>
    <row r="1619">
      <c r="A1619" s="8" t="s">
        <v>1868</v>
      </c>
      <c r="B1619" s="8" t="s">
        <v>1868</v>
      </c>
      <c r="C1619" s="10" t="s">
        <v>1399</v>
      </c>
      <c r="D1619" s="2" t="s">
        <v>1400</v>
      </c>
      <c r="E1619" s="6">
        <v>45966.380833333336</v>
      </c>
      <c r="F1619" s="3" t="s">
        <v>1401</v>
      </c>
      <c r="G1619" s="2" t="s">
        <v>24</v>
      </c>
      <c r="H1619" s="2"/>
      <c r="I1619" s="2"/>
      <c r="J1619" s="2"/>
      <c r="K1619" s="2" t="s">
        <v>18</v>
      </c>
      <c r="L1619" s="2"/>
    </row>
    <row r="1620">
      <c r="A1620" s="8" t="s">
        <v>1869</v>
      </c>
      <c r="B1620" s="8" t="s">
        <v>1869</v>
      </c>
      <c r="C1620" s="2" t="s">
        <v>131</v>
      </c>
      <c r="D1620" s="2" t="s">
        <v>132</v>
      </c>
      <c r="E1620" s="6">
        <v>45966.43099537037</v>
      </c>
      <c r="F1620" s="3" t="s">
        <v>133</v>
      </c>
      <c r="G1620" s="2" t="s">
        <v>16</v>
      </c>
      <c r="H1620" s="2"/>
      <c r="I1620" s="2" t="s">
        <v>17</v>
      </c>
      <c r="J1620" s="2"/>
      <c r="K1620" s="2" t="s">
        <v>18</v>
      </c>
      <c r="L1620" s="2"/>
    </row>
    <row r="1621">
      <c r="A1621" s="8" t="s">
        <v>1870</v>
      </c>
      <c r="B1621" s="8" t="s">
        <v>1870</v>
      </c>
      <c r="C1621" s="2" t="s">
        <v>786</v>
      </c>
      <c r="D1621" s="2" t="s">
        <v>787</v>
      </c>
      <c r="E1621" s="6">
        <v>45966.47116898148</v>
      </c>
      <c r="F1621" s="3" t="s">
        <v>788</v>
      </c>
      <c r="G1621" s="2" t="s">
        <v>24</v>
      </c>
      <c r="H1621" s="2"/>
      <c r="I1621" s="2"/>
      <c r="J1621" s="2"/>
      <c r="K1621" s="2" t="s">
        <v>18</v>
      </c>
      <c r="L1621" s="2"/>
    </row>
    <row r="1622">
      <c r="A1622" s="8" t="s">
        <v>1871</v>
      </c>
      <c r="B1622" s="8" t="s">
        <v>1871</v>
      </c>
      <c r="C1622" s="2" t="s">
        <v>1228</v>
      </c>
      <c r="D1622" s="2" t="s">
        <v>1229</v>
      </c>
      <c r="E1622" s="6">
        <v>45966.49491898148</v>
      </c>
      <c r="F1622" s="3" t="s">
        <v>1230</v>
      </c>
      <c r="G1622" s="2" t="s">
        <v>16</v>
      </c>
      <c r="H1622" s="2"/>
      <c r="I1622" s="2" t="s">
        <v>17</v>
      </c>
      <c r="J1622" s="2"/>
      <c r="K1622" s="2" t="s">
        <v>18</v>
      </c>
      <c r="L1622" s="2"/>
    </row>
    <row r="1623">
      <c r="A1623" s="8" t="s">
        <v>1872</v>
      </c>
      <c r="B1623" s="8" t="s">
        <v>1872</v>
      </c>
      <c r="C1623" s="2" t="s">
        <v>1873</v>
      </c>
      <c r="D1623" s="2" t="s">
        <v>1874</v>
      </c>
      <c r="E1623" s="6">
        <v>45966.497152777774</v>
      </c>
      <c r="F1623" s="3" t="s">
        <v>1875</v>
      </c>
      <c r="G1623" s="2" t="s">
        <v>16</v>
      </c>
      <c r="H1623" s="2"/>
      <c r="I1623" s="2" t="s">
        <v>17</v>
      </c>
      <c r="J1623" s="2"/>
      <c r="K1623" s="2" t="s">
        <v>18</v>
      </c>
      <c r="L1623" s="2"/>
    </row>
    <row r="1624">
      <c r="A1624" s="8" t="s">
        <v>1876</v>
      </c>
      <c r="B1624" s="8" t="s">
        <v>1876</v>
      </c>
      <c r="C1624" s="2" t="s">
        <v>131</v>
      </c>
      <c r="D1624" s="2" t="s">
        <v>132</v>
      </c>
      <c r="E1624" s="6">
        <v>45966.50678240741</v>
      </c>
      <c r="F1624" s="3" t="s">
        <v>133</v>
      </c>
      <c r="G1624" s="2" t="s">
        <v>24</v>
      </c>
      <c r="H1624" s="2"/>
      <c r="I1624" s="2"/>
      <c r="J1624" s="2"/>
      <c r="K1624" s="2" t="s">
        <v>18</v>
      </c>
      <c r="L1624" s="2"/>
    </row>
    <row r="1625">
      <c r="A1625" s="8" t="s">
        <v>1877</v>
      </c>
      <c r="B1625" s="8" t="s">
        <v>1877</v>
      </c>
      <c r="C1625" s="2" t="s">
        <v>131</v>
      </c>
      <c r="D1625" s="2" t="s">
        <v>132</v>
      </c>
      <c r="E1625" s="6">
        <v>45961.603472222225</v>
      </c>
      <c r="F1625" s="3" t="s">
        <v>133</v>
      </c>
      <c r="G1625" s="2" t="s">
        <v>24</v>
      </c>
      <c r="H1625" s="2"/>
      <c r="I1625" s="2"/>
      <c r="J1625" s="2"/>
      <c r="K1625" s="2" t="s">
        <v>18</v>
      </c>
      <c r="L1625" s="2"/>
    </row>
    <row r="1626">
      <c r="A1626" s="8" t="s">
        <v>1878</v>
      </c>
      <c r="B1626" s="8" t="s">
        <v>1878</v>
      </c>
      <c r="C1626" s="2" t="s">
        <v>326</v>
      </c>
      <c r="D1626" s="2" t="s">
        <v>327</v>
      </c>
      <c r="E1626" s="6">
        <v>45966.568761574075</v>
      </c>
      <c r="F1626" s="3" t="s">
        <v>328</v>
      </c>
      <c r="G1626" s="2" t="s">
        <v>24</v>
      </c>
      <c r="H1626" s="2"/>
      <c r="I1626" s="2"/>
      <c r="J1626" s="2"/>
      <c r="K1626" s="2" t="s">
        <v>18</v>
      </c>
      <c r="L1626" s="2"/>
    </row>
    <row r="1627">
      <c r="A1627" s="8" t="s">
        <v>1879</v>
      </c>
      <c r="B1627" s="8" t="s">
        <v>1879</v>
      </c>
      <c r="C1627" s="2" t="s">
        <v>1830</v>
      </c>
      <c r="D1627" s="2" t="s">
        <v>1831</v>
      </c>
      <c r="E1627" s="6">
        <v>45966.56951388889</v>
      </c>
      <c r="F1627" s="3" t="s">
        <v>1832</v>
      </c>
      <c r="G1627" s="2" t="s">
        <v>24</v>
      </c>
      <c r="H1627" s="2"/>
      <c r="I1627" s="2"/>
      <c r="J1627" s="2"/>
      <c r="K1627" s="2" t="s">
        <v>18</v>
      </c>
      <c r="L1627" s="2"/>
    </row>
    <row r="1628">
      <c r="A1628" s="8" t="s">
        <v>1880</v>
      </c>
      <c r="B1628" s="8" t="s">
        <v>1880</v>
      </c>
      <c r="C1628" s="2" t="s">
        <v>131</v>
      </c>
      <c r="D1628" s="2" t="s">
        <v>132</v>
      </c>
      <c r="E1628" s="6">
        <v>45966.658680555556</v>
      </c>
      <c r="F1628" s="3" t="s">
        <v>133</v>
      </c>
      <c r="G1628" s="2" t="s">
        <v>16</v>
      </c>
      <c r="H1628" s="2"/>
      <c r="I1628" s="2" t="s">
        <v>17</v>
      </c>
      <c r="J1628" s="2"/>
      <c r="K1628" s="2" t="s">
        <v>18</v>
      </c>
      <c r="L1628" s="2"/>
    </row>
    <row r="1629">
      <c r="A1629" s="8" t="s">
        <v>1881</v>
      </c>
      <c r="B1629" s="8" t="s">
        <v>1881</v>
      </c>
      <c r="C1629" s="2" t="s">
        <v>1228</v>
      </c>
      <c r="D1629" s="2" t="s">
        <v>1229</v>
      </c>
      <c r="E1629" s="6">
        <v>45966.694560185184</v>
      </c>
      <c r="F1629" s="3" t="s">
        <v>1230</v>
      </c>
      <c r="G1629" s="2" t="s">
        <v>24</v>
      </c>
      <c r="H1629" s="2"/>
      <c r="I1629" s="2"/>
      <c r="J1629" s="2"/>
      <c r="K1629" s="2" t="s">
        <v>18</v>
      </c>
      <c r="L1629" s="2"/>
    </row>
    <row r="1630">
      <c r="A1630" s="1"/>
      <c r="B1630" s="1"/>
      <c r="C1630" s="2"/>
      <c r="D1630" s="2"/>
      <c r="E1630" s="6"/>
      <c r="F1630" s="3"/>
      <c r="G1630" s="2"/>
      <c r="H1630" s="2"/>
      <c r="I1630" s="2"/>
      <c r="J1630" s="2"/>
      <c r="K1630" s="2"/>
      <c r="L1630" s="2"/>
    </row>
    <row r="1631">
      <c r="A1631" s="8" t="s">
        <v>1882</v>
      </c>
      <c r="B1631" s="8" t="s">
        <v>1882</v>
      </c>
      <c r="C1631" s="2" t="s">
        <v>786</v>
      </c>
      <c r="D1631" s="2" t="s">
        <v>787</v>
      </c>
      <c r="E1631" s="6">
        <v>45967.34722222222</v>
      </c>
      <c r="F1631" s="3" t="s">
        <v>788</v>
      </c>
      <c r="G1631" s="2" t="s">
        <v>16</v>
      </c>
      <c r="H1631" s="2"/>
      <c r="I1631" s="2" t="s">
        <v>17</v>
      </c>
      <c r="J1631" s="2"/>
      <c r="K1631" s="2" t="s">
        <v>18</v>
      </c>
      <c r="L1631" s="2"/>
    </row>
    <row r="1632">
      <c r="A1632" s="8" t="s">
        <v>1883</v>
      </c>
      <c r="B1632" s="8" t="s">
        <v>1883</v>
      </c>
      <c r="C1632" s="2" t="s">
        <v>45</v>
      </c>
      <c r="D1632" s="2" t="s">
        <v>46</v>
      </c>
      <c r="E1632" s="6">
        <v>45967.34166666667</v>
      </c>
      <c r="F1632" s="3" t="s">
        <v>47</v>
      </c>
      <c r="G1632" s="2" t="s">
        <v>16</v>
      </c>
      <c r="H1632" s="2"/>
      <c r="I1632" s="2" t="s">
        <v>17</v>
      </c>
      <c r="J1632" s="2"/>
      <c r="K1632" s="2" t="s">
        <v>18</v>
      </c>
      <c r="L1632" s="2"/>
    </row>
    <row r="1633">
      <c r="A1633" s="8" t="s">
        <v>1884</v>
      </c>
      <c r="B1633" s="8" t="s">
        <v>1884</v>
      </c>
      <c r="C1633" s="2" t="s">
        <v>943</v>
      </c>
      <c r="D1633" s="2" t="s">
        <v>944</v>
      </c>
      <c r="E1633" s="6">
        <v>45967.357465277775</v>
      </c>
      <c r="F1633" s="3" t="s">
        <v>945</v>
      </c>
      <c r="G1633" s="2" t="s">
        <v>16</v>
      </c>
      <c r="H1633" s="2"/>
      <c r="I1633" s="2" t="s">
        <v>395</v>
      </c>
      <c r="J1633" s="2"/>
      <c r="K1633" s="2" t="s">
        <v>18</v>
      </c>
      <c r="L1633" s="2"/>
    </row>
    <row r="1634">
      <c r="A1634" s="8" t="s">
        <v>1885</v>
      </c>
      <c r="B1634" s="8" t="s">
        <v>1885</v>
      </c>
      <c r="C1634" s="2" t="s">
        <v>786</v>
      </c>
      <c r="D1634" s="2" t="s">
        <v>787</v>
      </c>
      <c r="E1634" s="6">
        <v>45967.51391203704</v>
      </c>
      <c r="F1634" s="3" t="s">
        <v>788</v>
      </c>
      <c r="G1634" s="2" t="s">
        <v>24</v>
      </c>
      <c r="H1634" s="2"/>
      <c r="I1634" s="2"/>
      <c r="J1634" s="2"/>
      <c r="K1634" s="2" t="s">
        <v>18</v>
      </c>
      <c r="L1634" s="2"/>
    </row>
    <row r="1635">
      <c r="A1635" s="8" t="s">
        <v>1886</v>
      </c>
      <c r="B1635" s="8" t="s">
        <v>1886</v>
      </c>
      <c r="C1635" s="2" t="s">
        <v>49</v>
      </c>
      <c r="D1635" s="2" t="s">
        <v>50</v>
      </c>
      <c r="E1635" s="6">
        <v>45967.51675925926</v>
      </c>
      <c r="F1635" s="3" t="s">
        <v>51</v>
      </c>
      <c r="G1635" s="2" t="s">
        <v>16</v>
      </c>
      <c r="H1635" s="2"/>
      <c r="I1635" s="2" t="s">
        <v>395</v>
      </c>
      <c r="J1635" s="2"/>
      <c r="K1635" s="2" t="s">
        <v>18</v>
      </c>
      <c r="L1635" s="2"/>
    </row>
    <row r="1636">
      <c r="A1636" s="1"/>
      <c r="B1636" s="1"/>
      <c r="C1636" s="2"/>
      <c r="D1636" s="2"/>
      <c r="E1636" s="6"/>
      <c r="F1636" s="3"/>
      <c r="G1636" s="2"/>
      <c r="H1636" s="2"/>
      <c r="I1636" s="2"/>
      <c r="J1636" s="2"/>
      <c r="K1636" s="2"/>
      <c r="L1636" s="2"/>
    </row>
    <row r="1637">
      <c r="A1637" s="8" t="s">
        <v>1887</v>
      </c>
      <c r="B1637" s="8" t="s">
        <v>1887</v>
      </c>
      <c r="C1637" s="2" t="s">
        <v>20</v>
      </c>
      <c r="D1637" s="2" t="s">
        <v>21</v>
      </c>
      <c r="E1637" s="6">
        <v>45967.526504629626</v>
      </c>
      <c r="F1637" s="3" t="s">
        <v>22</v>
      </c>
      <c r="G1637" s="2" t="s">
        <v>16</v>
      </c>
      <c r="H1637" s="2"/>
      <c r="I1637" s="2" t="s">
        <v>17</v>
      </c>
      <c r="J1637" s="2"/>
      <c r="K1637" s="2" t="s">
        <v>18</v>
      </c>
      <c r="L1637" s="2"/>
    </row>
    <row r="1638">
      <c r="A1638" s="1"/>
      <c r="B1638" s="1"/>
      <c r="C1638" s="2"/>
      <c r="D1638" s="2"/>
      <c r="E1638" s="6"/>
      <c r="F1638" s="3"/>
      <c r="G1638" s="2"/>
      <c r="H1638" s="2"/>
      <c r="I1638" s="2"/>
      <c r="J1638" s="2"/>
      <c r="K1638" s="2"/>
      <c r="L1638" s="2"/>
    </row>
    <row r="1639">
      <c r="A1639" s="8" t="s">
        <v>1888</v>
      </c>
      <c r="B1639" s="8" t="s">
        <v>1888</v>
      </c>
      <c r="C1639" s="2" t="s">
        <v>1889</v>
      </c>
      <c r="D1639" s="2" t="s">
        <v>1890</v>
      </c>
      <c r="E1639" s="6">
        <v>45967.55252314815</v>
      </c>
      <c r="F1639" s="3" t="s">
        <v>1891</v>
      </c>
      <c r="G1639" s="2" t="s">
        <v>16</v>
      </c>
      <c r="H1639" s="2"/>
      <c r="I1639" s="2" t="s">
        <v>395</v>
      </c>
      <c r="J1639" s="2"/>
      <c r="K1639" s="2" t="s">
        <v>18</v>
      </c>
      <c r="L1639" s="2"/>
    </row>
    <row r="1640">
      <c r="A1640" s="8" t="s">
        <v>1892</v>
      </c>
      <c r="B1640" s="8" t="s">
        <v>1892</v>
      </c>
      <c r="C1640" s="2" t="s">
        <v>1756</v>
      </c>
      <c r="D1640" s="2" t="s">
        <v>1757</v>
      </c>
      <c r="E1640" s="6">
        <v>45967.58736111111</v>
      </c>
      <c r="F1640" s="3" t="s">
        <v>1758</v>
      </c>
      <c r="G1640" s="2" t="s">
        <v>16</v>
      </c>
      <c r="H1640" s="2"/>
      <c r="I1640" s="2" t="s">
        <v>17</v>
      </c>
      <c r="J1640" s="2"/>
      <c r="K1640" s="2" t="s">
        <v>18</v>
      </c>
      <c r="L1640" s="2"/>
    </row>
    <row r="1641">
      <c r="A1641" s="8" t="s">
        <v>1893</v>
      </c>
      <c r="B1641" s="8" t="s">
        <v>1893</v>
      </c>
      <c r="C1641" s="2" t="s">
        <v>1830</v>
      </c>
      <c r="D1641" s="2" t="s">
        <v>1831</v>
      </c>
      <c r="E1641" s="6">
        <v>45967.58876157407</v>
      </c>
      <c r="F1641" s="3" t="s">
        <v>1832</v>
      </c>
      <c r="G1641" s="2" t="s">
        <v>16</v>
      </c>
      <c r="H1641" s="2"/>
      <c r="I1641" s="2" t="s">
        <v>395</v>
      </c>
      <c r="J1641" s="2"/>
      <c r="K1641" s="2" t="s">
        <v>18</v>
      </c>
      <c r="L1641" s="2"/>
    </row>
    <row r="1642">
      <c r="A1642" s="8" t="s">
        <v>1894</v>
      </c>
      <c r="B1642" s="8" t="s">
        <v>1894</v>
      </c>
      <c r="C1642" s="2" t="s">
        <v>45</v>
      </c>
      <c r="D1642" s="2" t="s">
        <v>46</v>
      </c>
      <c r="E1642" s="6">
        <v>45967.606828703705</v>
      </c>
      <c r="F1642" s="3" t="s">
        <v>47</v>
      </c>
      <c r="G1642" s="2" t="s">
        <v>24</v>
      </c>
      <c r="H1642" s="2"/>
      <c r="I1642" s="2"/>
      <c r="J1642" s="2"/>
      <c r="K1642" s="2" t="s">
        <v>18</v>
      </c>
      <c r="L1642" s="2"/>
    </row>
    <row r="1643">
      <c r="A1643" s="8" t="s">
        <v>1895</v>
      </c>
      <c r="B1643" s="8" t="s">
        <v>1895</v>
      </c>
      <c r="C1643" s="2" t="s">
        <v>943</v>
      </c>
      <c r="D1643" s="2" t="s">
        <v>944</v>
      </c>
      <c r="E1643" s="6">
        <v>45967.61241898148</v>
      </c>
      <c r="F1643" s="3" t="s">
        <v>945</v>
      </c>
      <c r="G1643" s="2" t="s">
        <v>24</v>
      </c>
      <c r="H1643" s="2"/>
      <c r="I1643" s="2"/>
      <c r="J1643" s="2"/>
      <c r="K1643" s="2" t="s">
        <v>18</v>
      </c>
      <c r="L1643" s="2"/>
    </row>
    <row r="1644">
      <c r="A1644" s="8" t="s">
        <v>1896</v>
      </c>
      <c r="B1644" s="8" t="s">
        <v>1896</v>
      </c>
      <c r="C1644" s="2" t="s">
        <v>49</v>
      </c>
      <c r="D1644" s="2" t="s">
        <v>50</v>
      </c>
      <c r="E1644" s="6">
        <v>45967.615069444444</v>
      </c>
      <c r="F1644" s="3" t="s">
        <v>51</v>
      </c>
      <c r="G1644" s="2" t="s">
        <v>24</v>
      </c>
      <c r="H1644" s="2"/>
      <c r="I1644" s="2"/>
      <c r="J1644" s="2"/>
      <c r="K1644" s="2" t="s">
        <v>18</v>
      </c>
      <c r="L1644" s="2"/>
    </row>
    <row r="1645">
      <c r="A1645" s="8" t="s">
        <v>1897</v>
      </c>
      <c r="B1645" s="8" t="s">
        <v>1897</v>
      </c>
      <c r="C1645" s="2" t="s">
        <v>20</v>
      </c>
      <c r="D1645" s="2" t="s">
        <v>21</v>
      </c>
      <c r="E1645" s="6">
        <v>45967.6156712963</v>
      </c>
      <c r="F1645" s="3" t="s">
        <v>22</v>
      </c>
      <c r="G1645" s="2" t="s">
        <v>24</v>
      </c>
      <c r="H1645" s="2"/>
      <c r="I1645" s="2"/>
      <c r="J1645" s="2"/>
      <c r="K1645" s="2" t="s">
        <v>18</v>
      </c>
      <c r="L1645" s="2"/>
    </row>
    <row r="1646">
      <c r="A1646" s="8" t="s">
        <v>1898</v>
      </c>
      <c r="B1646" s="8" t="s">
        <v>1898</v>
      </c>
      <c r="C1646" s="2" t="s">
        <v>1756</v>
      </c>
      <c r="D1646" s="2" t="s">
        <v>1757</v>
      </c>
      <c r="E1646" s="6">
        <v>45967.692824074074</v>
      </c>
      <c r="F1646" s="3" t="s">
        <v>1758</v>
      </c>
      <c r="G1646" s="2" t="s">
        <v>24</v>
      </c>
      <c r="H1646" s="2"/>
      <c r="I1646" s="2"/>
      <c r="J1646" s="2"/>
      <c r="K1646" s="2" t="s">
        <v>18</v>
      </c>
      <c r="L1646" s="2"/>
    </row>
    <row r="1647">
      <c r="A1647" s="8" t="s">
        <v>1899</v>
      </c>
      <c r="B1647" s="8" t="s">
        <v>1899</v>
      </c>
      <c r="C1647" s="2" t="s">
        <v>1830</v>
      </c>
      <c r="D1647" s="2" t="s">
        <v>1831</v>
      </c>
      <c r="E1647" s="6">
        <v>45967.71277777778</v>
      </c>
      <c r="F1647" s="3" t="s">
        <v>1832</v>
      </c>
      <c r="G1647" s="2" t="s">
        <v>24</v>
      </c>
      <c r="H1647" s="2"/>
      <c r="I1647" s="2"/>
      <c r="J1647" s="2"/>
      <c r="K1647" s="2" t="s">
        <v>18</v>
      </c>
      <c r="L1647" s="2"/>
    </row>
    <row r="1648">
      <c r="A1648" s="8" t="s">
        <v>1900</v>
      </c>
      <c r="B1648" s="8" t="s">
        <v>1900</v>
      </c>
      <c r="C1648" s="2" t="s">
        <v>786</v>
      </c>
      <c r="D1648" s="2" t="s">
        <v>787</v>
      </c>
      <c r="E1648" s="6">
        <v>45968.39582175926</v>
      </c>
      <c r="F1648" s="3" t="s">
        <v>788</v>
      </c>
      <c r="G1648" s="2" t="s">
        <v>16</v>
      </c>
      <c r="H1648" s="2"/>
      <c r="I1648" s="2" t="s">
        <v>17</v>
      </c>
      <c r="J1648" s="2"/>
      <c r="K1648" s="2" t="s">
        <v>18</v>
      </c>
      <c r="L1648" s="2"/>
    </row>
    <row r="1649">
      <c r="A1649" s="8" t="s">
        <v>1901</v>
      </c>
      <c r="B1649" s="8" t="s">
        <v>1901</v>
      </c>
      <c r="C1649" s="2" t="s">
        <v>131</v>
      </c>
      <c r="D1649" s="2" t="s">
        <v>132</v>
      </c>
      <c r="E1649" s="6">
        <v>45968.549375</v>
      </c>
      <c r="F1649" s="3" t="s">
        <v>133</v>
      </c>
      <c r="G1649" s="2" t="s">
        <v>24</v>
      </c>
      <c r="H1649" s="2"/>
      <c r="I1649" s="2"/>
      <c r="J1649" s="2"/>
      <c r="K1649" s="2" t="s">
        <v>18</v>
      </c>
      <c r="L1649" s="2"/>
    </row>
    <row r="1650">
      <c r="A1650" s="8" t="s">
        <v>1902</v>
      </c>
      <c r="B1650" s="8" t="s">
        <v>1902</v>
      </c>
      <c r="C1650" s="2" t="s">
        <v>786</v>
      </c>
      <c r="D1650" s="2" t="s">
        <v>787</v>
      </c>
      <c r="E1650" s="6">
        <v>45968.550462962965</v>
      </c>
      <c r="F1650" s="3" t="s">
        <v>788</v>
      </c>
      <c r="G1650" s="2" t="s">
        <v>24</v>
      </c>
      <c r="H1650" s="2"/>
      <c r="I1650" s="2"/>
      <c r="J1650" s="2"/>
      <c r="K1650" s="2" t="s">
        <v>18</v>
      </c>
      <c r="L1650" s="2"/>
    </row>
    <row r="1651">
      <c r="A1651" s="8" t="s">
        <v>1903</v>
      </c>
      <c r="B1651" s="8" t="s">
        <v>1903</v>
      </c>
      <c r="C1651" s="2" t="s">
        <v>1904</v>
      </c>
      <c r="D1651" s="2" t="s">
        <v>1905</v>
      </c>
      <c r="E1651" s="6">
        <v>45968.60333333333</v>
      </c>
      <c r="F1651" s="3" t="s">
        <v>1906</v>
      </c>
      <c r="G1651" s="2" t="s">
        <v>16</v>
      </c>
      <c r="H1651" s="2"/>
      <c r="I1651" s="2" t="s">
        <v>17</v>
      </c>
      <c r="J1651" s="2"/>
      <c r="K1651" s="2" t="s">
        <v>18</v>
      </c>
      <c r="L1651" s="2"/>
    </row>
    <row r="1652">
      <c r="A1652" s="8" t="s">
        <v>1907</v>
      </c>
      <c r="B1652" s="8" t="s">
        <v>1907</v>
      </c>
      <c r="C1652" s="2" t="s">
        <v>1613</v>
      </c>
      <c r="D1652" s="2" t="s">
        <v>1614</v>
      </c>
      <c r="E1652" s="6">
        <v>45968.668761574074</v>
      </c>
      <c r="F1652" s="3" t="s">
        <v>1615</v>
      </c>
      <c r="G1652" s="2" t="s">
        <v>16</v>
      </c>
      <c r="H1652" s="2"/>
      <c r="I1652" s="2" t="s">
        <v>17</v>
      </c>
      <c r="J1652" s="2"/>
      <c r="K1652" s="2" t="s">
        <v>18</v>
      </c>
      <c r="L1652" s="2"/>
    </row>
    <row r="1653">
      <c r="A1653" s="8" t="s">
        <v>1908</v>
      </c>
      <c r="B1653" s="8" t="s">
        <v>1908</v>
      </c>
      <c r="C1653" s="2" t="s">
        <v>1873</v>
      </c>
      <c r="D1653" s="2" t="s">
        <v>1874</v>
      </c>
      <c r="E1653" s="6">
        <v>45969.34925925926</v>
      </c>
      <c r="F1653" s="3" t="s">
        <v>1875</v>
      </c>
      <c r="G1653" s="2" t="s">
        <v>16</v>
      </c>
      <c r="H1653" s="2"/>
      <c r="I1653" s="2" t="s">
        <v>395</v>
      </c>
      <c r="J1653" s="2"/>
      <c r="K1653" s="2" t="s">
        <v>18</v>
      </c>
      <c r="L1653" s="2"/>
    </row>
    <row r="1654">
      <c r="A1654" s="8" t="s">
        <v>1909</v>
      </c>
      <c r="B1654" s="8" t="s">
        <v>1909</v>
      </c>
      <c r="C1654" s="2" t="s">
        <v>1613</v>
      </c>
      <c r="D1654" s="2" t="s">
        <v>1614</v>
      </c>
      <c r="E1654" s="6">
        <v>45969.352002314816</v>
      </c>
      <c r="F1654" s="3" t="s">
        <v>1615</v>
      </c>
      <c r="G1654" s="2" t="s">
        <v>24</v>
      </c>
      <c r="H1654" s="2"/>
      <c r="I1654" s="2"/>
      <c r="J1654" s="2"/>
      <c r="K1654" s="2" t="s">
        <v>18</v>
      </c>
      <c r="L1654" s="2"/>
    </row>
    <row r="1655">
      <c r="A1655" s="8" t="s">
        <v>1910</v>
      </c>
      <c r="B1655" s="8" t="s">
        <v>1910</v>
      </c>
      <c r="C1655" s="2" t="s">
        <v>786</v>
      </c>
      <c r="D1655" s="2" t="s">
        <v>787</v>
      </c>
      <c r="E1655" s="6">
        <v>45969.465092592596</v>
      </c>
      <c r="F1655" s="3" t="s">
        <v>788</v>
      </c>
      <c r="G1655" s="2" t="s">
        <v>16</v>
      </c>
      <c r="H1655" s="2"/>
      <c r="I1655" s="2" t="s">
        <v>17</v>
      </c>
      <c r="J1655" s="2"/>
      <c r="K1655" s="2" t="s">
        <v>18</v>
      </c>
      <c r="L1655" s="2"/>
    </row>
    <row r="1656">
      <c r="A1656" s="8" t="s">
        <v>1911</v>
      </c>
      <c r="B1656" s="8" t="s">
        <v>1911</v>
      </c>
      <c r="C1656" s="2" t="s">
        <v>1745</v>
      </c>
      <c r="D1656" s="2" t="s">
        <v>1746</v>
      </c>
      <c r="E1656" s="6">
        <v>45969.47990740741</v>
      </c>
      <c r="F1656" s="3" t="s">
        <v>1747</v>
      </c>
      <c r="G1656" s="2" t="s">
        <v>16</v>
      </c>
      <c r="H1656" s="2"/>
      <c r="I1656" s="2" t="s">
        <v>395</v>
      </c>
      <c r="J1656" s="2"/>
      <c r="K1656" s="2" t="s">
        <v>18</v>
      </c>
      <c r="L1656" s="2"/>
    </row>
    <row r="1657">
      <c r="A1657" s="8" t="s">
        <v>1912</v>
      </c>
      <c r="B1657" s="8" t="s">
        <v>1912</v>
      </c>
      <c r="C1657" s="2" t="s">
        <v>904</v>
      </c>
      <c r="D1657" s="2" t="s">
        <v>905</v>
      </c>
      <c r="E1657" s="6">
        <v>45969.48795138889</v>
      </c>
      <c r="F1657" s="3" t="s">
        <v>906</v>
      </c>
      <c r="G1657" s="2" t="s">
        <v>24</v>
      </c>
      <c r="H1657" s="2"/>
      <c r="I1657" s="2"/>
      <c r="J1657" s="2"/>
      <c r="K1657" s="2" t="s">
        <v>18</v>
      </c>
      <c r="L1657" s="2"/>
    </row>
    <row r="1658">
      <c r="A1658" s="8" t="s">
        <v>1913</v>
      </c>
      <c r="B1658" s="8" t="s">
        <v>1913</v>
      </c>
      <c r="C1658" s="2" t="s">
        <v>786</v>
      </c>
      <c r="D1658" s="2" t="s">
        <v>787</v>
      </c>
      <c r="E1658" s="6">
        <v>45969.61</v>
      </c>
      <c r="F1658" s="3" t="s">
        <v>788</v>
      </c>
      <c r="G1658" s="2" t="s">
        <v>24</v>
      </c>
      <c r="H1658" s="2"/>
      <c r="I1658" s="2"/>
      <c r="J1658" s="2"/>
      <c r="K1658" s="2" t="s">
        <v>18</v>
      </c>
      <c r="L1658" s="2"/>
    </row>
    <row r="1659">
      <c r="A1659" s="8" t="s">
        <v>1914</v>
      </c>
      <c r="B1659" s="8" t="s">
        <v>1914</v>
      </c>
      <c r="C1659" s="2" t="s">
        <v>1873</v>
      </c>
      <c r="D1659" s="2" t="s">
        <v>1874</v>
      </c>
      <c r="E1659" s="6">
        <v>45969.6112037037</v>
      </c>
      <c r="F1659" s="3" t="s">
        <v>1875</v>
      </c>
      <c r="G1659" s="2" t="s">
        <v>24</v>
      </c>
      <c r="H1659" s="2"/>
      <c r="I1659" s="2"/>
      <c r="J1659" s="2"/>
      <c r="K1659" s="2" t="s">
        <v>18</v>
      </c>
      <c r="L1659" s="2"/>
    </row>
    <row r="1660">
      <c r="A1660" s="8" t="s">
        <v>1915</v>
      </c>
      <c r="B1660" s="8" t="s">
        <v>1915</v>
      </c>
      <c r="C1660" s="2" t="s">
        <v>1745</v>
      </c>
      <c r="D1660" s="2" t="s">
        <v>1746</v>
      </c>
      <c r="E1660" s="6">
        <v>45969.63728009259</v>
      </c>
      <c r="F1660" s="3" t="s">
        <v>1747</v>
      </c>
      <c r="G1660" s="2" t="s">
        <v>24</v>
      </c>
      <c r="H1660" s="2"/>
      <c r="I1660" s="2"/>
      <c r="J1660" s="2"/>
      <c r="K1660" s="2" t="s">
        <v>18</v>
      </c>
      <c r="L1660" s="2"/>
    </row>
    <row r="1661">
      <c r="A1661" s="8" t="s">
        <v>1916</v>
      </c>
      <c r="B1661" s="8" t="s">
        <v>1916</v>
      </c>
      <c r="C1661" s="2" t="s">
        <v>1830</v>
      </c>
      <c r="D1661" s="2" t="s">
        <v>1831</v>
      </c>
      <c r="E1661" s="6">
        <v>45971.35695601852</v>
      </c>
      <c r="F1661" s="3" t="s">
        <v>1832</v>
      </c>
      <c r="G1661" s="2" t="s">
        <v>16</v>
      </c>
      <c r="H1661" s="2"/>
      <c r="I1661" s="2" t="s">
        <v>395</v>
      </c>
      <c r="J1661" s="2"/>
      <c r="K1661" s="2" t="s">
        <v>18</v>
      </c>
      <c r="L1661" s="2"/>
    </row>
    <row r="1662">
      <c r="A1662" s="8" t="s">
        <v>1917</v>
      </c>
      <c r="B1662" s="8" t="s">
        <v>1917</v>
      </c>
      <c r="C1662" s="2" t="s">
        <v>131</v>
      </c>
      <c r="D1662" s="2" t="s">
        <v>132</v>
      </c>
      <c r="E1662" s="6">
        <v>45971.36813657408</v>
      </c>
      <c r="F1662" s="3" t="s">
        <v>133</v>
      </c>
      <c r="G1662" s="2" t="s">
        <v>159</v>
      </c>
      <c r="H1662" s="2"/>
      <c r="I1662" s="2"/>
      <c r="J1662" s="2"/>
      <c r="K1662" s="2" t="s">
        <v>18</v>
      </c>
      <c r="L1662" s="2"/>
    </row>
    <row r="1663">
      <c r="A1663" s="8" t="s">
        <v>1918</v>
      </c>
      <c r="B1663" s="8" t="s">
        <v>1918</v>
      </c>
      <c r="C1663" s="2" t="s">
        <v>1705</v>
      </c>
      <c r="D1663" s="2" t="s">
        <v>1706</v>
      </c>
      <c r="E1663" s="6">
        <v>45971.38550925926</v>
      </c>
      <c r="F1663" s="3" t="s">
        <v>1707</v>
      </c>
      <c r="G1663" s="2" t="s">
        <v>16</v>
      </c>
      <c r="H1663" s="2"/>
      <c r="I1663" s="2" t="s">
        <v>17</v>
      </c>
      <c r="J1663" s="2"/>
      <c r="K1663" s="2" t="s">
        <v>18</v>
      </c>
      <c r="L1663" s="2"/>
    </row>
    <row r="1664">
      <c r="A1664" s="8" t="s">
        <v>1919</v>
      </c>
      <c r="B1664" s="8" t="s">
        <v>1919</v>
      </c>
      <c r="C1664" s="2" t="s">
        <v>131</v>
      </c>
      <c r="D1664" s="2" t="s">
        <v>132</v>
      </c>
      <c r="E1664" s="6">
        <v>45971.389560185184</v>
      </c>
      <c r="F1664" s="3" t="s">
        <v>133</v>
      </c>
      <c r="G1664" s="2" t="s">
        <v>24</v>
      </c>
      <c r="H1664" s="2"/>
      <c r="I1664" s="2"/>
      <c r="J1664" s="2"/>
      <c r="K1664" s="2" t="s">
        <v>18</v>
      </c>
      <c r="L1664" s="2"/>
    </row>
    <row r="1665">
      <c r="A1665" s="8" t="s">
        <v>1920</v>
      </c>
      <c r="B1665" s="8" t="s">
        <v>1920</v>
      </c>
      <c r="C1665" s="2" t="s">
        <v>1830</v>
      </c>
      <c r="D1665" s="2" t="s">
        <v>1831</v>
      </c>
      <c r="E1665" s="6">
        <v>45971.49912037037</v>
      </c>
      <c r="F1665" s="3" t="s">
        <v>1832</v>
      </c>
      <c r="G1665" s="2" t="s">
        <v>24</v>
      </c>
      <c r="H1665" s="2"/>
      <c r="I1665" s="2"/>
      <c r="J1665" s="2"/>
      <c r="K1665" s="2" t="s">
        <v>18</v>
      </c>
      <c r="L1665" s="2"/>
    </row>
    <row r="1666">
      <c r="A1666" s="8" t="s">
        <v>1921</v>
      </c>
      <c r="B1666" s="8" t="s">
        <v>1921</v>
      </c>
      <c r="C1666" s="2" t="s">
        <v>20</v>
      </c>
      <c r="D1666" s="2" t="s">
        <v>21</v>
      </c>
      <c r="E1666" s="6">
        <v>45971.50270833333</v>
      </c>
      <c r="F1666" s="3" t="s">
        <v>22</v>
      </c>
      <c r="G1666" s="2" t="s">
        <v>16</v>
      </c>
      <c r="H1666" s="2"/>
      <c r="I1666" s="2" t="s">
        <v>17</v>
      </c>
      <c r="J1666" s="2"/>
      <c r="K1666" s="2" t="s">
        <v>18</v>
      </c>
      <c r="L1666" s="2"/>
    </row>
    <row r="1667">
      <c r="A1667" s="8" t="s">
        <v>1922</v>
      </c>
      <c r="B1667" s="8" t="s">
        <v>1922</v>
      </c>
      <c r="C1667" s="2" t="s">
        <v>20</v>
      </c>
      <c r="D1667" s="2" t="s">
        <v>21</v>
      </c>
      <c r="E1667" s="6">
        <v>45971.58252314815</v>
      </c>
      <c r="F1667" s="3" t="s">
        <v>22</v>
      </c>
      <c r="G1667" s="2" t="s">
        <v>24</v>
      </c>
      <c r="H1667" s="2"/>
      <c r="I1667" s="2"/>
      <c r="J1667" s="2"/>
      <c r="K1667" s="2" t="s">
        <v>18</v>
      </c>
      <c r="L1667" s="2"/>
    </row>
    <row r="1668">
      <c r="A1668" s="8" t="s">
        <v>1923</v>
      </c>
      <c r="B1668" s="8" t="s">
        <v>1923</v>
      </c>
      <c r="C1668" s="2" t="s">
        <v>320</v>
      </c>
      <c r="D1668" s="2" t="s">
        <v>321</v>
      </c>
      <c r="E1668" s="6">
        <v>45971.58299768518</v>
      </c>
      <c r="F1668" s="3" t="s">
        <v>322</v>
      </c>
      <c r="G1668" s="2" t="s">
        <v>16</v>
      </c>
      <c r="H1668" s="2"/>
      <c r="I1668" s="2" t="s">
        <v>17</v>
      </c>
      <c r="J1668" s="2"/>
      <c r="K1668" s="2" t="s">
        <v>18</v>
      </c>
      <c r="L1668" s="2"/>
    </row>
    <row r="1669">
      <c r="A1669" s="8" t="s">
        <v>1924</v>
      </c>
      <c r="B1669" s="8" t="s">
        <v>1924</v>
      </c>
      <c r="C1669" s="2" t="s">
        <v>45</v>
      </c>
      <c r="D1669" s="2" t="s">
        <v>46</v>
      </c>
      <c r="E1669" s="6">
        <v>45971.583449074074</v>
      </c>
      <c r="F1669" s="3" t="s">
        <v>47</v>
      </c>
      <c r="G1669" s="2" t="s">
        <v>16</v>
      </c>
      <c r="H1669" s="2"/>
      <c r="I1669" s="2" t="s">
        <v>17</v>
      </c>
      <c r="J1669" s="2"/>
      <c r="K1669" s="2" t="s">
        <v>18</v>
      </c>
      <c r="L1669" s="2"/>
    </row>
    <row r="1670">
      <c r="A1670" s="8" t="s">
        <v>1925</v>
      </c>
      <c r="B1670" s="8" t="s">
        <v>1925</v>
      </c>
      <c r="C1670" s="2" t="s">
        <v>786</v>
      </c>
      <c r="D1670" s="2" t="s">
        <v>787</v>
      </c>
      <c r="E1670" s="6">
        <v>45971.59909722222</v>
      </c>
      <c r="F1670" s="3" t="s">
        <v>788</v>
      </c>
      <c r="G1670" s="2" t="s">
        <v>24</v>
      </c>
      <c r="H1670" s="2"/>
      <c r="I1670" s="2"/>
      <c r="J1670" s="2"/>
      <c r="K1670" s="2" t="s">
        <v>18</v>
      </c>
      <c r="L1670" s="2"/>
    </row>
    <row r="1671">
      <c r="A1671" s="8" t="s">
        <v>1926</v>
      </c>
      <c r="B1671" s="8" t="s">
        <v>1926</v>
      </c>
      <c r="C1671" s="2" t="s">
        <v>45</v>
      </c>
      <c r="D1671" s="2" t="s">
        <v>46</v>
      </c>
      <c r="E1671" s="6">
        <v>45971.664930555555</v>
      </c>
      <c r="F1671" s="3" t="s">
        <v>47</v>
      </c>
      <c r="G1671" s="2" t="s">
        <v>24</v>
      </c>
      <c r="H1671" s="2"/>
      <c r="I1671" s="2"/>
      <c r="J1671" s="2"/>
      <c r="K1671" s="2" t="s">
        <v>18</v>
      </c>
      <c r="L1671" s="2"/>
    </row>
    <row r="1672">
      <c r="A1672" s="8" t="s">
        <v>1927</v>
      </c>
      <c r="B1672" s="8" t="s">
        <v>1927</v>
      </c>
      <c r="C1672" s="2" t="s">
        <v>786</v>
      </c>
      <c r="D1672" s="2" t="s">
        <v>787</v>
      </c>
      <c r="E1672" s="6">
        <v>45972.34324074074</v>
      </c>
      <c r="F1672" s="3" t="s">
        <v>788</v>
      </c>
      <c r="G1672" s="2" t="s">
        <v>16</v>
      </c>
      <c r="H1672" s="2"/>
      <c r="I1672" s="2" t="s">
        <v>17</v>
      </c>
      <c r="J1672" s="2"/>
      <c r="K1672" s="2" t="s">
        <v>18</v>
      </c>
      <c r="L1672" s="2"/>
    </row>
    <row r="1673">
      <c r="A1673" s="8" t="s">
        <v>1928</v>
      </c>
      <c r="B1673" s="8" t="s">
        <v>1928</v>
      </c>
      <c r="C1673" s="2" t="s">
        <v>1613</v>
      </c>
      <c r="D1673" s="2" t="s">
        <v>1614</v>
      </c>
      <c r="E1673" s="6">
        <v>45972.34755787037</v>
      </c>
      <c r="F1673" s="3" t="s">
        <v>1615</v>
      </c>
      <c r="G1673" s="2" t="s">
        <v>16</v>
      </c>
      <c r="H1673" s="2"/>
      <c r="I1673" s="2" t="s">
        <v>395</v>
      </c>
      <c r="J1673" s="2"/>
      <c r="K1673" s="2" t="s">
        <v>18</v>
      </c>
      <c r="L1673" s="2"/>
    </row>
    <row r="1674">
      <c r="A1674" s="8" t="s">
        <v>1929</v>
      </c>
      <c r="B1674" s="8" t="s">
        <v>1929</v>
      </c>
      <c r="C1674" s="2" t="s">
        <v>943</v>
      </c>
      <c r="D1674" s="2" t="s">
        <v>944</v>
      </c>
      <c r="E1674" s="6">
        <v>45972.412939814814</v>
      </c>
      <c r="F1674" s="3" t="s">
        <v>945</v>
      </c>
      <c r="G1674" s="2" t="s">
        <v>16</v>
      </c>
      <c r="H1674" s="2"/>
      <c r="I1674" s="2" t="s">
        <v>395</v>
      </c>
      <c r="J1674" s="2"/>
      <c r="K1674" s="2" t="s">
        <v>18</v>
      </c>
      <c r="L1674" s="2"/>
    </row>
    <row r="1675">
      <c r="A1675" s="8" t="s">
        <v>1930</v>
      </c>
      <c r="B1675" s="8" t="s">
        <v>1930</v>
      </c>
      <c r="C1675" s="2" t="s">
        <v>943</v>
      </c>
      <c r="D1675" s="2" t="s">
        <v>944</v>
      </c>
      <c r="E1675" s="6">
        <v>45972.541655092595</v>
      </c>
      <c r="F1675" s="3" t="s">
        <v>945</v>
      </c>
      <c r="G1675" s="2" t="s">
        <v>24</v>
      </c>
      <c r="H1675" s="2"/>
      <c r="I1675" s="2"/>
      <c r="J1675" s="2"/>
      <c r="K1675" s="2" t="s">
        <v>18</v>
      </c>
      <c r="L1675" s="2"/>
    </row>
    <row r="1676">
      <c r="A1676" s="8" t="s">
        <v>1931</v>
      </c>
      <c r="B1676" s="8" t="s">
        <v>1931</v>
      </c>
      <c r="C1676" s="2" t="s">
        <v>1873</v>
      </c>
      <c r="D1676" s="2" t="s">
        <v>1874</v>
      </c>
      <c r="E1676" s="6">
        <v>45972.542349537034</v>
      </c>
      <c r="F1676" s="3" t="s">
        <v>1875</v>
      </c>
      <c r="G1676" s="2" t="s">
        <v>16</v>
      </c>
      <c r="H1676" s="2"/>
      <c r="I1676" s="2" t="s">
        <v>395</v>
      </c>
      <c r="J1676" s="2"/>
      <c r="K1676" s="2" t="s">
        <v>18</v>
      </c>
      <c r="L1676" s="2"/>
    </row>
    <row r="1677">
      <c r="A1677" s="8" t="s">
        <v>1932</v>
      </c>
      <c r="B1677" s="8" t="s">
        <v>1932</v>
      </c>
      <c r="C1677" s="2" t="s">
        <v>1830</v>
      </c>
      <c r="D1677" s="2" t="s">
        <v>1831</v>
      </c>
      <c r="E1677" s="6">
        <v>45972.59868055556</v>
      </c>
      <c r="F1677" s="3" t="s">
        <v>1832</v>
      </c>
      <c r="G1677" s="2" t="s">
        <v>16</v>
      </c>
      <c r="H1677" s="2"/>
      <c r="I1677" s="2" t="s">
        <v>395</v>
      </c>
      <c r="J1677" s="2"/>
      <c r="K1677" s="2" t="s">
        <v>18</v>
      </c>
      <c r="L1677" s="2"/>
    </row>
    <row r="1678">
      <c r="A1678" s="8" t="s">
        <v>1933</v>
      </c>
      <c r="B1678" s="8" t="s">
        <v>1933</v>
      </c>
      <c r="C1678" s="2" t="s">
        <v>1613</v>
      </c>
      <c r="D1678" s="2" t="s">
        <v>1614</v>
      </c>
      <c r="E1678" s="6">
        <v>45972.60775462963</v>
      </c>
      <c r="F1678" s="3" t="s">
        <v>1615</v>
      </c>
      <c r="G1678" s="2" t="s">
        <v>24</v>
      </c>
      <c r="H1678" s="2"/>
      <c r="I1678" s="2"/>
      <c r="J1678" s="2"/>
      <c r="K1678" s="2" t="s">
        <v>18</v>
      </c>
      <c r="L1678" s="2"/>
    </row>
    <row r="1679">
      <c r="A1679" s="8" t="s">
        <v>1934</v>
      </c>
      <c r="B1679" s="8" t="s">
        <v>1934</v>
      </c>
      <c r="C1679" s="2" t="s">
        <v>1084</v>
      </c>
      <c r="D1679" s="2" t="s">
        <v>1085</v>
      </c>
      <c r="E1679" s="6">
        <v>45972.60917824074</v>
      </c>
      <c r="F1679" s="3" t="s">
        <v>1086</v>
      </c>
      <c r="G1679" s="2" t="s">
        <v>24</v>
      </c>
      <c r="H1679" s="2"/>
      <c r="I1679" s="2"/>
      <c r="J1679" s="2"/>
      <c r="K1679" s="2" t="s">
        <v>18</v>
      </c>
      <c r="L1679" s="2"/>
    </row>
    <row r="1680">
      <c r="A1680" s="8" t="s">
        <v>1935</v>
      </c>
      <c r="B1680" s="8" t="s">
        <v>1935</v>
      </c>
      <c r="C1680" s="2" t="s">
        <v>786</v>
      </c>
      <c r="D1680" s="2" t="s">
        <v>787</v>
      </c>
      <c r="E1680" s="6">
        <v>45972.60975694445</v>
      </c>
      <c r="F1680" s="3" t="s">
        <v>788</v>
      </c>
      <c r="G1680" s="2" t="s">
        <v>24</v>
      </c>
      <c r="H1680" s="2"/>
      <c r="I1680" s="2"/>
      <c r="J1680" s="2"/>
      <c r="K1680" s="2" t="s">
        <v>18</v>
      </c>
      <c r="L1680" s="2"/>
    </row>
    <row r="1681">
      <c r="A1681" s="8" t="s">
        <v>1936</v>
      </c>
      <c r="B1681" s="8" t="s">
        <v>1936</v>
      </c>
      <c r="C1681" s="2" t="s">
        <v>1873</v>
      </c>
      <c r="D1681" s="2" t="s">
        <v>1874</v>
      </c>
      <c r="E1681" s="6">
        <v>45972.65744212963</v>
      </c>
      <c r="F1681" s="3" t="s">
        <v>1875</v>
      </c>
      <c r="G1681" s="2" t="s">
        <v>24</v>
      </c>
      <c r="H1681" s="2"/>
      <c r="I1681" s="2"/>
      <c r="J1681" s="2"/>
      <c r="K1681" s="2" t="s">
        <v>18</v>
      </c>
      <c r="L1681" s="2"/>
    </row>
    <row r="1682">
      <c r="A1682" s="8" t="s">
        <v>1937</v>
      </c>
      <c r="B1682" s="8" t="s">
        <v>1937</v>
      </c>
      <c r="C1682" s="2" t="s">
        <v>1830</v>
      </c>
      <c r="D1682" s="2" t="s">
        <v>1831</v>
      </c>
      <c r="E1682" s="6">
        <v>45973.357766203706</v>
      </c>
      <c r="F1682" s="3" t="s">
        <v>1832</v>
      </c>
      <c r="G1682" s="2" t="s">
        <v>24</v>
      </c>
      <c r="H1682" s="2"/>
      <c r="I1682" s="2"/>
      <c r="J1682" s="2"/>
      <c r="K1682" s="2" t="s">
        <v>18</v>
      </c>
      <c r="L1682" s="2"/>
    </row>
    <row r="1683">
      <c r="A1683" s="8" t="s">
        <v>1938</v>
      </c>
      <c r="B1683" s="8" t="s">
        <v>1938</v>
      </c>
      <c r="C1683" s="2" t="s">
        <v>45</v>
      </c>
      <c r="D1683" s="2" t="s">
        <v>46</v>
      </c>
      <c r="E1683" s="6">
        <v>45973.36148148148</v>
      </c>
      <c r="F1683" s="3" t="s">
        <v>47</v>
      </c>
      <c r="G1683" s="2" t="s">
        <v>16</v>
      </c>
      <c r="H1683" s="2"/>
      <c r="I1683" s="2" t="s">
        <v>17</v>
      </c>
      <c r="J1683" s="2"/>
      <c r="K1683" s="2" t="s">
        <v>18</v>
      </c>
      <c r="L1683" s="2"/>
    </row>
    <row r="1684">
      <c r="A1684" s="8" t="s">
        <v>1939</v>
      </c>
      <c r="B1684" s="8" t="s">
        <v>1939</v>
      </c>
      <c r="C1684" s="2" t="s">
        <v>904</v>
      </c>
      <c r="D1684" s="2" t="s">
        <v>905</v>
      </c>
      <c r="E1684" s="6">
        <v>45973.36194444444</v>
      </c>
      <c r="F1684" s="3" t="s">
        <v>906</v>
      </c>
      <c r="G1684" s="2" t="s">
        <v>16</v>
      </c>
      <c r="H1684" s="2"/>
      <c r="I1684" s="2" t="s">
        <v>395</v>
      </c>
      <c r="J1684" s="2"/>
      <c r="K1684" s="2" t="s">
        <v>18</v>
      </c>
      <c r="L1684" s="2"/>
    </row>
    <row r="1685">
      <c r="A1685" s="8" t="s">
        <v>1940</v>
      </c>
      <c r="B1685" s="8" t="s">
        <v>1940</v>
      </c>
      <c r="C1685" s="2" t="s">
        <v>786</v>
      </c>
      <c r="D1685" s="2" t="s">
        <v>787</v>
      </c>
      <c r="E1685" s="6">
        <v>45973.36615740741</v>
      </c>
      <c r="F1685" s="3" t="s">
        <v>788</v>
      </c>
      <c r="G1685" s="2" t="s">
        <v>16</v>
      </c>
      <c r="H1685" s="2"/>
      <c r="I1685" s="2" t="s">
        <v>17</v>
      </c>
      <c r="J1685" s="2"/>
      <c r="K1685" s="2" t="s">
        <v>18</v>
      </c>
      <c r="L1685" s="2"/>
    </row>
    <row r="1686">
      <c r="A1686" s="8" t="s">
        <v>1941</v>
      </c>
      <c r="B1686" s="8" t="s">
        <v>1941</v>
      </c>
      <c r="C1686" s="2" t="s">
        <v>904</v>
      </c>
      <c r="D1686" s="2" t="s">
        <v>905</v>
      </c>
      <c r="E1686" s="6">
        <v>45973.444918981484</v>
      </c>
      <c r="F1686" s="3" t="s">
        <v>906</v>
      </c>
      <c r="G1686" s="2" t="s">
        <v>24</v>
      </c>
      <c r="H1686" s="2"/>
      <c r="I1686" s="2"/>
      <c r="J1686" s="2"/>
      <c r="K1686" s="2" t="s">
        <v>18</v>
      </c>
      <c r="L1686" s="2"/>
    </row>
    <row r="1687">
      <c r="A1687" s="8" t="s">
        <v>1942</v>
      </c>
      <c r="B1687" s="8" t="s">
        <v>1942</v>
      </c>
      <c r="C1687" s="2" t="s">
        <v>786</v>
      </c>
      <c r="D1687" s="2" t="s">
        <v>787</v>
      </c>
      <c r="E1687" s="6">
        <v>45973.495092592595</v>
      </c>
      <c r="F1687" s="3" t="s">
        <v>788</v>
      </c>
      <c r="G1687" s="2" t="s">
        <v>24</v>
      </c>
      <c r="H1687" s="2"/>
      <c r="I1687" s="2"/>
      <c r="J1687" s="2"/>
      <c r="K1687" s="2" t="s">
        <v>18</v>
      </c>
      <c r="L1687" s="2"/>
    </row>
    <row r="1688">
      <c r="A1688" s="1"/>
      <c r="B1688" s="1"/>
      <c r="C1688" s="2"/>
      <c r="D1688" s="2"/>
      <c r="E1688" s="6"/>
      <c r="F1688" s="3"/>
      <c r="G1688" s="2"/>
      <c r="H1688" s="2"/>
      <c r="I1688" s="2"/>
      <c r="J1688" s="2"/>
      <c r="K1688" s="2"/>
      <c r="L1688" s="2"/>
    </row>
    <row r="1689">
      <c r="A1689" s="8" t="s">
        <v>1943</v>
      </c>
      <c r="B1689" s="8" t="s">
        <v>1943</v>
      </c>
      <c r="C1689" s="2" t="s">
        <v>131</v>
      </c>
      <c r="D1689" s="2" t="s">
        <v>132</v>
      </c>
      <c r="E1689" s="6">
        <v>45973.630844907406</v>
      </c>
      <c r="F1689" s="3" t="s">
        <v>133</v>
      </c>
      <c r="G1689" s="2" t="s">
        <v>16</v>
      </c>
      <c r="H1689" s="2"/>
      <c r="I1689" s="2" t="s">
        <v>17</v>
      </c>
      <c r="J1689" s="2"/>
      <c r="K1689" s="2" t="s">
        <v>18</v>
      </c>
      <c r="L1689" s="2"/>
    </row>
    <row r="1690">
      <c r="A1690" s="8" t="s">
        <v>1944</v>
      </c>
      <c r="B1690" s="8" t="s">
        <v>1944</v>
      </c>
      <c r="C1690" s="2" t="s">
        <v>131</v>
      </c>
      <c r="D1690" s="2" t="s">
        <v>132</v>
      </c>
      <c r="E1690" s="6">
        <v>45973.66840277778</v>
      </c>
      <c r="F1690" s="3" t="s">
        <v>133</v>
      </c>
      <c r="G1690" s="2" t="s">
        <v>24</v>
      </c>
      <c r="H1690" s="2"/>
      <c r="I1690" s="2"/>
      <c r="J1690" s="2"/>
      <c r="K1690" s="2" t="s">
        <v>18</v>
      </c>
      <c r="L1690" s="2"/>
    </row>
    <row r="1691">
      <c r="A1691" s="8" t="s">
        <v>1945</v>
      </c>
      <c r="B1691" s="8" t="s">
        <v>1945</v>
      </c>
      <c r="C1691" s="2" t="s">
        <v>1830</v>
      </c>
      <c r="D1691" s="2" t="s">
        <v>1831</v>
      </c>
      <c r="E1691" s="6">
        <v>45973.67659722222</v>
      </c>
      <c r="F1691" s="3" t="s">
        <v>1832</v>
      </c>
      <c r="G1691" s="2" t="s">
        <v>16</v>
      </c>
      <c r="H1691" s="2"/>
      <c r="I1691" s="2" t="s">
        <v>395</v>
      </c>
      <c r="J1691" s="2"/>
      <c r="K1691" s="2" t="s">
        <v>18</v>
      </c>
      <c r="L1691" s="2"/>
    </row>
    <row r="1692">
      <c r="A1692" s="8" t="s">
        <v>1946</v>
      </c>
      <c r="B1692" s="8" t="s">
        <v>1946</v>
      </c>
      <c r="C1692" s="2" t="s">
        <v>1830</v>
      </c>
      <c r="D1692" s="2" t="s">
        <v>1831</v>
      </c>
      <c r="E1692" s="6">
        <v>45973.678819444445</v>
      </c>
      <c r="F1692" s="3" t="s">
        <v>1832</v>
      </c>
      <c r="G1692" s="2" t="s">
        <v>24</v>
      </c>
      <c r="H1692" s="2"/>
      <c r="I1692" s="2"/>
      <c r="J1692" s="2"/>
      <c r="K1692" s="2" t="s">
        <v>18</v>
      </c>
      <c r="L1692" s="2"/>
    </row>
    <row r="1693">
      <c r="A1693" s="8" t="s">
        <v>1947</v>
      </c>
      <c r="B1693" s="8" t="s">
        <v>1947</v>
      </c>
      <c r="C1693" s="2" t="s">
        <v>1889</v>
      </c>
      <c r="D1693" s="2" t="s">
        <v>1890</v>
      </c>
      <c r="E1693" s="6">
        <v>45974.345671296294</v>
      </c>
      <c r="F1693" s="3" t="s">
        <v>1891</v>
      </c>
      <c r="G1693" s="2" t="s">
        <v>16</v>
      </c>
      <c r="H1693" s="2"/>
      <c r="I1693" s="2" t="s">
        <v>17</v>
      </c>
      <c r="J1693" s="2"/>
      <c r="K1693" s="2" t="s">
        <v>18</v>
      </c>
      <c r="L1693" s="2"/>
    </row>
    <row r="1694">
      <c r="A1694" s="8" t="s">
        <v>1948</v>
      </c>
      <c r="B1694" s="8" t="s">
        <v>1948</v>
      </c>
      <c r="C1694" s="2" t="s">
        <v>109</v>
      </c>
      <c r="D1694" s="2" t="s">
        <v>110</v>
      </c>
      <c r="E1694" s="6">
        <v>45974.35978009259</v>
      </c>
      <c r="F1694" s="3" t="s">
        <v>111</v>
      </c>
      <c r="G1694" s="2" t="s">
        <v>16</v>
      </c>
      <c r="H1694" s="2"/>
      <c r="I1694" s="2" t="s">
        <v>17</v>
      </c>
      <c r="J1694" s="2"/>
      <c r="K1694" s="2" t="s">
        <v>18</v>
      </c>
      <c r="L1694" s="2"/>
    </row>
    <row r="1695">
      <c r="A1695" s="8" t="s">
        <v>1949</v>
      </c>
      <c r="B1695" s="8" t="s">
        <v>1949</v>
      </c>
      <c r="C1695" s="2" t="s">
        <v>320</v>
      </c>
      <c r="D1695" s="2" t="s">
        <v>321</v>
      </c>
      <c r="E1695" s="6">
        <v>45974.360300925924</v>
      </c>
      <c r="F1695" s="3" t="s">
        <v>322</v>
      </c>
      <c r="G1695" s="2" t="s">
        <v>16</v>
      </c>
      <c r="H1695" s="2"/>
      <c r="I1695" s="2" t="s">
        <v>17</v>
      </c>
      <c r="J1695" s="2"/>
      <c r="K1695" s="2" t="s">
        <v>18</v>
      </c>
      <c r="L1695" s="2"/>
    </row>
    <row r="1696">
      <c r="A1696" s="8" t="s">
        <v>1950</v>
      </c>
      <c r="B1696" s="8" t="s">
        <v>1950</v>
      </c>
      <c r="C1696" s="2" t="s">
        <v>1904</v>
      </c>
      <c r="D1696" s="2" t="s">
        <v>1905</v>
      </c>
      <c r="E1696" s="6">
        <v>45974.36552083334</v>
      </c>
      <c r="F1696" s="3" t="s">
        <v>1906</v>
      </c>
      <c r="G1696" s="2" t="s">
        <v>16</v>
      </c>
      <c r="H1696" s="2"/>
      <c r="I1696" s="2" t="s">
        <v>17</v>
      </c>
      <c r="J1696" s="2"/>
      <c r="K1696" s="2" t="s">
        <v>18</v>
      </c>
      <c r="L1696" s="2"/>
    </row>
    <row r="1697">
      <c r="A1697" s="8" t="s">
        <v>1951</v>
      </c>
      <c r="B1697" s="8" t="s">
        <v>1951</v>
      </c>
      <c r="C1697" s="2" t="s">
        <v>1904</v>
      </c>
      <c r="D1697" s="2" t="s">
        <v>1905</v>
      </c>
      <c r="E1697" s="6">
        <v>45974.44081018519</v>
      </c>
      <c r="F1697" s="3" t="s">
        <v>1906</v>
      </c>
      <c r="G1697" s="2" t="s">
        <v>24</v>
      </c>
      <c r="H1697" s="2"/>
      <c r="I1697" s="2"/>
      <c r="J1697" s="2"/>
      <c r="K1697" s="2" t="s">
        <v>18</v>
      </c>
      <c r="L1697" s="2"/>
    </row>
    <row r="1698">
      <c r="A1698" s="8" t="s">
        <v>1952</v>
      </c>
      <c r="B1698" s="8" t="s">
        <v>1952</v>
      </c>
      <c r="C1698" s="2" t="s">
        <v>320</v>
      </c>
      <c r="D1698" s="2" t="s">
        <v>321</v>
      </c>
      <c r="E1698" s="6">
        <v>45974.44159722222</v>
      </c>
      <c r="F1698" s="3" t="s">
        <v>322</v>
      </c>
      <c r="G1698" s="2" t="s">
        <v>24</v>
      </c>
      <c r="H1698" s="2"/>
      <c r="I1698" s="2"/>
      <c r="J1698" s="2"/>
      <c r="K1698" s="2" t="s">
        <v>18</v>
      </c>
      <c r="L1698" s="2"/>
    </row>
    <row r="1699">
      <c r="A1699" s="8" t="s">
        <v>1953</v>
      </c>
      <c r="B1699" s="8" t="s">
        <v>1953</v>
      </c>
      <c r="C1699" s="2" t="s">
        <v>109</v>
      </c>
      <c r="D1699" s="2" t="s">
        <v>110</v>
      </c>
      <c r="E1699" s="6">
        <v>45974.44189814815</v>
      </c>
      <c r="F1699" s="3" t="s">
        <v>111</v>
      </c>
      <c r="G1699" s="2" t="s">
        <v>24</v>
      </c>
      <c r="H1699" s="2"/>
      <c r="I1699" s="2"/>
      <c r="J1699" s="2"/>
      <c r="K1699" s="2" t="s">
        <v>18</v>
      </c>
      <c r="L1699" s="2"/>
    </row>
    <row r="1700">
      <c r="A1700" s="8" t="s">
        <v>1954</v>
      </c>
      <c r="B1700" s="8" t="s">
        <v>1954</v>
      </c>
      <c r="C1700" s="2" t="s">
        <v>1830</v>
      </c>
      <c r="D1700" s="2" t="s">
        <v>1831</v>
      </c>
      <c r="E1700" s="6">
        <v>45974.45353009259</v>
      </c>
      <c r="F1700" s="3" t="s">
        <v>1832</v>
      </c>
      <c r="G1700" s="2" t="s">
        <v>16</v>
      </c>
      <c r="H1700" s="2"/>
      <c r="I1700" s="2" t="s">
        <v>395</v>
      </c>
      <c r="J1700" s="2"/>
      <c r="K1700" s="2" t="s">
        <v>18</v>
      </c>
      <c r="L1700" s="2"/>
    </row>
    <row r="1701">
      <c r="A1701" s="8" t="s">
        <v>1955</v>
      </c>
      <c r="B1701" s="8" t="s">
        <v>1955</v>
      </c>
      <c r="C1701" s="2" t="s">
        <v>951</v>
      </c>
      <c r="D1701" s="2" t="s">
        <v>952</v>
      </c>
      <c r="E1701" s="6">
        <v>45974.552719907406</v>
      </c>
      <c r="F1701" s="3" t="s">
        <v>953</v>
      </c>
      <c r="G1701" s="2" t="s">
        <v>16</v>
      </c>
      <c r="H1701" s="2"/>
      <c r="I1701" s="2" t="s">
        <v>17</v>
      </c>
      <c r="J1701" s="2"/>
      <c r="K1701" s="2" t="s">
        <v>18</v>
      </c>
      <c r="L1701" s="2"/>
    </row>
    <row r="1702">
      <c r="A1702" s="8" t="s">
        <v>1956</v>
      </c>
      <c r="B1702" s="8" t="s">
        <v>1956</v>
      </c>
      <c r="C1702" s="2" t="s">
        <v>1889</v>
      </c>
      <c r="D1702" s="2" t="s">
        <v>1890</v>
      </c>
      <c r="E1702" s="6">
        <v>45974.554027777776</v>
      </c>
      <c r="F1702" s="3" t="s">
        <v>1891</v>
      </c>
      <c r="G1702" s="2" t="s">
        <v>24</v>
      </c>
      <c r="H1702" s="2"/>
      <c r="I1702" s="2"/>
      <c r="J1702" s="2"/>
      <c r="K1702" s="2" t="s">
        <v>18</v>
      </c>
      <c r="L1702" s="2"/>
    </row>
    <row r="1703">
      <c r="A1703" s="8" t="s">
        <v>1957</v>
      </c>
      <c r="B1703" s="8" t="s">
        <v>1957</v>
      </c>
      <c r="C1703" s="2" t="s">
        <v>109</v>
      </c>
      <c r="D1703" s="2" t="s">
        <v>110</v>
      </c>
      <c r="E1703" s="6">
        <v>45974.59086805556</v>
      </c>
      <c r="F1703" s="3" t="s">
        <v>111</v>
      </c>
      <c r="G1703" s="2" t="s">
        <v>16</v>
      </c>
      <c r="H1703" s="2"/>
      <c r="I1703" s="2"/>
      <c r="J1703" s="2"/>
      <c r="K1703" s="2" t="s">
        <v>18</v>
      </c>
      <c r="L1703" s="2"/>
    </row>
    <row r="1704">
      <c r="A1704" s="8" t="s">
        <v>1958</v>
      </c>
      <c r="B1704" s="8" t="s">
        <v>1958</v>
      </c>
      <c r="C1704" s="2" t="s">
        <v>464</v>
      </c>
      <c r="D1704" s="2" t="s">
        <v>465</v>
      </c>
      <c r="E1704" s="6">
        <v>45974.62777777778</v>
      </c>
      <c r="F1704" s="3" t="s">
        <v>466</v>
      </c>
      <c r="G1704" s="2" t="s">
        <v>24</v>
      </c>
      <c r="H1704" s="2"/>
      <c r="I1704" s="2"/>
      <c r="J1704" s="2"/>
      <c r="K1704" s="2" t="s">
        <v>18</v>
      </c>
      <c r="L1704" s="2"/>
    </row>
    <row r="1705">
      <c r="A1705" s="8" t="s">
        <v>1959</v>
      </c>
      <c r="B1705" s="8" t="s">
        <v>1959</v>
      </c>
      <c r="C1705" s="2" t="s">
        <v>326</v>
      </c>
      <c r="D1705" s="2" t="s">
        <v>327</v>
      </c>
      <c r="E1705" s="6">
        <v>45974.628969907404</v>
      </c>
      <c r="F1705" s="3" t="s">
        <v>328</v>
      </c>
      <c r="G1705" s="2" t="s">
        <v>24</v>
      </c>
      <c r="H1705" s="2"/>
      <c r="I1705" s="2"/>
      <c r="J1705" s="2"/>
      <c r="K1705" s="2" t="s">
        <v>18</v>
      </c>
      <c r="L1705" s="2"/>
    </row>
    <row r="1706">
      <c r="A1706" s="8" t="s">
        <v>1960</v>
      </c>
      <c r="B1706" s="8" t="s">
        <v>1960</v>
      </c>
      <c r="C1706" s="2" t="s">
        <v>951</v>
      </c>
      <c r="D1706" s="2" t="s">
        <v>952</v>
      </c>
      <c r="E1706" s="6">
        <v>45974.65892361111</v>
      </c>
      <c r="F1706" s="3" t="s">
        <v>953</v>
      </c>
      <c r="G1706" s="2" t="s">
        <v>24</v>
      </c>
      <c r="H1706" s="2"/>
      <c r="I1706" s="2"/>
      <c r="J1706" s="2"/>
      <c r="K1706" s="2" t="s">
        <v>18</v>
      </c>
      <c r="L1706" s="2"/>
    </row>
    <row r="1707">
      <c r="A1707" s="8" t="s">
        <v>1961</v>
      </c>
      <c r="B1707" s="8" t="s">
        <v>1961</v>
      </c>
      <c r="C1707" s="2" t="s">
        <v>786</v>
      </c>
      <c r="D1707" s="2" t="s">
        <v>787</v>
      </c>
      <c r="E1707" s="6">
        <v>45975.34027777778</v>
      </c>
      <c r="F1707" s="3" t="s">
        <v>788</v>
      </c>
      <c r="G1707" s="2" t="s">
        <v>16</v>
      </c>
      <c r="H1707" s="2"/>
      <c r="I1707" s="2" t="s">
        <v>17</v>
      </c>
      <c r="J1707" s="2"/>
      <c r="K1707" s="2" t="s">
        <v>18</v>
      </c>
      <c r="L1707" s="2"/>
    </row>
    <row r="1708">
      <c r="A1708" s="8" t="s">
        <v>1962</v>
      </c>
      <c r="B1708" s="8" t="s">
        <v>1962</v>
      </c>
      <c r="C1708" s="2" t="s">
        <v>1963</v>
      </c>
      <c r="D1708" s="2" t="s">
        <v>1964</v>
      </c>
      <c r="E1708" s="6">
        <v>45975.36054398148</v>
      </c>
      <c r="F1708" s="3" t="s">
        <v>1965</v>
      </c>
      <c r="G1708" s="2" t="s">
        <v>16</v>
      </c>
      <c r="H1708" s="2"/>
      <c r="I1708" s="2" t="s">
        <v>395</v>
      </c>
      <c r="J1708" s="2"/>
      <c r="K1708" s="2" t="s">
        <v>18</v>
      </c>
      <c r="L1708" s="2"/>
    </row>
    <row r="1709">
      <c r="A1709" s="8" t="s">
        <v>1966</v>
      </c>
      <c r="B1709" s="8" t="s">
        <v>1966</v>
      </c>
      <c r="C1709" s="2" t="s">
        <v>1018</v>
      </c>
      <c r="D1709" s="2" t="s">
        <v>1019</v>
      </c>
      <c r="E1709" s="6">
        <v>45975.36082175926</v>
      </c>
      <c r="F1709" s="3" t="s">
        <v>1020</v>
      </c>
      <c r="G1709" s="2" t="s">
        <v>16</v>
      </c>
      <c r="H1709" s="2"/>
      <c r="I1709" s="2" t="s">
        <v>17</v>
      </c>
      <c r="J1709" s="2"/>
      <c r="K1709" s="2" t="s">
        <v>18</v>
      </c>
      <c r="L1709" s="2"/>
    </row>
    <row r="1710">
      <c r="A1710" s="8" t="s">
        <v>1967</v>
      </c>
      <c r="B1710" s="8" t="s">
        <v>1967</v>
      </c>
      <c r="C1710" s="2" t="s">
        <v>55</v>
      </c>
      <c r="D1710" s="2" t="s">
        <v>56</v>
      </c>
      <c r="E1710" s="6">
        <v>45975.36162037037</v>
      </c>
      <c r="F1710" s="3" t="s">
        <v>57</v>
      </c>
      <c r="G1710" s="2" t="s">
        <v>16</v>
      </c>
      <c r="H1710" s="2"/>
      <c r="I1710" s="2" t="s">
        <v>17</v>
      </c>
      <c r="J1710" s="2"/>
      <c r="K1710" s="2" t="s">
        <v>18</v>
      </c>
      <c r="L1710" s="2"/>
    </row>
    <row r="1711">
      <c r="A1711" s="8" t="s">
        <v>1968</v>
      </c>
      <c r="B1711" s="8" t="s">
        <v>1968</v>
      </c>
      <c r="C1711" s="2" t="s">
        <v>55</v>
      </c>
      <c r="D1711" s="2" t="s">
        <v>56</v>
      </c>
      <c r="E1711" s="6">
        <v>45975.42219907408</v>
      </c>
      <c r="F1711" s="3" t="s">
        <v>57</v>
      </c>
      <c r="G1711" s="2" t="s">
        <v>24</v>
      </c>
      <c r="H1711" s="2"/>
      <c r="I1711" s="2"/>
      <c r="J1711" s="2"/>
      <c r="K1711" s="2" t="s">
        <v>18</v>
      </c>
      <c r="L1711" s="2"/>
    </row>
    <row r="1712">
      <c r="A1712" s="8" t="s">
        <v>1969</v>
      </c>
      <c r="B1712" s="8" t="s">
        <v>1969</v>
      </c>
      <c r="C1712" s="2" t="s">
        <v>1018</v>
      </c>
      <c r="D1712" s="2" t="s">
        <v>1019</v>
      </c>
      <c r="E1712" s="6">
        <v>45975.42320601852</v>
      </c>
      <c r="F1712" s="3" t="s">
        <v>1020</v>
      </c>
      <c r="G1712" s="2" t="s">
        <v>24</v>
      </c>
      <c r="H1712" s="2"/>
      <c r="I1712" s="2"/>
      <c r="J1712" s="2"/>
      <c r="K1712" s="2" t="s">
        <v>18</v>
      </c>
      <c r="L1712" s="2"/>
    </row>
    <row r="1713">
      <c r="A1713" s="8" t="s">
        <v>1970</v>
      </c>
      <c r="B1713" s="8" t="s">
        <v>1970</v>
      </c>
      <c r="C1713" s="2" t="s">
        <v>786</v>
      </c>
      <c r="D1713" s="2" t="s">
        <v>787</v>
      </c>
      <c r="E1713" s="6">
        <v>45975.444768518515</v>
      </c>
      <c r="F1713" s="3" t="s">
        <v>788</v>
      </c>
      <c r="G1713" s="2" t="s">
        <v>24</v>
      </c>
      <c r="H1713" s="2"/>
      <c r="I1713" s="2"/>
      <c r="J1713" s="2"/>
      <c r="K1713" s="2" t="s">
        <v>18</v>
      </c>
      <c r="L1713" s="2"/>
    </row>
    <row r="1714">
      <c r="A1714" s="8" t="s">
        <v>1971</v>
      </c>
      <c r="B1714" s="8" t="s">
        <v>1971</v>
      </c>
      <c r="C1714" s="2" t="s">
        <v>1618</v>
      </c>
      <c r="D1714" s="2" t="s">
        <v>1619</v>
      </c>
      <c r="E1714" s="6">
        <v>45975.58423611111</v>
      </c>
      <c r="F1714" s="3" t="s">
        <v>1620</v>
      </c>
      <c r="G1714" s="2" t="s">
        <v>16</v>
      </c>
      <c r="H1714" s="2"/>
      <c r="I1714" s="2" t="s">
        <v>17</v>
      </c>
      <c r="J1714" s="2"/>
      <c r="K1714" s="2" t="s">
        <v>18</v>
      </c>
      <c r="L1714" s="2"/>
    </row>
    <row r="1715">
      <c r="A1715" s="8" t="s">
        <v>1972</v>
      </c>
      <c r="B1715" s="8" t="s">
        <v>1972</v>
      </c>
      <c r="C1715" s="2" t="s">
        <v>309</v>
      </c>
      <c r="D1715" s="2" t="s">
        <v>310</v>
      </c>
      <c r="E1715" s="6">
        <v>45975.5853125</v>
      </c>
      <c r="F1715" s="3" t="s">
        <v>311</v>
      </c>
      <c r="G1715" s="2" t="s">
        <v>16</v>
      </c>
      <c r="H1715" s="2"/>
      <c r="I1715" s="2" t="s">
        <v>395</v>
      </c>
      <c r="J1715" s="2"/>
      <c r="K1715" s="2" t="s">
        <v>18</v>
      </c>
      <c r="L1715" s="2"/>
    </row>
    <row r="1716">
      <c r="A1716" s="8" t="s">
        <v>1973</v>
      </c>
      <c r="B1716" s="8" t="s">
        <v>1973</v>
      </c>
      <c r="C1716" s="2" t="s">
        <v>1618</v>
      </c>
      <c r="D1716" s="2" t="s">
        <v>1619</v>
      </c>
      <c r="E1716" s="6">
        <v>45975.639861111114</v>
      </c>
      <c r="F1716" s="3" t="s">
        <v>1620</v>
      </c>
      <c r="G1716" s="2" t="s">
        <v>24</v>
      </c>
      <c r="H1716" s="2"/>
      <c r="I1716" s="2"/>
      <c r="J1716" s="2"/>
      <c r="K1716" s="2" t="s">
        <v>18</v>
      </c>
      <c r="L1716" s="2"/>
    </row>
    <row r="1717">
      <c r="A1717" s="8" t="s">
        <v>1974</v>
      </c>
      <c r="B1717" s="8" t="s">
        <v>1974</v>
      </c>
      <c r="C1717" s="2" t="s">
        <v>1975</v>
      </c>
      <c r="D1717" s="2" t="s">
        <v>1976</v>
      </c>
      <c r="E1717" s="6">
        <v>45976.34027777778</v>
      </c>
      <c r="F1717" s="3" t="s">
        <v>1977</v>
      </c>
      <c r="G1717" s="2" t="s">
        <v>16</v>
      </c>
      <c r="H1717" s="2"/>
      <c r="I1717" s="2" t="s">
        <v>17</v>
      </c>
      <c r="J1717" s="2"/>
      <c r="K1717" s="2" t="s">
        <v>18</v>
      </c>
      <c r="L1717" s="2"/>
    </row>
    <row r="1718">
      <c r="A1718" s="8" t="s">
        <v>1978</v>
      </c>
      <c r="B1718" s="8" t="s">
        <v>1978</v>
      </c>
      <c r="C1718" s="2" t="s">
        <v>309</v>
      </c>
      <c r="D1718" s="2" t="s">
        <v>310</v>
      </c>
      <c r="E1718" s="6">
        <v>45975.67866898148</v>
      </c>
      <c r="F1718" s="3" t="s">
        <v>311</v>
      </c>
      <c r="G1718" s="2" t="s">
        <v>24</v>
      </c>
      <c r="H1718" s="2"/>
      <c r="I1718" s="2"/>
      <c r="J1718" s="2"/>
      <c r="K1718" s="2" t="s">
        <v>18</v>
      </c>
      <c r="L1718" s="2"/>
    </row>
    <row r="1719">
      <c r="A1719" s="8" t="s">
        <v>1979</v>
      </c>
      <c r="B1719" s="8" t="s">
        <v>1979</v>
      </c>
      <c r="C1719" s="2" t="s">
        <v>1183</v>
      </c>
      <c r="D1719" s="2" t="s">
        <v>1184</v>
      </c>
      <c r="E1719" s="6">
        <v>45976.3721875</v>
      </c>
      <c r="F1719" s="3" t="s">
        <v>1185</v>
      </c>
      <c r="G1719" s="2" t="s">
        <v>16</v>
      </c>
      <c r="H1719" s="2"/>
      <c r="I1719" s="2" t="s">
        <v>17</v>
      </c>
      <c r="J1719" s="2"/>
      <c r="K1719" s="2" t="s">
        <v>18</v>
      </c>
      <c r="L1719" s="2"/>
    </row>
    <row r="1720">
      <c r="A1720" s="8" t="s">
        <v>1980</v>
      </c>
      <c r="B1720" s="8" t="s">
        <v>1980</v>
      </c>
      <c r="C1720" s="2" t="s">
        <v>45</v>
      </c>
      <c r="D1720" s="2" t="s">
        <v>46</v>
      </c>
      <c r="E1720" s="6">
        <v>45976.37732638889</v>
      </c>
      <c r="F1720" s="3" t="s">
        <v>47</v>
      </c>
      <c r="G1720" s="2" t="s">
        <v>16</v>
      </c>
      <c r="H1720" s="2"/>
      <c r="I1720" s="2" t="s">
        <v>17</v>
      </c>
      <c r="J1720" s="2"/>
      <c r="K1720" s="2" t="s">
        <v>18</v>
      </c>
      <c r="L1720" s="2"/>
    </row>
    <row r="1721">
      <c r="A1721" s="8" t="s">
        <v>1981</v>
      </c>
      <c r="B1721" s="8" t="s">
        <v>1981</v>
      </c>
      <c r="C1721" s="2" t="s">
        <v>309</v>
      </c>
      <c r="D1721" s="2" t="s">
        <v>310</v>
      </c>
      <c r="E1721" s="6">
        <v>45976.378217592595</v>
      </c>
      <c r="F1721" s="3" t="s">
        <v>311</v>
      </c>
      <c r="G1721" s="2" t="s">
        <v>16</v>
      </c>
      <c r="H1721" s="2"/>
      <c r="I1721" s="2" t="s">
        <v>395</v>
      </c>
      <c r="J1721" s="2"/>
      <c r="K1721" s="2" t="s">
        <v>18</v>
      </c>
      <c r="L1721" s="2"/>
    </row>
    <row r="1722">
      <c r="A1722" s="8" t="s">
        <v>1982</v>
      </c>
      <c r="B1722" s="8" t="s">
        <v>1982</v>
      </c>
      <c r="C1722" s="2" t="s">
        <v>786</v>
      </c>
      <c r="D1722" s="2" t="s">
        <v>787</v>
      </c>
      <c r="E1722" s="6">
        <v>45976.43341435185</v>
      </c>
      <c r="F1722" s="3" t="s">
        <v>788</v>
      </c>
      <c r="G1722" s="2" t="s">
        <v>16</v>
      </c>
      <c r="H1722" s="2"/>
      <c r="I1722" s="2" t="s">
        <v>17</v>
      </c>
      <c r="J1722" s="2"/>
      <c r="K1722" s="2" t="s">
        <v>18</v>
      </c>
      <c r="L1722" s="2"/>
    </row>
    <row r="1723">
      <c r="A1723" s="8" t="s">
        <v>1983</v>
      </c>
      <c r="B1723" s="8" t="s">
        <v>1983</v>
      </c>
      <c r="C1723" s="2" t="s">
        <v>45</v>
      </c>
      <c r="D1723" s="2" t="s">
        <v>46</v>
      </c>
      <c r="E1723" s="6">
        <v>45976.49833333334</v>
      </c>
      <c r="F1723" s="3" t="s">
        <v>47</v>
      </c>
      <c r="G1723" s="2" t="s">
        <v>24</v>
      </c>
      <c r="H1723" s="2"/>
      <c r="I1723" s="2"/>
      <c r="J1723" s="2"/>
      <c r="K1723" s="2" t="s">
        <v>18</v>
      </c>
      <c r="L1723" s="2"/>
    </row>
    <row r="1724">
      <c r="A1724" s="8" t="s">
        <v>1984</v>
      </c>
      <c r="B1724" s="8" t="s">
        <v>1984</v>
      </c>
      <c r="C1724" s="2" t="s">
        <v>1904</v>
      </c>
      <c r="D1724" s="2" t="s">
        <v>1905</v>
      </c>
      <c r="E1724" s="6">
        <v>45976.535520833335</v>
      </c>
      <c r="F1724" s="3" t="s">
        <v>1906</v>
      </c>
      <c r="G1724" s="2" t="s">
        <v>16</v>
      </c>
      <c r="H1724" s="2"/>
      <c r="I1724" s="2" t="s">
        <v>17</v>
      </c>
      <c r="J1724" s="2"/>
      <c r="K1724" s="2" t="s">
        <v>18</v>
      </c>
      <c r="L1724" s="2"/>
    </row>
    <row r="1725">
      <c r="A1725" s="8" t="s">
        <v>1985</v>
      </c>
      <c r="B1725" s="8" t="s">
        <v>1985</v>
      </c>
      <c r="C1725" s="2" t="s">
        <v>1183</v>
      </c>
      <c r="D1725" s="2" t="s">
        <v>1184</v>
      </c>
      <c r="E1725" s="6">
        <v>45976.62053240741</v>
      </c>
      <c r="F1725" s="3" t="s">
        <v>1185</v>
      </c>
      <c r="G1725" s="2" t="s">
        <v>24</v>
      </c>
      <c r="H1725" s="2"/>
      <c r="I1725" s="2"/>
      <c r="J1725" s="2"/>
      <c r="K1725" s="2" t="s">
        <v>18</v>
      </c>
      <c r="L1725" s="2"/>
    </row>
    <row r="1726">
      <c r="A1726" s="8" t="s">
        <v>1986</v>
      </c>
      <c r="B1726" s="8" t="s">
        <v>1986</v>
      </c>
      <c r="C1726" s="2" t="s">
        <v>786</v>
      </c>
      <c r="D1726" s="2" t="s">
        <v>787</v>
      </c>
      <c r="E1726" s="6">
        <v>45976.622708333336</v>
      </c>
      <c r="F1726" s="3" t="s">
        <v>788</v>
      </c>
      <c r="G1726" s="2" t="s">
        <v>24</v>
      </c>
      <c r="H1726" s="2"/>
      <c r="I1726" s="2"/>
      <c r="J1726" s="2"/>
      <c r="K1726" s="2" t="s">
        <v>18</v>
      </c>
      <c r="L1726" s="2"/>
    </row>
    <row r="1727">
      <c r="A1727" s="8" t="s">
        <v>1987</v>
      </c>
      <c r="B1727" s="8" t="s">
        <v>1987</v>
      </c>
      <c r="C1727" s="2" t="s">
        <v>943</v>
      </c>
      <c r="D1727" s="2" t="s">
        <v>944</v>
      </c>
      <c r="E1727" s="6">
        <v>45978.46538194444</v>
      </c>
      <c r="F1727" s="3" t="s">
        <v>945</v>
      </c>
      <c r="G1727" s="2" t="s">
        <v>16</v>
      </c>
      <c r="H1727" s="2"/>
      <c r="I1727" s="2" t="s">
        <v>395</v>
      </c>
      <c r="J1727" s="2"/>
      <c r="K1727" s="2" t="s">
        <v>18</v>
      </c>
      <c r="L1727" s="2"/>
    </row>
    <row r="1728">
      <c r="A1728" s="8" t="s">
        <v>1988</v>
      </c>
      <c r="B1728" s="8" t="s">
        <v>1988</v>
      </c>
      <c r="C1728" s="2" t="s">
        <v>493</v>
      </c>
      <c r="D1728" s="2" t="s">
        <v>494</v>
      </c>
      <c r="E1728" s="6">
        <v>45978.47421296296</v>
      </c>
      <c r="F1728" s="3" t="s">
        <v>495</v>
      </c>
      <c r="G1728" s="2" t="s">
        <v>24</v>
      </c>
      <c r="H1728" s="2"/>
      <c r="I1728" s="2"/>
      <c r="J1728" s="2"/>
      <c r="K1728" s="2" t="s">
        <v>18</v>
      </c>
      <c r="L1728" s="2"/>
    </row>
    <row r="1729">
      <c r="A1729" s="8" t="s">
        <v>1989</v>
      </c>
      <c r="B1729" s="8" t="s">
        <v>1989</v>
      </c>
      <c r="C1729" s="2" t="s">
        <v>1830</v>
      </c>
      <c r="D1729" s="2" t="s">
        <v>1831</v>
      </c>
      <c r="E1729" s="6">
        <v>45978.476018518515</v>
      </c>
      <c r="F1729" s="3" t="s">
        <v>1832</v>
      </c>
      <c r="G1729" s="2" t="s">
        <v>24</v>
      </c>
      <c r="H1729" s="2"/>
      <c r="I1729" s="2"/>
      <c r="J1729" s="2"/>
      <c r="K1729" s="2" t="s">
        <v>18</v>
      </c>
      <c r="L1729" s="2"/>
    </row>
    <row r="1730">
      <c r="A1730" s="8" t="s">
        <v>1990</v>
      </c>
      <c r="B1730" s="8" t="s">
        <v>1990</v>
      </c>
      <c r="C1730" s="2" t="s">
        <v>55</v>
      </c>
      <c r="D1730" s="2" t="s">
        <v>56</v>
      </c>
      <c r="E1730" s="6">
        <v>45978.560381944444</v>
      </c>
      <c r="F1730" s="3" t="s">
        <v>57</v>
      </c>
      <c r="G1730" s="2" t="s">
        <v>16</v>
      </c>
      <c r="H1730" s="2"/>
      <c r="I1730" s="2" t="s">
        <v>17</v>
      </c>
      <c r="J1730" s="2"/>
      <c r="K1730" s="2" t="s">
        <v>18</v>
      </c>
      <c r="L1730" s="2"/>
    </row>
    <row r="1731">
      <c r="A1731" s="8" t="s">
        <v>1991</v>
      </c>
      <c r="B1731" s="8" t="s">
        <v>1991</v>
      </c>
      <c r="C1731" s="2" t="s">
        <v>786</v>
      </c>
      <c r="D1731" s="2" t="s">
        <v>787</v>
      </c>
      <c r="E1731" s="6">
        <v>45978.56854166667</v>
      </c>
      <c r="F1731" s="3" t="s">
        <v>788</v>
      </c>
      <c r="G1731" s="2" t="s">
        <v>24</v>
      </c>
      <c r="H1731" s="2"/>
      <c r="I1731" s="2"/>
      <c r="J1731" s="2"/>
      <c r="K1731" s="2" t="s">
        <v>18</v>
      </c>
      <c r="L1731" s="2"/>
    </row>
    <row r="1732">
      <c r="A1732" s="8" t="s">
        <v>1992</v>
      </c>
      <c r="B1732" s="8" t="s">
        <v>1992</v>
      </c>
      <c r="C1732" s="2" t="s">
        <v>1993</v>
      </c>
      <c r="D1732" s="2" t="s">
        <v>1994</v>
      </c>
      <c r="E1732" s="6">
        <v>45978.58541666667</v>
      </c>
      <c r="F1732" s="3" t="s">
        <v>1995</v>
      </c>
      <c r="G1732" s="2" t="s">
        <v>16</v>
      </c>
      <c r="H1732" s="2"/>
      <c r="I1732" s="2" t="s">
        <v>17</v>
      </c>
      <c r="J1732" s="2"/>
      <c r="K1732" s="2" t="s">
        <v>18</v>
      </c>
      <c r="L1732" s="2"/>
    </row>
    <row r="1733">
      <c r="A1733" s="8" t="s">
        <v>1996</v>
      </c>
      <c r="B1733" s="8" t="s">
        <v>1996</v>
      </c>
      <c r="C1733" s="2" t="s">
        <v>55</v>
      </c>
      <c r="D1733" s="2" t="s">
        <v>56</v>
      </c>
      <c r="E1733" s="6">
        <v>45978.61478009259</v>
      </c>
      <c r="F1733" s="3" t="s">
        <v>57</v>
      </c>
      <c r="G1733" s="2" t="s">
        <v>24</v>
      </c>
      <c r="H1733" s="2"/>
      <c r="I1733" s="2"/>
      <c r="J1733" s="2"/>
      <c r="K1733" s="2" t="s">
        <v>18</v>
      </c>
      <c r="L1733" s="2"/>
    </row>
    <row r="1734">
      <c r="A1734" s="8" t="s">
        <v>1997</v>
      </c>
      <c r="B1734" s="8" t="s">
        <v>1997</v>
      </c>
      <c r="C1734" s="2" t="s">
        <v>943</v>
      </c>
      <c r="D1734" s="2" t="s">
        <v>944</v>
      </c>
      <c r="E1734" s="6">
        <v>45978.641064814816</v>
      </c>
      <c r="F1734" s="3" t="s">
        <v>945</v>
      </c>
      <c r="G1734" s="2" t="s">
        <v>24</v>
      </c>
      <c r="H1734" s="2"/>
      <c r="I1734" s="2"/>
      <c r="J1734" s="2"/>
      <c r="K1734" s="2" t="s">
        <v>18</v>
      </c>
      <c r="L1734" s="2"/>
    </row>
    <row r="1735">
      <c r="A1735" s="8" t="s">
        <v>1998</v>
      </c>
      <c r="B1735" s="8" t="s">
        <v>1998</v>
      </c>
      <c r="C1735" s="2" t="s">
        <v>1745</v>
      </c>
      <c r="D1735" s="2" t="s">
        <v>1746</v>
      </c>
      <c r="E1735" s="6">
        <v>45979.340625</v>
      </c>
      <c r="F1735" s="3" t="s">
        <v>1747</v>
      </c>
      <c r="G1735" s="2" t="s">
        <v>16</v>
      </c>
      <c r="H1735" s="2"/>
      <c r="I1735" s="2" t="s">
        <v>395</v>
      </c>
      <c r="J1735" s="2"/>
      <c r="K1735" s="2" t="s">
        <v>18</v>
      </c>
      <c r="L1735" s="2"/>
    </row>
    <row r="1736">
      <c r="A1736" s="1"/>
      <c r="B1736" s="1"/>
      <c r="C1736" s="2"/>
      <c r="D1736" s="2"/>
      <c r="E1736" s="6"/>
      <c r="F1736" s="3"/>
      <c r="G1736" s="2"/>
      <c r="H1736" s="2"/>
      <c r="I1736" s="2"/>
      <c r="J1736" s="2"/>
      <c r="K1736" s="2"/>
      <c r="L1736" s="2"/>
    </row>
    <row r="1737">
      <c r="A1737" s="8" t="s">
        <v>1999</v>
      </c>
      <c r="B1737" s="8" t="s">
        <v>1999</v>
      </c>
      <c r="C1737" s="2" t="s">
        <v>309</v>
      </c>
      <c r="D1737" s="2" t="s">
        <v>310</v>
      </c>
      <c r="E1737" s="6">
        <v>45978.34074074074</v>
      </c>
      <c r="F1737" s="3" t="s">
        <v>311</v>
      </c>
      <c r="G1737" s="2" t="s">
        <v>16</v>
      </c>
      <c r="H1737" s="2"/>
      <c r="I1737" s="2" t="s">
        <v>395</v>
      </c>
      <c r="J1737" s="2"/>
      <c r="K1737" s="2" t="s">
        <v>18</v>
      </c>
      <c r="L1737" s="2"/>
    </row>
    <row r="1738">
      <c r="A1738" s="8" t="s">
        <v>2000</v>
      </c>
      <c r="B1738" s="8" t="s">
        <v>2000</v>
      </c>
      <c r="C1738" s="2" t="s">
        <v>309</v>
      </c>
      <c r="D1738" s="2" t="s">
        <v>310</v>
      </c>
      <c r="E1738" s="6">
        <v>45979.34074074074</v>
      </c>
      <c r="F1738" s="3" t="s">
        <v>311</v>
      </c>
      <c r="G1738" s="2" t="s">
        <v>16</v>
      </c>
      <c r="H1738" s="2"/>
      <c r="I1738" s="2" t="s">
        <v>395</v>
      </c>
      <c r="J1738" s="2"/>
      <c r="K1738" s="2" t="s">
        <v>18</v>
      </c>
      <c r="L1738" s="2"/>
    </row>
    <row r="1739">
      <c r="A1739" s="8" t="s">
        <v>2001</v>
      </c>
      <c r="B1739" s="8" t="s">
        <v>2001</v>
      </c>
      <c r="C1739" s="2" t="s">
        <v>326</v>
      </c>
      <c r="D1739" s="2" t="s">
        <v>327</v>
      </c>
      <c r="E1739" s="6">
        <v>45979.341458333336</v>
      </c>
      <c r="F1739" s="3" t="s">
        <v>328</v>
      </c>
      <c r="G1739" s="2" t="s">
        <v>16</v>
      </c>
      <c r="H1739" s="2"/>
      <c r="I1739" s="2" t="s">
        <v>395</v>
      </c>
      <c r="J1739" s="2"/>
      <c r="K1739" s="2" t="s">
        <v>18</v>
      </c>
      <c r="L1739" s="2"/>
    </row>
    <row r="1740">
      <c r="A1740" s="8" t="s">
        <v>2002</v>
      </c>
      <c r="B1740" s="8" t="s">
        <v>2002</v>
      </c>
      <c r="C1740" s="2" t="s">
        <v>786</v>
      </c>
      <c r="D1740" s="2" t="s">
        <v>787</v>
      </c>
      <c r="E1740" s="6">
        <v>45979.34777777778</v>
      </c>
      <c r="F1740" s="3" t="s">
        <v>788</v>
      </c>
      <c r="G1740" s="2" t="s">
        <v>16</v>
      </c>
      <c r="H1740" s="2"/>
      <c r="I1740" s="2" t="s">
        <v>17</v>
      </c>
      <c r="J1740" s="2"/>
      <c r="K1740" s="2" t="s">
        <v>18</v>
      </c>
      <c r="L1740" s="2"/>
    </row>
    <row r="1741">
      <c r="A1741" s="8" t="s">
        <v>2003</v>
      </c>
      <c r="B1741" s="8" t="s">
        <v>2003</v>
      </c>
      <c r="C1741" s="2" t="s">
        <v>309</v>
      </c>
      <c r="D1741" s="2" t="s">
        <v>310</v>
      </c>
      <c r="E1741" s="6">
        <v>45979.34074074074</v>
      </c>
      <c r="F1741" s="3" t="s">
        <v>311</v>
      </c>
      <c r="G1741" s="2" t="s">
        <v>16</v>
      </c>
      <c r="H1741" s="2"/>
      <c r="I1741" s="2" t="s">
        <v>395</v>
      </c>
      <c r="J1741" s="2"/>
      <c r="K1741" s="2" t="s">
        <v>18</v>
      </c>
      <c r="L1741" s="2"/>
    </row>
    <row r="1742">
      <c r="A1742" s="8" t="s">
        <v>2004</v>
      </c>
      <c r="B1742" s="8" t="s">
        <v>2004</v>
      </c>
      <c r="C1742" s="2" t="s">
        <v>2005</v>
      </c>
      <c r="D1742" s="2" t="s">
        <v>2006</v>
      </c>
      <c r="E1742" s="6">
        <v>45979.352106481485</v>
      </c>
      <c r="F1742" s="3" t="s">
        <v>2007</v>
      </c>
      <c r="G1742" s="2" t="s">
        <v>16</v>
      </c>
      <c r="H1742" s="2"/>
      <c r="I1742" s="2" t="s">
        <v>17</v>
      </c>
      <c r="J1742" s="2"/>
      <c r="K1742" s="2" t="s">
        <v>18</v>
      </c>
      <c r="L1742" s="2"/>
    </row>
    <row r="1743">
      <c r="A1743" s="8" t="s">
        <v>2008</v>
      </c>
      <c r="B1743" s="8" t="s">
        <v>2008</v>
      </c>
      <c r="C1743" s="2" t="s">
        <v>1993</v>
      </c>
      <c r="D1743" s="2" t="s">
        <v>1994</v>
      </c>
      <c r="E1743" s="6">
        <v>45979.365694444445</v>
      </c>
      <c r="F1743" s="3" t="s">
        <v>1995</v>
      </c>
      <c r="G1743" s="2" t="s">
        <v>16</v>
      </c>
      <c r="H1743" s="2"/>
      <c r="I1743" s="2" t="s">
        <v>17</v>
      </c>
      <c r="J1743" s="2"/>
      <c r="K1743" s="2" t="s">
        <v>18</v>
      </c>
      <c r="L1743" s="2"/>
    </row>
    <row r="1744">
      <c r="A1744" s="8" t="s">
        <v>2009</v>
      </c>
      <c r="B1744" s="8" t="s">
        <v>2009</v>
      </c>
      <c r="C1744" s="2" t="s">
        <v>1993</v>
      </c>
      <c r="D1744" s="2" t="s">
        <v>1994</v>
      </c>
      <c r="E1744" s="6">
        <v>45979.373020833336</v>
      </c>
      <c r="F1744" s="3" t="s">
        <v>1995</v>
      </c>
      <c r="G1744" s="2" t="s">
        <v>16</v>
      </c>
      <c r="H1744" s="2"/>
      <c r="I1744" s="2" t="s">
        <v>17</v>
      </c>
      <c r="J1744" s="2"/>
      <c r="K1744" s="2" t="s">
        <v>18</v>
      </c>
      <c r="L1744" s="2"/>
    </row>
    <row r="1745">
      <c r="A1745" s="8" t="s">
        <v>2010</v>
      </c>
      <c r="B1745" s="8" t="s">
        <v>2010</v>
      </c>
      <c r="C1745" s="2" t="s">
        <v>1904</v>
      </c>
      <c r="D1745" s="2" t="s">
        <v>1905</v>
      </c>
      <c r="E1745" s="6">
        <v>45979.4444212963</v>
      </c>
      <c r="F1745" s="3" t="s">
        <v>1906</v>
      </c>
      <c r="G1745" s="2" t="s">
        <v>16</v>
      </c>
      <c r="H1745" s="2"/>
      <c r="I1745" s="2" t="s">
        <v>17</v>
      </c>
      <c r="J1745" s="2"/>
      <c r="K1745" s="2" t="s">
        <v>18</v>
      </c>
      <c r="L1745" s="2"/>
    </row>
    <row r="1746">
      <c r="A1746" s="8" t="s">
        <v>2011</v>
      </c>
      <c r="B1746" s="8" t="s">
        <v>2011</v>
      </c>
      <c r="C1746" s="2" t="s">
        <v>1830</v>
      </c>
      <c r="D1746" s="2" t="s">
        <v>1831</v>
      </c>
      <c r="E1746" s="6">
        <v>45979.44483796296</v>
      </c>
      <c r="F1746" s="3" t="s">
        <v>1832</v>
      </c>
      <c r="G1746" s="2" t="s">
        <v>16</v>
      </c>
      <c r="H1746" s="2"/>
      <c r="I1746" s="2" t="s">
        <v>395</v>
      </c>
      <c r="J1746" s="2"/>
      <c r="K1746" s="2" t="s">
        <v>18</v>
      </c>
      <c r="L1746" s="2"/>
    </row>
    <row r="1747">
      <c r="A1747" s="8" t="s">
        <v>2012</v>
      </c>
      <c r="B1747" s="8" t="s">
        <v>2012</v>
      </c>
      <c r="C1747" s="2" t="s">
        <v>2005</v>
      </c>
      <c r="D1747" s="2" t="s">
        <v>2006</v>
      </c>
      <c r="E1747" s="6">
        <v>45979.46836805555</v>
      </c>
      <c r="F1747" s="3" t="s">
        <v>2007</v>
      </c>
      <c r="G1747" s="2" t="s">
        <v>24</v>
      </c>
      <c r="H1747" s="2"/>
      <c r="I1747" s="2"/>
      <c r="J1747" s="2"/>
      <c r="K1747" s="2" t="s">
        <v>18</v>
      </c>
      <c r="L1747" s="2"/>
    </row>
    <row r="1748">
      <c r="A1748" s="8" t="s">
        <v>2013</v>
      </c>
      <c r="B1748" s="8" t="s">
        <v>2013</v>
      </c>
      <c r="C1748" s="2" t="s">
        <v>1745</v>
      </c>
      <c r="D1748" s="2" t="s">
        <v>1746</v>
      </c>
      <c r="E1748" s="6">
        <v>45979.468877314815</v>
      </c>
      <c r="F1748" s="3" t="s">
        <v>1747</v>
      </c>
      <c r="G1748" s="2" t="s">
        <v>24</v>
      </c>
      <c r="H1748" s="2"/>
      <c r="I1748" s="2"/>
      <c r="J1748" s="2"/>
      <c r="K1748" s="2" t="s">
        <v>18</v>
      </c>
      <c r="L1748" s="2"/>
    </row>
    <row r="1749">
      <c r="A1749" s="8" t="s">
        <v>2014</v>
      </c>
      <c r="B1749" s="8" t="s">
        <v>2014</v>
      </c>
      <c r="C1749" s="2" t="s">
        <v>1993</v>
      </c>
      <c r="D1749" s="2" t="s">
        <v>1994</v>
      </c>
      <c r="E1749" s="6">
        <v>45979.47429398148</v>
      </c>
      <c r="F1749" s="3" t="s">
        <v>1995</v>
      </c>
      <c r="G1749" s="2" t="s">
        <v>24</v>
      </c>
      <c r="H1749" s="2"/>
      <c r="I1749" s="2"/>
      <c r="J1749" s="2"/>
      <c r="K1749" s="2" t="s">
        <v>18</v>
      </c>
      <c r="L1749" s="2"/>
    </row>
    <row r="1750">
      <c r="A1750" s="8" t="s">
        <v>2015</v>
      </c>
      <c r="B1750" s="8" t="s">
        <v>2015</v>
      </c>
      <c r="C1750" s="2" t="s">
        <v>1830</v>
      </c>
      <c r="D1750" s="2" t="s">
        <v>1831</v>
      </c>
      <c r="E1750" s="6">
        <v>45979.5000462963</v>
      </c>
      <c r="F1750" s="3" t="s">
        <v>1832</v>
      </c>
      <c r="G1750" s="2" t="s">
        <v>24</v>
      </c>
      <c r="H1750" s="2"/>
      <c r="I1750" s="2"/>
      <c r="J1750" s="2"/>
      <c r="K1750" s="2" t="s">
        <v>18</v>
      </c>
      <c r="L1750" s="2"/>
    </row>
    <row r="1751">
      <c r="A1751" s="8" t="s">
        <v>2016</v>
      </c>
      <c r="B1751" s="8" t="s">
        <v>2016</v>
      </c>
      <c r="C1751" s="2" t="s">
        <v>1904</v>
      </c>
      <c r="D1751" s="2" t="s">
        <v>1905</v>
      </c>
      <c r="E1751" s="6">
        <v>45979.50099537037</v>
      </c>
      <c r="F1751" s="3" t="s">
        <v>1906</v>
      </c>
      <c r="G1751" s="2" t="s">
        <v>24</v>
      </c>
      <c r="H1751" s="2"/>
      <c r="I1751" s="2"/>
      <c r="J1751" s="2"/>
      <c r="K1751" s="2" t="s">
        <v>18</v>
      </c>
      <c r="L1751" s="2"/>
    </row>
    <row r="1752">
      <c r="A1752" s="8" t="s">
        <v>2017</v>
      </c>
      <c r="B1752" s="8" t="s">
        <v>2017</v>
      </c>
      <c r="C1752" s="2" t="s">
        <v>326</v>
      </c>
      <c r="D1752" s="2" t="s">
        <v>327</v>
      </c>
      <c r="E1752" s="6">
        <v>45979.504953703705</v>
      </c>
      <c r="F1752" s="3" t="s">
        <v>328</v>
      </c>
      <c r="G1752" s="2" t="s">
        <v>24</v>
      </c>
      <c r="H1752" s="2"/>
      <c r="I1752" s="2"/>
      <c r="J1752" s="2"/>
      <c r="K1752" s="2" t="s">
        <v>18</v>
      </c>
      <c r="L1752" s="2"/>
    </row>
    <row r="1753">
      <c r="A1753" s="8" t="s">
        <v>2018</v>
      </c>
      <c r="B1753" s="8" t="s">
        <v>2018</v>
      </c>
      <c r="C1753" s="2" t="s">
        <v>1564</v>
      </c>
      <c r="D1753" s="2" t="s">
        <v>1565</v>
      </c>
      <c r="E1753" s="6">
        <v>45979.63701388889</v>
      </c>
      <c r="F1753" s="3" t="s">
        <v>1566</v>
      </c>
      <c r="G1753" s="2" t="s">
        <v>16</v>
      </c>
      <c r="H1753" s="2"/>
      <c r="I1753" s="2" t="s">
        <v>395</v>
      </c>
      <c r="J1753" s="2"/>
      <c r="K1753" s="2" t="s">
        <v>18</v>
      </c>
      <c r="L1753" s="2"/>
    </row>
    <row r="1754">
      <c r="A1754" s="8" t="s">
        <v>2019</v>
      </c>
      <c r="B1754" s="8" t="s">
        <v>2019</v>
      </c>
      <c r="C1754" s="2" t="s">
        <v>1705</v>
      </c>
      <c r="D1754" s="2" t="s">
        <v>1706</v>
      </c>
      <c r="E1754" s="6">
        <v>45979.66452546296</v>
      </c>
      <c r="F1754" s="3" t="s">
        <v>1707</v>
      </c>
      <c r="G1754" s="2" t="s">
        <v>24</v>
      </c>
      <c r="H1754" s="2"/>
      <c r="I1754" s="2"/>
      <c r="J1754" s="2"/>
      <c r="K1754" s="2" t="s">
        <v>18</v>
      </c>
      <c r="L1754" s="2"/>
    </row>
    <row r="1755">
      <c r="A1755" s="8" t="s">
        <v>2020</v>
      </c>
      <c r="B1755" s="8" t="s">
        <v>2020</v>
      </c>
      <c r="C1755" s="2" t="s">
        <v>786</v>
      </c>
      <c r="D1755" s="2" t="s">
        <v>787</v>
      </c>
      <c r="E1755" s="6">
        <v>45979.665625</v>
      </c>
      <c r="F1755" s="3" t="s">
        <v>788</v>
      </c>
      <c r="G1755" s="2" t="s">
        <v>24</v>
      </c>
      <c r="H1755" s="2"/>
      <c r="I1755" s="2"/>
      <c r="J1755" s="2"/>
      <c r="K1755" s="2" t="s">
        <v>18</v>
      </c>
      <c r="L1755" s="2"/>
    </row>
    <row r="1756">
      <c r="A1756" s="8" t="s">
        <v>2021</v>
      </c>
      <c r="B1756" s="8" t="s">
        <v>2021</v>
      </c>
      <c r="C1756" s="2" t="s">
        <v>2005</v>
      </c>
      <c r="D1756" s="2" t="s">
        <v>2006</v>
      </c>
      <c r="E1756" s="6">
        <v>45980.34303240741</v>
      </c>
      <c r="F1756" s="3" t="s">
        <v>2007</v>
      </c>
      <c r="G1756" s="2" t="s">
        <v>16</v>
      </c>
      <c r="H1756" s="2"/>
      <c r="I1756" s="2" t="s">
        <v>17</v>
      </c>
      <c r="J1756" s="2"/>
      <c r="K1756" s="2" t="s">
        <v>18</v>
      </c>
      <c r="L1756" s="2"/>
    </row>
    <row r="1757">
      <c r="A1757" s="8" t="s">
        <v>2022</v>
      </c>
      <c r="B1757" s="8" t="s">
        <v>2022</v>
      </c>
      <c r="C1757" s="2" t="s">
        <v>2005</v>
      </c>
      <c r="D1757" s="2" t="s">
        <v>2006</v>
      </c>
      <c r="E1757" s="6">
        <v>45980.40420138889</v>
      </c>
      <c r="F1757" s="3" t="s">
        <v>2007</v>
      </c>
      <c r="G1757" s="2" t="s">
        <v>24</v>
      </c>
      <c r="H1757" s="2"/>
      <c r="I1757" s="2"/>
      <c r="J1757" s="2"/>
      <c r="K1757" s="2" t="s">
        <v>18</v>
      </c>
      <c r="L1757" s="2"/>
    </row>
    <row r="1758">
      <c r="A1758" s="8" t="s">
        <v>2023</v>
      </c>
      <c r="B1758" s="8" t="s">
        <v>2023</v>
      </c>
      <c r="C1758" s="2" t="s">
        <v>45</v>
      </c>
      <c r="D1758" s="2" t="s">
        <v>46</v>
      </c>
      <c r="E1758" s="6">
        <v>45980.40855324074</v>
      </c>
      <c r="F1758" s="3" t="s">
        <v>47</v>
      </c>
      <c r="G1758" s="2" t="s">
        <v>16</v>
      </c>
      <c r="H1758" s="2"/>
      <c r="I1758" s="2" t="s">
        <v>17</v>
      </c>
      <c r="J1758" s="2"/>
      <c r="K1758" s="2" t="s">
        <v>18</v>
      </c>
      <c r="L1758" s="2"/>
    </row>
    <row r="1759">
      <c r="A1759" s="8" t="s">
        <v>2024</v>
      </c>
      <c r="B1759" s="8" t="s">
        <v>2024</v>
      </c>
      <c r="C1759" s="2" t="s">
        <v>1904</v>
      </c>
      <c r="D1759" s="2" t="s">
        <v>1905</v>
      </c>
      <c r="E1759" s="6">
        <v>45980.56327546296</v>
      </c>
      <c r="F1759" s="3" t="s">
        <v>1906</v>
      </c>
      <c r="G1759" s="2" t="s">
        <v>16</v>
      </c>
      <c r="H1759" s="2"/>
      <c r="I1759" s="2" t="s">
        <v>17</v>
      </c>
      <c r="J1759" s="2"/>
      <c r="K1759" s="2" t="s">
        <v>18</v>
      </c>
      <c r="L1759" s="2"/>
    </row>
    <row r="1760">
      <c r="A1760" s="8" t="s">
        <v>2025</v>
      </c>
      <c r="B1760" s="8" t="s">
        <v>2025</v>
      </c>
      <c r="C1760" s="2" t="s">
        <v>1203</v>
      </c>
      <c r="D1760" s="2" t="s">
        <v>1204</v>
      </c>
      <c r="E1760" s="6">
        <v>45980.58803240741</v>
      </c>
      <c r="F1760" s="3" t="s">
        <v>1205</v>
      </c>
      <c r="G1760" s="2" t="s">
        <v>24</v>
      </c>
      <c r="H1760" s="2"/>
      <c r="I1760" s="2"/>
      <c r="J1760" s="2"/>
      <c r="K1760" s="2" t="s">
        <v>18</v>
      </c>
      <c r="L1760" s="2"/>
    </row>
    <row r="1761">
      <c r="A1761" s="8" t="s">
        <v>2026</v>
      </c>
      <c r="B1761" s="8" t="s">
        <v>2026</v>
      </c>
      <c r="C1761" s="2" t="s">
        <v>131</v>
      </c>
      <c r="D1761" s="2" t="s">
        <v>132</v>
      </c>
      <c r="E1761" s="6">
        <v>45980.58951388889</v>
      </c>
      <c r="F1761" s="3" t="s">
        <v>133</v>
      </c>
      <c r="G1761" s="2" t="s">
        <v>24</v>
      </c>
      <c r="H1761" s="2"/>
      <c r="I1761" s="2"/>
      <c r="J1761" s="2"/>
      <c r="K1761" s="2" t="s">
        <v>18</v>
      </c>
      <c r="L1761" s="2"/>
    </row>
    <row r="1762">
      <c r="A1762" s="8" t="s">
        <v>2027</v>
      </c>
      <c r="B1762" s="8" t="s">
        <v>2027</v>
      </c>
      <c r="C1762" s="2" t="s">
        <v>1228</v>
      </c>
      <c r="D1762" s="2" t="s">
        <v>1229</v>
      </c>
      <c r="E1762" s="6">
        <v>45980.590625</v>
      </c>
      <c r="F1762" s="3" t="s">
        <v>1230</v>
      </c>
      <c r="G1762" s="2" t="s">
        <v>24</v>
      </c>
      <c r="H1762" s="2"/>
      <c r="I1762" s="2"/>
      <c r="J1762" s="2"/>
      <c r="K1762" s="2" t="s">
        <v>18</v>
      </c>
      <c r="L1762" s="2"/>
    </row>
    <row r="1763">
      <c r="A1763" s="8" t="s">
        <v>2028</v>
      </c>
      <c r="B1763" s="8" t="s">
        <v>2028</v>
      </c>
      <c r="C1763" s="2" t="s">
        <v>812</v>
      </c>
      <c r="D1763" s="2" t="s">
        <v>813</v>
      </c>
      <c r="E1763" s="6">
        <v>45980.62446759259</v>
      </c>
      <c r="F1763" s="3" t="s">
        <v>814</v>
      </c>
      <c r="G1763" s="2" t="s">
        <v>16</v>
      </c>
      <c r="H1763" s="2"/>
      <c r="I1763" s="2" t="s">
        <v>395</v>
      </c>
      <c r="J1763" s="2"/>
      <c r="K1763" s="2" t="s">
        <v>18</v>
      </c>
      <c r="L1763" s="2"/>
    </row>
    <row r="1764">
      <c r="A1764" s="8" t="s">
        <v>2029</v>
      </c>
      <c r="B1764" s="8" t="s">
        <v>2029</v>
      </c>
      <c r="C1764" s="2" t="s">
        <v>812</v>
      </c>
      <c r="D1764" s="2" t="s">
        <v>813</v>
      </c>
      <c r="E1764" s="6">
        <v>45980.65280092593</v>
      </c>
      <c r="F1764" s="3" t="s">
        <v>814</v>
      </c>
      <c r="G1764" s="2" t="s">
        <v>24</v>
      </c>
      <c r="H1764" s="2"/>
      <c r="I1764" s="2"/>
      <c r="J1764" s="2"/>
      <c r="K1764" s="2" t="s">
        <v>18</v>
      </c>
      <c r="L1764" s="2"/>
    </row>
    <row r="1765">
      <c r="A1765" s="8" t="s">
        <v>2030</v>
      </c>
      <c r="B1765" s="8" t="s">
        <v>2030</v>
      </c>
      <c r="C1765" s="2" t="s">
        <v>1889</v>
      </c>
      <c r="D1765" s="2" t="s">
        <v>1890</v>
      </c>
      <c r="E1765" s="6">
        <v>45981.35804398148</v>
      </c>
      <c r="F1765" s="3" t="s">
        <v>1891</v>
      </c>
      <c r="G1765" s="2" t="s">
        <v>16</v>
      </c>
      <c r="H1765" s="2"/>
      <c r="I1765" s="2" t="s">
        <v>17</v>
      </c>
      <c r="J1765" s="2"/>
      <c r="K1765" s="2" t="s">
        <v>18</v>
      </c>
      <c r="L1765" s="2"/>
    </row>
    <row r="1766">
      <c r="A1766" s="8" t="s">
        <v>2031</v>
      </c>
      <c r="B1766" s="8" t="s">
        <v>2031</v>
      </c>
      <c r="C1766" s="2" t="s">
        <v>2032</v>
      </c>
      <c r="D1766" s="2" t="s">
        <v>2033</v>
      </c>
      <c r="E1766" s="6">
        <v>45981.36053240741</v>
      </c>
      <c r="F1766" s="3" t="s">
        <v>1891</v>
      </c>
      <c r="G1766" s="2" t="s">
        <v>16</v>
      </c>
      <c r="H1766" s="2"/>
      <c r="I1766" s="2" t="s">
        <v>17</v>
      </c>
      <c r="J1766" s="2"/>
      <c r="K1766" s="2" t="s">
        <v>18</v>
      </c>
      <c r="L1766" s="2"/>
    </row>
    <row r="1767">
      <c r="A1767" s="8" t="s">
        <v>2034</v>
      </c>
      <c r="B1767" s="8" t="s">
        <v>2034</v>
      </c>
      <c r="C1767" s="2" t="s">
        <v>943</v>
      </c>
      <c r="D1767" s="2" t="s">
        <v>944</v>
      </c>
      <c r="E1767" s="6">
        <v>45981.37018518519</v>
      </c>
      <c r="F1767" s="3" t="s">
        <v>945</v>
      </c>
      <c r="G1767" s="2" t="s">
        <v>16</v>
      </c>
      <c r="H1767" s="2"/>
      <c r="I1767" s="2" t="s">
        <v>395</v>
      </c>
      <c r="J1767" s="2"/>
      <c r="K1767" s="2" t="s">
        <v>18</v>
      </c>
      <c r="L1767" s="2"/>
    </row>
    <row r="1768">
      <c r="A1768" s="8" t="s">
        <v>2035</v>
      </c>
      <c r="B1768" s="8" t="s">
        <v>2035</v>
      </c>
      <c r="C1768" s="2" t="s">
        <v>45</v>
      </c>
      <c r="D1768" s="2" t="s">
        <v>46</v>
      </c>
      <c r="E1768" s="6">
        <v>45980.66731481482</v>
      </c>
      <c r="F1768" s="3" t="s">
        <v>47</v>
      </c>
      <c r="G1768" s="2" t="s">
        <v>24</v>
      </c>
      <c r="H1768" s="2"/>
      <c r="I1768" s="2"/>
      <c r="J1768" s="2"/>
      <c r="K1768" s="2" t="s">
        <v>18</v>
      </c>
      <c r="L1768" s="2"/>
    </row>
    <row r="1769">
      <c r="A1769" s="8" t="s">
        <v>2036</v>
      </c>
      <c r="B1769" s="8" t="s">
        <v>2036</v>
      </c>
      <c r="C1769" s="2" t="s">
        <v>1756</v>
      </c>
      <c r="D1769" s="2" t="s">
        <v>1757</v>
      </c>
      <c r="E1769" s="6">
        <v>45981.41701388889</v>
      </c>
      <c r="F1769" s="3" t="s">
        <v>1758</v>
      </c>
      <c r="G1769" s="2" t="s">
        <v>16</v>
      </c>
      <c r="H1769" s="2"/>
      <c r="I1769" s="2" t="s">
        <v>17</v>
      </c>
      <c r="J1769" s="2"/>
      <c r="K1769" s="2" t="s">
        <v>18</v>
      </c>
      <c r="L1769" s="2"/>
    </row>
    <row r="1770">
      <c r="A1770" s="8" t="s">
        <v>2037</v>
      </c>
      <c r="B1770" s="8" t="s">
        <v>2037</v>
      </c>
      <c r="C1770" s="2" t="s">
        <v>2005</v>
      </c>
      <c r="D1770" s="2" t="s">
        <v>2006</v>
      </c>
      <c r="E1770" s="6">
        <v>45981.44412037037</v>
      </c>
      <c r="F1770" s="3" t="s">
        <v>2007</v>
      </c>
      <c r="G1770" s="2" t="s">
        <v>24</v>
      </c>
      <c r="H1770" s="2"/>
      <c r="I1770" s="2"/>
      <c r="J1770" s="2"/>
      <c r="K1770" s="2" t="s">
        <v>18</v>
      </c>
      <c r="L1770" s="2"/>
    </row>
    <row r="1771">
      <c r="A1771" s="8" t="s">
        <v>2038</v>
      </c>
      <c r="B1771" s="8" t="s">
        <v>2038</v>
      </c>
      <c r="C1771" s="2" t="s">
        <v>1993</v>
      </c>
      <c r="D1771" s="2" t="s">
        <v>1994</v>
      </c>
      <c r="E1771" s="6">
        <v>45981.44550925926</v>
      </c>
      <c r="F1771" s="3" t="s">
        <v>1995</v>
      </c>
      <c r="G1771" s="2" t="s">
        <v>24</v>
      </c>
      <c r="H1771" s="2"/>
      <c r="I1771" s="2"/>
      <c r="J1771" s="2"/>
      <c r="K1771" s="2" t="s">
        <v>18</v>
      </c>
      <c r="L1771" s="2"/>
    </row>
    <row r="1772">
      <c r="A1772" s="8" t="s">
        <v>2039</v>
      </c>
      <c r="B1772" s="8" t="s">
        <v>2039</v>
      </c>
      <c r="C1772" s="2" t="s">
        <v>786</v>
      </c>
      <c r="D1772" s="2" t="s">
        <v>787</v>
      </c>
      <c r="E1772" s="6">
        <v>45981.52609953703</v>
      </c>
      <c r="F1772" s="3" t="s">
        <v>788</v>
      </c>
      <c r="G1772" s="2" t="s">
        <v>16</v>
      </c>
      <c r="H1772" s="2"/>
      <c r="I1772" s="2" t="s">
        <v>17</v>
      </c>
      <c r="J1772" s="2"/>
      <c r="K1772" s="2" t="s">
        <v>18</v>
      </c>
      <c r="L1772" s="2"/>
    </row>
    <row r="1773">
      <c r="A1773" s="8" t="s">
        <v>2040</v>
      </c>
      <c r="B1773" s="8" t="s">
        <v>2040</v>
      </c>
      <c r="C1773" s="2" t="s">
        <v>951</v>
      </c>
      <c r="D1773" s="2" t="s">
        <v>952</v>
      </c>
      <c r="E1773" s="6">
        <v>45981.528715277775</v>
      </c>
      <c r="F1773" s="3" t="s">
        <v>953</v>
      </c>
      <c r="G1773" s="2" t="s">
        <v>16</v>
      </c>
      <c r="H1773" s="2"/>
      <c r="I1773" s="2" t="s">
        <v>17</v>
      </c>
      <c r="J1773" s="2"/>
      <c r="K1773" s="2" t="s">
        <v>18</v>
      </c>
      <c r="L1773" s="2"/>
    </row>
    <row r="1774">
      <c r="A1774" s="8" t="s">
        <v>2041</v>
      </c>
      <c r="B1774" s="8" t="s">
        <v>2041</v>
      </c>
      <c r="C1774" s="2" t="s">
        <v>45</v>
      </c>
      <c r="D1774" s="2" t="s">
        <v>46</v>
      </c>
      <c r="E1774" s="6">
        <v>45981.55824074074</v>
      </c>
      <c r="F1774" s="3" t="s">
        <v>47</v>
      </c>
      <c r="G1774" s="2" t="s">
        <v>24</v>
      </c>
      <c r="H1774" s="2"/>
      <c r="I1774" s="2"/>
      <c r="J1774" s="2"/>
      <c r="K1774" s="2" t="s">
        <v>18</v>
      </c>
      <c r="L1774" s="2"/>
    </row>
    <row r="1775">
      <c r="A1775" s="8" t="s">
        <v>2042</v>
      </c>
      <c r="B1775" s="8" t="s">
        <v>2042</v>
      </c>
      <c r="C1775" s="2" t="s">
        <v>326</v>
      </c>
      <c r="D1775" s="2" t="s">
        <v>327</v>
      </c>
      <c r="E1775" s="6">
        <v>45981.558842592596</v>
      </c>
      <c r="F1775" s="3" t="s">
        <v>328</v>
      </c>
      <c r="G1775" s="2" t="s">
        <v>24</v>
      </c>
      <c r="H1775" s="2"/>
      <c r="I1775" s="2"/>
      <c r="J1775" s="2"/>
      <c r="K1775" s="2" t="s">
        <v>18</v>
      </c>
      <c r="L1775" s="2"/>
    </row>
    <row r="1776">
      <c r="A1776" s="8" t="s">
        <v>2043</v>
      </c>
      <c r="B1776" s="8" t="s">
        <v>2043</v>
      </c>
      <c r="C1776" s="2" t="s">
        <v>943</v>
      </c>
      <c r="D1776" s="2" t="s">
        <v>944</v>
      </c>
      <c r="E1776" s="6">
        <v>45981.55998842593</v>
      </c>
      <c r="F1776" s="3" t="s">
        <v>945</v>
      </c>
      <c r="G1776" s="2" t="s">
        <v>24</v>
      </c>
      <c r="H1776" s="2"/>
      <c r="I1776" s="2"/>
      <c r="J1776" s="2"/>
      <c r="K1776" s="2" t="s">
        <v>18</v>
      </c>
      <c r="L1776" s="2"/>
    </row>
    <row r="1777">
      <c r="A1777" s="8" t="s">
        <v>2044</v>
      </c>
      <c r="B1777" s="8" t="s">
        <v>2044</v>
      </c>
      <c r="C1777" s="2" t="s">
        <v>786</v>
      </c>
      <c r="D1777" s="2" t="s">
        <v>787</v>
      </c>
      <c r="E1777" s="6">
        <v>45981.63590277778</v>
      </c>
      <c r="F1777" s="3" t="s">
        <v>788</v>
      </c>
      <c r="G1777" s="2" t="s">
        <v>24</v>
      </c>
      <c r="H1777" s="2"/>
      <c r="I1777" s="2"/>
      <c r="J1777" s="2"/>
      <c r="K1777" s="2" t="s">
        <v>18</v>
      </c>
      <c r="L1777" s="2"/>
    </row>
    <row r="1778">
      <c r="A1778" s="8" t="s">
        <v>2045</v>
      </c>
      <c r="B1778" s="8" t="s">
        <v>2045</v>
      </c>
      <c r="C1778" s="2" t="s">
        <v>1756</v>
      </c>
      <c r="D1778" s="2" t="s">
        <v>1757</v>
      </c>
      <c r="E1778" s="6">
        <v>45981.63791666667</v>
      </c>
      <c r="F1778" s="3" t="s">
        <v>1758</v>
      </c>
      <c r="G1778" s="2" t="s">
        <v>24</v>
      </c>
      <c r="H1778" s="2"/>
      <c r="I1778" s="2"/>
      <c r="J1778" s="2"/>
      <c r="K1778" s="2" t="s">
        <v>18</v>
      </c>
      <c r="L1778" s="2"/>
    </row>
    <row r="1779">
      <c r="A1779" s="8" t="s">
        <v>2046</v>
      </c>
      <c r="B1779" s="8" t="s">
        <v>2046</v>
      </c>
      <c r="C1779" s="2" t="s">
        <v>20</v>
      </c>
      <c r="D1779" s="2" t="s">
        <v>21</v>
      </c>
      <c r="E1779" s="6">
        <v>45981.639131944445</v>
      </c>
      <c r="F1779" s="3" t="s">
        <v>22</v>
      </c>
      <c r="G1779" s="2" t="s">
        <v>24</v>
      </c>
      <c r="H1779" s="2"/>
      <c r="I1779" s="2"/>
      <c r="J1779" s="2"/>
      <c r="K1779" s="2" t="s">
        <v>18</v>
      </c>
      <c r="L1779" s="2"/>
    </row>
    <row r="1780">
      <c r="A1780" s="8" t="s">
        <v>2047</v>
      </c>
      <c r="B1780" s="8" t="s">
        <v>2047</v>
      </c>
      <c r="C1780" s="2" t="s">
        <v>951</v>
      </c>
      <c r="D1780" s="2" t="s">
        <v>952</v>
      </c>
      <c r="E1780" s="6">
        <v>45981.68829861111</v>
      </c>
      <c r="F1780" s="3" t="s">
        <v>953</v>
      </c>
      <c r="G1780" s="2" t="s">
        <v>24</v>
      </c>
      <c r="H1780" s="2"/>
      <c r="I1780" s="2"/>
      <c r="J1780" s="2"/>
      <c r="K1780" s="2" t="s">
        <v>18</v>
      </c>
      <c r="L1780" s="2"/>
    </row>
    <row r="1781">
      <c r="A1781" s="8" t="s">
        <v>2048</v>
      </c>
      <c r="B1781" s="8" t="s">
        <v>2048</v>
      </c>
      <c r="C1781" s="2" t="s">
        <v>1084</v>
      </c>
      <c r="D1781" s="2" t="s">
        <v>1085</v>
      </c>
      <c r="E1781" s="6">
        <v>45982.48925925926</v>
      </c>
      <c r="F1781" s="3" t="s">
        <v>1086</v>
      </c>
      <c r="G1781" s="2" t="s">
        <v>16</v>
      </c>
      <c r="H1781" s="2"/>
      <c r="I1781" s="2" t="s">
        <v>17</v>
      </c>
      <c r="J1781" s="2"/>
      <c r="K1781" s="2" t="s">
        <v>18</v>
      </c>
      <c r="L1781" s="2"/>
    </row>
    <row r="1782">
      <c r="A1782" s="8" t="s">
        <v>2049</v>
      </c>
      <c r="B1782" s="8" t="s">
        <v>2049</v>
      </c>
      <c r="C1782" s="2" t="s">
        <v>2005</v>
      </c>
      <c r="D1782" s="2" t="s">
        <v>2006</v>
      </c>
      <c r="E1782" s="6">
        <v>45982.49140046296</v>
      </c>
      <c r="F1782" s="3" t="s">
        <v>2007</v>
      </c>
      <c r="G1782" s="2" t="s">
        <v>16</v>
      </c>
      <c r="H1782" s="2"/>
      <c r="I1782" s="2" t="s">
        <v>17</v>
      </c>
      <c r="J1782" s="2"/>
      <c r="K1782" s="2" t="s">
        <v>18</v>
      </c>
      <c r="L1782" s="2"/>
    </row>
    <row r="1783">
      <c r="A1783" s="8" t="s">
        <v>2050</v>
      </c>
      <c r="B1783" s="8" t="s">
        <v>2050</v>
      </c>
      <c r="C1783" s="2" t="s">
        <v>320</v>
      </c>
      <c r="D1783" s="2" t="s">
        <v>321</v>
      </c>
      <c r="E1783" s="6">
        <v>45982.49204861111</v>
      </c>
      <c r="F1783" s="3" t="s">
        <v>322</v>
      </c>
      <c r="G1783" s="2" t="s">
        <v>16</v>
      </c>
      <c r="H1783" s="2"/>
      <c r="I1783" s="2" t="s">
        <v>17</v>
      </c>
      <c r="J1783" s="2"/>
      <c r="K1783" s="2" t="s">
        <v>18</v>
      </c>
      <c r="L1783" s="2"/>
    </row>
    <row r="1784">
      <c r="A1784" s="8" t="s">
        <v>2051</v>
      </c>
      <c r="B1784" s="8" t="s">
        <v>2051</v>
      </c>
      <c r="C1784" s="2" t="s">
        <v>320</v>
      </c>
      <c r="D1784" s="2" t="s">
        <v>321</v>
      </c>
      <c r="E1784" s="6">
        <v>45982.49234953704</v>
      </c>
      <c r="F1784" s="3" t="s">
        <v>322</v>
      </c>
      <c r="G1784" s="2" t="s">
        <v>16</v>
      </c>
      <c r="H1784" s="2"/>
      <c r="I1784" s="2" t="s">
        <v>17</v>
      </c>
      <c r="J1784" s="2"/>
      <c r="K1784" s="2" t="s">
        <v>18</v>
      </c>
      <c r="L1784" s="2"/>
    </row>
    <row r="1785">
      <c r="A1785" s="8" t="s">
        <v>2052</v>
      </c>
      <c r="B1785" s="8" t="s">
        <v>2052</v>
      </c>
      <c r="C1785" s="2" t="s">
        <v>1830</v>
      </c>
      <c r="D1785" s="2" t="s">
        <v>1831</v>
      </c>
      <c r="E1785" s="6">
        <v>45982.539976851855</v>
      </c>
      <c r="F1785" s="3" t="s">
        <v>1832</v>
      </c>
      <c r="G1785" s="2" t="s">
        <v>16</v>
      </c>
      <c r="H1785" s="2"/>
      <c r="I1785" s="2" t="s">
        <v>395</v>
      </c>
      <c r="J1785" s="2"/>
      <c r="K1785" s="2" t="s">
        <v>18</v>
      </c>
      <c r="L1785" s="2"/>
    </row>
    <row r="1786">
      <c r="A1786" s="8" t="s">
        <v>2053</v>
      </c>
      <c r="B1786" s="8" t="s">
        <v>2053</v>
      </c>
      <c r="C1786" s="2" t="s">
        <v>320</v>
      </c>
      <c r="D1786" s="2" t="s">
        <v>321</v>
      </c>
      <c r="E1786" s="6">
        <v>45982.61571759259</v>
      </c>
      <c r="F1786" s="3" t="s">
        <v>322</v>
      </c>
      <c r="G1786" s="2" t="s">
        <v>24</v>
      </c>
      <c r="H1786" s="2"/>
      <c r="I1786" s="2"/>
      <c r="J1786" s="2"/>
      <c r="K1786" s="2" t="s">
        <v>18</v>
      </c>
      <c r="L1786" s="2"/>
    </row>
    <row r="1787">
      <c r="A1787" s="8" t="s">
        <v>2054</v>
      </c>
      <c r="B1787" s="8" t="s">
        <v>2054</v>
      </c>
      <c r="C1787" s="2" t="s">
        <v>2005</v>
      </c>
      <c r="D1787" s="2" t="s">
        <v>2006</v>
      </c>
      <c r="E1787" s="6">
        <v>45982.61809027778</v>
      </c>
      <c r="F1787" s="3" t="s">
        <v>2007</v>
      </c>
      <c r="G1787" s="2" t="s">
        <v>24</v>
      </c>
      <c r="H1787" s="2"/>
      <c r="I1787" s="2"/>
      <c r="J1787" s="2"/>
      <c r="K1787" s="2" t="s">
        <v>18</v>
      </c>
      <c r="L1787" s="2"/>
    </row>
    <row r="1788">
      <c r="A1788" s="8" t="s">
        <v>2055</v>
      </c>
      <c r="B1788" s="8" t="s">
        <v>2055</v>
      </c>
      <c r="C1788" s="2" t="s">
        <v>1084</v>
      </c>
      <c r="D1788" s="2" t="s">
        <v>1085</v>
      </c>
      <c r="E1788" s="6">
        <v>45982.64460648148</v>
      </c>
      <c r="F1788" s="3" t="s">
        <v>1086</v>
      </c>
      <c r="G1788" s="2" t="s">
        <v>24</v>
      </c>
      <c r="H1788" s="2"/>
      <c r="I1788" s="2"/>
      <c r="J1788" s="2"/>
      <c r="K1788" s="2" t="s">
        <v>18</v>
      </c>
      <c r="L1788" s="2"/>
    </row>
    <row r="1789">
      <c r="A1789" s="8" t="s">
        <v>2056</v>
      </c>
      <c r="B1789" s="8" t="s">
        <v>2056</v>
      </c>
      <c r="C1789" s="2" t="s">
        <v>1963</v>
      </c>
      <c r="D1789" s="2" t="s">
        <v>1964</v>
      </c>
      <c r="E1789" s="6">
        <v>45983.35766203704</v>
      </c>
      <c r="F1789" s="3" t="s">
        <v>1965</v>
      </c>
      <c r="G1789" s="2" t="s">
        <v>16</v>
      </c>
      <c r="H1789" s="2"/>
      <c r="I1789" s="2" t="s">
        <v>395</v>
      </c>
      <c r="J1789" s="2"/>
      <c r="K1789" s="2" t="s">
        <v>18</v>
      </c>
      <c r="L1789" s="2"/>
    </row>
    <row r="1790">
      <c r="A1790" s="8" t="s">
        <v>2057</v>
      </c>
      <c r="B1790" s="8" t="s">
        <v>2057</v>
      </c>
      <c r="C1790" s="2" t="s">
        <v>786</v>
      </c>
      <c r="D1790" s="2" t="s">
        <v>787</v>
      </c>
      <c r="E1790" s="6">
        <v>45983.406006944446</v>
      </c>
      <c r="F1790" s="3" t="s">
        <v>788</v>
      </c>
      <c r="G1790" s="2" t="s">
        <v>16</v>
      </c>
      <c r="H1790" s="2"/>
      <c r="I1790" s="2" t="s">
        <v>17</v>
      </c>
      <c r="J1790" s="2"/>
      <c r="K1790" s="2" t="s">
        <v>18</v>
      </c>
      <c r="L1790" s="2"/>
    </row>
    <row r="1791">
      <c r="A1791" s="8" t="s">
        <v>2058</v>
      </c>
      <c r="B1791" s="8" t="s">
        <v>2058</v>
      </c>
      <c r="C1791" s="2" t="s">
        <v>786</v>
      </c>
      <c r="D1791" s="2" t="s">
        <v>787</v>
      </c>
      <c r="E1791" s="6">
        <v>45983.408159722225</v>
      </c>
      <c r="F1791" s="3" t="s">
        <v>788</v>
      </c>
      <c r="G1791" s="2" t="s">
        <v>159</v>
      </c>
      <c r="H1791" s="2"/>
      <c r="I1791" s="2"/>
      <c r="J1791" s="2"/>
      <c r="K1791" s="2" t="s">
        <v>18</v>
      </c>
      <c r="L1791" s="2"/>
    </row>
    <row r="1792">
      <c r="A1792" s="8" t="s">
        <v>2059</v>
      </c>
      <c r="B1792" s="8" t="s">
        <v>2059</v>
      </c>
      <c r="C1792" s="2" t="s">
        <v>464</v>
      </c>
      <c r="D1792" s="2" t="s">
        <v>465</v>
      </c>
      <c r="E1792" s="6">
        <v>45983.408842592595</v>
      </c>
      <c r="F1792" s="3" t="s">
        <v>466</v>
      </c>
      <c r="G1792" s="2" t="s">
        <v>16</v>
      </c>
      <c r="H1792" s="2"/>
      <c r="I1792" s="2" t="s">
        <v>395</v>
      </c>
      <c r="J1792" s="2"/>
      <c r="K1792" s="2" t="s">
        <v>18</v>
      </c>
      <c r="L1792" s="2"/>
    </row>
    <row r="1793">
      <c r="A1793" s="8" t="s">
        <v>2060</v>
      </c>
      <c r="B1793" s="8" t="s">
        <v>2060</v>
      </c>
      <c r="C1793" s="2" t="s">
        <v>1810</v>
      </c>
      <c r="D1793" s="2" t="s">
        <v>1811</v>
      </c>
      <c r="E1793" s="6">
        <v>45983.40940972222</v>
      </c>
      <c r="F1793" s="3" t="s">
        <v>1812</v>
      </c>
      <c r="G1793" s="2" t="s">
        <v>16</v>
      </c>
      <c r="H1793" s="2"/>
      <c r="I1793" s="2" t="s">
        <v>395</v>
      </c>
      <c r="J1793" s="2"/>
      <c r="K1793" s="2" t="s">
        <v>18</v>
      </c>
      <c r="L1793" s="2"/>
    </row>
    <row r="1794">
      <c r="A1794" s="8" t="s">
        <v>2061</v>
      </c>
      <c r="B1794" s="8" t="s">
        <v>2061</v>
      </c>
      <c r="C1794" s="2" t="s">
        <v>1810</v>
      </c>
      <c r="D1794" s="2" t="s">
        <v>1811</v>
      </c>
      <c r="E1794" s="6">
        <v>45983.4225</v>
      </c>
      <c r="F1794" s="3" t="s">
        <v>1812</v>
      </c>
      <c r="G1794" s="2" t="s">
        <v>24</v>
      </c>
      <c r="H1794" s="2"/>
      <c r="I1794" s="2"/>
      <c r="J1794" s="2"/>
      <c r="K1794" s="2" t="s">
        <v>18</v>
      </c>
      <c r="L1794" s="2"/>
    </row>
    <row r="1795">
      <c r="A1795" s="8" t="s">
        <v>2062</v>
      </c>
      <c r="B1795" s="8" t="s">
        <v>2062</v>
      </c>
      <c r="C1795" s="2" t="s">
        <v>1830</v>
      </c>
      <c r="D1795" s="2" t="s">
        <v>1831</v>
      </c>
      <c r="E1795" s="6">
        <v>45983.56675925926</v>
      </c>
      <c r="F1795" s="3" t="s">
        <v>1832</v>
      </c>
      <c r="G1795" s="2" t="s">
        <v>16</v>
      </c>
      <c r="H1795" s="2"/>
      <c r="I1795" s="2" t="s">
        <v>17</v>
      </c>
      <c r="J1795" s="2"/>
      <c r="K1795" s="2" t="s">
        <v>18</v>
      </c>
      <c r="L1795" s="2"/>
    </row>
    <row r="1796">
      <c r="A1796" s="8" t="s">
        <v>2063</v>
      </c>
      <c r="B1796" s="8" t="s">
        <v>2063</v>
      </c>
      <c r="C1796" s="2" t="s">
        <v>1830</v>
      </c>
      <c r="D1796" s="2" t="s">
        <v>1831</v>
      </c>
      <c r="E1796" s="6">
        <v>45983.58994212963</v>
      </c>
      <c r="F1796" s="3" t="s">
        <v>1832</v>
      </c>
      <c r="G1796" s="2" t="s">
        <v>24</v>
      </c>
      <c r="H1796" s="2"/>
      <c r="I1796" s="2"/>
      <c r="J1796" s="2"/>
      <c r="K1796" s="2" t="s">
        <v>18</v>
      </c>
      <c r="L1796" s="2"/>
    </row>
    <row r="1797">
      <c r="A1797" s="8" t="s">
        <v>2064</v>
      </c>
      <c r="B1797" s="8" t="s">
        <v>2064</v>
      </c>
      <c r="C1797" s="2" t="s">
        <v>49</v>
      </c>
      <c r="D1797" s="2" t="s">
        <v>50</v>
      </c>
      <c r="E1797" s="6">
        <v>45983.590636574074</v>
      </c>
      <c r="F1797" s="3" t="s">
        <v>51</v>
      </c>
      <c r="G1797" s="2" t="s">
        <v>24</v>
      </c>
      <c r="H1797" s="2"/>
      <c r="I1797" s="2"/>
      <c r="J1797" s="2"/>
      <c r="K1797" s="2" t="s">
        <v>18</v>
      </c>
      <c r="L1797" s="2"/>
    </row>
    <row r="1798">
      <c r="A1798" s="8" t="s">
        <v>2065</v>
      </c>
      <c r="B1798" s="8" t="s">
        <v>2065</v>
      </c>
      <c r="C1798" s="2" t="s">
        <v>1963</v>
      </c>
      <c r="D1798" s="2" t="s">
        <v>1964</v>
      </c>
      <c r="E1798" s="6">
        <v>45983.59240740741</v>
      </c>
      <c r="F1798" s="3" t="s">
        <v>1965</v>
      </c>
      <c r="G1798" s="2" t="s">
        <v>24</v>
      </c>
      <c r="H1798" s="2"/>
      <c r="I1798" s="2"/>
      <c r="J1798" s="2"/>
      <c r="K1798" s="2" t="s">
        <v>18</v>
      </c>
      <c r="L1798" s="2"/>
    </row>
    <row r="1799">
      <c r="A1799" s="8" t="s">
        <v>2066</v>
      </c>
      <c r="B1799" s="8" t="s">
        <v>2066</v>
      </c>
      <c r="C1799" s="2" t="s">
        <v>1613</v>
      </c>
      <c r="D1799" s="2" t="s">
        <v>1614</v>
      </c>
      <c r="E1799" s="6">
        <v>45983.59275462963</v>
      </c>
      <c r="F1799" s="3" t="s">
        <v>1615</v>
      </c>
      <c r="G1799" s="2" t="s">
        <v>24</v>
      </c>
      <c r="H1799" s="2"/>
      <c r="I1799" s="2"/>
      <c r="J1799" s="2"/>
      <c r="K1799" s="2" t="s">
        <v>18</v>
      </c>
      <c r="L1799" s="2"/>
    </row>
    <row r="1800">
      <c r="A1800" s="8" t="s">
        <v>2067</v>
      </c>
      <c r="B1800" s="8" t="s">
        <v>2067</v>
      </c>
      <c r="C1800" s="2" t="s">
        <v>1993</v>
      </c>
      <c r="D1800" s="2" t="s">
        <v>1994</v>
      </c>
      <c r="E1800" s="6">
        <v>45983.615902777776</v>
      </c>
      <c r="F1800" s="3" t="s">
        <v>1995</v>
      </c>
      <c r="G1800" s="2" t="s">
        <v>24</v>
      </c>
      <c r="H1800" s="2"/>
      <c r="I1800" s="2"/>
      <c r="J1800" s="2"/>
      <c r="K1800" s="2" t="s">
        <v>18</v>
      </c>
      <c r="L1800" s="2"/>
    </row>
    <row r="1801">
      <c r="A1801" s="8" t="s">
        <v>2068</v>
      </c>
      <c r="B1801" s="8" t="s">
        <v>2068</v>
      </c>
      <c r="C1801" s="2" t="s">
        <v>464</v>
      </c>
      <c r="D1801" s="2" t="s">
        <v>465</v>
      </c>
      <c r="E1801" s="6">
        <v>45983.617106481484</v>
      </c>
      <c r="F1801" s="3" t="s">
        <v>466</v>
      </c>
      <c r="G1801" s="2" t="s">
        <v>24</v>
      </c>
      <c r="H1801" s="2"/>
      <c r="I1801" s="2"/>
      <c r="J1801" s="2"/>
      <c r="K1801" s="2" t="s">
        <v>18</v>
      </c>
      <c r="L1801" s="2"/>
    </row>
    <row r="1802">
      <c r="A1802" s="8" t="s">
        <v>2069</v>
      </c>
      <c r="B1802" s="8" t="s">
        <v>2069</v>
      </c>
      <c r="C1802" s="2" t="s">
        <v>786</v>
      </c>
      <c r="D1802" s="2" t="s">
        <v>787</v>
      </c>
      <c r="E1802" s="6">
        <v>45983.61746527778</v>
      </c>
      <c r="F1802" s="3" t="s">
        <v>788</v>
      </c>
      <c r="G1802" s="2" t="s">
        <v>24</v>
      </c>
      <c r="H1802" s="2"/>
      <c r="I1802" s="2"/>
      <c r="J1802" s="2"/>
      <c r="K1802" s="2" t="s">
        <v>18</v>
      </c>
      <c r="L1802" s="2"/>
    </row>
    <row r="1803">
      <c r="A1803" s="8" t="s">
        <v>2070</v>
      </c>
      <c r="B1803" s="8" t="s">
        <v>2070</v>
      </c>
      <c r="C1803" s="2" t="s">
        <v>2005</v>
      </c>
      <c r="D1803" s="2" t="s">
        <v>2006</v>
      </c>
      <c r="E1803" s="6">
        <v>45985.4571875</v>
      </c>
      <c r="F1803" s="3" t="s">
        <v>2007</v>
      </c>
      <c r="G1803" s="2" t="s">
        <v>16</v>
      </c>
      <c r="H1803" s="2"/>
      <c r="I1803" s="2" t="s">
        <v>17</v>
      </c>
      <c r="J1803" s="2"/>
      <c r="K1803" s="2" t="s">
        <v>18</v>
      </c>
      <c r="L1803" s="2"/>
    </row>
    <row r="1804">
      <c r="A1804" s="8" t="s">
        <v>2071</v>
      </c>
      <c r="B1804" s="8" t="s">
        <v>2071</v>
      </c>
      <c r="C1804" s="2" t="s">
        <v>320</v>
      </c>
      <c r="D1804" s="2" t="s">
        <v>321</v>
      </c>
      <c r="E1804" s="6">
        <v>45985.54923611111</v>
      </c>
      <c r="F1804" s="3" t="s">
        <v>322</v>
      </c>
      <c r="G1804" s="2" t="s">
        <v>16</v>
      </c>
      <c r="H1804" s="2"/>
      <c r="I1804" s="2" t="s">
        <v>17</v>
      </c>
      <c r="J1804" s="2"/>
      <c r="K1804" s="2" t="s">
        <v>18</v>
      </c>
      <c r="L1804" s="2"/>
    </row>
    <row r="1805">
      <c r="A1805" s="8" t="s">
        <v>2072</v>
      </c>
      <c r="B1805" s="8" t="s">
        <v>2072</v>
      </c>
      <c r="C1805" s="2" t="s">
        <v>1228</v>
      </c>
      <c r="D1805" s="2" t="s">
        <v>1229</v>
      </c>
      <c r="E1805" s="6">
        <v>45985.54944444444</v>
      </c>
      <c r="F1805" s="3" t="s">
        <v>1230</v>
      </c>
      <c r="G1805" s="2" t="s">
        <v>16</v>
      </c>
      <c r="H1805" s="2"/>
      <c r="I1805" s="2" t="s">
        <v>17</v>
      </c>
      <c r="J1805" s="2"/>
      <c r="K1805" s="2" t="s">
        <v>18</v>
      </c>
      <c r="L1805" s="2"/>
    </row>
    <row r="1806">
      <c r="A1806" s="8" t="s">
        <v>2073</v>
      </c>
      <c r="B1806" s="8" t="s">
        <v>2073</v>
      </c>
      <c r="C1806" s="2" t="s">
        <v>2005</v>
      </c>
      <c r="D1806" s="2" t="s">
        <v>2006</v>
      </c>
      <c r="E1806" s="6">
        <v>45985.5552662037</v>
      </c>
      <c r="F1806" s="3" t="s">
        <v>2007</v>
      </c>
      <c r="G1806" s="2" t="s">
        <v>24</v>
      </c>
      <c r="H1806" s="2"/>
      <c r="I1806" s="2"/>
      <c r="J1806" s="2"/>
      <c r="K1806" s="2" t="s">
        <v>18</v>
      </c>
      <c r="L1806" s="2"/>
    </row>
    <row r="1807">
      <c r="A1807" s="8" t="s">
        <v>2074</v>
      </c>
      <c r="B1807" s="8" t="s">
        <v>2074</v>
      </c>
      <c r="C1807" s="2" t="s">
        <v>109</v>
      </c>
      <c r="D1807" s="2" t="s">
        <v>110</v>
      </c>
      <c r="E1807" s="6">
        <v>45985.59956018518</v>
      </c>
      <c r="F1807" s="3" t="s">
        <v>111</v>
      </c>
      <c r="G1807" s="2" t="s">
        <v>24</v>
      </c>
      <c r="H1807" s="2"/>
      <c r="I1807" s="2"/>
      <c r="J1807" s="2"/>
      <c r="K1807" s="2" t="s">
        <v>18</v>
      </c>
      <c r="L1807" s="2"/>
    </row>
    <row r="1808">
      <c r="A1808" s="8" t="s">
        <v>2075</v>
      </c>
      <c r="B1808" s="8" t="s">
        <v>2075</v>
      </c>
      <c r="C1808" s="2" t="s">
        <v>951</v>
      </c>
      <c r="D1808" s="2" t="s">
        <v>952</v>
      </c>
      <c r="E1808" s="6">
        <v>45985.600625</v>
      </c>
      <c r="F1808" s="3" t="s">
        <v>953</v>
      </c>
      <c r="G1808" s="2" t="s">
        <v>24</v>
      </c>
      <c r="H1808" s="2"/>
      <c r="I1808" s="2"/>
      <c r="J1808" s="2"/>
      <c r="K1808" s="2" t="s">
        <v>18</v>
      </c>
      <c r="L1808" s="2"/>
    </row>
    <row r="1809">
      <c r="A1809" s="8" t="s">
        <v>2076</v>
      </c>
      <c r="B1809" s="8" t="s">
        <v>2076</v>
      </c>
      <c r="C1809" s="2" t="s">
        <v>2005</v>
      </c>
      <c r="D1809" s="2" t="s">
        <v>2006</v>
      </c>
      <c r="E1809" s="6">
        <v>45985.60313657407</v>
      </c>
      <c r="F1809" s="3" t="s">
        <v>2007</v>
      </c>
      <c r="G1809" s="2" t="s">
        <v>24</v>
      </c>
      <c r="H1809" s="2"/>
      <c r="I1809" s="2"/>
      <c r="J1809" s="2"/>
      <c r="K1809" s="2" t="s">
        <v>18</v>
      </c>
      <c r="L1809" s="2"/>
    </row>
    <row r="1810">
      <c r="A1810" s="8" t="s">
        <v>2077</v>
      </c>
      <c r="B1810" s="8" t="s">
        <v>2077</v>
      </c>
      <c r="C1810" s="2" t="s">
        <v>320</v>
      </c>
      <c r="D1810" s="2" t="s">
        <v>321</v>
      </c>
      <c r="E1810" s="6">
        <v>45985.671064814815</v>
      </c>
      <c r="F1810" s="3" t="s">
        <v>322</v>
      </c>
      <c r="G1810" s="2" t="s">
        <v>24</v>
      </c>
      <c r="H1810" s="2"/>
      <c r="I1810" s="2"/>
      <c r="J1810" s="2"/>
      <c r="K1810" s="2" t="s">
        <v>18</v>
      </c>
      <c r="L1810" s="2"/>
    </row>
    <row r="1811">
      <c r="A1811" s="8" t="s">
        <v>2078</v>
      </c>
      <c r="B1811" s="8" t="s">
        <v>2078</v>
      </c>
      <c r="C1811" s="2" t="s">
        <v>1830</v>
      </c>
      <c r="D1811" s="2" t="s">
        <v>1831</v>
      </c>
      <c r="E1811" s="6">
        <v>45985.67508101852</v>
      </c>
      <c r="F1811" s="3" t="s">
        <v>1832</v>
      </c>
      <c r="G1811" s="2" t="s">
        <v>24</v>
      </c>
      <c r="H1811" s="2"/>
      <c r="I1811" s="2"/>
      <c r="J1811" s="2"/>
      <c r="K1811" s="2" t="s">
        <v>18</v>
      </c>
      <c r="L1811" s="2"/>
    </row>
    <row r="1812">
      <c r="A1812" s="8" t="s">
        <v>2079</v>
      </c>
      <c r="B1812" s="8" t="s">
        <v>2079</v>
      </c>
      <c r="C1812" s="10" t="s">
        <v>1399</v>
      </c>
      <c r="D1812" s="2" t="s">
        <v>1400</v>
      </c>
      <c r="E1812" s="6">
        <v>45985.676203703704</v>
      </c>
      <c r="F1812" s="3" t="s">
        <v>1401</v>
      </c>
      <c r="G1812" s="2" t="s">
        <v>24</v>
      </c>
      <c r="H1812" s="2"/>
      <c r="I1812" s="2"/>
      <c r="J1812" s="2"/>
      <c r="K1812" s="2" t="s">
        <v>18</v>
      </c>
      <c r="L1812" s="2"/>
    </row>
    <row r="1813">
      <c r="A1813" s="8" t="s">
        <v>2080</v>
      </c>
      <c r="B1813" s="8" t="s">
        <v>2080</v>
      </c>
      <c r="C1813" s="2" t="s">
        <v>2081</v>
      </c>
      <c r="D1813" s="2" t="s">
        <v>2082</v>
      </c>
      <c r="E1813" s="6">
        <v>45986.35318287037</v>
      </c>
      <c r="F1813" s="3" t="s">
        <v>2083</v>
      </c>
      <c r="G1813" s="2" t="s">
        <v>16</v>
      </c>
      <c r="H1813" s="2"/>
      <c r="I1813" s="2" t="s">
        <v>17</v>
      </c>
      <c r="J1813" s="2"/>
      <c r="K1813" s="2" t="s">
        <v>18</v>
      </c>
      <c r="L1813" s="2"/>
    </row>
    <row r="1814">
      <c r="A1814" s="8" t="s">
        <v>2084</v>
      </c>
      <c r="B1814" s="8" t="s">
        <v>2084</v>
      </c>
      <c r="C1814" s="2" t="s">
        <v>1618</v>
      </c>
      <c r="D1814" s="2" t="s">
        <v>1619</v>
      </c>
      <c r="E1814" s="6">
        <v>45986.38753472222</v>
      </c>
      <c r="F1814" s="3" t="s">
        <v>1620</v>
      </c>
      <c r="G1814" s="2" t="s">
        <v>16</v>
      </c>
      <c r="H1814" s="2"/>
      <c r="I1814" s="2" t="s">
        <v>17</v>
      </c>
      <c r="J1814" s="2"/>
      <c r="K1814" s="2" t="s">
        <v>18</v>
      </c>
      <c r="L1814" s="2"/>
    </row>
    <row r="1815">
      <c r="A1815" s="8" t="s">
        <v>2085</v>
      </c>
      <c r="B1815" s="8" t="s">
        <v>2085</v>
      </c>
      <c r="C1815" s="2" t="s">
        <v>1756</v>
      </c>
      <c r="D1815" s="2" t="s">
        <v>1757</v>
      </c>
      <c r="E1815" s="6">
        <v>45986.469189814816</v>
      </c>
      <c r="F1815" s="3" t="s">
        <v>1758</v>
      </c>
      <c r="G1815" s="2" t="s">
        <v>16</v>
      </c>
      <c r="H1815" s="2"/>
      <c r="I1815" s="2" t="s">
        <v>17</v>
      </c>
      <c r="J1815" s="2"/>
      <c r="K1815" s="2" t="s">
        <v>18</v>
      </c>
      <c r="L1815" s="2"/>
    </row>
    <row r="1816">
      <c r="A1816" s="8" t="s">
        <v>2086</v>
      </c>
      <c r="B1816" s="8" t="s">
        <v>2086</v>
      </c>
      <c r="C1816" s="2" t="s">
        <v>786</v>
      </c>
      <c r="D1816" s="2" t="s">
        <v>787</v>
      </c>
      <c r="E1816" s="6">
        <v>45986.470509259256</v>
      </c>
      <c r="F1816" s="3" t="s">
        <v>788</v>
      </c>
      <c r="G1816" s="2" t="s">
        <v>16</v>
      </c>
      <c r="H1816" s="2"/>
      <c r="I1816" s="2" t="s">
        <v>17</v>
      </c>
      <c r="J1816" s="2"/>
      <c r="K1816" s="2" t="s">
        <v>18</v>
      </c>
      <c r="L1816" s="2"/>
    </row>
    <row r="1817">
      <c r="A1817" s="8" t="s">
        <v>2087</v>
      </c>
      <c r="B1817" s="8" t="s">
        <v>2087</v>
      </c>
      <c r="C1817" s="2" t="s">
        <v>1904</v>
      </c>
      <c r="D1817" s="2" t="s">
        <v>1905</v>
      </c>
      <c r="E1817" s="6">
        <v>45986.47659722222</v>
      </c>
      <c r="F1817" s="3" t="s">
        <v>1906</v>
      </c>
      <c r="G1817" s="2" t="s">
        <v>24</v>
      </c>
      <c r="H1817" s="2"/>
      <c r="I1817" s="2"/>
      <c r="J1817" s="2"/>
      <c r="K1817" s="2" t="s">
        <v>18</v>
      </c>
      <c r="L1817" s="2"/>
    </row>
    <row r="1818">
      <c r="A1818" s="8" t="s">
        <v>2088</v>
      </c>
      <c r="B1818" s="8" t="s">
        <v>2088</v>
      </c>
      <c r="C1818" s="2" t="s">
        <v>1993</v>
      </c>
      <c r="D1818" s="2" t="s">
        <v>1994</v>
      </c>
      <c r="E1818" s="6">
        <v>45986.47756944445</v>
      </c>
      <c r="F1818" s="3" t="s">
        <v>1995</v>
      </c>
      <c r="G1818" s="2" t="s">
        <v>24</v>
      </c>
      <c r="H1818" s="2"/>
      <c r="I1818" s="2"/>
      <c r="J1818" s="2"/>
      <c r="K1818" s="2" t="s">
        <v>18</v>
      </c>
      <c r="L1818" s="2"/>
    </row>
    <row r="1819">
      <c r="A1819" s="8" t="s">
        <v>2089</v>
      </c>
      <c r="B1819" s="8" t="s">
        <v>2089</v>
      </c>
      <c r="C1819" s="2" t="s">
        <v>1618</v>
      </c>
      <c r="D1819" s="2" t="s">
        <v>1619</v>
      </c>
      <c r="E1819" s="6">
        <v>45986.478414351855</v>
      </c>
      <c r="F1819" s="3" t="s">
        <v>1620</v>
      </c>
      <c r="G1819" s="2" t="s">
        <v>24</v>
      </c>
      <c r="H1819" s="2"/>
      <c r="I1819" s="2"/>
      <c r="J1819" s="2"/>
      <c r="K1819" s="2" t="s">
        <v>18</v>
      </c>
      <c r="L1819" s="2"/>
    </row>
    <row r="1820">
      <c r="A1820" s="8" t="s">
        <v>2090</v>
      </c>
      <c r="B1820" s="8" t="s">
        <v>2090</v>
      </c>
      <c r="C1820" s="2" t="s">
        <v>1873</v>
      </c>
      <c r="D1820" s="2" t="s">
        <v>1874</v>
      </c>
      <c r="E1820" s="6">
        <v>45986.55788194444</v>
      </c>
      <c r="F1820" s="3" t="s">
        <v>1875</v>
      </c>
      <c r="G1820" s="2" t="s">
        <v>16</v>
      </c>
      <c r="H1820" s="2"/>
      <c r="I1820" s="2" t="s">
        <v>395</v>
      </c>
      <c r="J1820" s="2"/>
      <c r="K1820" s="2" t="s">
        <v>18</v>
      </c>
      <c r="L1820" s="2"/>
    </row>
    <row r="1821">
      <c r="A1821" s="8" t="s">
        <v>2091</v>
      </c>
      <c r="B1821" s="8" t="s">
        <v>2091</v>
      </c>
      <c r="C1821" s="2" t="s">
        <v>1705</v>
      </c>
      <c r="D1821" s="2" t="s">
        <v>1706</v>
      </c>
      <c r="E1821" s="6">
        <v>45986.60313657407</v>
      </c>
      <c r="F1821" s="3" t="s">
        <v>1707</v>
      </c>
      <c r="G1821" s="2" t="s">
        <v>24</v>
      </c>
      <c r="H1821" s="2"/>
      <c r="I1821" s="2"/>
      <c r="J1821" s="2"/>
      <c r="K1821" s="2" t="s">
        <v>18</v>
      </c>
      <c r="L1821" s="2"/>
    </row>
    <row r="1822">
      <c r="A1822" s="8" t="s">
        <v>2092</v>
      </c>
      <c r="B1822" s="8" t="s">
        <v>2092</v>
      </c>
      <c r="C1822" s="2" t="s">
        <v>1756</v>
      </c>
      <c r="D1822" s="2" t="s">
        <v>1757</v>
      </c>
      <c r="E1822" s="6">
        <v>45986.606724537036</v>
      </c>
      <c r="F1822" s="3" t="s">
        <v>1758</v>
      </c>
      <c r="G1822" s="2" t="s">
        <v>24</v>
      </c>
      <c r="H1822" s="2"/>
      <c r="I1822" s="2"/>
      <c r="J1822" s="2"/>
      <c r="K1822" s="2" t="s">
        <v>18</v>
      </c>
      <c r="L1822" s="2"/>
    </row>
    <row r="1823">
      <c r="A1823" s="8" t="s">
        <v>2093</v>
      </c>
      <c r="B1823" s="8" t="s">
        <v>2093</v>
      </c>
      <c r="C1823" s="2" t="s">
        <v>786</v>
      </c>
      <c r="D1823" s="2" t="s">
        <v>787</v>
      </c>
      <c r="E1823" s="6">
        <v>45986.60743055555</v>
      </c>
      <c r="F1823" s="3" t="s">
        <v>788</v>
      </c>
      <c r="G1823" s="2" t="s">
        <v>24</v>
      </c>
      <c r="H1823" s="2"/>
      <c r="I1823" s="2"/>
      <c r="J1823" s="2"/>
      <c r="K1823" s="2" t="s">
        <v>18</v>
      </c>
      <c r="L1823" s="2"/>
    </row>
    <row r="1824">
      <c r="A1824" s="8" t="s">
        <v>2094</v>
      </c>
      <c r="B1824" s="8" t="s">
        <v>2094</v>
      </c>
      <c r="C1824" s="2" t="s">
        <v>1830</v>
      </c>
      <c r="D1824" s="2" t="s">
        <v>1831</v>
      </c>
      <c r="E1824" s="6">
        <v>45986.645150462966</v>
      </c>
      <c r="F1824" s="3" t="s">
        <v>1832</v>
      </c>
      <c r="G1824" s="2" t="s">
        <v>16</v>
      </c>
      <c r="H1824" s="2"/>
      <c r="I1824" s="2" t="s">
        <v>395</v>
      </c>
      <c r="J1824" s="2"/>
      <c r="K1824" s="2" t="s">
        <v>18</v>
      </c>
      <c r="L1824" s="2"/>
    </row>
    <row r="1825">
      <c r="A1825" s="8" t="s">
        <v>2095</v>
      </c>
      <c r="B1825" s="8" t="s">
        <v>2095</v>
      </c>
      <c r="C1825" s="2" t="s">
        <v>1830</v>
      </c>
      <c r="D1825" s="2" t="s">
        <v>1831</v>
      </c>
      <c r="E1825" s="6">
        <v>45987.35873842592</v>
      </c>
      <c r="F1825" s="3" t="s">
        <v>1832</v>
      </c>
      <c r="G1825" s="2" t="s">
        <v>16</v>
      </c>
      <c r="H1825" s="2"/>
      <c r="I1825" s="2" t="s">
        <v>17</v>
      </c>
      <c r="J1825" s="2"/>
      <c r="K1825" s="2" t="s">
        <v>18</v>
      </c>
      <c r="L1825" s="2"/>
    </row>
    <row r="1826">
      <c r="A1826" s="8" t="s">
        <v>2096</v>
      </c>
      <c r="B1826" s="8" t="s">
        <v>2096</v>
      </c>
      <c r="C1826" s="2" t="s">
        <v>464</v>
      </c>
      <c r="D1826" s="2" t="s">
        <v>465</v>
      </c>
      <c r="E1826" s="6">
        <v>45987.36027777778</v>
      </c>
      <c r="F1826" s="3" t="s">
        <v>466</v>
      </c>
      <c r="G1826" s="2" t="s">
        <v>16</v>
      </c>
      <c r="H1826" s="2"/>
      <c r="I1826" s="2" t="s">
        <v>395</v>
      </c>
      <c r="J1826" s="2"/>
      <c r="K1826" s="2" t="s">
        <v>18</v>
      </c>
      <c r="L1826" s="2"/>
    </row>
    <row r="1827">
      <c r="A1827" s="8" t="s">
        <v>2097</v>
      </c>
      <c r="B1827" s="8" t="s">
        <v>2097</v>
      </c>
      <c r="C1827" s="2" t="s">
        <v>1993</v>
      </c>
      <c r="D1827" s="2" t="s">
        <v>1994</v>
      </c>
      <c r="E1827" s="6">
        <v>45987.363912037035</v>
      </c>
      <c r="F1827" s="3" t="s">
        <v>1995</v>
      </c>
      <c r="G1827" s="2" t="s">
        <v>16</v>
      </c>
      <c r="H1827" s="2"/>
      <c r="I1827" s="2" t="s">
        <v>17</v>
      </c>
      <c r="J1827" s="2"/>
      <c r="K1827" s="2" t="s">
        <v>18</v>
      </c>
      <c r="L1827" s="2"/>
    </row>
    <row r="1828">
      <c r="A1828" s="8" t="s">
        <v>2098</v>
      </c>
      <c r="B1828" s="8" t="s">
        <v>2098</v>
      </c>
      <c r="C1828" s="2" t="s">
        <v>1873</v>
      </c>
      <c r="D1828" s="2" t="s">
        <v>1874</v>
      </c>
      <c r="E1828" s="6">
        <v>45987.369155092594</v>
      </c>
      <c r="F1828" s="3" t="s">
        <v>1875</v>
      </c>
      <c r="G1828" s="2" t="s">
        <v>24</v>
      </c>
      <c r="H1828" s="2"/>
      <c r="I1828" s="2"/>
      <c r="J1828" s="2"/>
      <c r="K1828" s="2" t="s">
        <v>18</v>
      </c>
      <c r="L1828" s="2"/>
    </row>
    <row r="1829">
      <c r="A1829" s="8" t="s">
        <v>2099</v>
      </c>
      <c r="B1829" s="8" t="s">
        <v>2099</v>
      </c>
      <c r="C1829" s="2" t="s">
        <v>1993</v>
      </c>
      <c r="D1829" s="2" t="s">
        <v>1994</v>
      </c>
      <c r="E1829" s="6">
        <v>45987.44532407408</v>
      </c>
      <c r="F1829" s="3" t="s">
        <v>1995</v>
      </c>
      <c r="G1829" s="2" t="s">
        <v>24</v>
      </c>
      <c r="H1829" s="2"/>
      <c r="I1829" s="2"/>
      <c r="J1829" s="2"/>
      <c r="K1829" s="2" t="s">
        <v>18</v>
      </c>
      <c r="L1829" s="2"/>
    </row>
    <row r="1830">
      <c r="A1830" s="8" t="s">
        <v>2100</v>
      </c>
      <c r="B1830" s="8" t="s">
        <v>2100</v>
      </c>
      <c r="C1830" s="2" t="s">
        <v>2005</v>
      </c>
      <c r="D1830" s="2" t="s">
        <v>2006</v>
      </c>
      <c r="E1830" s="6">
        <v>45987.446226851855</v>
      </c>
      <c r="F1830" s="3" t="s">
        <v>2007</v>
      </c>
      <c r="G1830" s="2" t="s">
        <v>24</v>
      </c>
      <c r="H1830" s="2"/>
      <c r="I1830" s="2"/>
      <c r="J1830" s="2"/>
      <c r="K1830" s="2" t="s">
        <v>18</v>
      </c>
      <c r="L1830" s="2"/>
    </row>
    <row r="1831">
      <c r="A1831" s="8" t="s">
        <v>2101</v>
      </c>
      <c r="B1831" s="8" t="s">
        <v>2101</v>
      </c>
      <c r="C1831" s="2" t="s">
        <v>1889</v>
      </c>
      <c r="D1831" s="2" t="s">
        <v>1890</v>
      </c>
      <c r="E1831" s="6">
        <v>45987.46604166667</v>
      </c>
      <c r="F1831" s="3" t="s">
        <v>1891</v>
      </c>
      <c r="G1831" s="2" t="s">
        <v>16</v>
      </c>
      <c r="H1831" s="2"/>
      <c r="I1831" s="2" t="s">
        <v>17</v>
      </c>
      <c r="J1831" s="2"/>
      <c r="K1831" s="2" t="s">
        <v>18</v>
      </c>
      <c r="L1831" s="2"/>
    </row>
    <row r="1832">
      <c r="A1832" s="8" t="s">
        <v>2102</v>
      </c>
      <c r="B1832" s="8" t="s">
        <v>2102</v>
      </c>
      <c r="C1832" s="2" t="s">
        <v>943</v>
      </c>
      <c r="D1832" s="2" t="s">
        <v>944</v>
      </c>
      <c r="E1832" s="6">
        <v>45987.466319444444</v>
      </c>
      <c r="F1832" s="3" t="s">
        <v>945</v>
      </c>
      <c r="G1832" s="2" t="s">
        <v>16</v>
      </c>
      <c r="H1832" s="2"/>
      <c r="I1832" s="2" t="s">
        <v>395</v>
      </c>
      <c r="J1832" s="2"/>
      <c r="K1832" s="2" t="s">
        <v>18</v>
      </c>
      <c r="L1832" s="2"/>
    </row>
    <row r="1833">
      <c r="A1833" s="8" t="s">
        <v>2103</v>
      </c>
      <c r="B1833" s="8" t="s">
        <v>2103</v>
      </c>
      <c r="C1833" s="2" t="s">
        <v>493</v>
      </c>
      <c r="D1833" s="2" t="s">
        <v>494</v>
      </c>
      <c r="E1833" s="6">
        <v>45987.54042824074</v>
      </c>
      <c r="F1833" s="3" t="s">
        <v>495</v>
      </c>
      <c r="G1833" s="2" t="s">
        <v>24</v>
      </c>
      <c r="H1833" s="2"/>
      <c r="I1833" s="2"/>
      <c r="J1833" s="2"/>
      <c r="K1833" s="2" t="s">
        <v>18</v>
      </c>
      <c r="L1833" s="2"/>
    </row>
    <row r="1834">
      <c r="A1834" s="8" t="s">
        <v>2104</v>
      </c>
      <c r="B1834" s="8" t="s">
        <v>2104</v>
      </c>
      <c r="C1834" s="2" t="s">
        <v>326</v>
      </c>
      <c r="D1834" s="2" t="s">
        <v>327</v>
      </c>
      <c r="E1834" s="6">
        <v>45987.54094907407</v>
      </c>
      <c r="F1834" s="3" t="s">
        <v>328</v>
      </c>
      <c r="G1834" s="2" t="s">
        <v>24</v>
      </c>
      <c r="H1834" s="2"/>
      <c r="I1834" s="2"/>
      <c r="J1834" s="2"/>
      <c r="K1834" s="2" t="s">
        <v>18</v>
      </c>
      <c r="L1834" s="2"/>
    </row>
    <row r="1835">
      <c r="A1835" s="8" t="s">
        <v>2105</v>
      </c>
      <c r="B1835" s="8" t="s">
        <v>2105</v>
      </c>
      <c r="C1835" s="2" t="s">
        <v>1830</v>
      </c>
      <c r="D1835" s="2" t="s">
        <v>1831</v>
      </c>
      <c r="E1835" s="6">
        <v>45987.54177083333</v>
      </c>
      <c r="F1835" s="3" t="s">
        <v>1832</v>
      </c>
      <c r="G1835" s="2" t="s">
        <v>24</v>
      </c>
      <c r="H1835" s="2"/>
      <c r="I1835" s="2"/>
      <c r="J1835" s="2"/>
      <c r="K1835" s="2" t="s">
        <v>18</v>
      </c>
      <c r="L1835" s="2"/>
    </row>
    <row r="1836">
      <c r="A1836" s="8" t="s">
        <v>2106</v>
      </c>
      <c r="B1836" s="8" t="s">
        <v>2106</v>
      </c>
      <c r="C1836" s="2" t="s">
        <v>1889</v>
      </c>
      <c r="D1836" s="2" t="s">
        <v>1890</v>
      </c>
      <c r="E1836" s="6">
        <v>45987.644108796296</v>
      </c>
      <c r="F1836" s="3" t="s">
        <v>1891</v>
      </c>
      <c r="G1836" s="2" t="s">
        <v>24</v>
      </c>
      <c r="H1836" s="2"/>
      <c r="I1836" s="2"/>
      <c r="J1836" s="2"/>
      <c r="K1836" s="2" t="s">
        <v>18</v>
      </c>
      <c r="L1836" s="2"/>
    </row>
    <row r="1837">
      <c r="A1837" s="8" t="s">
        <v>2107</v>
      </c>
      <c r="B1837" s="8" t="s">
        <v>2107</v>
      </c>
      <c r="C1837" s="2" t="s">
        <v>943</v>
      </c>
      <c r="D1837" s="2" t="s">
        <v>944</v>
      </c>
      <c r="E1837" s="6">
        <v>45987.64439814815</v>
      </c>
      <c r="F1837" s="3" t="s">
        <v>945</v>
      </c>
      <c r="G1837" s="2" t="s">
        <v>24</v>
      </c>
      <c r="H1837" s="2"/>
      <c r="I1837" s="2"/>
      <c r="J1837" s="2"/>
      <c r="K1837" s="2" t="s">
        <v>18</v>
      </c>
      <c r="L1837" s="2"/>
    </row>
    <row r="1838">
      <c r="A1838" s="8" t="s">
        <v>2108</v>
      </c>
      <c r="B1838" s="8" t="s">
        <v>2108</v>
      </c>
      <c r="C1838" s="2" t="s">
        <v>2005</v>
      </c>
      <c r="D1838" s="2" t="s">
        <v>2006</v>
      </c>
      <c r="E1838" s="6">
        <v>45988.36636574074</v>
      </c>
      <c r="F1838" s="3" t="s">
        <v>2007</v>
      </c>
      <c r="G1838" s="2" t="s">
        <v>16</v>
      </c>
      <c r="H1838" s="2"/>
      <c r="I1838" s="2"/>
      <c r="J1838" s="2"/>
      <c r="K1838" s="2" t="s">
        <v>18</v>
      </c>
      <c r="L1838" s="2"/>
    </row>
    <row r="1839">
      <c r="A1839" s="8" t="s">
        <v>2109</v>
      </c>
      <c r="B1839" s="8" t="s">
        <v>2109</v>
      </c>
      <c r="C1839" s="2" t="s">
        <v>392</v>
      </c>
      <c r="D1839" s="2" t="s">
        <v>393</v>
      </c>
      <c r="E1839" s="6">
        <v>45988.387349537035</v>
      </c>
      <c r="F1839" s="3" t="s">
        <v>394</v>
      </c>
      <c r="G1839" s="2" t="s">
        <v>24</v>
      </c>
      <c r="H1839" s="2"/>
      <c r="I1839" s="2"/>
      <c r="J1839" s="2"/>
      <c r="K1839" s="2" t="s">
        <v>18</v>
      </c>
      <c r="L1839" s="2"/>
    </row>
    <row r="1840">
      <c r="A1840" s="8" t="s">
        <v>2110</v>
      </c>
      <c r="B1840" s="8" t="s">
        <v>2110</v>
      </c>
      <c r="C1840" s="2" t="s">
        <v>2005</v>
      </c>
      <c r="D1840" s="2" t="s">
        <v>2006</v>
      </c>
      <c r="E1840" s="6">
        <v>45988.43850694445</v>
      </c>
      <c r="F1840" s="3" t="s">
        <v>2007</v>
      </c>
      <c r="G1840" s="2" t="s">
        <v>24</v>
      </c>
      <c r="H1840" s="2"/>
      <c r="I1840" s="2"/>
      <c r="J1840" s="2"/>
      <c r="K1840" s="2" t="s">
        <v>18</v>
      </c>
      <c r="L1840" s="2"/>
    </row>
    <row r="1841">
      <c r="A1841" s="8" t="s">
        <v>2111</v>
      </c>
      <c r="B1841" s="8" t="s">
        <v>2111</v>
      </c>
      <c r="C1841" s="2" t="s">
        <v>109</v>
      </c>
      <c r="D1841" s="2" t="s">
        <v>110</v>
      </c>
      <c r="E1841" s="6">
        <v>45988.439039351855</v>
      </c>
      <c r="F1841" s="3" t="s">
        <v>111</v>
      </c>
      <c r="G1841" s="2" t="s">
        <v>24</v>
      </c>
      <c r="H1841" s="2"/>
      <c r="I1841" s="2"/>
      <c r="J1841" s="2"/>
      <c r="K1841" s="2" t="s">
        <v>18</v>
      </c>
      <c r="L1841" s="2"/>
    </row>
    <row r="1842">
      <c r="A1842" s="8" t="s">
        <v>2112</v>
      </c>
      <c r="B1842" s="8" t="s">
        <v>2112</v>
      </c>
      <c r="C1842" s="2" t="s">
        <v>934</v>
      </c>
      <c r="D1842" s="2" t="s">
        <v>935</v>
      </c>
      <c r="E1842" s="6">
        <v>45988.459652777776</v>
      </c>
      <c r="F1842" s="3" t="s">
        <v>936</v>
      </c>
      <c r="G1842" s="2" t="s">
        <v>24</v>
      </c>
      <c r="H1842" s="2"/>
      <c r="I1842" s="2"/>
      <c r="J1842" s="2"/>
      <c r="K1842" s="2" t="s">
        <v>18</v>
      </c>
      <c r="L1842" s="2"/>
    </row>
    <row r="1843">
      <c r="A1843" s="8" t="s">
        <v>2113</v>
      </c>
      <c r="B1843" s="8" t="s">
        <v>2113</v>
      </c>
      <c r="C1843" s="2" t="s">
        <v>1830</v>
      </c>
      <c r="D1843" s="2" t="s">
        <v>1831</v>
      </c>
      <c r="E1843" s="6">
        <v>45988.61987268519</v>
      </c>
      <c r="F1843" s="3" t="s">
        <v>1832</v>
      </c>
      <c r="G1843" s="2" t="s">
        <v>24</v>
      </c>
      <c r="H1843" s="2"/>
      <c r="I1843" s="2"/>
      <c r="J1843" s="2"/>
      <c r="K1843" s="2" t="s">
        <v>18</v>
      </c>
      <c r="L1843" s="2"/>
    </row>
    <row r="1844">
      <c r="A1844" s="8" t="s">
        <v>2114</v>
      </c>
      <c r="B1844" s="8" t="s">
        <v>2114</v>
      </c>
      <c r="C1844" s="2" t="s">
        <v>1564</v>
      </c>
      <c r="D1844" s="2" t="s">
        <v>1565</v>
      </c>
      <c r="E1844" s="6">
        <v>45988.626550925925</v>
      </c>
      <c r="F1844" s="3" t="s">
        <v>1566</v>
      </c>
      <c r="G1844" s="2" t="s">
        <v>16</v>
      </c>
      <c r="H1844" s="2"/>
      <c r="I1844" s="2" t="s">
        <v>395</v>
      </c>
      <c r="J1844" s="2"/>
      <c r="K1844" s="2" t="s">
        <v>18</v>
      </c>
      <c r="L1844" s="2"/>
    </row>
    <row r="1845">
      <c r="A1845" s="8" t="s">
        <v>2115</v>
      </c>
      <c r="B1845" s="8" t="s">
        <v>2115</v>
      </c>
      <c r="C1845" s="2" t="s">
        <v>392</v>
      </c>
      <c r="D1845" s="2" t="s">
        <v>393</v>
      </c>
      <c r="E1845" s="6">
        <v>45988.64511574074</v>
      </c>
      <c r="F1845" s="3" t="s">
        <v>394</v>
      </c>
      <c r="G1845" s="2" t="s">
        <v>16</v>
      </c>
      <c r="H1845" s="2"/>
      <c r="I1845" s="2" t="s">
        <v>395</v>
      </c>
      <c r="J1845" s="2"/>
      <c r="K1845" s="2" t="s">
        <v>18</v>
      </c>
      <c r="L1845" s="2"/>
    </row>
    <row r="1846">
      <c r="A1846" s="8" t="s">
        <v>2116</v>
      </c>
      <c r="B1846" s="8" t="s">
        <v>2116</v>
      </c>
      <c r="C1846" s="2" t="s">
        <v>1564</v>
      </c>
      <c r="D1846" s="2" t="s">
        <v>1565</v>
      </c>
      <c r="E1846" s="6">
        <v>45988.648726851854</v>
      </c>
      <c r="F1846" s="3" t="s">
        <v>1566</v>
      </c>
      <c r="G1846" s="2" t="s">
        <v>24</v>
      </c>
      <c r="H1846" s="2"/>
      <c r="I1846" s="2"/>
      <c r="J1846" s="2"/>
      <c r="K1846" s="2" t="s">
        <v>18</v>
      </c>
      <c r="L1846" s="2"/>
    </row>
    <row r="1847">
      <c r="A1847" s="8" t="s">
        <v>2117</v>
      </c>
      <c r="B1847" s="8" t="s">
        <v>2117</v>
      </c>
      <c r="C1847" s="2" t="s">
        <v>1228</v>
      </c>
      <c r="D1847" s="2" t="s">
        <v>1229</v>
      </c>
      <c r="E1847" s="6">
        <v>45989.34646990741</v>
      </c>
      <c r="F1847" s="3" t="s">
        <v>1230</v>
      </c>
      <c r="G1847" s="2" t="s">
        <v>16</v>
      </c>
      <c r="H1847" s="2"/>
      <c r="I1847" s="2" t="s">
        <v>17</v>
      </c>
      <c r="J1847" s="2"/>
      <c r="K1847" s="2" t="s">
        <v>18</v>
      </c>
      <c r="L1847" s="2"/>
    </row>
    <row r="1848">
      <c r="A1848" s="8" t="s">
        <v>2118</v>
      </c>
      <c r="B1848" s="8" t="s">
        <v>2118</v>
      </c>
      <c r="C1848" s="2" t="s">
        <v>2005</v>
      </c>
      <c r="D1848" s="2" t="s">
        <v>2006</v>
      </c>
      <c r="E1848" s="6">
        <v>45989.36552083334</v>
      </c>
      <c r="F1848" s="3" t="s">
        <v>2007</v>
      </c>
      <c r="G1848" s="2" t="s">
        <v>16</v>
      </c>
      <c r="H1848" s="2"/>
      <c r="I1848" s="2" t="s">
        <v>17</v>
      </c>
      <c r="J1848" s="2"/>
      <c r="K1848" s="2" t="s">
        <v>18</v>
      </c>
      <c r="L1848" s="2"/>
    </row>
    <row r="1849">
      <c r="A1849" s="8" t="s">
        <v>2119</v>
      </c>
      <c r="B1849" s="8" t="s">
        <v>2119</v>
      </c>
      <c r="C1849" s="2" t="s">
        <v>169</v>
      </c>
      <c r="D1849" s="2" t="s">
        <v>170</v>
      </c>
      <c r="E1849" s="6">
        <v>45989.38489583333</v>
      </c>
      <c r="F1849" s="3" t="s">
        <v>171</v>
      </c>
      <c r="G1849" s="2" t="s">
        <v>24</v>
      </c>
      <c r="H1849" s="2"/>
      <c r="I1849" s="2"/>
      <c r="J1849" s="2"/>
      <c r="K1849" s="2" t="s">
        <v>18</v>
      </c>
      <c r="L1849" s="2"/>
    </row>
    <row r="1850">
      <c r="A1850" s="8" t="s">
        <v>2120</v>
      </c>
      <c r="B1850" s="8" t="s">
        <v>2120</v>
      </c>
      <c r="C1850" s="2" t="s">
        <v>2005</v>
      </c>
      <c r="D1850" s="2" t="s">
        <v>2006</v>
      </c>
      <c r="E1850" s="6">
        <v>45989.440833333334</v>
      </c>
      <c r="F1850" s="3" t="s">
        <v>2007</v>
      </c>
      <c r="G1850" s="2" t="s">
        <v>24</v>
      </c>
      <c r="H1850" s="2"/>
      <c r="I1850" s="2"/>
      <c r="J1850" s="2"/>
      <c r="K1850" s="2" t="s">
        <v>18</v>
      </c>
      <c r="L1850" s="2"/>
    </row>
    <row r="1851">
      <c r="A1851" s="8" t="s">
        <v>2121</v>
      </c>
      <c r="B1851" s="8" t="s">
        <v>2121</v>
      </c>
      <c r="C1851" s="2" t="s">
        <v>1228</v>
      </c>
      <c r="D1851" s="2" t="s">
        <v>1229</v>
      </c>
      <c r="E1851" s="6">
        <v>45989.464212962965</v>
      </c>
      <c r="F1851" s="3" t="s">
        <v>1230</v>
      </c>
      <c r="G1851" s="2" t="s">
        <v>24</v>
      </c>
      <c r="H1851" s="2"/>
      <c r="I1851" s="2"/>
      <c r="J1851" s="2"/>
      <c r="K1851" s="2" t="s">
        <v>18</v>
      </c>
      <c r="L1851" s="2"/>
    </row>
    <row r="1852">
      <c r="A1852" s="8" t="s">
        <v>2122</v>
      </c>
      <c r="B1852" s="8" t="s">
        <v>2122</v>
      </c>
      <c r="C1852" s="2" t="s">
        <v>309</v>
      </c>
      <c r="D1852" s="2" t="s">
        <v>310</v>
      </c>
      <c r="E1852" s="6">
        <v>45989.47094907407</v>
      </c>
      <c r="F1852" s="3" t="s">
        <v>311</v>
      </c>
      <c r="G1852" s="2" t="s">
        <v>16</v>
      </c>
      <c r="H1852" s="2"/>
      <c r="I1852" s="2" t="s">
        <v>395</v>
      </c>
      <c r="J1852" s="2"/>
      <c r="K1852" s="2" t="s">
        <v>18</v>
      </c>
      <c r="L1852" s="2"/>
    </row>
    <row r="1853">
      <c r="A1853" s="8" t="s">
        <v>2123</v>
      </c>
      <c r="B1853" s="8" t="s">
        <v>2123</v>
      </c>
      <c r="C1853" s="2" t="s">
        <v>309</v>
      </c>
      <c r="D1853" s="2" t="s">
        <v>310</v>
      </c>
      <c r="E1853" s="6">
        <v>45989.613854166666</v>
      </c>
      <c r="F1853" s="3" t="s">
        <v>311</v>
      </c>
      <c r="G1853" s="2" t="s">
        <v>24</v>
      </c>
      <c r="H1853" s="2"/>
      <c r="I1853" s="2"/>
      <c r="J1853" s="2"/>
      <c r="K1853" s="2" t="s">
        <v>18</v>
      </c>
      <c r="L1853" s="2"/>
    </row>
    <row r="1854">
      <c r="A1854" s="8" t="s">
        <v>2124</v>
      </c>
      <c r="B1854" s="8" t="s">
        <v>2124</v>
      </c>
      <c r="C1854" s="2" t="s">
        <v>786</v>
      </c>
      <c r="D1854" s="2" t="s">
        <v>787</v>
      </c>
      <c r="E1854" s="6">
        <v>45990.352488425924</v>
      </c>
      <c r="F1854" s="3" t="s">
        <v>788</v>
      </c>
      <c r="G1854" s="2" t="s">
        <v>16</v>
      </c>
      <c r="H1854" s="2"/>
      <c r="I1854" s="2" t="s">
        <v>17</v>
      </c>
      <c r="J1854" s="2"/>
      <c r="K1854" s="2" t="s">
        <v>18</v>
      </c>
      <c r="L1854" s="2"/>
    </row>
    <row r="1855">
      <c r="A1855" s="1"/>
      <c r="B1855" s="1"/>
      <c r="C1855" s="2"/>
      <c r="D1855" s="2"/>
      <c r="E1855" s="6"/>
      <c r="F1855" s="3"/>
      <c r="G1855" s="2"/>
      <c r="H1855" s="2"/>
      <c r="I1855" s="2"/>
      <c r="J1855" s="2"/>
      <c r="K1855" s="2"/>
      <c r="L1855" s="2"/>
    </row>
    <row r="1856">
      <c r="A1856" s="8" t="s">
        <v>2125</v>
      </c>
      <c r="B1856" s="8" t="s">
        <v>2125</v>
      </c>
      <c r="C1856" s="2" t="s">
        <v>1776</v>
      </c>
      <c r="D1856" s="2" t="s">
        <v>1777</v>
      </c>
      <c r="E1856" s="6">
        <v>45990.390185185184</v>
      </c>
      <c r="F1856" s="3" t="s">
        <v>1778</v>
      </c>
      <c r="G1856" s="2" t="s">
        <v>16</v>
      </c>
      <c r="H1856" s="2"/>
      <c r="I1856" s="2" t="s">
        <v>395</v>
      </c>
      <c r="J1856" s="2"/>
      <c r="K1856" s="2" t="s">
        <v>18</v>
      </c>
      <c r="L1856" s="2"/>
    </row>
    <row r="1857">
      <c r="A1857" s="8" t="s">
        <v>2126</v>
      </c>
      <c r="B1857" s="8" t="s">
        <v>2126</v>
      </c>
      <c r="C1857" s="2" t="s">
        <v>1830</v>
      </c>
      <c r="D1857" s="2" t="s">
        <v>1831</v>
      </c>
      <c r="E1857" s="6">
        <v>45990.395324074074</v>
      </c>
      <c r="F1857" s="3" t="s">
        <v>1832</v>
      </c>
      <c r="G1857" s="2" t="s">
        <v>24</v>
      </c>
      <c r="H1857" s="2"/>
      <c r="I1857" s="2"/>
      <c r="J1857" s="2"/>
      <c r="K1857" s="2" t="s">
        <v>18</v>
      </c>
      <c r="L1857" s="2"/>
    </row>
    <row r="1858">
      <c r="A1858" s="8" t="s">
        <v>2127</v>
      </c>
      <c r="B1858" s="8" t="s">
        <v>2127</v>
      </c>
      <c r="C1858" s="2" t="s">
        <v>45</v>
      </c>
      <c r="D1858" s="2" t="s">
        <v>46</v>
      </c>
      <c r="E1858" s="6">
        <v>45990.434583333335</v>
      </c>
      <c r="F1858" s="3" t="s">
        <v>47</v>
      </c>
      <c r="G1858" s="2" t="s">
        <v>16</v>
      </c>
      <c r="H1858" s="2"/>
      <c r="I1858" s="2" t="s">
        <v>17</v>
      </c>
      <c r="J1858" s="2"/>
      <c r="K1858" s="2" t="s">
        <v>18</v>
      </c>
      <c r="L1858" s="2"/>
    </row>
    <row r="1859">
      <c r="A1859" s="8" t="s">
        <v>2128</v>
      </c>
      <c r="B1859" s="8" t="s">
        <v>2128</v>
      </c>
      <c r="C1859" s="2" t="s">
        <v>1776</v>
      </c>
      <c r="D1859" s="2" t="s">
        <v>1777</v>
      </c>
      <c r="E1859" s="6">
        <v>45990.44048611111</v>
      </c>
      <c r="F1859" s="3" t="s">
        <v>1778</v>
      </c>
      <c r="G1859" s="2" t="s">
        <v>24</v>
      </c>
      <c r="H1859" s="2"/>
      <c r="I1859" s="2"/>
      <c r="J1859" s="2"/>
      <c r="K1859" s="2" t="s">
        <v>18</v>
      </c>
      <c r="L1859" s="2"/>
    </row>
    <row r="1860">
      <c r="A1860" s="8" t="s">
        <v>2129</v>
      </c>
      <c r="B1860" s="8" t="s">
        <v>2129</v>
      </c>
      <c r="C1860" s="2" t="s">
        <v>786</v>
      </c>
      <c r="D1860" s="2" t="s">
        <v>787</v>
      </c>
      <c r="E1860" s="6">
        <v>45990.54353009259</v>
      </c>
      <c r="F1860" s="3" t="s">
        <v>788</v>
      </c>
      <c r="G1860" s="2" t="s">
        <v>24</v>
      </c>
      <c r="H1860" s="2"/>
      <c r="I1860" s="2"/>
      <c r="J1860" s="2"/>
      <c r="K1860" s="2" t="s">
        <v>18</v>
      </c>
      <c r="L1860" s="2"/>
    </row>
    <row r="1861">
      <c r="A1861" s="8" t="s">
        <v>2130</v>
      </c>
      <c r="B1861" s="8" t="s">
        <v>2130</v>
      </c>
      <c r="C1861" s="2" t="s">
        <v>2131</v>
      </c>
      <c r="D1861" s="2" t="s">
        <v>2132</v>
      </c>
      <c r="E1861" s="6">
        <v>45992.286828703705</v>
      </c>
      <c r="F1861" s="3" t="s">
        <v>2133</v>
      </c>
      <c r="G1861" s="2" t="s">
        <v>16</v>
      </c>
      <c r="H1861" s="2"/>
      <c r="I1861" s="2" t="s">
        <v>17</v>
      </c>
      <c r="J1861" s="2"/>
      <c r="K1861" s="2" t="s">
        <v>18</v>
      </c>
      <c r="L1861" s="2"/>
    </row>
    <row r="1862">
      <c r="A1862" s="8" t="s">
        <v>2134</v>
      </c>
      <c r="B1862" s="8" t="s">
        <v>2134</v>
      </c>
      <c r="C1862" s="2" t="s">
        <v>49</v>
      </c>
      <c r="D1862" s="2" t="s">
        <v>50</v>
      </c>
      <c r="E1862" s="6">
        <v>45992.37513888889</v>
      </c>
      <c r="F1862" s="3" t="s">
        <v>51</v>
      </c>
      <c r="G1862" s="2" t="s">
        <v>16</v>
      </c>
      <c r="H1862" s="2"/>
      <c r="I1862" s="2" t="s">
        <v>395</v>
      </c>
      <c r="J1862" s="2"/>
      <c r="K1862" s="2" t="s">
        <v>18</v>
      </c>
      <c r="L1862" s="2"/>
    </row>
    <row r="1863">
      <c r="A1863" s="8" t="s">
        <v>2135</v>
      </c>
      <c r="B1863" s="8" t="s">
        <v>2135</v>
      </c>
      <c r="C1863" s="2" t="s">
        <v>49</v>
      </c>
      <c r="D1863" s="2" t="s">
        <v>50</v>
      </c>
      <c r="E1863" s="6">
        <v>45992.531226851854</v>
      </c>
      <c r="F1863" s="3" t="s">
        <v>51</v>
      </c>
      <c r="G1863" s="2" t="s">
        <v>24</v>
      </c>
      <c r="H1863" s="2"/>
      <c r="I1863" s="2"/>
      <c r="J1863" s="2"/>
      <c r="K1863" s="2" t="s">
        <v>18</v>
      </c>
      <c r="L1863" s="2"/>
    </row>
    <row r="1864">
      <c r="A1864" s="8" t="s">
        <v>2136</v>
      </c>
      <c r="B1864" s="8" t="s">
        <v>2136</v>
      </c>
      <c r="C1864" s="2" t="s">
        <v>812</v>
      </c>
      <c r="D1864" s="2" t="s">
        <v>813</v>
      </c>
      <c r="E1864" s="6">
        <v>45992.53172453704</v>
      </c>
      <c r="F1864" s="3" t="s">
        <v>814</v>
      </c>
      <c r="G1864" s="2" t="s">
        <v>24</v>
      </c>
      <c r="H1864" s="2"/>
      <c r="I1864" s="2"/>
      <c r="J1864" s="2"/>
      <c r="K1864" s="2" t="s">
        <v>18</v>
      </c>
      <c r="L1864" s="2"/>
    </row>
    <row r="1865">
      <c r="A1865" s="8" t="s">
        <v>2137</v>
      </c>
      <c r="B1865" s="8" t="s">
        <v>2137</v>
      </c>
      <c r="C1865" s="2" t="s">
        <v>786</v>
      </c>
      <c r="D1865" s="2" t="s">
        <v>787</v>
      </c>
      <c r="E1865" s="6">
        <v>45992.65777777778</v>
      </c>
      <c r="F1865" s="3" t="s">
        <v>788</v>
      </c>
      <c r="G1865" s="2" t="s">
        <v>24</v>
      </c>
      <c r="H1865" s="2"/>
      <c r="I1865" s="2"/>
      <c r="J1865" s="2"/>
      <c r="K1865" s="2" t="s">
        <v>18</v>
      </c>
      <c r="L1865" s="2"/>
    </row>
    <row r="1866">
      <c r="A1866" s="8" t="s">
        <v>2138</v>
      </c>
      <c r="B1866" s="8" t="s">
        <v>2138</v>
      </c>
      <c r="C1866" s="2" t="s">
        <v>320</v>
      </c>
      <c r="D1866" s="2" t="s">
        <v>321</v>
      </c>
      <c r="E1866" s="6">
        <v>45992.65856481482</v>
      </c>
      <c r="F1866" s="3" t="s">
        <v>322</v>
      </c>
      <c r="G1866" s="2" t="s">
        <v>24</v>
      </c>
      <c r="H1866" s="2"/>
      <c r="I1866" s="2"/>
      <c r="J1866" s="2"/>
      <c r="K1866" s="2" t="s">
        <v>18</v>
      </c>
      <c r="L1866" s="2"/>
    </row>
    <row r="1867">
      <c r="A1867" s="8" t="s">
        <v>2139</v>
      </c>
      <c r="B1867" s="8" t="s">
        <v>2139</v>
      </c>
      <c r="C1867" s="2" t="s">
        <v>109</v>
      </c>
      <c r="D1867" s="2" t="s">
        <v>110</v>
      </c>
      <c r="E1867" s="6">
        <v>45992.65891203703</v>
      </c>
      <c r="F1867" s="3" t="s">
        <v>111</v>
      </c>
      <c r="G1867" s="2" t="s">
        <v>24</v>
      </c>
      <c r="H1867" s="2"/>
      <c r="I1867" s="2"/>
      <c r="J1867" s="2"/>
      <c r="K1867" s="2" t="s">
        <v>18</v>
      </c>
      <c r="L1867" s="2"/>
    </row>
    <row r="1868">
      <c r="A1868" s="8" t="s">
        <v>2140</v>
      </c>
      <c r="B1868" s="8" t="s">
        <v>2140</v>
      </c>
      <c r="C1868" s="2" t="s">
        <v>326</v>
      </c>
      <c r="D1868" s="2" t="s">
        <v>327</v>
      </c>
      <c r="E1868" s="6">
        <v>45992.65918981482</v>
      </c>
      <c r="F1868" s="3" t="s">
        <v>328</v>
      </c>
      <c r="G1868" s="2" t="s">
        <v>24</v>
      </c>
      <c r="H1868" s="2"/>
      <c r="I1868" s="2"/>
      <c r="J1868" s="2"/>
      <c r="K1868" s="2" t="s">
        <v>18</v>
      </c>
      <c r="L1868" s="2"/>
    </row>
    <row r="1869">
      <c r="A1869" s="8" t="s">
        <v>2141</v>
      </c>
      <c r="B1869" s="8" t="s">
        <v>2141</v>
      </c>
      <c r="C1869" s="2" t="s">
        <v>2005</v>
      </c>
      <c r="D1869" s="2" t="s">
        <v>2006</v>
      </c>
      <c r="E1869" s="6">
        <v>45992.6640625</v>
      </c>
      <c r="F1869" s="3" t="s">
        <v>2007</v>
      </c>
      <c r="G1869" s="2" t="s">
        <v>24</v>
      </c>
      <c r="H1869" s="2"/>
      <c r="I1869" s="2"/>
      <c r="J1869" s="2"/>
      <c r="K1869" s="2" t="s">
        <v>18</v>
      </c>
      <c r="L1869" s="2"/>
    </row>
    <row r="1870">
      <c r="A1870" s="8" t="s">
        <v>2142</v>
      </c>
      <c r="B1870" s="8" t="s">
        <v>2142</v>
      </c>
      <c r="C1870" s="2" t="s">
        <v>812</v>
      </c>
      <c r="D1870" s="2" t="s">
        <v>813</v>
      </c>
      <c r="E1870" s="6">
        <v>45993.35135416667</v>
      </c>
      <c r="F1870" s="3" t="s">
        <v>814</v>
      </c>
      <c r="G1870" s="2" t="s">
        <v>16</v>
      </c>
      <c r="H1870" s="2"/>
      <c r="I1870" s="2" t="s">
        <v>395</v>
      </c>
      <c r="J1870" s="2"/>
      <c r="K1870" s="2" t="s">
        <v>18</v>
      </c>
      <c r="L1870" s="2"/>
    </row>
    <row r="1871">
      <c r="A1871" s="8" t="s">
        <v>2143</v>
      </c>
      <c r="B1871" s="8" t="s">
        <v>2143</v>
      </c>
      <c r="C1871" s="2" t="s">
        <v>786</v>
      </c>
      <c r="D1871" s="2" t="s">
        <v>787</v>
      </c>
      <c r="E1871" s="6">
        <v>45993.35780092593</v>
      </c>
      <c r="F1871" s="3" t="s">
        <v>788</v>
      </c>
      <c r="G1871" s="2" t="s">
        <v>16</v>
      </c>
      <c r="H1871" s="2"/>
      <c r="I1871" s="2" t="s">
        <v>17</v>
      </c>
      <c r="J1871" s="2"/>
      <c r="K1871" s="2" t="s">
        <v>18</v>
      </c>
      <c r="L1871" s="2"/>
    </row>
    <row r="1872">
      <c r="A1872" s="8" t="s">
        <v>2144</v>
      </c>
      <c r="B1872" s="8" t="s">
        <v>2144</v>
      </c>
      <c r="C1872" s="2" t="s">
        <v>109</v>
      </c>
      <c r="D1872" s="2" t="s">
        <v>110</v>
      </c>
      <c r="E1872" s="6">
        <v>45993.35921296296</v>
      </c>
      <c r="F1872" s="3" t="s">
        <v>111</v>
      </c>
      <c r="G1872" s="2" t="s">
        <v>16</v>
      </c>
      <c r="H1872" s="2"/>
      <c r="I1872" s="2" t="s">
        <v>17</v>
      </c>
      <c r="J1872" s="2"/>
      <c r="K1872" s="2" t="s">
        <v>18</v>
      </c>
      <c r="L1872" s="2"/>
    </row>
    <row r="1873">
      <c r="A1873" s="8" t="s">
        <v>2145</v>
      </c>
      <c r="B1873" s="8" t="s">
        <v>2145</v>
      </c>
      <c r="C1873" s="2" t="s">
        <v>786</v>
      </c>
      <c r="D1873" s="2" t="s">
        <v>787</v>
      </c>
      <c r="E1873" s="6">
        <v>45993.54866898148</v>
      </c>
      <c r="F1873" s="3" t="s">
        <v>788</v>
      </c>
      <c r="G1873" s="2" t="s">
        <v>24</v>
      </c>
      <c r="H1873" s="2"/>
      <c r="I1873" s="2"/>
      <c r="J1873" s="2"/>
      <c r="K1873" s="2" t="s">
        <v>18</v>
      </c>
      <c r="L1873" s="2"/>
    </row>
    <row r="1874">
      <c r="A1874" s="8" t="s">
        <v>2146</v>
      </c>
      <c r="B1874" s="8" t="s">
        <v>2146</v>
      </c>
      <c r="C1874" s="2" t="s">
        <v>326</v>
      </c>
      <c r="D1874" s="2" t="s">
        <v>327</v>
      </c>
      <c r="E1874" s="6">
        <v>45993.55042824074</v>
      </c>
      <c r="F1874" s="3" t="s">
        <v>328</v>
      </c>
      <c r="G1874" s="2" t="s">
        <v>16</v>
      </c>
      <c r="H1874" s="2"/>
      <c r="I1874" s="2" t="s">
        <v>395</v>
      </c>
      <c r="J1874" s="2"/>
      <c r="K1874" s="2" t="s">
        <v>18</v>
      </c>
      <c r="L1874" s="2"/>
    </row>
    <row r="1875">
      <c r="A1875" s="8" t="s">
        <v>2147</v>
      </c>
      <c r="B1875" s="8" t="s">
        <v>2147</v>
      </c>
      <c r="C1875" s="2" t="s">
        <v>1018</v>
      </c>
      <c r="D1875" s="2" t="s">
        <v>1019</v>
      </c>
      <c r="E1875" s="6">
        <v>45993.5571875</v>
      </c>
      <c r="F1875" s="3" t="s">
        <v>1020</v>
      </c>
      <c r="G1875" s="2" t="s">
        <v>16</v>
      </c>
      <c r="H1875" s="2"/>
      <c r="I1875" s="2" t="s">
        <v>17</v>
      </c>
      <c r="J1875" s="2"/>
      <c r="K1875" s="2" t="s">
        <v>18</v>
      </c>
      <c r="L1875" s="2"/>
    </row>
    <row r="1876">
      <c r="A1876" s="8" t="s">
        <v>2148</v>
      </c>
      <c r="B1876" s="8" t="s">
        <v>2148</v>
      </c>
      <c r="C1876" s="2" t="s">
        <v>951</v>
      </c>
      <c r="D1876" s="2" t="s">
        <v>952</v>
      </c>
      <c r="E1876" s="6">
        <v>45993.56229166667</v>
      </c>
      <c r="F1876" s="3" t="s">
        <v>953</v>
      </c>
      <c r="G1876" s="2" t="s">
        <v>16</v>
      </c>
      <c r="H1876" s="2"/>
      <c r="I1876" s="2" t="s">
        <v>17</v>
      </c>
      <c r="J1876" s="2"/>
      <c r="K1876" s="2" t="s">
        <v>18</v>
      </c>
      <c r="L1876" s="2"/>
    </row>
    <row r="1877">
      <c r="A1877" s="8" t="s">
        <v>2149</v>
      </c>
      <c r="B1877" s="8" t="s">
        <v>2149</v>
      </c>
      <c r="C1877" s="2" t="s">
        <v>2150</v>
      </c>
      <c r="D1877" s="2" t="s">
        <v>2151</v>
      </c>
      <c r="E1877" s="6">
        <v>45993.57962962963</v>
      </c>
      <c r="F1877" s="3" t="s">
        <v>2152</v>
      </c>
      <c r="G1877" s="2" t="s">
        <v>159</v>
      </c>
      <c r="H1877" s="2"/>
      <c r="I1877" s="2"/>
      <c r="J1877" s="2"/>
      <c r="K1877" s="2" t="s">
        <v>18</v>
      </c>
      <c r="L1877" s="2"/>
    </row>
    <row r="1878">
      <c r="A1878" s="8" t="s">
        <v>2153</v>
      </c>
      <c r="B1878" s="8" t="s">
        <v>2153</v>
      </c>
      <c r="C1878" s="2" t="s">
        <v>951</v>
      </c>
      <c r="D1878" s="2" t="s">
        <v>952</v>
      </c>
      <c r="E1878" s="6">
        <v>45993.70222222222</v>
      </c>
      <c r="F1878" s="3" t="s">
        <v>953</v>
      </c>
      <c r="G1878" s="2" t="s">
        <v>24</v>
      </c>
      <c r="H1878" s="2"/>
      <c r="I1878" s="2"/>
      <c r="J1878" s="2"/>
      <c r="K1878" s="2" t="s">
        <v>18</v>
      </c>
      <c r="L1878" s="2"/>
    </row>
    <row r="1879">
      <c r="A1879" s="8" t="s">
        <v>2154</v>
      </c>
      <c r="B1879" s="8" t="s">
        <v>2154</v>
      </c>
      <c r="C1879" s="2" t="s">
        <v>1018</v>
      </c>
      <c r="D1879" s="2" t="s">
        <v>1019</v>
      </c>
      <c r="E1879" s="6">
        <v>45993.702835648146</v>
      </c>
      <c r="F1879" s="3" t="s">
        <v>1020</v>
      </c>
      <c r="G1879" s="2" t="s">
        <v>24</v>
      </c>
      <c r="H1879" s="2"/>
      <c r="I1879" s="2"/>
      <c r="J1879" s="2"/>
      <c r="K1879" s="2" t="s">
        <v>18</v>
      </c>
      <c r="L1879" s="2"/>
    </row>
    <row r="1880">
      <c r="A1880" s="8" t="s">
        <v>2155</v>
      </c>
      <c r="B1880" s="8" t="s">
        <v>2155</v>
      </c>
      <c r="C1880" s="2" t="s">
        <v>326</v>
      </c>
      <c r="D1880" s="2" t="s">
        <v>327</v>
      </c>
      <c r="E1880" s="6">
        <v>45993.70300925926</v>
      </c>
      <c r="F1880" s="3" t="s">
        <v>328</v>
      </c>
      <c r="G1880" s="2" t="s">
        <v>24</v>
      </c>
      <c r="H1880" s="2"/>
      <c r="I1880" s="2"/>
      <c r="J1880" s="2"/>
      <c r="K1880" s="2" t="s">
        <v>18</v>
      </c>
      <c r="L1880" s="2"/>
    </row>
    <row r="1881">
      <c r="A1881" s="8" t="s">
        <v>2156</v>
      </c>
      <c r="B1881" s="8" t="s">
        <v>2156</v>
      </c>
      <c r="C1881" s="2" t="s">
        <v>1618</v>
      </c>
      <c r="D1881" s="2" t="s">
        <v>1619</v>
      </c>
      <c r="E1881" s="6">
        <v>45994.3953125</v>
      </c>
      <c r="F1881" s="3" t="s">
        <v>1620</v>
      </c>
      <c r="G1881" s="2" t="s">
        <v>16</v>
      </c>
      <c r="H1881" s="2"/>
      <c r="I1881" s="2" t="s">
        <v>17</v>
      </c>
      <c r="J1881" s="2"/>
      <c r="K1881" s="2" t="s">
        <v>18</v>
      </c>
      <c r="L1881" s="2"/>
    </row>
    <row r="1882">
      <c r="A1882" s="8" t="s">
        <v>2157</v>
      </c>
      <c r="B1882" s="8" t="s">
        <v>2157</v>
      </c>
      <c r="C1882" s="2" t="s">
        <v>1084</v>
      </c>
      <c r="D1882" s="2" t="s">
        <v>1085</v>
      </c>
      <c r="E1882" s="6">
        <v>45994.50131944445</v>
      </c>
      <c r="F1882" s="3" t="s">
        <v>1086</v>
      </c>
      <c r="G1882" s="2" t="s">
        <v>24</v>
      </c>
      <c r="H1882" s="2"/>
      <c r="I1882" s="2"/>
      <c r="J1882" s="2"/>
      <c r="K1882" s="2" t="s">
        <v>18</v>
      </c>
      <c r="L1882" s="2"/>
    </row>
    <row r="1883">
      <c r="A1883" s="8" t="s">
        <v>2158</v>
      </c>
      <c r="B1883" s="8" t="s">
        <v>2158</v>
      </c>
      <c r="C1883" s="2" t="s">
        <v>49</v>
      </c>
      <c r="D1883" s="2" t="s">
        <v>50</v>
      </c>
      <c r="E1883" s="6">
        <v>45994.50255787037</v>
      </c>
      <c r="F1883" s="3" t="s">
        <v>51</v>
      </c>
      <c r="G1883" s="2" t="s">
        <v>24</v>
      </c>
      <c r="H1883" s="2"/>
      <c r="I1883" s="2"/>
      <c r="J1883" s="2"/>
      <c r="K1883" s="2" t="s">
        <v>18</v>
      </c>
      <c r="L1883" s="2"/>
    </row>
    <row r="1884">
      <c r="A1884" s="8" t="s">
        <v>2159</v>
      </c>
      <c r="B1884" s="8" t="s">
        <v>2159</v>
      </c>
      <c r="C1884" s="2" t="s">
        <v>1904</v>
      </c>
      <c r="D1884" s="2" t="s">
        <v>1905</v>
      </c>
      <c r="E1884" s="6">
        <v>45994.51137731481</v>
      </c>
      <c r="F1884" s="3" t="s">
        <v>1906</v>
      </c>
      <c r="G1884" s="2" t="s">
        <v>24</v>
      </c>
      <c r="H1884" s="2"/>
      <c r="I1884" s="2"/>
      <c r="J1884" s="2"/>
      <c r="K1884" s="2" t="s">
        <v>18</v>
      </c>
      <c r="L1884" s="2"/>
    </row>
    <row r="1885">
      <c r="A1885" s="8" t="s">
        <v>2160</v>
      </c>
      <c r="B1885" s="8" t="s">
        <v>2160</v>
      </c>
      <c r="C1885" s="2" t="s">
        <v>2131</v>
      </c>
      <c r="D1885" s="2" t="s">
        <v>2132</v>
      </c>
      <c r="E1885" s="6">
        <v>45994.51290509259</v>
      </c>
      <c r="F1885" s="3" t="s">
        <v>2133</v>
      </c>
      <c r="G1885" s="2" t="s">
        <v>24</v>
      </c>
      <c r="H1885" s="2"/>
      <c r="I1885" s="2"/>
      <c r="J1885" s="2"/>
      <c r="K1885" s="2" t="s">
        <v>18</v>
      </c>
      <c r="L1885" s="2"/>
    </row>
    <row r="1886">
      <c r="A1886" s="8" t="s">
        <v>2161</v>
      </c>
      <c r="B1886" s="8" t="s">
        <v>2161</v>
      </c>
      <c r="C1886" s="2" t="s">
        <v>786</v>
      </c>
      <c r="D1886" s="2" t="s">
        <v>787</v>
      </c>
      <c r="E1886" s="6">
        <v>45994.58731481482</v>
      </c>
      <c r="F1886" s="3" t="s">
        <v>788</v>
      </c>
      <c r="G1886" s="2" t="s">
        <v>16</v>
      </c>
      <c r="H1886" s="2"/>
      <c r="I1886" s="2" t="s">
        <v>17</v>
      </c>
      <c r="J1886" s="2"/>
      <c r="K1886" s="2" t="s">
        <v>18</v>
      </c>
      <c r="L1886" s="2"/>
    </row>
    <row r="1887">
      <c r="A1887" s="8" t="s">
        <v>2162</v>
      </c>
      <c r="B1887" s="8" t="s">
        <v>2162</v>
      </c>
      <c r="C1887" s="2" t="s">
        <v>1993</v>
      </c>
      <c r="D1887" s="2" t="s">
        <v>1994</v>
      </c>
      <c r="E1887" s="6">
        <v>45995.361493055556</v>
      </c>
      <c r="F1887" s="3" t="s">
        <v>1995</v>
      </c>
      <c r="G1887" s="2" t="s">
        <v>16</v>
      </c>
      <c r="H1887" s="2"/>
      <c r="I1887" s="2" t="s">
        <v>17</v>
      </c>
      <c r="J1887" s="2"/>
      <c r="K1887" s="2" t="s">
        <v>18</v>
      </c>
      <c r="L1887" s="2"/>
    </row>
    <row r="1888">
      <c r="A1888" s="8" t="s">
        <v>2163</v>
      </c>
      <c r="B1888" s="8" t="s">
        <v>2163</v>
      </c>
      <c r="C1888" s="2" t="s">
        <v>1993</v>
      </c>
      <c r="D1888" s="2" t="s">
        <v>1994</v>
      </c>
      <c r="E1888" s="6">
        <v>45995.39275462963</v>
      </c>
      <c r="F1888" s="3" t="s">
        <v>1995</v>
      </c>
      <c r="G1888" s="2" t="s">
        <v>24</v>
      </c>
      <c r="H1888" s="2"/>
      <c r="I1888" s="2"/>
      <c r="J1888" s="2"/>
      <c r="K1888" s="2" t="s">
        <v>18</v>
      </c>
      <c r="L1888" s="2"/>
    </row>
    <row r="1889">
      <c r="A1889" s="8" t="s">
        <v>2164</v>
      </c>
      <c r="B1889" s="8" t="s">
        <v>2164</v>
      </c>
      <c r="C1889" s="2" t="s">
        <v>1564</v>
      </c>
      <c r="D1889" s="2" t="s">
        <v>1565</v>
      </c>
      <c r="E1889" s="6">
        <v>45995.45649305556</v>
      </c>
      <c r="F1889" s="3" t="s">
        <v>1566</v>
      </c>
      <c r="G1889" s="2" t="s">
        <v>16</v>
      </c>
      <c r="H1889" s="2"/>
      <c r="I1889" s="2" t="s">
        <v>395</v>
      </c>
      <c r="J1889" s="2"/>
      <c r="K1889" s="2" t="s">
        <v>18</v>
      </c>
      <c r="L1889" s="2"/>
    </row>
    <row r="1890">
      <c r="A1890" s="8" t="s">
        <v>2165</v>
      </c>
      <c r="B1890" s="8" t="s">
        <v>2165</v>
      </c>
      <c r="C1890" s="2" t="s">
        <v>1564</v>
      </c>
      <c r="D1890" s="2" t="s">
        <v>1565</v>
      </c>
      <c r="E1890" s="6">
        <v>45995.48299768518</v>
      </c>
      <c r="F1890" s="3" t="s">
        <v>1566</v>
      </c>
      <c r="G1890" s="2" t="s">
        <v>24</v>
      </c>
      <c r="H1890" s="2"/>
      <c r="I1890" s="2"/>
      <c r="J1890" s="2"/>
      <c r="K1890" s="2" t="s">
        <v>18</v>
      </c>
      <c r="L1890" s="2"/>
    </row>
    <row r="1891">
      <c r="A1891" s="8" t="s">
        <v>2166</v>
      </c>
      <c r="B1891" s="8" t="s">
        <v>2166</v>
      </c>
      <c r="C1891" s="2" t="s">
        <v>786</v>
      </c>
      <c r="D1891" s="2" t="s">
        <v>787</v>
      </c>
      <c r="E1891" s="6">
        <v>45995.55284722222</v>
      </c>
      <c r="F1891" s="3" t="s">
        <v>788</v>
      </c>
      <c r="G1891" s="2" t="s">
        <v>16</v>
      </c>
      <c r="H1891" s="2"/>
      <c r="I1891" s="2" t="s">
        <v>17</v>
      </c>
      <c r="J1891" s="2"/>
      <c r="K1891" s="2" t="s">
        <v>18</v>
      </c>
      <c r="L1891" s="2"/>
    </row>
    <row r="1892">
      <c r="A1892" s="8" t="s">
        <v>2167</v>
      </c>
      <c r="B1892" s="8" t="s">
        <v>2167</v>
      </c>
      <c r="C1892" s="2" t="s">
        <v>786</v>
      </c>
      <c r="D1892" s="2" t="s">
        <v>787</v>
      </c>
      <c r="E1892" s="6">
        <v>45994.64371527778</v>
      </c>
      <c r="F1892" s="3" t="s">
        <v>788</v>
      </c>
      <c r="G1892" s="2" t="s">
        <v>24</v>
      </c>
      <c r="H1892" s="2"/>
      <c r="I1892" s="2"/>
      <c r="J1892" s="2"/>
      <c r="K1892" s="2" t="s">
        <v>18</v>
      </c>
      <c r="L1892" s="2"/>
    </row>
    <row r="1893">
      <c r="A1893" s="8" t="s">
        <v>2168</v>
      </c>
      <c r="B1893" s="8" t="s">
        <v>2168</v>
      </c>
      <c r="C1893" s="2" t="s">
        <v>1618</v>
      </c>
      <c r="D1893" s="2" t="s">
        <v>1619</v>
      </c>
      <c r="E1893" s="6">
        <v>45995.64519675926</v>
      </c>
      <c r="F1893" s="3" t="s">
        <v>1620</v>
      </c>
      <c r="G1893" s="2" t="s">
        <v>24</v>
      </c>
      <c r="H1893" s="2"/>
      <c r="I1893" s="2"/>
      <c r="J1893" s="2"/>
      <c r="K1893" s="2" t="s">
        <v>18</v>
      </c>
      <c r="L1893" s="2"/>
    </row>
    <row r="1894">
      <c r="A1894" s="8" t="s">
        <v>2169</v>
      </c>
      <c r="B1894" s="8" t="s">
        <v>2169</v>
      </c>
      <c r="C1894" s="2" t="s">
        <v>786</v>
      </c>
      <c r="D1894" s="2" t="s">
        <v>787</v>
      </c>
      <c r="E1894" s="6">
        <v>45995.64611111111</v>
      </c>
      <c r="F1894" s="3" t="s">
        <v>788</v>
      </c>
      <c r="G1894" s="2" t="s">
        <v>24</v>
      </c>
      <c r="H1894" s="2"/>
      <c r="I1894" s="2"/>
      <c r="J1894" s="2"/>
      <c r="K1894" s="2" t="s">
        <v>18</v>
      </c>
      <c r="L1894" s="2"/>
    </row>
    <row r="1895">
      <c r="A1895" s="8" t="s">
        <v>2170</v>
      </c>
      <c r="B1895" s="8" t="s">
        <v>2170</v>
      </c>
      <c r="C1895" s="2" t="s">
        <v>2131</v>
      </c>
      <c r="D1895" s="2" t="s">
        <v>2171</v>
      </c>
      <c r="E1895" s="6">
        <v>45996.359502314815</v>
      </c>
      <c r="F1895" s="3" t="s">
        <v>2172</v>
      </c>
      <c r="G1895" s="2" t="s">
        <v>16</v>
      </c>
      <c r="H1895" s="2"/>
      <c r="I1895" s="2" t="s">
        <v>17</v>
      </c>
      <c r="J1895" s="2"/>
      <c r="K1895" s="2" t="s">
        <v>18</v>
      </c>
      <c r="L1895" s="2"/>
    </row>
    <row r="1896">
      <c r="A1896" s="8" t="s">
        <v>2173</v>
      </c>
      <c r="B1896" s="8" t="s">
        <v>2173</v>
      </c>
      <c r="C1896" s="2" t="s">
        <v>1756</v>
      </c>
      <c r="D1896" s="2" t="s">
        <v>1757</v>
      </c>
      <c r="E1896" s="6">
        <v>45996.401238425926</v>
      </c>
      <c r="F1896" s="3" t="s">
        <v>1758</v>
      </c>
      <c r="G1896" s="2" t="s">
        <v>16</v>
      </c>
      <c r="H1896" s="2"/>
      <c r="I1896" s="2" t="s">
        <v>17</v>
      </c>
      <c r="J1896" s="2"/>
      <c r="K1896" s="2" t="s">
        <v>18</v>
      </c>
      <c r="L1896" s="2"/>
    </row>
    <row r="1897">
      <c r="A1897" s="8" t="s">
        <v>2174</v>
      </c>
      <c r="B1897" s="8" t="s">
        <v>2174</v>
      </c>
      <c r="C1897" s="2" t="s">
        <v>786</v>
      </c>
      <c r="D1897" s="2" t="s">
        <v>787</v>
      </c>
      <c r="E1897" s="6">
        <v>45996.44328703704</v>
      </c>
      <c r="F1897" s="3" t="s">
        <v>788</v>
      </c>
      <c r="G1897" s="2" t="s">
        <v>16</v>
      </c>
      <c r="H1897" s="2"/>
      <c r="I1897" s="2" t="s">
        <v>17</v>
      </c>
      <c r="J1897" s="2"/>
      <c r="K1897" s="2" t="s">
        <v>18</v>
      </c>
      <c r="L1897" s="2"/>
    </row>
    <row r="1898">
      <c r="A1898" s="8" t="s">
        <v>2175</v>
      </c>
      <c r="B1898" s="8" t="s">
        <v>2175</v>
      </c>
      <c r="C1898" s="2" t="s">
        <v>786</v>
      </c>
      <c r="D1898" s="2" t="s">
        <v>787</v>
      </c>
      <c r="E1898" s="6">
        <v>45996.612129629626</v>
      </c>
      <c r="F1898" s="3" t="s">
        <v>788</v>
      </c>
      <c r="G1898" s="2" t="s">
        <v>24</v>
      </c>
      <c r="H1898" s="2"/>
      <c r="I1898" s="2"/>
      <c r="J1898" s="2"/>
      <c r="K1898" s="2" t="s">
        <v>18</v>
      </c>
      <c r="L1898" s="2"/>
    </row>
    <row r="1899">
      <c r="A1899" s="8" t="s">
        <v>2176</v>
      </c>
      <c r="B1899" s="8" t="s">
        <v>2176</v>
      </c>
      <c r="C1899" s="2" t="s">
        <v>326</v>
      </c>
      <c r="D1899" s="2" t="s">
        <v>327</v>
      </c>
      <c r="E1899" s="6">
        <v>45996.614756944444</v>
      </c>
      <c r="F1899" s="3" t="s">
        <v>328</v>
      </c>
      <c r="G1899" s="2" t="s">
        <v>16</v>
      </c>
      <c r="H1899" s="2"/>
      <c r="I1899" s="2" t="s">
        <v>395</v>
      </c>
      <c r="J1899" s="2"/>
      <c r="K1899" s="2" t="s">
        <v>18</v>
      </c>
      <c r="L1899" s="2"/>
    </row>
    <row r="1900">
      <c r="A1900" s="8" t="s">
        <v>2177</v>
      </c>
      <c r="B1900" s="8" t="s">
        <v>2177</v>
      </c>
      <c r="C1900" s="2" t="s">
        <v>1756</v>
      </c>
      <c r="D1900" s="2" t="s">
        <v>1757</v>
      </c>
      <c r="E1900" s="6">
        <v>45996.619525462964</v>
      </c>
      <c r="F1900" s="3" t="s">
        <v>1758</v>
      </c>
      <c r="G1900" s="2" t="s">
        <v>24</v>
      </c>
      <c r="H1900" s="2"/>
      <c r="I1900" s="2"/>
      <c r="J1900" s="2"/>
      <c r="K1900" s="2" t="s">
        <v>18</v>
      </c>
      <c r="L1900" s="2"/>
    </row>
    <row r="1901">
      <c r="A1901" s="8" t="s">
        <v>2178</v>
      </c>
      <c r="B1901" s="8" t="s">
        <v>2178</v>
      </c>
      <c r="C1901" s="2" t="s">
        <v>326</v>
      </c>
      <c r="D1901" s="2" t="s">
        <v>327</v>
      </c>
      <c r="E1901" s="6">
        <v>45996.69857638889</v>
      </c>
      <c r="F1901" s="3" t="s">
        <v>328</v>
      </c>
      <c r="G1901" s="2" t="s">
        <v>24</v>
      </c>
      <c r="H1901" s="2"/>
      <c r="I1901" s="2"/>
      <c r="J1901" s="2"/>
      <c r="K1901" s="2" t="s">
        <v>18</v>
      </c>
      <c r="L1901" s="2"/>
    </row>
    <row r="1902">
      <c r="A1902" s="8" t="s">
        <v>2179</v>
      </c>
      <c r="B1902" s="8" t="s">
        <v>2179</v>
      </c>
      <c r="C1902" s="2" t="s">
        <v>1476</v>
      </c>
      <c r="D1902" s="2" t="s">
        <v>1477</v>
      </c>
      <c r="E1902" s="6">
        <v>45997.371724537035</v>
      </c>
      <c r="F1902" s="3" t="s">
        <v>1478</v>
      </c>
      <c r="G1902" s="2" t="s">
        <v>16</v>
      </c>
      <c r="H1902" s="2"/>
      <c r="I1902" s="2" t="s">
        <v>395</v>
      </c>
      <c r="J1902" s="2"/>
      <c r="K1902" s="2" t="s">
        <v>18</v>
      </c>
      <c r="L1902" s="2"/>
    </row>
    <row r="1903">
      <c r="A1903" s="8" t="s">
        <v>2180</v>
      </c>
      <c r="B1903" s="8" t="s">
        <v>2180</v>
      </c>
      <c r="C1903" s="2" t="s">
        <v>2131</v>
      </c>
      <c r="D1903" s="2" t="s">
        <v>2132</v>
      </c>
      <c r="E1903" s="6">
        <v>45997.51346064815</v>
      </c>
      <c r="F1903" s="3" t="s">
        <v>2172</v>
      </c>
      <c r="G1903" s="2" t="s">
        <v>24</v>
      </c>
      <c r="H1903" s="2"/>
      <c r="I1903" s="2"/>
      <c r="J1903" s="2"/>
      <c r="K1903" s="2" t="s">
        <v>18</v>
      </c>
      <c r="L1903" s="2"/>
    </row>
    <row r="1904">
      <c r="A1904" s="8" t="s">
        <v>2181</v>
      </c>
      <c r="B1904" s="8" t="s">
        <v>2181</v>
      </c>
      <c r="C1904" s="2" t="s">
        <v>109</v>
      </c>
      <c r="D1904" s="2" t="s">
        <v>110</v>
      </c>
      <c r="E1904" s="6">
        <v>45997.51527777778</v>
      </c>
      <c r="F1904" s="3" t="s">
        <v>111</v>
      </c>
      <c r="G1904" s="2" t="s">
        <v>24</v>
      </c>
      <c r="H1904" s="2"/>
      <c r="I1904" s="2"/>
      <c r="J1904" s="2"/>
      <c r="K1904" s="2" t="s">
        <v>18</v>
      </c>
      <c r="L1904" s="2"/>
    </row>
    <row r="1905">
      <c r="A1905" s="8" t="s">
        <v>2182</v>
      </c>
      <c r="B1905" s="8" t="s">
        <v>2182</v>
      </c>
      <c r="C1905" s="2" t="s">
        <v>320</v>
      </c>
      <c r="D1905" s="2" t="s">
        <v>321</v>
      </c>
      <c r="E1905" s="6">
        <v>45997.515914351854</v>
      </c>
      <c r="F1905" s="3" t="s">
        <v>322</v>
      </c>
      <c r="G1905" s="2" t="s">
        <v>24</v>
      </c>
      <c r="H1905" s="2"/>
      <c r="I1905" s="2"/>
      <c r="J1905" s="2"/>
      <c r="K1905" s="2" t="s">
        <v>18</v>
      </c>
      <c r="L1905" s="2"/>
    </row>
    <row r="1906">
      <c r="A1906" s="8" t="s">
        <v>2183</v>
      </c>
      <c r="B1906" s="8" t="s">
        <v>2183</v>
      </c>
      <c r="C1906" s="2" t="s">
        <v>2081</v>
      </c>
      <c r="D1906" s="2" t="s">
        <v>2082</v>
      </c>
      <c r="E1906" s="6">
        <v>45997.611342592594</v>
      </c>
      <c r="F1906" s="3" t="s">
        <v>2083</v>
      </c>
      <c r="G1906" s="2" t="s">
        <v>24</v>
      </c>
      <c r="H1906" s="2"/>
      <c r="I1906" s="2"/>
      <c r="J1906" s="2"/>
      <c r="K1906" s="2" t="s">
        <v>18</v>
      </c>
      <c r="L1906" s="2"/>
    </row>
    <row r="1907">
      <c r="A1907" s="8" t="s">
        <v>2184</v>
      </c>
      <c r="B1907" s="8" t="s">
        <v>2184</v>
      </c>
      <c r="C1907" s="2" t="s">
        <v>1975</v>
      </c>
      <c r="D1907" s="2" t="s">
        <v>1976</v>
      </c>
      <c r="E1907" s="6">
        <v>45997.61230324074</v>
      </c>
      <c r="F1907" s="3" t="s">
        <v>1977</v>
      </c>
      <c r="G1907" s="2" t="s">
        <v>24</v>
      </c>
      <c r="H1907" s="2"/>
      <c r="I1907" s="2"/>
      <c r="J1907" s="2"/>
      <c r="K1907" s="2" t="s">
        <v>18</v>
      </c>
      <c r="L1907" s="2"/>
    </row>
    <row r="1908">
      <c r="A1908" s="8" t="s">
        <v>2185</v>
      </c>
      <c r="B1908" s="8" t="s">
        <v>2185</v>
      </c>
      <c r="C1908" s="2" t="s">
        <v>1203</v>
      </c>
      <c r="D1908" s="2" t="s">
        <v>1204</v>
      </c>
      <c r="E1908" s="6">
        <v>45997.613078703704</v>
      </c>
      <c r="F1908" s="3" t="s">
        <v>1205</v>
      </c>
      <c r="G1908" s="2" t="s">
        <v>24</v>
      </c>
      <c r="H1908" s="2"/>
      <c r="I1908" s="2"/>
      <c r="J1908" s="2"/>
      <c r="K1908" s="2" t="s">
        <v>18</v>
      </c>
      <c r="L1908" s="2"/>
    </row>
    <row r="1909">
      <c r="A1909" s="8" t="s">
        <v>2186</v>
      </c>
      <c r="B1909" s="8" t="s">
        <v>2186</v>
      </c>
      <c r="C1909" s="2" t="s">
        <v>786</v>
      </c>
      <c r="D1909" s="2" t="s">
        <v>787</v>
      </c>
      <c r="E1909" s="6">
        <v>45997.61377314815</v>
      </c>
      <c r="F1909" s="3" t="s">
        <v>788</v>
      </c>
      <c r="G1909" s="2" t="s">
        <v>24</v>
      </c>
      <c r="H1909" s="2"/>
      <c r="I1909" s="2"/>
      <c r="J1909" s="2"/>
      <c r="K1909" s="2" t="s">
        <v>18</v>
      </c>
      <c r="L1909" s="2"/>
    </row>
    <row r="1910">
      <c r="A1910" s="8" t="s">
        <v>2187</v>
      </c>
      <c r="B1910" s="8" t="s">
        <v>2187</v>
      </c>
      <c r="C1910" s="2" t="s">
        <v>2005</v>
      </c>
      <c r="D1910" s="2" t="s">
        <v>2006</v>
      </c>
      <c r="E1910" s="6">
        <v>45999.35574074074</v>
      </c>
      <c r="F1910" s="3" t="s">
        <v>2007</v>
      </c>
      <c r="G1910" s="2" t="s">
        <v>16</v>
      </c>
      <c r="H1910" s="2"/>
      <c r="I1910" s="2" t="s">
        <v>17</v>
      </c>
      <c r="J1910" s="2"/>
      <c r="K1910" s="2" t="s">
        <v>18</v>
      </c>
      <c r="L1910" s="2"/>
    </row>
    <row r="1911">
      <c r="A1911" s="8" t="s">
        <v>2188</v>
      </c>
      <c r="B1911" s="8" t="s">
        <v>2188</v>
      </c>
      <c r="C1911" s="2" t="s">
        <v>2005</v>
      </c>
      <c r="D1911" s="2" t="s">
        <v>2006</v>
      </c>
      <c r="E1911" s="6">
        <v>45999.435069444444</v>
      </c>
      <c r="F1911" s="3" t="s">
        <v>2007</v>
      </c>
      <c r="G1911" s="2" t="s">
        <v>24</v>
      </c>
      <c r="H1911" s="2"/>
      <c r="I1911" s="2"/>
      <c r="J1911" s="2"/>
      <c r="K1911" s="2" t="s">
        <v>18</v>
      </c>
      <c r="L1911" s="2"/>
    </row>
    <row r="1912">
      <c r="A1912" s="8" t="s">
        <v>2189</v>
      </c>
      <c r="B1912" s="8" t="s">
        <v>2189</v>
      </c>
      <c r="C1912" s="2" t="s">
        <v>786</v>
      </c>
      <c r="D1912" s="2" t="s">
        <v>787</v>
      </c>
      <c r="E1912" s="6">
        <v>45999.465729166666</v>
      </c>
      <c r="F1912" s="3" t="s">
        <v>788</v>
      </c>
      <c r="G1912" s="2" t="s">
        <v>16</v>
      </c>
      <c r="H1912" s="2"/>
      <c r="I1912" s="2" t="s">
        <v>17</v>
      </c>
      <c r="J1912" s="2"/>
      <c r="K1912" s="2" t="s">
        <v>18</v>
      </c>
      <c r="L1912" s="2"/>
    </row>
    <row r="1913">
      <c r="A1913" s="8" t="s">
        <v>2190</v>
      </c>
      <c r="B1913" s="8" t="s">
        <v>2190</v>
      </c>
      <c r="C1913" s="2" t="s">
        <v>1873</v>
      </c>
      <c r="D1913" s="2" t="s">
        <v>1874</v>
      </c>
      <c r="E1913" s="6">
        <v>45999.46729166667</v>
      </c>
      <c r="F1913" s="3" t="s">
        <v>1875</v>
      </c>
      <c r="G1913" s="2" t="s">
        <v>16</v>
      </c>
      <c r="H1913" s="2"/>
      <c r="I1913" s="2" t="s">
        <v>395</v>
      </c>
      <c r="J1913" s="2"/>
      <c r="K1913" s="2" t="s">
        <v>18</v>
      </c>
      <c r="L1913" s="2"/>
    </row>
    <row r="1914">
      <c r="A1914" s="8" t="s">
        <v>2191</v>
      </c>
      <c r="B1914" s="8" t="s">
        <v>2191</v>
      </c>
      <c r="C1914" s="2" t="s">
        <v>1705</v>
      </c>
      <c r="D1914" s="2" t="s">
        <v>1706</v>
      </c>
      <c r="E1914" s="6">
        <v>45999.46765046296</v>
      </c>
      <c r="F1914" s="3" t="s">
        <v>1707</v>
      </c>
      <c r="G1914" s="2" t="s">
        <v>16</v>
      </c>
      <c r="H1914" s="2"/>
      <c r="I1914" s="2" t="s">
        <v>17</v>
      </c>
      <c r="J1914" s="2"/>
      <c r="K1914" s="2" t="s">
        <v>18</v>
      </c>
      <c r="L1914" s="2"/>
    </row>
    <row r="1915">
      <c r="A1915" s="8" t="s">
        <v>2192</v>
      </c>
      <c r="B1915" s="8" t="s">
        <v>2192</v>
      </c>
      <c r="C1915" s="2" t="s">
        <v>943</v>
      </c>
      <c r="D1915" s="2" t="s">
        <v>944</v>
      </c>
      <c r="E1915" s="6">
        <v>45999.46821759259</v>
      </c>
      <c r="F1915" s="3" t="s">
        <v>945</v>
      </c>
      <c r="G1915" s="2" t="s">
        <v>16</v>
      </c>
      <c r="H1915" s="2"/>
      <c r="I1915" s="2" t="s">
        <v>395</v>
      </c>
      <c r="J1915" s="2"/>
      <c r="K1915" s="2" t="s">
        <v>18</v>
      </c>
      <c r="L1915" s="2"/>
    </row>
    <row r="1916">
      <c r="A1916" s="8" t="s">
        <v>2193</v>
      </c>
      <c r="B1916" s="8" t="s">
        <v>2193</v>
      </c>
      <c r="C1916" s="2" t="s">
        <v>1993</v>
      </c>
      <c r="D1916" s="2" t="s">
        <v>1994</v>
      </c>
      <c r="E1916" s="6">
        <v>45999.46865740741</v>
      </c>
      <c r="F1916" s="3" t="s">
        <v>1995</v>
      </c>
      <c r="G1916" s="2" t="s">
        <v>16</v>
      </c>
      <c r="H1916" s="2"/>
      <c r="I1916" s="2" t="s">
        <v>17</v>
      </c>
      <c r="J1916" s="2"/>
      <c r="K1916" s="2" t="s">
        <v>18</v>
      </c>
      <c r="L1916" s="2"/>
    </row>
    <row r="1917">
      <c r="A1917" s="8" t="s">
        <v>2194</v>
      </c>
      <c r="B1917" s="8" t="s">
        <v>2194</v>
      </c>
      <c r="C1917" s="2" t="s">
        <v>1228</v>
      </c>
      <c r="D1917" s="2" t="s">
        <v>1229</v>
      </c>
      <c r="E1917" s="6">
        <v>45999.469618055555</v>
      </c>
      <c r="F1917" s="3" t="s">
        <v>1230</v>
      </c>
      <c r="G1917" s="2" t="s">
        <v>16</v>
      </c>
      <c r="H1917" s="2"/>
      <c r="I1917" s="2" t="s">
        <v>17</v>
      </c>
      <c r="J1917" s="2"/>
      <c r="K1917" s="2" t="s">
        <v>18</v>
      </c>
      <c r="L1917" s="2"/>
    </row>
    <row r="1918">
      <c r="A1918" s="8" t="s">
        <v>2195</v>
      </c>
      <c r="B1918" s="8" t="s">
        <v>2195</v>
      </c>
      <c r="C1918" s="2" t="s">
        <v>2196</v>
      </c>
      <c r="D1918" s="2" t="s">
        <v>2197</v>
      </c>
      <c r="E1918" s="6">
        <v>45999.615902777776</v>
      </c>
      <c r="F1918" s="3" t="s">
        <v>2198</v>
      </c>
      <c r="G1918" s="2" t="s">
        <v>16</v>
      </c>
      <c r="H1918" s="2"/>
      <c r="I1918" s="2" t="s">
        <v>395</v>
      </c>
      <c r="J1918" s="2"/>
      <c r="K1918" s="2" t="s">
        <v>18</v>
      </c>
      <c r="L1918" s="2"/>
    </row>
    <row r="1919">
      <c r="A1919" s="8" t="s">
        <v>2199</v>
      </c>
      <c r="B1919" s="8" t="s">
        <v>2199</v>
      </c>
      <c r="C1919" s="2" t="s">
        <v>1705</v>
      </c>
      <c r="D1919" s="2" t="s">
        <v>1706</v>
      </c>
      <c r="E1919" s="6">
        <v>45999.62225694444</v>
      </c>
      <c r="F1919" s="3" t="s">
        <v>1707</v>
      </c>
      <c r="G1919" s="2" t="s">
        <v>24</v>
      </c>
      <c r="H1919" s="2"/>
      <c r="I1919" s="2"/>
      <c r="J1919" s="2"/>
      <c r="K1919" s="2" t="s">
        <v>18</v>
      </c>
      <c r="L1919" s="2"/>
    </row>
    <row r="1920">
      <c r="A1920" s="8" t="s">
        <v>2200</v>
      </c>
      <c r="B1920" s="8" t="s">
        <v>2200</v>
      </c>
      <c r="C1920" s="2" t="s">
        <v>786</v>
      </c>
      <c r="D1920" s="2" t="s">
        <v>787</v>
      </c>
      <c r="E1920" s="6">
        <v>45999.622569444444</v>
      </c>
      <c r="F1920" s="3" t="s">
        <v>788</v>
      </c>
      <c r="G1920" s="2" t="s">
        <v>24</v>
      </c>
      <c r="H1920" s="2"/>
      <c r="I1920" s="2"/>
      <c r="J1920" s="2"/>
      <c r="K1920" s="2" t="s">
        <v>18</v>
      </c>
      <c r="L1920" s="2"/>
    </row>
    <row r="1921">
      <c r="A1921" s="8" t="s">
        <v>2201</v>
      </c>
      <c r="B1921" s="8" t="s">
        <v>2201</v>
      </c>
      <c r="C1921" s="2" t="s">
        <v>1228</v>
      </c>
      <c r="D1921" s="2" t="s">
        <v>1229</v>
      </c>
      <c r="E1921" s="6">
        <v>45999.681608796294</v>
      </c>
      <c r="F1921" s="3" t="s">
        <v>1230</v>
      </c>
      <c r="G1921" s="2" t="s">
        <v>24</v>
      </c>
      <c r="H1921" s="2"/>
      <c r="I1921" s="2"/>
      <c r="J1921" s="2"/>
      <c r="K1921" s="2" t="s">
        <v>18</v>
      </c>
      <c r="L1921" s="2"/>
    </row>
    <row r="1922">
      <c r="A1922" s="8" t="s">
        <v>2202</v>
      </c>
      <c r="B1922" s="8" t="s">
        <v>2202</v>
      </c>
      <c r="C1922" s="2" t="s">
        <v>943</v>
      </c>
      <c r="D1922" s="2" t="s">
        <v>944</v>
      </c>
      <c r="E1922" s="6">
        <v>46000.354467592595</v>
      </c>
      <c r="F1922" s="3" t="s">
        <v>945</v>
      </c>
      <c r="G1922" s="2" t="s">
        <v>24</v>
      </c>
      <c r="H1922" s="2"/>
      <c r="I1922" s="2"/>
      <c r="J1922" s="2"/>
      <c r="K1922" s="2" t="s">
        <v>18</v>
      </c>
      <c r="L1922" s="2"/>
    </row>
    <row r="1923">
      <c r="A1923" s="8" t="s">
        <v>2203</v>
      </c>
      <c r="B1923" s="8" t="s">
        <v>2203</v>
      </c>
      <c r="C1923" s="2" t="s">
        <v>1993</v>
      </c>
      <c r="D1923" s="2" t="s">
        <v>1994</v>
      </c>
      <c r="E1923" s="6">
        <v>46000.35868055555</v>
      </c>
      <c r="F1923" s="3" t="s">
        <v>1995</v>
      </c>
      <c r="G1923" s="2" t="s">
        <v>24</v>
      </c>
      <c r="H1923" s="2"/>
      <c r="I1923" s="2"/>
      <c r="J1923" s="2"/>
      <c r="K1923" s="2" t="s">
        <v>18</v>
      </c>
      <c r="L1923" s="2"/>
    </row>
    <row r="1924">
      <c r="A1924" s="8" t="s">
        <v>2204</v>
      </c>
      <c r="B1924" s="8" t="s">
        <v>2204</v>
      </c>
      <c r="C1924" s="2" t="s">
        <v>2196</v>
      </c>
      <c r="D1924" s="2" t="s">
        <v>2197</v>
      </c>
      <c r="E1924" s="6">
        <v>45999.46960648148</v>
      </c>
      <c r="F1924" s="3" t="s">
        <v>2198</v>
      </c>
      <c r="G1924" s="2" t="s">
        <v>24</v>
      </c>
      <c r="H1924" s="2"/>
      <c r="I1924" s="2"/>
      <c r="J1924" s="2"/>
      <c r="K1924" s="2" t="s">
        <v>18</v>
      </c>
      <c r="L1924" s="2"/>
    </row>
    <row r="1925">
      <c r="A1925" s="8" t="s">
        <v>2205</v>
      </c>
      <c r="B1925" s="8" t="s">
        <v>2205</v>
      </c>
      <c r="C1925" s="2" t="s">
        <v>169</v>
      </c>
      <c r="D1925" s="2" t="s">
        <v>170</v>
      </c>
      <c r="E1925" s="6">
        <v>46000.39481481481</v>
      </c>
      <c r="F1925" s="3" t="s">
        <v>171</v>
      </c>
      <c r="G1925" s="2" t="s">
        <v>24</v>
      </c>
      <c r="H1925" s="2"/>
      <c r="I1925" s="2"/>
      <c r="J1925" s="2"/>
      <c r="K1925" s="2" t="s">
        <v>18</v>
      </c>
      <c r="L1925" s="2"/>
    </row>
    <row r="1926">
      <c r="A1926" s="8" t="s">
        <v>2206</v>
      </c>
      <c r="B1926" s="8" t="s">
        <v>2206</v>
      </c>
      <c r="C1926" s="2" t="s">
        <v>885</v>
      </c>
      <c r="D1926" s="2" t="s">
        <v>886</v>
      </c>
      <c r="E1926" s="6">
        <v>46000.409317129626</v>
      </c>
      <c r="F1926" s="3" t="s">
        <v>887</v>
      </c>
      <c r="G1926" s="2" t="s">
        <v>16</v>
      </c>
      <c r="H1926" s="2"/>
      <c r="I1926" s="2" t="s">
        <v>17</v>
      </c>
      <c r="J1926" s="2"/>
      <c r="K1926" s="2" t="s">
        <v>18</v>
      </c>
      <c r="L1926" s="2"/>
    </row>
    <row r="1927">
      <c r="A1927" s="8" t="s">
        <v>2207</v>
      </c>
      <c r="B1927" s="8" t="s">
        <v>2207</v>
      </c>
      <c r="C1927" s="2" t="s">
        <v>109</v>
      </c>
      <c r="D1927" s="2" t="s">
        <v>110</v>
      </c>
      <c r="E1927" s="6">
        <v>46000.40974537037</v>
      </c>
      <c r="F1927" s="3" t="s">
        <v>111</v>
      </c>
      <c r="G1927" s="2" t="s">
        <v>16</v>
      </c>
      <c r="H1927" s="2"/>
      <c r="I1927" s="2" t="s">
        <v>17</v>
      </c>
      <c r="J1927" s="2"/>
      <c r="K1927" s="2" t="s">
        <v>18</v>
      </c>
      <c r="L1927" s="2"/>
    </row>
    <row r="1928">
      <c r="A1928" s="8" t="s">
        <v>2208</v>
      </c>
      <c r="B1928" s="8" t="s">
        <v>2208</v>
      </c>
      <c r="C1928" s="2" t="s">
        <v>45</v>
      </c>
      <c r="D1928" s="2" t="s">
        <v>46</v>
      </c>
      <c r="E1928" s="6">
        <v>46000.458391203705</v>
      </c>
      <c r="F1928" s="3" t="s">
        <v>47</v>
      </c>
      <c r="G1928" s="2" t="s">
        <v>16</v>
      </c>
      <c r="H1928" s="2"/>
      <c r="I1928" s="2" t="s">
        <v>17</v>
      </c>
      <c r="J1928" s="2"/>
      <c r="K1928" s="2" t="s">
        <v>18</v>
      </c>
      <c r="L1928" s="2"/>
    </row>
    <row r="1929">
      <c r="A1929" s="8" t="s">
        <v>2209</v>
      </c>
      <c r="B1929" s="8" t="s">
        <v>2209</v>
      </c>
      <c r="C1929" s="2" t="s">
        <v>326</v>
      </c>
      <c r="D1929" s="2" t="s">
        <v>327</v>
      </c>
      <c r="E1929" s="6">
        <v>46001.34027777778</v>
      </c>
      <c r="F1929" s="3" t="s">
        <v>328</v>
      </c>
      <c r="G1929" s="2" t="s">
        <v>16</v>
      </c>
      <c r="H1929" s="2"/>
      <c r="I1929" s="2" t="s">
        <v>395</v>
      </c>
      <c r="J1929" s="2"/>
      <c r="K1929" s="2" t="s">
        <v>18</v>
      </c>
      <c r="L1929" s="2"/>
    </row>
    <row r="1930">
      <c r="A1930" s="8" t="s">
        <v>2210</v>
      </c>
      <c r="B1930" s="8" t="s">
        <v>2210</v>
      </c>
      <c r="C1930" s="2" t="s">
        <v>1618</v>
      </c>
      <c r="D1930" s="2" t="s">
        <v>1619</v>
      </c>
      <c r="E1930" s="6">
        <v>46000.53853009259</v>
      </c>
      <c r="F1930" s="3" t="s">
        <v>1620</v>
      </c>
      <c r="G1930" s="2" t="s">
        <v>16</v>
      </c>
      <c r="H1930" s="2"/>
      <c r="I1930" s="2" t="s">
        <v>17</v>
      </c>
      <c r="J1930" s="2"/>
      <c r="K1930" s="2" t="s">
        <v>18</v>
      </c>
      <c r="L1930" s="2"/>
    </row>
    <row r="1931">
      <c r="A1931" s="8" t="s">
        <v>2211</v>
      </c>
      <c r="B1931" s="8" t="s">
        <v>2211</v>
      </c>
      <c r="C1931" s="2" t="s">
        <v>1311</v>
      </c>
      <c r="D1931" s="2" t="s">
        <v>1010</v>
      </c>
      <c r="E1931" s="6">
        <v>46000.54605324074</v>
      </c>
      <c r="F1931" s="3" t="s">
        <v>1312</v>
      </c>
      <c r="G1931" s="2" t="s">
        <v>16</v>
      </c>
      <c r="H1931" s="2"/>
      <c r="I1931" s="2" t="s">
        <v>395</v>
      </c>
      <c r="J1931" s="2"/>
      <c r="K1931" s="2" t="s">
        <v>18</v>
      </c>
      <c r="L1931" s="2"/>
    </row>
    <row r="1932">
      <c r="A1932" s="8" t="s">
        <v>2212</v>
      </c>
      <c r="B1932" s="8" t="s">
        <v>2212</v>
      </c>
      <c r="C1932" s="2" t="s">
        <v>786</v>
      </c>
      <c r="D1932" s="2" t="s">
        <v>787</v>
      </c>
      <c r="E1932" s="6">
        <v>46000.56899305555</v>
      </c>
      <c r="F1932" s="3" t="s">
        <v>788</v>
      </c>
      <c r="G1932" s="2" t="s">
        <v>24</v>
      </c>
      <c r="H1932" s="2"/>
      <c r="I1932" s="2"/>
      <c r="J1932" s="2"/>
      <c r="K1932" s="2" t="s">
        <v>18</v>
      </c>
      <c r="L1932" s="2"/>
    </row>
    <row r="1933">
      <c r="A1933" s="8" t="s">
        <v>2213</v>
      </c>
      <c r="B1933" s="8" t="s">
        <v>2213</v>
      </c>
      <c r="C1933" s="2" t="s">
        <v>1618</v>
      </c>
      <c r="D1933" s="2" t="s">
        <v>1619</v>
      </c>
      <c r="E1933" s="6">
        <v>46000.61530092593</v>
      </c>
      <c r="F1933" s="3" t="s">
        <v>1620</v>
      </c>
      <c r="G1933" s="2" t="s">
        <v>24</v>
      </c>
      <c r="H1933" s="2"/>
      <c r="I1933" s="2"/>
      <c r="J1933" s="2"/>
      <c r="K1933" s="2" t="s">
        <v>18</v>
      </c>
      <c r="L1933" s="2"/>
    </row>
    <row r="1934">
      <c r="A1934" s="8" t="s">
        <v>2214</v>
      </c>
      <c r="B1934" s="8" t="s">
        <v>2214</v>
      </c>
      <c r="C1934" s="2" t="s">
        <v>2131</v>
      </c>
      <c r="D1934" s="2" t="s">
        <v>2171</v>
      </c>
      <c r="E1934" s="6">
        <v>46001.34027777778</v>
      </c>
      <c r="F1934" s="3" t="s">
        <v>2172</v>
      </c>
      <c r="G1934" s="2" t="s">
        <v>16</v>
      </c>
      <c r="H1934" s="2"/>
      <c r="I1934" s="2" t="s">
        <v>17</v>
      </c>
      <c r="J1934" s="2"/>
      <c r="K1934" s="2" t="s">
        <v>18</v>
      </c>
      <c r="L1934" s="2"/>
    </row>
    <row r="1935">
      <c r="A1935" s="8" t="s">
        <v>2215</v>
      </c>
      <c r="B1935" s="8" t="s">
        <v>2215</v>
      </c>
      <c r="C1935" s="2" t="s">
        <v>45</v>
      </c>
      <c r="D1935" s="2" t="s">
        <v>46</v>
      </c>
      <c r="E1935" s="6">
        <v>46000.70586805556</v>
      </c>
      <c r="F1935" s="3" t="s">
        <v>47</v>
      </c>
      <c r="G1935" s="2" t="s">
        <v>24</v>
      </c>
      <c r="H1935" s="2"/>
      <c r="I1935" s="2"/>
      <c r="J1935" s="2"/>
      <c r="K1935" s="2" t="s">
        <v>18</v>
      </c>
      <c r="L1935" s="2"/>
    </row>
    <row r="1936">
      <c r="A1936" s="8" t="s">
        <v>2216</v>
      </c>
      <c r="B1936" s="8" t="s">
        <v>2216</v>
      </c>
      <c r="C1936" s="2" t="s">
        <v>2217</v>
      </c>
      <c r="D1936" s="2" t="s">
        <v>2218</v>
      </c>
      <c r="E1936" s="6">
        <v>46001.46277777778</v>
      </c>
      <c r="F1936" s="3" t="s">
        <v>2219</v>
      </c>
      <c r="G1936" s="2" t="s">
        <v>16</v>
      </c>
      <c r="H1936" s="2"/>
      <c r="I1936" s="2" t="s">
        <v>17</v>
      </c>
      <c r="J1936" s="2"/>
      <c r="K1936" s="2" t="s">
        <v>18</v>
      </c>
      <c r="L1936" s="2"/>
    </row>
    <row r="1937">
      <c r="A1937" s="8" t="s">
        <v>2220</v>
      </c>
      <c r="B1937" s="8" t="s">
        <v>2220</v>
      </c>
      <c r="C1937" s="2" t="s">
        <v>326</v>
      </c>
      <c r="D1937" s="2" t="s">
        <v>327</v>
      </c>
      <c r="E1937" s="6">
        <v>46001.50571759259</v>
      </c>
      <c r="F1937" s="3" t="s">
        <v>328</v>
      </c>
      <c r="G1937" s="2" t="s">
        <v>24</v>
      </c>
      <c r="H1937" s="2"/>
      <c r="I1937" s="2"/>
      <c r="J1937" s="2"/>
      <c r="K1937" s="2" t="s">
        <v>18</v>
      </c>
      <c r="L1937" s="2"/>
    </row>
    <row r="1938">
      <c r="A1938" s="8" t="s">
        <v>2221</v>
      </c>
      <c r="B1938" s="8" t="s">
        <v>2221</v>
      </c>
      <c r="C1938" s="2" t="s">
        <v>2131</v>
      </c>
      <c r="D1938" s="2" t="s">
        <v>2132</v>
      </c>
      <c r="E1938" s="6">
        <v>46001.620208333334</v>
      </c>
      <c r="F1938" s="3" t="s">
        <v>2172</v>
      </c>
      <c r="G1938" s="2" t="s">
        <v>24</v>
      </c>
      <c r="H1938" s="2"/>
      <c r="I1938" s="2"/>
      <c r="J1938" s="2"/>
      <c r="K1938" s="2" t="s">
        <v>18</v>
      </c>
      <c r="L1938" s="2"/>
    </row>
    <row r="1939">
      <c r="A1939" s="8" t="s">
        <v>2222</v>
      </c>
      <c r="B1939" s="8" t="s">
        <v>2222</v>
      </c>
      <c r="C1939" s="2" t="s">
        <v>1975</v>
      </c>
      <c r="D1939" s="2" t="s">
        <v>1976</v>
      </c>
      <c r="E1939" s="6">
        <v>46001.62689814815</v>
      </c>
      <c r="F1939" s="3" t="s">
        <v>1977</v>
      </c>
      <c r="G1939" s="2" t="s">
        <v>16</v>
      </c>
      <c r="H1939" s="2"/>
      <c r="I1939" s="2" t="s">
        <v>17</v>
      </c>
      <c r="J1939" s="2"/>
      <c r="K1939" s="2" t="s">
        <v>18</v>
      </c>
      <c r="L1939" s="2"/>
    </row>
    <row r="1940">
      <c r="A1940" s="8" t="s">
        <v>2223</v>
      </c>
      <c r="B1940" s="8" t="s">
        <v>2223</v>
      </c>
      <c r="C1940" s="2" t="s">
        <v>786</v>
      </c>
      <c r="D1940" s="2" t="s">
        <v>787</v>
      </c>
      <c r="E1940" s="6">
        <v>46001.627430555556</v>
      </c>
      <c r="F1940" s="3" t="s">
        <v>788</v>
      </c>
      <c r="G1940" s="2" t="s">
        <v>16</v>
      </c>
      <c r="H1940" s="2"/>
      <c r="I1940" s="2" t="s">
        <v>17</v>
      </c>
      <c r="J1940" s="2"/>
      <c r="K1940" s="2" t="s">
        <v>18</v>
      </c>
      <c r="L1940" s="2"/>
    </row>
    <row r="1941">
      <c r="A1941" s="8" t="s">
        <v>2224</v>
      </c>
      <c r="B1941" s="8" t="s">
        <v>2224</v>
      </c>
      <c r="C1941" s="2" t="s">
        <v>1904</v>
      </c>
      <c r="D1941" s="2" t="s">
        <v>1905</v>
      </c>
      <c r="E1941" s="6">
        <v>46001.63265046296</v>
      </c>
      <c r="F1941" s="3" t="s">
        <v>1906</v>
      </c>
      <c r="G1941" s="2" t="s">
        <v>16</v>
      </c>
      <c r="H1941" s="2"/>
      <c r="I1941" s="2" t="s">
        <v>17</v>
      </c>
      <c r="J1941" s="2"/>
      <c r="K1941" s="2" t="s">
        <v>18</v>
      </c>
      <c r="L1941" s="2"/>
    </row>
    <row r="1942">
      <c r="A1942" s="8" t="s">
        <v>2225</v>
      </c>
      <c r="B1942" s="8" t="s">
        <v>2225</v>
      </c>
      <c r="C1942" s="2" t="s">
        <v>951</v>
      </c>
      <c r="D1942" s="2" t="s">
        <v>952</v>
      </c>
      <c r="E1942" s="6">
        <v>46001.6346875</v>
      </c>
      <c r="F1942" s="3" t="s">
        <v>953</v>
      </c>
      <c r="G1942" s="2" t="s">
        <v>16</v>
      </c>
      <c r="H1942" s="2"/>
      <c r="I1942" s="2" t="s">
        <v>17</v>
      </c>
      <c r="J1942" s="2"/>
      <c r="K1942" s="2" t="s">
        <v>18</v>
      </c>
      <c r="L1942" s="2"/>
    </row>
    <row r="1943">
      <c r="A1943" s="8" t="s">
        <v>2226</v>
      </c>
      <c r="B1943" s="8" t="s">
        <v>2226</v>
      </c>
      <c r="C1943" s="2" t="s">
        <v>2005</v>
      </c>
      <c r="D1943" s="2" t="s">
        <v>2006</v>
      </c>
      <c r="E1943" s="6">
        <v>46001.647986111115</v>
      </c>
      <c r="F1943" s="3" t="s">
        <v>2007</v>
      </c>
      <c r="G1943" s="2" t="s">
        <v>16</v>
      </c>
      <c r="H1943" s="2"/>
      <c r="I1943" s="2" t="s">
        <v>17</v>
      </c>
      <c r="J1943" s="2"/>
      <c r="K1943" s="2" t="s">
        <v>18</v>
      </c>
      <c r="L1943" s="2"/>
    </row>
    <row r="1944">
      <c r="A1944" s="8" t="s">
        <v>2227</v>
      </c>
      <c r="B1944" s="8" t="s">
        <v>2227</v>
      </c>
      <c r="C1944" s="2" t="s">
        <v>786</v>
      </c>
      <c r="D1944" s="2" t="s">
        <v>787</v>
      </c>
      <c r="E1944" s="6">
        <v>46002.36263888889</v>
      </c>
      <c r="F1944" s="3" t="s">
        <v>788</v>
      </c>
      <c r="G1944" s="2" t="s">
        <v>24</v>
      </c>
      <c r="H1944" s="2"/>
      <c r="I1944" s="2"/>
      <c r="J1944" s="2"/>
      <c r="K1944" s="2" t="s">
        <v>18</v>
      </c>
      <c r="L1944" s="2"/>
    </row>
    <row r="1945">
      <c r="A1945" s="8" t="s">
        <v>2228</v>
      </c>
      <c r="B1945" s="8" t="s">
        <v>2228</v>
      </c>
      <c r="C1945" s="2" t="s">
        <v>1975</v>
      </c>
      <c r="D1945" s="2" t="s">
        <v>1976</v>
      </c>
      <c r="E1945" s="6">
        <v>46002.363275462965</v>
      </c>
      <c r="F1945" s="3" t="s">
        <v>1977</v>
      </c>
      <c r="G1945" s="2" t="s">
        <v>24</v>
      </c>
      <c r="H1945" s="2"/>
      <c r="I1945" s="2"/>
      <c r="J1945" s="2"/>
      <c r="K1945" s="2" t="s">
        <v>18</v>
      </c>
      <c r="L1945" s="2"/>
    </row>
    <row r="1946">
      <c r="A1946" s="8" t="s">
        <v>2229</v>
      </c>
      <c r="B1946" s="8" t="s">
        <v>2229</v>
      </c>
      <c r="C1946" s="2" t="s">
        <v>49</v>
      </c>
      <c r="D1946" s="2" t="s">
        <v>50</v>
      </c>
      <c r="E1946" s="6">
        <v>46002.368576388886</v>
      </c>
      <c r="F1946" s="3" t="s">
        <v>51</v>
      </c>
      <c r="G1946" s="2" t="s">
        <v>16</v>
      </c>
      <c r="H1946" s="2"/>
      <c r="I1946" s="2" t="s">
        <v>395</v>
      </c>
      <c r="J1946" s="2"/>
      <c r="K1946" s="2" t="s">
        <v>18</v>
      </c>
      <c r="L1946" s="2"/>
    </row>
    <row r="1947">
      <c r="A1947" s="8" t="s">
        <v>2230</v>
      </c>
      <c r="B1947" s="8" t="s">
        <v>2230</v>
      </c>
      <c r="C1947" s="2" t="s">
        <v>131</v>
      </c>
      <c r="D1947" s="2" t="s">
        <v>132</v>
      </c>
      <c r="E1947" s="6">
        <v>46002.38863425926</v>
      </c>
      <c r="F1947" s="3" t="s">
        <v>133</v>
      </c>
      <c r="G1947" s="2" t="s">
        <v>16</v>
      </c>
      <c r="H1947" s="2"/>
      <c r="I1947" s="2" t="s">
        <v>17</v>
      </c>
      <c r="J1947" s="2"/>
      <c r="K1947" s="2" t="s">
        <v>18</v>
      </c>
      <c r="L1947" s="2"/>
    </row>
    <row r="1948">
      <c r="A1948" s="8" t="s">
        <v>2231</v>
      </c>
      <c r="B1948" s="8" t="s">
        <v>2231</v>
      </c>
      <c r="C1948" s="2" t="s">
        <v>1963</v>
      </c>
      <c r="D1948" s="2" t="s">
        <v>1964</v>
      </c>
      <c r="E1948" s="6">
        <v>46002.47635416667</v>
      </c>
      <c r="F1948" s="3" t="s">
        <v>1965</v>
      </c>
      <c r="G1948" s="2" t="s">
        <v>24</v>
      </c>
      <c r="H1948" s="2"/>
      <c r="I1948" s="2"/>
      <c r="J1948" s="2"/>
      <c r="K1948" s="2" t="s">
        <v>18</v>
      </c>
      <c r="L1948" s="2"/>
    </row>
    <row r="1949">
      <c r="A1949" s="8" t="s">
        <v>2232</v>
      </c>
      <c r="B1949" s="8" t="s">
        <v>2232</v>
      </c>
      <c r="C1949" s="2" t="s">
        <v>951</v>
      </c>
      <c r="D1949" s="2" t="s">
        <v>952</v>
      </c>
      <c r="E1949" s="6">
        <v>46002.47692129629</v>
      </c>
      <c r="F1949" s="3" t="s">
        <v>953</v>
      </c>
      <c r="G1949" s="2" t="s">
        <v>24</v>
      </c>
      <c r="H1949" s="2"/>
      <c r="I1949" s="2"/>
      <c r="J1949" s="2"/>
      <c r="K1949" s="2" t="s">
        <v>18</v>
      </c>
      <c r="L1949" s="2"/>
    </row>
    <row r="1950">
      <c r="A1950" s="8" t="s">
        <v>2233</v>
      </c>
      <c r="B1950" s="8" t="s">
        <v>2233</v>
      </c>
      <c r="C1950" s="2" t="s">
        <v>131</v>
      </c>
      <c r="D1950" s="2" t="s">
        <v>132</v>
      </c>
      <c r="E1950" s="6">
        <v>46002.47813657407</v>
      </c>
      <c r="F1950" s="3" t="s">
        <v>133</v>
      </c>
      <c r="G1950" s="2" t="s">
        <v>24</v>
      </c>
      <c r="H1950" s="2"/>
      <c r="I1950" s="2"/>
      <c r="J1950" s="2"/>
      <c r="K1950" s="2" t="s">
        <v>18</v>
      </c>
      <c r="L1950" s="2"/>
    </row>
    <row r="1951">
      <c r="A1951" s="8" t="s">
        <v>2234</v>
      </c>
      <c r="B1951" s="8" t="s">
        <v>2234</v>
      </c>
      <c r="C1951" s="2" t="s">
        <v>2005</v>
      </c>
      <c r="D1951" s="2" t="s">
        <v>2006</v>
      </c>
      <c r="E1951" s="6">
        <v>46002.47896990741</v>
      </c>
      <c r="F1951" s="3" t="s">
        <v>2007</v>
      </c>
      <c r="G1951" s="2" t="s">
        <v>24</v>
      </c>
      <c r="H1951" s="2"/>
      <c r="I1951" s="2"/>
      <c r="J1951" s="2"/>
      <c r="K1951" s="2" t="s">
        <v>18</v>
      </c>
      <c r="L1951" s="2"/>
    </row>
    <row r="1952">
      <c r="A1952" s="8" t="s">
        <v>2235</v>
      </c>
      <c r="B1952" s="8" t="s">
        <v>2235</v>
      </c>
      <c r="C1952" s="2" t="s">
        <v>1904</v>
      </c>
      <c r="D1952" s="2" t="s">
        <v>1905</v>
      </c>
      <c r="E1952" s="6">
        <v>46002.482303240744</v>
      </c>
      <c r="F1952" s="3" t="s">
        <v>1906</v>
      </c>
      <c r="G1952" s="2" t="s">
        <v>24</v>
      </c>
      <c r="H1952" s="2"/>
      <c r="I1952" s="2"/>
      <c r="J1952" s="2"/>
      <c r="K1952" s="2" t="s">
        <v>18</v>
      </c>
      <c r="L1952" s="2"/>
    </row>
    <row r="1953">
      <c r="A1953" s="8" t="s">
        <v>2236</v>
      </c>
      <c r="B1953" s="8" t="s">
        <v>2236</v>
      </c>
      <c r="C1953" s="2" t="s">
        <v>1993</v>
      </c>
      <c r="D1953" s="2" t="s">
        <v>1994</v>
      </c>
      <c r="E1953" s="6">
        <v>46002.48363425926</v>
      </c>
      <c r="F1953" s="3" t="s">
        <v>1995</v>
      </c>
      <c r="G1953" s="2" t="s">
        <v>24</v>
      </c>
      <c r="H1953" s="2"/>
      <c r="I1953" s="2"/>
      <c r="J1953" s="2"/>
      <c r="K1953" s="2" t="s">
        <v>18</v>
      </c>
      <c r="L1953" s="2"/>
    </row>
    <row r="1954">
      <c r="A1954" s="8" t="s">
        <v>2237</v>
      </c>
      <c r="B1954" s="8" t="s">
        <v>2237</v>
      </c>
      <c r="C1954" s="2" t="s">
        <v>2131</v>
      </c>
      <c r="D1954" s="2" t="s">
        <v>2171</v>
      </c>
      <c r="E1954" s="6">
        <v>46002.67917824074</v>
      </c>
      <c r="F1954" s="3" t="s">
        <v>2172</v>
      </c>
      <c r="G1954" s="2" t="s">
        <v>16</v>
      </c>
      <c r="H1954" s="2"/>
      <c r="I1954" s="2" t="s">
        <v>17</v>
      </c>
      <c r="J1954" s="2"/>
      <c r="K1954" s="2" t="s">
        <v>18</v>
      </c>
      <c r="L1954" s="2"/>
    </row>
    <row r="1955">
      <c r="A1955" s="8" t="s">
        <v>2238</v>
      </c>
      <c r="B1955" s="8" t="s">
        <v>2238</v>
      </c>
      <c r="C1955" s="2" t="s">
        <v>951</v>
      </c>
      <c r="D1955" s="2" t="s">
        <v>952</v>
      </c>
      <c r="E1955" s="6">
        <v>46002.689409722225</v>
      </c>
      <c r="F1955" s="3" t="s">
        <v>953</v>
      </c>
      <c r="G1955" s="2" t="s">
        <v>16</v>
      </c>
      <c r="H1955" s="2"/>
      <c r="I1955" s="2" t="s">
        <v>17</v>
      </c>
      <c r="J1955" s="2"/>
      <c r="K1955" s="2" t="s">
        <v>18</v>
      </c>
      <c r="L1955" s="2"/>
    </row>
    <row r="1956">
      <c r="A1956" s="8" t="s">
        <v>2239</v>
      </c>
      <c r="B1956" s="8" t="s">
        <v>2239</v>
      </c>
      <c r="C1956" s="2" t="s">
        <v>951</v>
      </c>
      <c r="D1956" s="2" t="s">
        <v>952</v>
      </c>
      <c r="E1956" s="6">
        <v>46003.3496875</v>
      </c>
      <c r="F1956" s="3" t="s">
        <v>953</v>
      </c>
      <c r="G1956" s="2" t="s">
        <v>24</v>
      </c>
      <c r="H1956" s="2"/>
      <c r="I1956" s="2"/>
      <c r="J1956" s="2"/>
      <c r="K1956" s="2" t="s">
        <v>18</v>
      </c>
      <c r="L1956" s="2"/>
    </row>
    <row r="1957">
      <c r="A1957" s="8" t="s">
        <v>2240</v>
      </c>
      <c r="B1957" s="8" t="s">
        <v>2240</v>
      </c>
      <c r="C1957" s="2" t="s">
        <v>1084</v>
      </c>
      <c r="D1957" s="2" t="s">
        <v>1085</v>
      </c>
      <c r="E1957" s="6">
        <v>46003.35018518518</v>
      </c>
      <c r="F1957" s="3" t="s">
        <v>1086</v>
      </c>
      <c r="G1957" s="2" t="s">
        <v>24</v>
      </c>
      <c r="H1957" s="2"/>
      <c r="I1957" s="2"/>
      <c r="J1957" s="2"/>
      <c r="K1957" s="2" t="s">
        <v>18</v>
      </c>
      <c r="L1957" s="2"/>
    </row>
    <row r="1958">
      <c r="A1958" s="8" t="s">
        <v>2241</v>
      </c>
      <c r="B1958" s="8" t="s">
        <v>2241</v>
      </c>
      <c r="C1958" s="2" t="s">
        <v>45</v>
      </c>
      <c r="D1958" s="2" t="s">
        <v>46</v>
      </c>
      <c r="E1958" s="6">
        <v>46003.36601851852</v>
      </c>
      <c r="F1958" s="3" t="s">
        <v>47</v>
      </c>
      <c r="G1958" s="2" t="s">
        <v>16</v>
      </c>
      <c r="H1958" s="2"/>
      <c r="I1958" s="2" t="s">
        <v>17</v>
      </c>
      <c r="J1958" s="2"/>
      <c r="K1958" s="2" t="s">
        <v>18</v>
      </c>
      <c r="L1958" s="2"/>
    </row>
    <row r="1959">
      <c r="A1959" s="8" t="s">
        <v>2242</v>
      </c>
      <c r="B1959" s="8" t="s">
        <v>2242</v>
      </c>
      <c r="C1959" s="2" t="s">
        <v>943</v>
      </c>
      <c r="D1959" s="2" t="s">
        <v>944</v>
      </c>
      <c r="E1959" s="6">
        <v>46003.36959490741</v>
      </c>
      <c r="F1959" s="3" t="s">
        <v>945</v>
      </c>
      <c r="G1959" s="2" t="s">
        <v>16</v>
      </c>
      <c r="H1959" s="2"/>
      <c r="I1959" s="2" t="s">
        <v>395</v>
      </c>
      <c r="J1959" s="2"/>
      <c r="K1959" s="2" t="s">
        <v>18</v>
      </c>
      <c r="L1959" s="2"/>
    </row>
    <row r="1960">
      <c r="A1960" s="8" t="s">
        <v>2243</v>
      </c>
      <c r="B1960" s="8" t="s">
        <v>2243</v>
      </c>
      <c r="C1960" s="2" t="s">
        <v>1228</v>
      </c>
      <c r="D1960" s="2" t="s">
        <v>1229</v>
      </c>
      <c r="E1960" s="6">
        <v>46003.5030787037</v>
      </c>
      <c r="F1960" s="3" t="s">
        <v>1230</v>
      </c>
      <c r="G1960" s="2" t="s">
        <v>24</v>
      </c>
      <c r="H1960" s="2"/>
      <c r="I1960" s="2"/>
      <c r="J1960" s="2"/>
      <c r="K1960" s="2" t="s">
        <v>18</v>
      </c>
      <c r="L1960" s="2"/>
    </row>
    <row r="1961">
      <c r="A1961" s="8" t="s">
        <v>2244</v>
      </c>
      <c r="B1961" s="8" t="s">
        <v>2244</v>
      </c>
      <c r="C1961" s="2" t="s">
        <v>786</v>
      </c>
      <c r="D1961" s="2" t="s">
        <v>787</v>
      </c>
      <c r="E1961" s="6">
        <v>46003.5471875</v>
      </c>
      <c r="F1961" s="3" t="s">
        <v>788</v>
      </c>
      <c r="G1961" s="2" t="s">
        <v>16</v>
      </c>
      <c r="H1961" s="2"/>
      <c r="I1961" s="2" t="s">
        <v>17</v>
      </c>
      <c r="J1961" s="2"/>
      <c r="K1961" s="2" t="s">
        <v>18</v>
      </c>
      <c r="L1961" s="2"/>
    </row>
    <row r="1962">
      <c r="A1962" s="8" t="s">
        <v>2245</v>
      </c>
      <c r="B1962" s="8" t="s">
        <v>2245</v>
      </c>
      <c r="C1962" s="2" t="s">
        <v>2131</v>
      </c>
      <c r="D1962" s="2" t="s">
        <v>2171</v>
      </c>
      <c r="E1962" s="6">
        <v>46003.55142361111</v>
      </c>
      <c r="F1962" s="3" t="s">
        <v>2172</v>
      </c>
      <c r="G1962" s="2" t="s">
        <v>24</v>
      </c>
      <c r="H1962" s="2"/>
      <c r="I1962" s="2"/>
      <c r="J1962" s="2"/>
      <c r="K1962" s="2" t="s">
        <v>18</v>
      </c>
      <c r="L1962" s="2"/>
    </row>
    <row r="1963">
      <c r="A1963" s="8" t="s">
        <v>2246</v>
      </c>
      <c r="B1963" s="8" t="s">
        <v>2246</v>
      </c>
      <c r="C1963" s="2" t="s">
        <v>2131</v>
      </c>
      <c r="D1963" s="2" t="s">
        <v>2171</v>
      </c>
      <c r="E1963" s="6">
        <v>46003.66237268518</v>
      </c>
      <c r="F1963" s="3" t="s">
        <v>2172</v>
      </c>
      <c r="G1963" s="2" t="s">
        <v>16</v>
      </c>
      <c r="H1963" s="2"/>
      <c r="I1963" s="2" t="s">
        <v>17</v>
      </c>
      <c r="J1963" s="2"/>
      <c r="K1963" s="2" t="s">
        <v>18</v>
      </c>
      <c r="L1963" s="2"/>
    </row>
    <row r="1964">
      <c r="A1964" s="8" t="s">
        <v>2247</v>
      </c>
      <c r="B1964" s="8" t="s">
        <v>2247</v>
      </c>
      <c r="C1964" s="2" t="s">
        <v>320</v>
      </c>
      <c r="D1964" s="2" t="s">
        <v>321</v>
      </c>
      <c r="E1964" s="6">
        <v>46003.66371527778</v>
      </c>
      <c r="F1964" s="3" t="s">
        <v>322</v>
      </c>
      <c r="G1964" s="2" t="s">
        <v>16</v>
      </c>
      <c r="H1964" s="2"/>
      <c r="I1964" s="2" t="s">
        <v>17</v>
      </c>
      <c r="J1964" s="2"/>
      <c r="K1964" s="2" t="s">
        <v>18</v>
      </c>
      <c r="L1964" s="2"/>
    </row>
    <row r="1965">
      <c r="A1965" s="1"/>
      <c r="B1965" s="1"/>
      <c r="C1965" s="2"/>
      <c r="D1965" s="2"/>
      <c r="E1965" s="6"/>
      <c r="F1965" s="3"/>
      <c r="G1965" s="2"/>
      <c r="H1965" s="2"/>
      <c r="I1965" s="2"/>
      <c r="J1965" s="2"/>
      <c r="K1965" s="2"/>
      <c r="L1965" s="2"/>
    </row>
    <row r="1966">
      <c r="A1966" s="8" t="s">
        <v>2248</v>
      </c>
      <c r="B1966" s="8" t="s">
        <v>2248</v>
      </c>
      <c r="C1966" s="2" t="s">
        <v>1371</v>
      </c>
      <c r="D1966" s="2" t="s">
        <v>1372</v>
      </c>
      <c r="E1966" s="6">
        <v>46004.35697916667</v>
      </c>
      <c r="F1966" s="3" t="s">
        <v>1373</v>
      </c>
      <c r="G1966" s="2" t="s">
        <v>16</v>
      </c>
      <c r="H1966" s="2"/>
      <c r="I1966" s="2" t="s">
        <v>395</v>
      </c>
      <c r="J1966" s="2"/>
      <c r="K1966" s="2" t="s">
        <v>18</v>
      </c>
      <c r="L1966" s="2"/>
    </row>
    <row r="1967">
      <c r="A1967" s="8" t="s">
        <v>2249</v>
      </c>
      <c r="B1967" s="8" t="s">
        <v>2249</v>
      </c>
      <c r="C1967" s="2" t="s">
        <v>786</v>
      </c>
      <c r="D1967" s="2" t="s">
        <v>787</v>
      </c>
      <c r="E1967" s="6">
        <v>46004.365266203706</v>
      </c>
      <c r="F1967" s="3" t="s">
        <v>788</v>
      </c>
      <c r="G1967" s="2" t="s">
        <v>24</v>
      </c>
      <c r="H1967" s="2"/>
      <c r="I1967" s="2"/>
      <c r="J1967" s="2"/>
      <c r="K1967" s="2" t="s">
        <v>18</v>
      </c>
      <c r="L1967" s="2"/>
    </row>
    <row r="1968">
      <c r="A1968" s="8" t="s">
        <v>2250</v>
      </c>
      <c r="B1968" s="8" t="s">
        <v>2250</v>
      </c>
      <c r="C1968" s="2" t="s">
        <v>2081</v>
      </c>
      <c r="D1968" s="2" t="s">
        <v>2082</v>
      </c>
      <c r="E1968" s="6">
        <v>46004.438472222224</v>
      </c>
      <c r="F1968" s="3" t="s">
        <v>2083</v>
      </c>
      <c r="G1968" s="2" t="s">
        <v>16</v>
      </c>
      <c r="H1968" s="2"/>
      <c r="I1968" s="2" t="s">
        <v>17</v>
      </c>
      <c r="J1968" s="2"/>
      <c r="K1968" s="2" t="s">
        <v>18</v>
      </c>
      <c r="L1968" s="2"/>
    </row>
    <row r="1969">
      <c r="A1969" s="8" t="s">
        <v>2251</v>
      </c>
      <c r="B1969" s="8" t="s">
        <v>2251</v>
      </c>
      <c r="C1969" s="2" t="s">
        <v>786</v>
      </c>
      <c r="D1969" s="2" t="s">
        <v>787</v>
      </c>
      <c r="E1969" s="6">
        <v>46004.44587962963</v>
      </c>
      <c r="F1969" s="3" t="s">
        <v>788</v>
      </c>
      <c r="G1969" s="2" t="s">
        <v>16</v>
      </c>
      <c r="H1969" s="2"/>
      <c r="I1969" s="2" t="s">
        <v>17</v>
      </c>
      <c r="J1969" s="2"/>
      <c r="K1969" s="2" t="s">
        <v>18</v>
      </c>
      <c r="L1969" s="2"/>
    </row>
    <row r="1970">
      <c r="A1970" s="8" t="s">
        <v>2252</v>
      </c>
      <c r="B1970" s="8" t="s">
        <v>2252</v>
      </c>
      <c r="C1970" s="2" t="s">
        <v>2131</v>
      </c>
      <c r="D1970" s="2" t="s">
        <v>2171</v>
      </c>
      <c r="E1970" s="6">
        <v>46004.44967592593</v>
      </c>
      <c r="F1970" s="3" t="s">
        <v>2172</v>
      </c>
      <c r="G1970" s="2" t="s">
        <v>24</v>
      </c>
      <c r="H1970" s="2"/>
      <c r="I1970" s="2"/>
      <c r="J1970" s="2"/>
      <c r="K1970" s="2" t="s">
        <v>18</v>
      </c>
      <c r="L1970" s="2"/>
    </row>
    <row r="1971">
      <c r="A1971" s="8" t="s">
        <v>2253</v>
      </c>
      <c r="B1971" s="8" t="s">
        <v>2253</v>
      </c>
      <c r="C1971" s="2" t="s">
        <v>904</v>
      </c>
      <c r="D1971" s="2" t="s">
        <v>905</v>
      </c>
      <c r="E1971" s="6">
        <v>46004.45903935185</v>
      </c>
      <c r="F1971" s="3" t="s">
        <v>906</v>
      </c>
      <c r="G1971" s="2" t="s">
        <v>24</v>
      </c>
      <c r="H1971" s="2"/>
      <c r="I1971" s="2"/>
      <c r="J1971" s="2"/>
      <c r="K1971" s="2" t="s">
        <v>18</v>
      </c>
      <c r="L1971" s="2"/>
    </row>
    <row r="1972">
      <c r="A1972" s="8" t="s">
        <v>2254</v>
      </c>
      <c r="B1972" s="8" t="s">
        <v>2254</v>
      </c>
      <c r="C1972" s="2" t="s">
        <v>1371</v>
      </c>
      <c r="D1972" s="2" t="s">
        <v>1372</v>
      </c>
      <c r="E1972" s="6">
        <v>46004.45929398148</v>
      </c>
      <c r="F1972" s="3" t="s">
        <v>1373</v>
      </c>
      <c r="G1972" s="2" t="s">
        <v>24</v>
      </c>
      <c r="H1972" s="2"/>
      <c r="I1972" s="2"/>
      <c r="J1972" s="2"/>
      <c r="K1972" s="2" t="s">
        <v>18</v>
      </c>
      <c r="L1972" s="2"/>
    </row>
    <row r="1973">
      <c r="A1973" s="8" t="s">
        <v>2255</v>
      </c>
      <c r="B1973" s="8" t="s">
        <v>2255</v>
      </c>
      <c r="C1973" s="2" t="s">
        <v>320</v>
      </c>
      <c r="D1973" s="2" t="s">
        <v>321</v>
      </c>
      <c r="E1973" s="6">
        <v>46004.460393518515</v>
      </c>
      <c r="F1973" s="3" t="s">
        <v>322</v>
      </c>
      <c r="G1973" s="2" t="s">
        <v>24</v>
      </c>
      <c r="H1973" s="2"/>
      <c r="I1973" s="2"/>
      <c r="J1973" s="2"/>
      <c r="K1973" s="2" t="s">
        <v>18</v>
      </c>
      <c r="L1973" s="2"/>
    </row>
    <row r="1974">
      <c r="A1974" s="8" t="s">
        <v>2256</v>
      </c>
      <c r="B1974" s="8" t="s">
        <v>2256</v>
      </c>
      <c r="C1974" s="2" t="s">
        <v>951</v>
      </c>
      <c r="D1974" s="2" t="s">
        <v>952</v>
      </c>
      <c r="E1974" s="6">
        <v>46004.49928240741</v>
      </c>
      <c r="F1974" s="3" t="s">
        <v>953</v>
      </c>
      <c r="G1974" s="2" t="s">
        <v>16</v>
      </c>
      <c r="H1974" s="2"/>
      <c r="I1974" s="2" t="s">
        <v>17</v>
      </c>
      <c r="J1974" s="2"/>
      <c r="K1974" s="2" t="s">
        <v>18</v>
      </c>
      <c r="L1974" s="2"/>
    </row>
    <row r="1975">
      <c r="A1975" s="8" t="s">
        <v>2257</v>
      </c>
      <c r="B1975" s="8" t="s">
        <v>2257</v>
      </c>
      <c r="C1975" s="2" t="s">
        <v>109</v>
      </c>
      <c r="D1975" s="2" t="s">
        <v>110</v>
      </c>
      <c r="E1975" s="6">
        <v>46004.60162037037</v>
      </c>
      <c r="F1975" s="3" t="s">
        <v>111</v>
      </c>
      <c r="G1975" s="2" t="s">
        <v>24</v>
      </c>
      <c r="H1975" s="2"/>
      <c r="I1975" s="2"/>
      <c r="J1975" s="2"/>
      <c r="K1975" s="2" t="s">
        <v>18</v>
      </c>
      <c r="L1975" s="2"/>
    </row>
    <row r="1976">
      <c r="A1976" s="8" t="s">
        <v>2258</v>
      </c>
      <c r="B1976" s="8" t="s">
        <v>2258</v>
      </c>
      <c r="C1976" s="2" t="s">
        <v>1776</v>
      </c>
      <c r="D1976" s="2" t="s">
        <v>1777</v>
      </c>
      <c r="E1976" s="6">
        <v>46006.37175925926</v>
      </c>
      <c r="F1976" s="3" t="s">
        <v>1778</v>
      </c>
      <c r="G1976" s="2" t="s">
        <v>16</v>
      </c>
      <c r="H1976" s="2"/>
      <c r="I1976" s="2" t="s">
        <v>395</v>
      </c>
      <c r="J1976" s="2"/>
      <c r="K1976" s="2" t="s">
        <v>18</v>
      </c>
      <c r="L1976" s="2"/>
    </row>
    <row r="1977">
      <c r="A1977" s="8" t="s">
        <v>2259</v>
      </c>
      <c r="B1977" s="8" t="s">
        <v>2259</v>
      </c>
      <c r="C1977" s="2" t="s">
        <v>326</v>
      </c>
      <c r="D1977" s="2" t="s">
        <v>327</v>
      </c>
      <c r="E1977" s="6">
        <v>46006.37328703704</v>
      </c>
      <c r="F1977" s="3" t="s">
        <v>328</v>
      </c>
      <c r="G1977" s="2" t="s">
        <v>16</v>
      </c>
      <c r="H1977" s="2"/>
      <c r="I1977" s="2" t="s">
        <v>395</v>
      </c>
      <c r="J1977" s="2"/>
      <c r="K1977" s="2" t="s">
        <v>18</v>
      </c>
      <c r="L1977" s="2"/>
    </row>
    <row r="1978">
      <c r="A1978" s="8" t="s">
        <v>2260</v>
      </c>
      <c r="B1978" s="8" t="s">
        <v>2260</v>
      </c>
      <c r="C1978" s="2" t="s">
        <v>1889</v>
      </c>
      <c r="D1978" s="2" t="s">
        <v>1890</v>
      </c>
      <c r="E1978" s="6">
        <v>46006.3780787037</v>
      </c>
      <c r="F1978" s="3" t="s">
        <v>1891</v>
      </c>
      <c r="G1978" s="2" t="s">
        <v>16</v>
      </c>
      <c r="H1978" s="2"/>
      <c r="I1978" s="2" t="s">
        <v>17</v>
      </c>
      <c r="J1978" s="2"/>
      <c r="K1978" s="2" t="s">
        <v>18</v>
      </c>
      <c r="L1978" s="2"/>
    </row>
    <row r="1979">
      <c r="A1979" s="8" t="s">
        <v>2261</v>
      </c>
      <c r="B1979" s="8" t="s">
        <v>2261</v>
      </c>
      <c r="C1979" s="2" t="s">
        <v>2081</v>
      </c>
      <c r="D1979" s="2" t="s">
        <v>2082</v>
      </c>
      <c r="E1979" s="6">
        <v>46006.38159722222</v>
      </c>
      <c r="F1979" s="3" t="s">
        <v>2083</v>
      </c>
      <c r="G1979" s="2" t="s">
        <v>24</v>
      </c>
      <c r="H1979" s="2"/>
      <c r="I1979" s="2"/>
      <c r="J1979" s="2"/>
      <c r="K1979" s="2" t="s">
        <v>18</v>
      </c>
      <c r="L1979" s="2"/>
    </row>
    <row r="1980">
      <c r="A1980" s="8" t="s">
        <v>2262</v>
      </c>
      <c r="B1980" s="8" t="s">
        <v>2262</v>
      </c>
      <c r="C1980" s="2" t="s">
        <v>786</v>
      </c>
      <c r="D1980" s="2" t="s">
        <v>787</v>
      </c>
      <c r="E1980" s="6">
        <v>46006.38233796296</v>
      </c>
      <c r="F1980" s="3" t="s">
        <v>788</v>
      </c>
      <c r="G1980" s="2" t="s">
        <v>24</v>
      </c>
      <c r="H1980" s="2"/>
      <c r="I1980" s="2"/>
      <c r="J1980" s="2"/>
      <c r="K1980" s="2" t="s">
        <v>18</v>
      </c>
      <c r="L1980" s="2"/>
    </row>
    <row r="1981">
      <c r="A1981" s="8" t="s">
        <v>2263</v>
      </c>
      <c r="B1981" s="8" t="s">
        <v>2263</v>
      </c>
      <c r="C1981" s="2" t="s">
        <v>1889</v>
      </c>
      <c r="D1981" s="2" t="s">
        <v>1890</v>
      </c>
      <c r="E1981" s="6">
        <v>46006.4200462963</v>
      </c>
      <c r="F1981" s="3" t="s">
        <v>1891</v>
      </c>
      <c r="G1981" s="2" t="s">
        <v>24</v>
      </c>
      <c r="H1981" s="2"/>
      <c r="I1981" s="2"/>
      <c r="J1981" s="2"/>
      <c r="K1981" s="2" t="s">
        <v>18</v>
      </c>
      <c r="L1981" s="2"/>
    </row>
    <row r="1982">
      <c r="A1982" s="8" t="s">
        <v>2264</v>
      </c>
      <c r="B1982" s="8" t="s">
        <v>2264</v>
      </c>
      <c r="C1982" s="2" t="s">
        <v>1873</v>
      </c>
      <c r="D1982" s="2" t="s">
        <v>1874</v>
      </c>
      <c r="E1982" s="6">
        <v>46006.51866898148</v>
      </c>
      <c r="F1982" s="3" t="s">
        <v>1875</v>
      </c>
      <c r="G1982" s="2" t="s">
        <v>16</v>
      </c>
      <c r="H1982" s="2"/>
      <c r="I1982" s="2" t="s">
        <v>395</v>
      </c>
      <c r="J1982" s="2"/>
      <c r="K1982" s="2" t="s">
        <v>18</v>
      </c>
      <c r="L1982" s="2"/>
    </row>
    <row r="1983">
      <c r="A1983" s="8" t="s">
        <v>2265</v>
      </c>
      <c r="B1983" s="8" t="s">
        <v>2265</v>
      </c>
      <c r="C1983" s="2" t="s">
        <v>2266</v>
      </c>
      <c r="D1983" s="2" t="s">
        <v>2267</v>
      </c>
      <c r="E1983" s="6">
        <v>46006.521574074075</v>
      </c>
      <c r="F1983" s="3" t="s">
        <v>2268</v>
      </c>
      <c r="G1983" s="2" t="s">
        <v>16</v>
      </c>
      <c r="H1983" s="2"/>
      <c r="I1983" s="2" t="s">
        <v>17</v>
      </c>
      <c r="J1983" s="2"/>
      <c r="K1983" s="2" t="s">
        <v>18</v>
      </c>
      <c r="L1983" s="2"/>
    </row>
    <row r="1984">
      <c r="A1984" s="8" t="s">
        <v>2269</v>
      </c>
      <c r="B1984" s="8" t="s">
        <v>2269</v>
      </c>
      <c r="C1984" s="2" t="s">
        <v>2270</v>
      </c>
      <c r="D1984" s="2" t="s">
        <v>2271</v>
      </c>
      <c r="E1984" s="6">
        <v>46006.52193287037</v>
      </c>
      <c r="F1984" s="3" t="s">
        <v>2272</v>
      </c>
      <c r="G1984" s="2" t="s">
        <v>16</v>
      </c>
      <c r="H1984" s="2"/>
      <c r="I1984" s="2" t="s">
        <v>395</v>
      </c>
      <c r="J1984" s="2"/>
      <c r="K1984" s="2" t="s">
        <v>18</v>
      </c>
      <c r="L1984" s="2"/>
    </row>
    <row r="1985">
      <c r="A1985" s="8" t="s">
        <v>2273</v>
      </c>
      <c r="B1985" s="8" t="s">
        <v>2273</v>
      </c>
      <c r="C1985" s="2" t="s">
        <v>326</v>
      </c>
      <c r="D1985" s="2" t="s">
        <v>327</v>
      </c>
      <c r="E1985" s="6">
        <v>46006.53212962963</v>
      </c>
      <c r="F1985" s="3" t="s">
        <v>328</v>
      </c>
      <c r="G1985" s="2" t="s">
        <v>24</v>
      </c>
      <c r="H1985" s="2"/>
      <c r="I1985" s="2"/>
      <c r="J1985" s="2"/>
      <c r="K1985" s="2" t="s">
        <v>18</v>
      </c>
      <c r="L1985" s="2"/>
    </row>
    <row r="1986">
      <c r="A1986" s="8" t="s">
        <v>2274</v>
      </c>
      <c r="B1986" s="8" t="s">
        <v>2274</v>
      </c>
      <c r="C1986" s="2" t="s">
        <v>1776</v>
      </c>
      <c r="D1986" s="2" t="s">
        <v>1777</v>
      </c>
      <c r="E1986" s="6">
        <v>46006.53486111111</v>
      </c>
      <c r="F1986" s="3" t="s">
        <v>1778</v>
      </c>
      <c r="G1986" s="2" t="s">
        <v>24</v>
      </c>
      <c r="H1986" s="2"/>
      <c r="I1986" s="2"/>
      <c r="J1986" s="2"/>
      <c r="K1986" s="2" t="s">
        <v>18</v>
      </c>
      <c r="L1986" s="2"/>
    </row>
    <row r="1987">
      <c r="A1987" s="8" t="s">
        <v>2275</v>
      </c>
      <c r="B1987" s="8" t="s">
        <v>2275</v>
      </c>
      <c r="C1987" s="2" t="s">
        <v>786</v>
      </c>
      <c r="D1987" s="2" t="s">
        <v>787</v>
      </c>
      <c r="E1987" s="6">
        <v>46006.53570601852</v>
      </c>
      <c r="F1987" s="3" t="s">
        <v>788</v>
      </c>
      <c r="G1987" s="2" t="s">
        <v>24</v>
      </c>
      <c r="H1987" s="2"/>
      <c r="I1987" s="2"/>
      <c r="J1987" s="2"/>
      <c r="K1987" s="2" t="s">
        <v>18</v>
      </c>
      <c r="L1987" s="2"/>
    </row>
    <row r="1988">
      <c r="A1988" s="8" t="s">
        <v>2276</v>
      </c>
      <c r="B1988" s="8" t="s">
        <v>2276</v>
      </c>
      <c r="C1988" s="2" t="s">
        <v>812</v>
      </c>
      <c r="D1988" s="2" t="s">
        <v>813</v>
      </c>
      <c r="E1988" s="6">
        <v>46006.57986111111</v>
      </c>
      <c r="F1988" s="3" t="s">
        <v>814</v>
      </c>
      <c r="G1988" s="2" t="s">
        <v>16</v>
      </c>
      <c r="H1988" s="2"/>
      <c r="I1988" s="2" t="s">
        <v>395</v>
      </c>
      <c r="J1988" s="2"/>
      <c r="K1988" s="2" t="s">
        <v>18</v>
      </c>
      <c r="L1988" s="2"/>
    </row>
    <row r="1989">
      <c r="A1989" s="8" t="s">
        <v>2277</v>
      </c>
      <c r="B1989" s="8" t="s">
        <v>2277</v>
      </c>
      <c r="C1989" s="2" t="s">
        <v>812</v>
      </c>
      <c r="D1989" s="2" t="s">
        <v>813</v>
      </c>
      <c r="E1989" s="6">
        <v>46006.580046296294</v>
      </c>
      <c r="F1989" s="3" t="s">
        <v>814</v>
      </c>
      <c r="G1989" s="2" t="s">
        <v>159</v>
      </c>
      <c r="H1989" s="2"/>
      <c r="I1989" s="2"/>
      <c r="J1989" s="2"/>
      <c r="K1989" s="2" t="s">
        <v>18</v>
      </c>
      <c r="L1989" s="2"/>
    </row>
    <row r="1990">
      <c r="A1990" s="8" t="s">
        <v>2278</v>
      </c>
      <c r="B1990" s="8" t="s">
        <v>2278</v>
      </c>
      <c r="C1990" s="2" t="s">
        <v>812</v>
      </c>
      <c r="D1990" s="2" t="s">
        <v>813</v>
      </c>
      <c r="E1990" s="6">
        <v>46006.610451388886</v>
      </c>
      <c r="F1990" s="3" t="s">
        <v>814</v>
      </c>
      <c r="G1990" s="2" t="s">
        <v>24</v>
      </c>
      <c r="H1990" s="2"/>
      <c r="I1990" s="2"/>
      <c r="J1990" s="2"/>
      <c r="K1990" s="2" t="s">
        <v>18</v>
      </c>
      <c r="L1990" s="2"/>
    </row>
    <row r="1991">
      <c r="A1991" s="8" t="s">
        <v>2279</v>
      </c>
      <c r="B1991" s="8" t="s">
        <v>2279</v>
      </c>
      <c r="C1991" s="2" t="s">
        <v>786</v>
      </c>
      <c r="D1991" s="2" t="s">
        <v>787</v>
      </c>
      <c r="E1991" s="6">
        <v>46006.69016203703</v>
      </c>
      <c r="F1991" s="3" t="s">
        <v>788</v>
      </c>
      <c r="G1991" s="2" t="s">
        <v>16</v>
      </c>
      <c r="H1991" s="2"/>
      <c r="I1991" s="2" t="s">
        <v>17</v>
      </c>
      <c r="J1991" s="2"/>
      <c r="K1991" s="2" t="s">
        <v>18</v>
      </c>
      <c r="L1991" s="2"/>
    </row>
    <row r="1992">
      <c r="A1992" s="8" t="s">
        <v>2280</v>
      </c>
      <c r="B1992" s="8" t="s">
        <v>2280</v>
      </c>
      <c r="C1992" s="2" t="s">
        <v>2005</v>
      </c>
      <c r="D1992" s="2" t="s">
        <v>2006</v>
      </c>
      <c r="E1992" s="6">
        <v>46007.35030092593</v>
      </c>
      <c r="F1992" s="3" t="s">
        <v>2007</v>
      </c>
      <c r="G1992" s="2" t="s">
        <v>16</v>
      </c>
      <c r="H1992" s="2"/>
      <c r="I1992" s="2" t="s">
        <v>17</v>
      </c>
      <c r="J1992" s="2"/>
      <c r="K1992" s="2" t="s">
        <v>18</v>
      </c>
      <c r="L1992" s="2"/>
    </row>
    <row r="1993">
      <c r="A1993" s="8" t="s">
        <v>2281</v>
      </c>
      <c r="B1993" s="8" t="s">
        <v>2281</v>
      </c>
      <c r="C1993" s="2" t="s">
        <v>1838</v>
      </c>
      <c r="D1993" s="2" t="s">
        <v>1839</v>
      </c>
      <c r="E1993" s="6">
        <v>46007.3566087963</v>
      </c>
      <c r="F1993" s="3" t="s">
        <v>1840</v>
      </c>
      <c r="G1993" s="2" t="s">
        <v>16</v>
      </c>
      <c r="H1993" s="2"/>
      <c r="I1993" s="2" t="s">
        <v>395</v>
      </c>
      <c r="J1993" s="2"/>
      <c r="K1993" s="2" t="s">
        <v>18</v>
      </c>
      <c r="L1993" s="2"/>
    </row>
    <row r="1994">
      <c r="A1994" s="8" t="s">
        <v>2282</v>
      </c>
      <c r="B1994" s="8" t="s">
        <v>2282</v>
      </c>
      <c r="C1994" s="2" t="s">
        <v>2131</v>
      </c>
      <c r="D1994" s="2" t="s">
        <v>2171</v>
      </c>
      <c r="E1994" s="6">
        <v>46007.35724537037</v>
      </c>
      <c r="F1994" s="3" t="s">
        <v>2172</v>
      </c>
      <c r="G1994" s="2" t="s">
        <v>24</v>
      </c>
      <c r="H1994" s="2"/>
      <c r="I1994" s="2"/>
      <c r="J1994" s="2"/>
      <c r="K1994" s="2" t="s">
        <v>18</v>
      </c>
      <c r="L1994" s="2"/>
    </row>
    <row r="1995">
      <c r="A1995" s="8" t="s">
        <v>2283</v>
      </c>
      <c r="B1995" s="8" t="s">
        <v>2283</v>
      </c>
      <c r="C1995" s="2" t="s">
        <v>679</v>
      </c>
      <c r="D1995" s="2" t="s">
        <v>680</v>
      </c>
      <c r="E1995" s="6">
        <v>46007.36577546296</v>
      </c>
      <c r="F1995" s="3" t="s">
        <v>681</v>
      </c>
      <c r="G1995" s="2" t="s">
        <v>24</v>
      </c>
      <c r="H1995" s="2"/>
      <c r="I1995" s="2"/>
      <c r="J1995" s="2"/>
      <c r="K1995" s="2" t="s">
        <v>18</v>
      </c>
      <c r="L1995" s="2"/>
    </row>
    <row r="1996">
      <c r="A1996" s="8" t="s">
        <v>2284</v>
      </c>
      <c r="B1996" s="8" t="s">
        <v>2284</v>
      </c>
      <c r="C1996" s="2" t="s">
        <v>2005</v>
      </c>
      <c r="D1996" s="2" t="s">
        <v>2006</v>
      </c>
      <c r="E1996" s="6">
        <v>46007.42722222222</v>
      </c>
      <c r="F1996" s="3" t="s">
        <v>2007</v>
      </c>
      <c r="G1996" s="2" t="s">
        <v>24</v>
      </c>
      <c r="H1996" s="2"/>
      <c r="I1996" s="2"/>
      <c r="J1996" s="2"/>
      <c r="K1996" s="2" t="s">
        <v>18</v>
      </c>
      <c r="L1996" s="2"/>
    </row>
    <row r="1997">
      <c r="A1997" s="8" t="s">
        <v>2285</v>
      </c>
      <c r="B1997" s="8" t="s">
        <v>2285</v>
      </c>
      <c r="C1997" s="2" t="s">
        <v>1084</v>
      </c>
      <c r="D1997" s="2" t="s">
        <v>1085</v>
      </c>
      <c r="E1997" s="6">
        <v>46007.62226851852</v>
      </c>
      <c r="F1997" s="3" t="s">
        <v>1086</v>
      </c>
      <c r="G1997" s="2" t="s">
        <v>24</v>
      </c>
      <c r="H1997" s="2"/>
      <c r="I1997" s="2"/>
      <c r="J1997" s="2"/>
      <c r="K1997" s="2" t="s">
        <v>18</v>
      </c>
      <c r="L1997" s="2"/>
    </row>
    <row r="1998">
      <c r="A1998" s="8" t="s">
        <v>2286</v>
      </c>
      <c r="B1998" s="8" t="s">
        <v>2286</v>
      </c>
      <c r="C1998" s="2" t="s">
        <v>1993</v>
      </c>
      <c r="D1998" s="2" t="s">
        <v>1994</v>
      </c>
      <c r="E1998" s="6">
        <v>46007.622662037036</v>
      </c>
      <c r="F1998" s="3" t="s">
        <v>1995</v>
      </c>
      <c r="G1998" s="2" t="s">
        <v>24</v>
      </c>
      <c r="H1998" s="2"/>
      <c r="I1998" s="2"/>
      <c r="J1998" s="2"/>
      <c r="K1998" s="2" t="s">
        <v>18</v>
      </c>
      <c r="L1998" s="2"/>
    </row>
    <row r="1999">
      <c r="A1999" s="8" t="s">
        <v>2287</v>
      </c>
      <c r="B1999" s="8" t="s">
        <v>2287</v>
      </c>
      <c r="C1999" s="2" t="s">
        <v>49</v>
      </c>
      <c r="D1999" s="2" t="s">
        <v>50</v>
      </c>
      <c r="E1999" s="6">
        <v>46007.62378472222</v>
      </c>
      <c r="F1999" s="3" t="s">
        <v>51</v>
      </c>
      <c r="G1999" s="2" t="s">
        <v>24</v>
      </c>
      <c r="H1999" s="2"/>
      <c r="I1999" s="2"/>
      <c r="J1999" s="2"/>
      <c r="K1999" s="2" t="s">
        <v>18</v>
      </c>
      <c r="L1999" s="2"/>
    </row>
    <row r="2000">
      <c r="A2000" s="8" t="s">
        <v>2288</v>
      </c>
      <c r="B2000" s="8" t="s">
        <v>2288</v>
      </c>
      <c r="C2000" s="2" t="s">
        <v>2131</v>
      </c>
      <c r="D2000" s="2" t="s">
        <v>2171</v>
      </c>
      <c r="E2000" s="6">
        <v>46007.62871527778</v>
      </c>
      <c r="F2000" s="3" t="s">
        <v>2172</v>
      </c>
      <c r="G2000" s="2" t="s">
        <v>16</v>
      </c>
      <c r="H2000" s="2"/>
      <c r="I2000" s="2" t="s">
        <v>17</v>
      </c>
      <c r="J2000" s="2"/>
      <c r="K2000" s="2" t="s">
        <v>18</v>
      </c>
      <c r="L2000" s="2"/>
    </row>
    <row r="2001">
      <c r="A2001" s="8" t="s">
        <v>2289</v>
      </c>
      <c r="B2001" s="8" t="s">
        <v>2289</v>
      </c>
      <c r="C2001" s="2" t="s">
        <v>786</v>
      </c>
      <c r="D2001" s="2" t="s">
        <v>787</v>
      </c>
      <c r="E2001" s="6">
        <v>46007.64796296296</v>
      </c>
      <c r="F2001" s="3" t="s">
        <v>788</v>
      </c>
      <c r="G2001" s="2" t="s">
        <v>16</v>
      </c>
      <c r="H2001" s="2"/>
      <c r="I2001" s="2" t="s">
        <v>17</v>
      </c>
      <c r="J2001" s="2"/>
      <c r="K2001" s="2" t="s">
        <v>18</v>
      </c>
      <c r="L2001" s="2"/>
    </row>
    <row r="2002">
      <c r="A2002" s="8" t="s">
        <v>2290</v>
      </c>
      <c r="B2002" s="8" t="s">
        <v>2290</v>
      </c>
      <c r="C2002" s="2" t="s">
        <v>1993</v>
      </c>
      <c r="D2002" s="2" t="s">
        <v>1994</v>
      </c>
      <c r="E2002" s="6">
        <v>46007.64859953704</v>
      </c>
      <c r="F2002" s="3" t="s">
        <v>1995</v>
      </c>
      <c r="G2002" s="2" t="s">
        <v>16</v>
      </c>
      <c r="H2002" s="2"/>
      <c r="I2002" s="2" t="s">
        <v>17</v>
      </c>
      <c r="J2002" s="2"/>
      <c r="K2002" s="2" t="s">
        <v>18</v>
      </c>
      <c r="L2002" s="2"/>
    </row>
    <row r="2003">
      <c r="A2003" s="8" t="s">
        <v>2291</v>
      </c>
      <c r="B2003" s="8" t="s">
        <v>2291</v>
      </c>
      <c r="C2003" s="2" t="s">
        <v>309</v>
      </c>
      <c r="D2003" s="2" t="s">
        <v>310</v>
      </c>
      <c r="E2003" s="6">
        <v>46007.66018518519</v>
      </c>
      <c r="F2003" s="3" t="s">
        <v>311</v>
      </c>
      <c r="G2003" s="2" t="s">
        <v>24</v>
      </c>
      <c r="H2003" s="2"/>
      <c r="I2003" s="2"/>
      <c r="J2003" s="2"/>
      <c r="K2003" s="2" t="s">
        <v>18</v>
      </c>
      <c r="L2003" s="2"/>
    </row>
    <row r="2004">
      <c r="A2004" s="8" t="s">
        <v>2292</v>
      </c>
      <c r="B2004" s="8" t="s">
        <v>2292</v>
      </c>
      <c r="C2004" s="2" t="s">
        <v>1228</v>
      </c>
      <c r="D2004" s="2" t="s">
        <v>1229</v>
      </c>
      <c r="E2004" s="6">
        <v>46007.66123842593</v>
      </c>
      <c r="F2004" s="3" t="s">
        <v>1230</v>
      </c>
      <c r="G2004" s="2" t="s">
        <v>24</v>
      </c>
      <c r="H2004" s="2"/>
      <c r="I2004" s="2"/>
      <c r="J2004" s="2"/>
      <c r="K2004" s="2" t="s">
        <v>18</v>
      </c>
      <c r="L2004" s="2"/>
    </row>
    <row r="2005">
      <c r="A2005" s="8" t="s">
        <v>2293</v>
      </c>
      <c r="B2005" s="8" t="s">
        <v>2293</v>
      </c>
      <c r="C2005" s="2" t="s">
        <v>786</v>
      </c>
      <c r="D2005" s="2" t="s">
        <v>787</v>
      </c>
      <c r="E2005" s="6">
        <v>46008.356886574074</v>
      </c>
      <c r="F2005" s="3" t="s">
        <v>788</v>
      </c>
      <c r="G2005" s="2" t="s">
        <v>24</v>
      </c>
      <c r="H2005" s="2"/>
      <c r="I2005" s="2"/>
      <c r="J2005" s="2"/>
      <c r="K2005" s="2" t="s">
        <v>18</v>
      </c>
      <c r="L2005" s="2"/>
    </row>
    <row r="2006">
      <c r="A2006" s="8" t="s">
        <v>2294</v>
      </c>
      <c r="B2006" s="8" t="s">
        <v>2294</v>
      </c>
      <c r="C2006" s="2" t="s">
        <v>464</v>
      </c>
      <c r="D2006" s="2" t="s">
        <v>465</v>
      </c>
      <c r="E2006" s="6">
        <v>46008.35888888889</v>
      </c>
      <c r="F2006" s="3" t="s">
        <v>466</v>
      </c>
      <c r="G2006" s="2" t="s">
        <v>16</v>
      </c>
      <c r="H2006" s="2"/>
      <c r="I2006" s="2" t="s">
        <v>17</v>
      </c>
      <c r="J2006" s="2"/>
      <c r="K2006" s="2" t="s">
        <v>18</v>
      </c>
      <c r="L2006" s="2"/>
    </row>
    <row r="2007">
      <c r="A2007" s="8" t="s">
        <v>2295</v>
      </c>
      <c r="B2007" s="8" t="s">
        <v>2295</v>
      </c>
      <c r="C2007" s="2" t="s">
        <v>309</v>
      </c>
      <c r="D2007" s="2" t="s">
        <v>310</v>
      </c>
      <c r="E2007" s="6">
        <v>46008.375555555554</v>
      </c>
      <c r="F2007" s="3" t="s">
        <v>311</v>
      </c>
      <c r="G2007" s="2" t="s">
        <v>16</v>
      </c>
      <c r="H2007" s="2"/>
      <c r="I2007" s="2" t="s">
        <v>395</v>
      </c>
      <c r="J2007" s="2"/>
      <c r="K2007" s="2" t="s">
        <v>18</v>
      </c>
      <c r="L2007" s="2"/>
    </row>
    <row r="2008">
      <c r="A2008" s="8" t="s">
        <v>2296</v>
      </c>
      <c r="B2008" s="8" t="s">
        <v>2296</v>
      </c>
      <c r="C2008" s="2" t="s">
        <v>213</v>
      </c>
      <c r="D2008" s="2" t="s">
        <v>214</v>
      </c>
      <c r="E2008" s="6">
        <v>46008.416817129626</v>
      </c>
      <c r="F2008" s="3" t="s">
        <v>215</v>
      </c>
      <c r="G2008" s="2" t="s">
        <v>16</v>
      </c>
      <c r="H2008" s="2"/>
      <c r="I2008" s="2" t="s">
        <v>17</v>
      </c>
      <c r="J2008" s="2"/>
      <c r="K2008" s="2" t="s">
        <v>18</v>
      </c>
      <c r="L2008" s="2"/>
    </row>
    <row r="2009">
      <c r="A2009" s="8" t="s">
        <v>2297</v>
      </c>
      <c r="B2009" s="8" t="s">
        <v>2297</v>
      </c>
      <c r="C2009" s="2" t="s">
        <v>464</v>
      </c>
      <c r="D2009" s="2" t="s">
        <v>465</v>
      </c>
      <c r="E2009" s="6">
        <v>46008.42153935185</v>
      </c>
      <c r="F2009" s="3" t="s">
        <v>466</v>
      </c>
      <c r="G2009" s="2" t="s">
        <v>24</v>
      </c>
      <c r="H2009" s="2"/>
      <c r="I2009" s="2"/>
      <c r="J2009" s="2"/>
      <c r="K2009" s="2" t="s">
        <v>18</v>
      </c>
      <c r="L2009" s="2"/>
    </row>
    <row r="2010">
      <c r="A2010" s="8" t="s">
        <v>2298</v>
      </c>
      <c r="B2010" s="8" t="s">
        <v>2298</v>
      </c>
      <c r="C2010" s="2" t="s">
        <v>1228</v>
      </c>
      <c r="D2010" s="2" t="s">
        <v>1229</v>
      </c>
      <c r="E2010" s="6">
        <v>46009.34777777778</v>
      </c>
      <c r="F2010" s="3" t="s">
        <v>1230</v>
      </c>
      <c r="G2010" s="2" t="s">
        <v>16</v>
      </c>
      <c r="H2010" s="2"/>
      <c r="I2010" s="2" t="s">
        <v>17</v>
      </c>
      <c r="J2010" s="2"/>
      <c r="K2010" s="2" t="s">
        <v>18</v>
      </c>
      <c r="L2010" s="2"/>
    </row>
    <row r="2011">
      <c r="A2011" s="8" t="s">
        <v>2299</v>
      </c>
      <c r="B2011" s="8" t="s">
        <v>2299</v>
      </c>
      <c r="C2011" s="2" t="s">
        <v>55</v>
      </c>
      <c r="D2011" s="2" t="s">
        <v>56</v>
      </c>
      <c r="E2011" s="6">
        <v>46008.61765046296</v>
      </c>
      <c r="F2011" s="3" t="s">
        <v>57</v>
      </c>
      <c r="G2011" s="2" t="s">
        <v>16</v>
      </c>
      <c r="H2011" s="2"/>
      <c r="I2011" s="2" t="s">
        <v>17</v>
      </c>
      <c r="J2011" s="2"/>
      <c r="K2011" s="2" t="s">
        <v>18</v>
      </c>
      <c r="L2011" s="2"/>
    </row>
    <row r="2012">
      <c r="A2012" s="8" t="s">
        <v>2300</v>
      </c>
      <c r="B2012" s="8" t="s">
        <v>2300</v>
      </c>
      <c r="C2012" s="2" t="s">
        <v>213</v>
      </c>
      <c r="D2012" s="2" t="s">
        <v>214</v>
      </c>
      <c r="E2012" s="6">
        <v>46008.62008101852</v>
      </c>
      <c r="F2012" s="3" t="s">
        <v>215</v>
      </c>
      <c r="G2012" s="2" t="s">
        <v>24</v>
      </c>
      <c r="H2012" s="2"/>
      <c r="I2012" s="2"/>
      <c r="J2012" s="2"/>
      <c r="K2012" s="2" t="s">
        <v>18</v>
      </c>
      <c r="L2012" s="2"/>
    </row>
    <row r="2013">
      <c r="A2013" s="8" t="s">
        <v>2301</v>
      </c>
      <c r="B2013" s="8" t="s">
        <v>2301</v>
      </c>
      <c r="C2013" s="2" t="s">
        <v>2131</v>
      </c>
      <c r="D2013" s="2" t="s">
        <v>2132</v>
      </c>
      <c r="E2013" s="6">
        <v>46008.459710648145</v>
      </c>
      <c r="F2013" s="3" t="s">
        <v>2133</v>
      </c>
      <c r="G2013" s="2" t="s">
        <v>24</v>
      </c>
      <c r="H2013" s="2"/>
      <c r="I2013" s="2"/>
      <c r="J2013" s="2"/>
      <c r="K2013" s="2" t="s">
        <v>18</v>
      </c>
      <c r="L2013" s="2"/>
    </row>
    <row r="2014">
      <c r="A2014" s="8" t="s">
        <v>2302</v>
      </c>
      <c r="B2014" s="8" t="s">
        <v>2302</v>
      </c>
      <c r="C2014" s="2" t="s">
        <v>1776</v>
      </c>
      <c r="D2014" s="2" t="s">
        <v>1777</v>
      </c>
      <c r="E2014" s="6">
        <v>46008.68491898148</v>
      </c>
      <c r="F2014" s="3" t="s">
        <v>1778</v>
      </c>
      <c r="G2014" s="2" t="s">
        <v>16</v>
      </c>
      <c r="H2014" s="2"/>
      <c r="I2014" s="2" t="s">
        <v>395</v>
      </c>
      <c r="J2014" s="2"/>
      <c r="K2014" s="2" t="s">
        <v>18</v>
      </c>
      <c r="L2014" s="2"/>
    </row>
    <row r="2015">
      <c r="A2015" s="8" t="s">
        <v>2303</v>
      </c>
      <c r="B2015" s="8" t="s">
        <v>2303</v>
      </c>
      <c r="C2015" s="2" t="s">
        <v>464</v>
      </c>
      <c r="D2015" s="2" t="s">
        <v>465</v>
      </c>
      <c r="E2015" s="6">
        <v>46009.34375</v>
      </c>
      <c r="F2015" s="3" t="s">
        <v>466</v>
      </c>
      <c r="G2015" s="2" t="s">
        <v>16</v>
      </c>
      <c r="H2015" s="2"/>
      <c r="I2015" s="2" t="s">
        <v>17</v>
      </c>
      <c r="J2015" s="2"/>
      <c r="K2015" s="2" t="s">
        <v>18</v>
      </c>
      <c r="L2015" s="2"/>
    </row>
    <row r="2016">
      <c r="A2016" s="8" t="s">
        <v>2304</v>
      </c>
      <c r="B2016" s="8" t="s">
        <v>2304</v>
      </c>
      <c r="C2016" s="2" t="s">
        <v>309</v>
      </c>
      <c r="D2016" s="2" t="s">
        <v>310</v>
      </c>
      <c r="E2016" s="6">
        <v>46009.35177083333</v>
      </c>
      <c r="F2016" s="3" t="s">
        <v>311</v>
      </c>
      <c r="G2016" s="2" t="s">
        <v>16</v>
      </c>
      <c r="H2016" s="2"/>
      <c r="I2016" s="2" t="s">
        <v>395</v>
      </c>
      <c r="J2016" s="2"/>
      <c r="K2016" s="2" t="s">
        <v>18</v>
      </c>
      <c r="L2016" s="2"/>
    </row>
    <row r="2017">
      <c r="A2017" s="8" t="s">
        <v>2305</v>
      </c>
      <c r="B2017" s="8" t="s">
        <v>2305</v>
      </c>
      <c r="C2017" s="2" t="s">
        <v>2131</v>
      </c>
      <c r="D2017" s="2" t="s">
        <v>2171</v>
      </c>
      <c r="E2017" s="6">
        <v>46009.360439814816</v>
      </c>
      <c r="F2017" s="3" t="s">
        <v>2172</v>
      </c>
      <c r="G2017" s="2" t="s">
        <v>16</v>
      </c>
      <c r="H2017" s="2"/>
      <c r="I2017" s="2" t="s">
        <v>17</v>
      </c>
      <c r="J2017" s="2"/>
      <c r="K2017" s="2" t="s">
        <v>18</v>
      </c>
      <c r="L2017" s="2"/>
    </row>
    <row r="2018">
      <c r="A2018" s="8" t="s">
        <v>2306</v>
      </c>
      <c r="B2018" s="8" t="s">
        <v>2306</v>
      </c>
      <c r="C2018" s="2" t="s">
        <v>55</v>
      </c>
      <c r="D2018" s="2" t="s">
        <v>56</v>
      </c>
      <c r="E2018" s="6">
        <v>46009.371099537035</v>
      </c>
      <c r="F2018" s="3" t="s">
        <v>57</v>
      </c>
      <c r="G2018" s="2" t="s">
        <v>24</v>
      </c>
      <c r="H2018" s="2"/>
      <c r="I2018" s="2"/>
      <c r="J2018" s="2"/>
      <c r="K2018" s="2" t="s">
        <v>18</v>
      </c>
      <c r="L2018" s="2"/>
    </row>
    <row r="2019">
      <c r="A2019" s="8" t="s">
        <v>2307</v>
      </c>
      <c r="B2019" s="8" t="s">
        <v>2307</v>
      </c>
      <c r="C2019" s="2" t="s">
        <v>1776</v>
      </c>
      <c r="D2019" s="2" t="s">
        <v>1777</v>
      </c>
      <c r="E2019" s="6">
        <v>46009.37175925926</v>
      </c>
      <c r="F2019" s="3" t="s">
        <v>1778</v>
      </c>
      <c r="G2019" s="2" t="s">
        <v>24</v>
      </c>
      <c r="H2019" s="2"/>
      <c r="I2019" s="2"/>
      <c r="J2019" s="2"/>
      <c r="K2019" s="2" t="s">
        <v>18</v>
      </c>
      <c r="L2019" s="2"/>
    </row>
    <row r="2020">
      <c r="A2020" s="8" t="s">
        <v>2308</v>
      </c>
      <c r="B2020" s="8" t="s">
        <v>2308</v>
      </c>
      <c r="C2020" s="2" t="s">
        <v>2131</v>
      </c>
      <c r="D2020" s="2" t="s">
        <v>2171</v>
      </c>
      <c r="E2020" s="6">
        <v>46009.47892361111</v>
      </c>
      <c r="F2020" s="3" t="s">
        <v>2172</v>
      </c>
      <c r="G2020" s="2" t="s">
        <v>24</v>
      </c>
      <c r="H2020" s="2"/>
      <c r="I2020" s="2"/>
      <c r="J2020" s="2"/>
      <c r="K2020" s="2" t="s">
        <v>18</v>
      </c>
      <c r="L2020" s="2"/>
    </row>
    <row r="2021">
      <c r="A2021" s="8" t="s">
        <v>2309</v>
      </c>
      <c r="B2021" s="8" t="s">
        <v>2309</v>
      </c>
      <c r="C2021" s="2" t="s">
        <v>1756</v>
      </c>
      <c r="D2021" s="2" t="s">
        <v>1757</v>
      </c>
      <c r="E2021" s="6">
        <v>46009.48459490741</v>
      </c>
      <c r="F2021" s="3" t="s">
        <v>1758</v>
      </c>
      <c r="G2021" s="2" t="s">
        <v>16</v>
      </c>
      <c r="H2021" s="2"/>
      <c r="I2021" s="2" t="s">
        <v>17</v>
      </c>
      <c r="J2021" s="2"/>
      <c r="K2021" s="2" t="s">
        <v>18</v>
      </c>
      <c r="L2021" s="2"/>
    </row>
    <row r="2022">
      <c r="A2022" s="8" t="s">
        <v>2310</v>
      </c>
      <c r="B2022" s="8" t="s">
        <v>2310</v>
      </c>
      <c r="C2022" s="2" t="s">
        <v>464</v>
      </c>
      <c r="D2022" s="2" t="s">
        <v>465</v>
      </c>
      <c r="E2022" s="6">
        <v>46009.49364583333</v>
      </c>
      <c r="F2022" s="3" t="s">
        <v>466</v>
      </c>
      <c r="G2022" s="2" t="s">
        <v>24</v>
      </c>
      <c r="H2022" s="2"/>
      <c r="I2022" s="2"/>
      <c r="J2022" s="2"/>
      <c r="K2022" s="2" t="s">
        <v>18</v>
      </c>
      <c r="L2022" s="2"/>
    </row>
    <row r="2023">
      <c r="A2023" s="8" t="s">
        <v>2311</v>
      </c>
      <c r="B2023" s="8" t="s">
        <v>2311</v>
      </c>
      <c r="C2023" s="2" t="s">
        <v>679</v>
      </c>
      <c r="D2023" s="2" t="s">
        <v>680</v>
      </c>
      <c r="E2023" s="6">
        <v>46009.494363425925</v>
      </c>
      <c r="F2023" s="3" t="s">
        <v>681</v>
      </c>
      <c r="G2023" s="2" t="s">
        <v>24</v>
      </c>
      <c r="H2023" s="2"/>
      <c r="I2023" s="2"/>
      <c r="J2023" s="2"/>
      <c r="K2023" s="2" t="s">
        <v>18</v>
      </c>
      <c r="L2023" s="2"/>
    </row>
    <row r="2024">
      <c r="A2024" s="8" t="s">
        <v>2312</v>
      </c>
      <c r="B2024" s="8" t="s">
        <v>2312</v>
      </c>
      <c r="C2024" s="2" t="s">
        <v>786</v>
      </c>
      <c r="D2024" s="2" t="s">
        <v>787</v>
      </c>
      <c r="E2024" s="6">
        <v>46009.59060185185</v>
      </c>
      <c r="F2024" s="3" t="s">
        <v>788</v>
      </c>
      <c r="G2024" s="2" t="s">
        <v>16</v>
      </c>
      <c r="H2024" s="2"/>
      <c r="I2024" s="2" t="s">
        <v>17</v>
      </c>
      <c r="J2024" s="2"/>
      <c r="K2024" s="2" t="s">
        <v>18</v>
      </c>
      <c r="L2024" s="2"/>
    </row>
    <row r="2025">
      <c r="A2025" s="8" t="s">
        <v>2313</v>
      </c>
      <c r="B2025" s="8" t="s">
        <v>2313</v>
      </c>
      <c r="C2025" s="2" t="s">
        <v>2081</v>
      </c>
      <c r="D2025" s="2" t="s">
        <v>2082</v>
      </c>
      <c r="E2025" s="6">
        <v>46009.591875</v>
      </c>
      <c r="F2025" s="3" t="s">
        <v>2083</v>
      </c>
      <c r="G2025" s="2" t="s">
        <v>16</v>
      </c>
      <c r="H2025" s="2"/>
      <c r="I2025" s="2" t="s">
        <v>17</v>
      </c>
      <c r="J2025" s="2"/>
      <c r="K2025" s="2" t="s">
        <v>18</v>
      </c>
      <c r="L2025" s="2"/>
    </row>
    <row r="2026">
      <c r="A2026" s="8" t="s">
        <v>2314</v>
      </c>
      <c r="B2026" s="8" t="s">
        <v>2314</v>
      </c>
      <c r="C2026" s="2" t="s">
        <v>1756</v>
      </c>
      <c r="D2026" s="2" t="s">
        <v>1757</v>
      </c>
      <c r="E2026" s="6">
        <v>46009.599583333336</v>
      </c>
      <c r="F2026" s="3" t="s">
        <v>1758</v>
      </c>
      <c r="G2026" s="2" t="s">
        <v>24</v>
      </c>
      <c r="H2026" s="2"/>
      <c r="I2026" s="2"/>
      <c r="J2026" s="2"/>
      <c r="K2026" s="2" t="s">
        <v>18</v>
      </c>
      <c r="L2026" s="2"/>
    </row>
    <row r="2027">
      <c r="A2027" s="8" t="s">
        <v>2315</v>
      </c>
      <c r="B2027" s="8" t="s">
        <v>2315</v>
      </c>
      <c r="C2027" s="2" t="s">
        <v>786</v>
      </c>
      <c r="D2027" s="2" t="s">
        <v>787</v>
      </c>
      <c r="E2027" s="6">
        <v>46009.602372685185</v>
      </c>
      <c r="F2027" s="3" t="s">
        <v>788</v>
      </c>
      <c r="G2027" s="2" t="s">
        <v>24</v>
      </c>
      <c r="H2027" s="2"/>
      <c r="I2027" s="2"/>
      <c r="J2027" s="2"/>
      <c r="K2027" s="2" t="s">
        <v>18</v>
      </c>
      <c r="L2027" s="2"/>
    </row>
    <row r="2028">
      <c r="A2028" s="8" t="s">
        <v>2316</v>
      </c>
      <c r="B2028" s="8" t="s">
        <v>2316</v>
      </c>
      <c r="C2028" s="2" t="s">
        <v>951</v>
      </c>
      <c r="D2028" s="2" t="s">
        <v>952</v>
      </c>
      <c r="E2028" s="6">
        <v>46010.334027777775</v>
      </c>
      <c r="F2028" s="3" t="s">
        <v>953</v>
      </c>
      <c r="G2028" s="2" t="s">
        <v>16</v>
      </c>
      <c r="H2028" s="2"/>
      <c r="I2028" s="2" t="s">
        <v>17</v>
      </c>
      <c r="J2028" s="2"/>
      <c r="K2028" s="2" t="s">
        <v>18</v>
      </c>
      <c r="L2028" s="2"/>
    </row>
    <row r="2029">
      <c r="A2029" s="8" t="s">
        <v>2317</v>
      </c>
      <c r="B2029" s="8" t="s">
        <v>2317</v>
      </c>
      <c r="C2029" s="2" t="s">
        <v>109</v>
      </c>
      <c r="D2029" s="2" t="s">
        <v>110</v>
      </c>
      <c r="E2029" s="6">
        <v>46010.3491087963</v>
      </c>
      <c r="F2029" s="3" t="s">
        <v>111</v>
      </c>
      <c r="G2029" s="2" t="s">
        <v>24</v>
      </c>
      <c r="H2029" s="2"/>
      <c r="I2029" s="2"/>
      <c r="J2029" s="2"/>
      <c r="K2029" s="2" t="s">
        <v>18</v>
      </c>
      <c r="L2029" s="2"/>
    </row>
    <row r="2030">
      <c r="A2030" s="8" t="s">
        <v>2318</v>
      </c>
      <c r="B2030" s="8" t="s">
        <v>2318</v>
      </c>
      <c r="C2030" s="2" t="s">
        <v>2081</v>
      </c>
      <c r="D2030" s="2" t="s">
        <v>2082</v>
      </c>
      <c r="E2030" s="6">
        <v>46010.35034722222</v>
      </c>
      <c r="F2030" s="3" t="s">
        <v>2083</v>
      </c>
      <c r="G2030" s="2" t="s">
        <v>24</v>
      </c>
      <c r="H2030" s="2"/>
      <c r="I2030" s="2"/>
      <c r="J2030" s="2"/>
      <c r="K2030" s="2" t="s">
        <v>18</v>
      </c>
      <c r="L2030" s="2"/>
    </row>
    <row r="2031">
      <c r="A2031" s="8" t="s">
        <v>2319</v>
      </c>
      <c r="B2031" s="8" t="s">
        <v>2319</v>
      </c>
      <c r="C2031" s="2" t="s">
        <v>1776</v>
      </c>
      <c r="D2031" s="2" t="s">
        <v>1777</v>
      </c>
      <c r="E2031" s="6">
        <v>46010.35325231482</v>
      </c>
      <c r="F2031" s="3" t="s">
        <v>1778</v>
      </c>
      <c r="G2031" s="2" t="s">
        <v>16</v>
      </c>
      <c r="H2031" s="2"/>
      <c r="I2031" s="2" t="s">
        <v>17</v>
      </c>
      <c r="J2031" s="2"/>
      <c r="K2031" s="2" t="s">
        <v>18</v>
      </c>
      <c r="L2031" s="2"/>
    </row>
    <row r="2032">
      <c r="A2032" s="8" t="s">
        <v>2320</v>
      </c>
      <c r="B2032" s="8" t="s">
        <v>2320</v>
      </c>
      <c r="C2032" s="2" t="s">
        <v>951</v>
      </c>
      <c r="D2032" s="2" t="s">
        <v>952</v>
      </c>
      <c r="E2032" s="6">
        <v>46010.3596412037</v>
      </c>
      <c r="F2032" s="3" t="s">
        <v>953</v>
      </c>
      <c r="G2032" s="2" t="s">
        <v>24</v>
      </c>
      <c r="H2032" s="2"/>
      <c r="I2032" s="2"/>
      <c r="J2032" s="2"/>
      <c r="K2032" s="2" t="s">
        <v>18</v>
      </c>
      <c r="L2032" s="2"/>
    </row>
    <row r="2033">
      <c r="A2033" s="8" t="s">
        <v>2321</v>
      </c>
      <c r="B2033" s="8" t="s">
        <v>2321</v>
      </c>
      <c r="C2033" s="2" t="s">
        <v>1776</v>
      </c>
      <c r="D2033" s="2" t="s">
        <v>1777</v>
      </c>
      <c r="E2033" s="6">
        <v>46010.371770833335</v>
      </c>
      <c r="F2033" s="3" t="s">
        <v>1778</v>
      </c>
      <c r="G2033" s="2" t="s">
        <v>24</v>
      </c>
      <c r="H2033" s="2"/>
      <c r="I2033" s="2"/>
      <c r="J2033" s="2"/>
      <c r="K2033" s="2" t="s">
        <v>18</v>
      </c>
      <c r="L2033" s="2"/>
    </row>
    <row r="2034">
      <c r="A2034" s="8" t="s">
        <v>2322</v>
      </c>
      <c r="B2034" s="8" t="s">
        <v>2322</v>
      </c>
      <c r="C2034" s="2" t="s">
        <v>1993</v>
      </c>
      <c r="D2034" s="2" t="s">
        <v>1994</v>
      </c>
      <c r="E2034" s="6">
        <v>46010.39685185185</v>
      </c>
      <c r="F2034" s="3" t="s">
        <v>1995</v>
      </c>
      <c r="G2034" s="2" t="s">
        <v>16</v>
      </c>
      <c r="H2034" s="2"/>
      <c r="I2034" s="2" t="s">
        <v>17</v>
      </c>
      <c r="J2034" s="2"/>
      <c r="K2034" s="2" t="s">
        <v>18</v>
      </c>
      <c r="L2034" s="2"/>
    </row>
    <row r="2035">
      <c r="A2035" s="8" t="s">
        <v>2323</v>
      </c>
      <c r="B2035" s="8" t="s">
        <v>2323</v>
      </c>
      <c r="C2035" s="2" t="s">
        <v>131</v>
      </c>
      <c r="D2035" s="2" t="s">
        <v>132</v>
      </c>
      <c r="E2035" s="6">
        <v>46010.42025462963</v>
      </c>
      <c r="F2035" s="3" t="s">
        <v>133</v>
      </c>
      <c r="G2035" s="2" t="s">
        <v>16</v>
      </c>
      <c r="H2035" s="2"/>
      <c r="I2035" s="2" t="s">
        <v>17</v>
      </c>
      <c r="J2035" s="2"/>
      <c r="K2035" s="2" t="s">
        <v>18</v>
      </c>
      <c r="L2035" s="2"/>
    </row>
    <row r="2036">
      <c r="A2036" s="8" t="s">
        <v>2324</v>
      </c>
      <c r="B2036" s="8" t="s">
        <v>2324</v>
      </c>
      <c r="C2036" s="2" t="s">
        <v>1564</v>
      </c>
      <c r="D2036" s="2" t="s">
        <v>1565</v>
      </c>
      <c r="E2036" s="6">
        <v>46010.43004629629</v>
      </c>
      <c r="F2036" s="3" t="s">
        <v>1566</v>
      </c>
      <c r="G2036" s="2" t="s">
        <v>16</v>
      </c>
      <c r="H2036" s="2"/>
      <c r="I2036" s="2" t="s">
        <v>395</v>
      </c>
      <c r="J2036" s="2"/>
      <c r="K2036" s="2" t="s">
        <v>18</v>
      </c>
      <c r="L2036" s="2"/>
    </row>
    <row r="2037">
      <c r="A2037" s="8" t="s">
        <v>2325</v>
      </c>
      <c r="B2037" s="8" t="s">
        <v>2325</v>
      </c>
      <c r="C2037" s="2" t="s">
        <v>1993</v>
      </c>
      <c r="D2037" s="2" t="s">
        <v>1994</v>
      </c>
      <c r="E2037" s="6">
        <v>46010.44795138889</v>
      </c>
      <c r="F2037" s="3" t="s">
        <v>1995</v>
      </c>
      <c r="G2037" s="2" t="s">
        <v>24</v>
      </c>
      <c r="H2037" s="2"/>
      <c r="I2037" s="2"/>
      <c r="J2037" s="2"/>
      <c r="K2037" s="2" t="s">
        <v>18</v>
      </c>
      <c r="L2037" s="2"/>
    </row>
    <row r="2038">
      <c r="A2038" s="8" t="s">
        <v>2326</v>
      </c>
      <c r="B2038" s="8" t="s">
        <v>2326</v>
      </c>
      <c r="C2038" s="2" t="s">
        <v>131</v>
      </c>
      <c r="D2038" s="2" t="s">
        <v>132</v>
      </c>
      <c r="E2038" s="6">
        <v>46010.448541666665</v>
      </c>
      <c r="F2038" s="3" t="s">
        <v>133</v>
      </c>
      <c r="G2038" s="2" t="s">
        <v>24</v>
      </c>
      <c r="H2038" s="2"/>
      <c r="I2038" s="2"/>
      <c r="J2038" s="2"/>
      <c r="K2038" s="2" t="s">
        <v>18</v>
      </c>
      <c r="L2038" s="2"/>
    </row>
    <row r="2039">
      <c r="A2039" s="8" t="s">
        <v>2327</v>
      </c>
      <c r="B2039" s="8" t="s">
        <v>2327</v>
      </c>
      <c r="C2039" s="2" t="s">
        <v>1564</v>
      </c>
      <c r="D2039" s="2" t="s">
        <v>1565</v>
      </c>
      <c r="E2039" s="6">
        <v>46010.46107638889</v>
      </c>
      <c r="F2039" s="3" t="s">
        <v>1566</v>
      </c>
      <c r="G2039" s="2" t="s">
        <v>24</v>
      </c>
      <c r="H2039" s="2"/>
      <c r="I2039" s="2"/>
      <c r="J2039" s="2"/>
      <c r="K2039" s="2" t="s">
        <v>18</v>
      </c>
      <c r="L2039" s="2"/>
    </row>
    <row r="2040">
      <c r="A2040" s="8" t="s">
        <v>2328</v>
      </c>
      <c r="B2040" s="8" t="s">
        <v>2328</v>
      </c>
      <c r="C2040" s="2" t="s">
        <v>326</v>
      </c>
      <c r="D2040" s="2" t="s">
        <v>327</v>
      </c>
      <c r="E2040" s="6">
        <v>46010.475798611114</v>
      </c>
      <c r="F2040" s="3" t="s">
        <v>328</v>
      </c>
      <c r="G2040" s="2" t="s">
        <v>16</v>
      </c>
      <c r="H2040" s="2"/>
      <c r="I2040" s="2" t="s">
        <v>395</v>
      </c>
      <c r="J2040" s="2"/>
      <c r="K2040" s="2" t="s">
        <v>18</v>
      </c>
      <c r="L2040" s="2"/>
    </row>
    <row r="2041">
      <c r="A2041" s="8" t="s">
        <v>2329</v>
      </c>
      <c r="B2041" s="8" t="s">
        <v>2329</v>
      </c>
      <c r="C2041" s="2" t="s">
        <v>2081</v>
      </c>
      <c r="D2041" s="2" t="s">
        <v>2082</v>
      </c>
      <c r="E2041" s="6">
        <v>46010.5390162037</v>
      </c>
      <c r="F2041" s="3" t="s">
        <v>2083</v>
      </c>
      <c r="G2041" s="2" t="s">
        <v>16</v>
      </c>
      <c r="H2041" s="2"/>
      <c r="I2041" s="2" t="s">
        <v>17</v>
      </c>
      <c r="J2041" s="2"/>
      <c r="K2041" s="2" t="s">
        <v>18</v>
      </c>
      <c r="L2041" s="2"/>
    </row>
    <row r="2042">
      <c r="A2042" s="8" t="s">
        <v>2330</v>
      </c>
      <c r="B2042" s="8" t="s">
        <v>2330</v>
      </c>
      <c r="C2042" s="2" t="s">
        <v>786</v>
      </c>
      <c r="D2042" s="2" t="s">
        <v>787</v>
      </c>
      <c r="E2042" s="6">
        <v>46010.55498842592</v>
      </c>
      <c r="F2042" s="3" t="s">
        <v>788</v>
      </c>
      <c r="G2042" s="2" t="s">
        <v>16</v>
      </c>
      <c r="H2042" s="2"/>
      <c r="I2042" s="2" t="s">
        <v>17</v>
      </c>
      <c r="J2042" s="2"/>
      <c r="K2042" s="2" t="s">
        <v>18</v>
      </c>
      <c r="L2042" s="2"/>
    </row>
    <row r="2043">
      <c r="A2043" s="8" t="s">
        <v>2331</v>
      </c>
      <c r="B2043" s="8" t="s">
        <v>2331</v>
      </c>
      <c r="C2043" s="2" t="s">
        <v>326</v>
      </c>
      <c r="D2043" s="2" t="s">
        <v>327</v>
      </c>
      <c r="E2043" s="6">
        <v>46010.65149305556</v>
      </c>
      <c r="F2043" s="3" t="s">
        <v>328</v>
      </c>
      <c r="G2043" s="2" t="s">
        <v>24</v>
      </c>
      <c r="H2043" s="2"/>
      <c r="I2043" s="2"/>
      <c r="J2043" s="2"/>
      <c r="K2043" s="2" t="s">
        <v>18</v>
      </c>
      <c r="L2043" s="2"/>
    </row>
    <row r="2044">
      <c r="A2044" s="8" t="s">
        <v>2332</v>
      </c>
      <c r="B2044" s="8" t="s">
        <v>2332</v>
      </c>
      <c r="C2044" s="2" t="s">
        <v>786</v>
      </c>
      <c r="D2044" s="2" t="s">
        <v>787</v>
      </c>
      <c r="E2044" s="6">
        <v>46011.38644675926</v>
      </c>
      <c r="F2044" s="3" t="s">
        <v>788</v>
      </c>
      <c r="G2044" s="2" t="s">
        <v>24</v>
      </c>
      <c r="H2044" s="2"/>
      <c r="I2044" s="2"/>
      <c r="J2044" s="2"/>
      <c r="K2044" s="2" t="s">
        <v>18</v>
      </c>
      <c r="L2044" s="2"/>
    </row>
    <row r="2045">
      <c r="A2045" s="8" t="s">
        <v>2333</v>
      </c>
      <c r="B2045" s="8" t="s">
        <v>2333</v>
      </c>
      <c r="C2045" s="2" t="s">
        <v>2005</v>
      </c>
      <c r="D2045" s="2" t="s">
        <v>2006</v>
      </c>
      <c r="E2045" s="6">
        <v>46011.503217592595</v>
      </c>
      <c r="F2045" s="3" t="s">
        <v>2007</v>
      </c>
      <c r="G2045" s="2" t="s">
        <v>24</v>
      </c>
      <c r="H2045" s="2"/>
      <c r="I2045" s="2"/>
      <c r="J2045" s="2"/>
      <c r="K2045" s="2" t="s">
        <v>18</v>
      </c>
      <c r="L2045" s="2"/>
    </row>
    <row r="2046">
      <c r="A2046" s="8" t="s">
        <v>2334</v>
      </c>
      <c r="B2046" s="8" t="s">
        <v>2334</v>
      </c>
      <c r="C2046" s="2" t="s">
        <v>1904</v>
      </c>
      <c r="D2046" s="2" t="s">
        <v>1905</v>
      </c>
      <c r="E2046" s="6">
        <v>46011.50630787037</v>
      </c>
      <c r="F2046" s="3" t="s">
        <v>1906</v>
      </c>
      <c r="G2046" s="2" t="s">
        <v>24</v>
      </c>
      <c r="H2046" s="2"/>
      <c r="I2046" s="2"/>
      <c r="J2046" s="2"/>
      <c r="K2046" s="2" t="s">
        <v>18</v>
      </c>
      <c r="L2046" s="2"/>
    </row>
    <row r="2047">
      <c r="A2047" s="8" t="s">
        <v>2335</v>
      </c>
      <c r="B2047" s="8" t="s">
        <v>2335</v>
      </c>
      <c r="C2047" s="2" t="s">
        <v>2005</v>
      </c>
      <c r="D2047" s="2" t="s">
        <v>2006</v>
      </c>
      <c r="E2047" s="6">
        <v>46012.443460648145</v>
      </c>
      <c r="F2047" s="3" t="s">
        <v>2007</v>
      </c>
      <c r="G2047" s="2" t="s">
        <v>16</v>
      </c>
      <c r="H2047" s="2"/>
      <c r="I2047" s="2" t="s">
        <v>17</v>
      </c>
      <c r="J2047" s="2"/>
      <c r="K2047" s="2" t="s">
        <v>18</v>
      </c>
      <c r="L2047" s="2"/>
    </row>
    <row r="2048">
      <c r="A2048" s="8" t="s">
        <v>2336</v>
      </c>
      <c r="B2048" s="8" t="s">
        <v>2336</v>
      </c>
      <c r="C2048" s="2" t="s">
        <v>1776</v>
      </c>
      <c r="D2048" s="2" t="s">
        <v>1777</v>
      </c>
      <c r="E2048" s="6">
        <v>46013.353784722225</v>
      </c>
      <c r="F2048" s="3" t="s">
        <v>1778</v>
      </c>
      <c r="G2048" s="2" t="s">
        <v>16</v>
      </c>
      <c r="H2048" s="2"/>
      <c r="I2048" s="2" t="s">
        <v>17</v>
      </c>
      <c r="J2048" s="2"/>
      <c r="K2048" s="2" t="s">
        <v>18</v>
      </c>
      <c r="L2048" s="2"/>
    </row>
    <row r="2049">
      <c r="A2049" s="8" t="s">
        <v>2337</v>
      </c>
      <c r="B2049" s="8" t="s">
        <v>2337</v>
      </c>
      <c r="C2049" s="2" t="s">
        <v>109</v>
      </c>
      <c r="D2049" s="2" t="s">
        <v>110</v>
      </c>
      <c r="E2049" s="6">
        <v>46013.358819444446</v>
      </c>
      <c r="F2049" s="3" t="s">
        <v>111</v>
      </c>
      <c r="G2049" s="2" t="s">
        <v>16</v>
      </c>
      <c r="H2049" s="2"/>
      <c r="I2049" s="2" t="s">
        <v>17</v>
      </c>
      <c r="J2049" s="2"/>
      <c r="K2049" s="2" t="s">
        <v>18</v>
      </c>
      <c r="L2049" s="2"/>
    </row>
    <row r="2050">
      <c r="A2050" s="8" t="s">
        <v>2338</v>
      </c>
      <c r="B2050" s="8" t="s">
        <v>2338</v>
      </c>
      <c r="C2050" s="2" t="s">
        <v>1613</v>
      </c>
      <c r="D2050" s="2" t="s">
        <v>1614</v>
      </c>
      <c r="E2050" s="6">
        <v>46013.35986111111</v>
      </c>
      <c r="F2050" s="3" t="s">
        <v>1615</v>
      </c>
      <c r="G2050" s="2" t="s">
        <v>16</v>
      </c>
      <c r="H2050" s="2"/>
      <c r="I2050" s="2" t="s">
        <v>395</v>
      </c>
      <c r="J2050" s="2"/>
      <c r="K2050" s="2" t="s">
        <v>18</v>
      </c>
      <c r="L2050" s="2"/>
    </row>
    <row r="2051">
      <c r="A2051" s="8" t="s">
        <v>2339</v>
      </c>
      <c r="B2051" s="8" t="s">
        <v>2339</v>
      </c>
      <c r="C2051" s="2" t="s">
        <v>2270</v>
      </c>
      <c r="D2051" s="2" t="s">
        <v>2271</v>
      </c>
      <c r="E2051" s="6">
        <v>46013.36678240741</v>
      </c>
      <c r="F2051" s="3" t="s">
        <v>2272</v>
      </c>
      <c r="G2051" s="2" t="s">
        <v>16</v>
      </c>
      <c r="H2051" s="2"/>
      <c r="I2051" s="2" t="s">
        <v>395</v>
      </c>
      <c r="J2051" s="2"/>
      <c r="K2051" s="2" t="s">
        <v>18</v>
      </c>
      <c r="L2051" s="2"/>
    </row>
    <row r="2052">
      <c r="A2052" s="8" t="s">
        <v>2340</v>
      </c>
      <c r="B2052" s="8" t="s">
        <v>2340</v>
      </c>
      <c r="C2052" s="2" t="s">
        <v>1975</v>
      </c>
      <c r="D2052" s="2" t="s">
        <v>1976</v>
      </c>
      <c r="E2052" s="6">
        <v>46013.436631944445</v>
      </c>
      <c r="F2052" s="3" t="s">
        <v>1977</v>
      </c>
      <c r="G2052" s="2" t="s">
        <v>16</v>
      </c>
      <c r="H2052" s="2"/>
      <c r="I2052" s="2" t="s">
        <v>17</v>
      </c>
      <c r="J2052" s="2"/>
      <c r="K2052" s="2" t="s">
        <v>18</v>
      </c>
      <c r="L2052" s="2"/>
    </row>
    <row r="2053">
      <c r="A2053" s="8" t="s">
        <v>2341</v>
      </c>
      <c r="B2053" s="8" t="s">
        <v>2341</v>
      </c>
      <c r="C2053" s="2" t="s">
        <v>786</v>
      </c>
      <c r="D2053" s="2" t="s">
        <v>787</v>
      </c>
      <c r="E2053" s="6">
        <v>46013.438576388886</v>
      </c>
      <c r="F2053" s="3" t="s">
        <v>788</v>
      </c>
      <c r="G2053" s="2" t="s">
        <v>16</v>
      </c>
      <c r="H2053" s="2"/>
      <c r="I2053" s="2" t="s">
        <v>17</v>
      </c>
      <c r="J2053" s="2"/>
      <c r="K2053" s="2" t="s">
        <v>18</v>
      </c>
      <c r="L2053" s="2"/>
    </row>
    <row r="2054">
      <c r="A2054" s="8" t="s">
        <v>2342</v>
      </c>
      <c r="B2054" s="8" t="s">
        <v>2342</v>
      </c>
      <c r="C2054" s="2" t="s">
        <v>1613</v>
      </c>
      <c r="D2054" s="2" t="s">
        <v>1614</v>
      </c>
      <c r="E2054" s="6">
        <v>46013.448541666665</v>
      </c>
      <c r="F2054" s="3" t="s">
        <v>1615</v>
      </c>
      <c r="G2054" s="2" t="s">
        <v>24</v>
      </c>
      <c r="H2054" s="2"/>
      <c r="I2054" s="2"/>
      <c r="J2054" s="2"/>
      <c r="K2054" s="2" t="s">
        <v>18</v>
      </c>
      <c r="L2054" s="2"/>
    </row>
    <row r="2055">
      <c r="A2055" s="8" t="s">
        <v>2343</v>
      </c>
      <c r="B2055" s="8" t="s">
        <v>2343</v>
      </c>
      <c r="C2055" s="2" t="s">
        <v>1993</v>
      </c>
      <c r="D2055" s="2" t="s">
        <v>1994</v>
      </c>
      <c r="E2055" s="6">
        <v>46013.449108796296</v>
      </c>
      <c r="F2055" s="3" t="s">
        <v>1995</v>
      </c>
      <c r="G2055" s="2" t="s">
        <v>24</v>
      </c>
      <c r="H2055" s="2"/>
      <c r="I2055" s="2"/>
      <c r="J2055" s="2"/>
      <c r="K2055" s="2" t="s">
        <v>18</v>
      </c>
      <c r="L2055" s="2"/>
    </row>
    <row r="2056">
      <c r="A2056" s="8" t="s">
        <v>2344</v>
      </c>
      <c r="B2056" s="8" t="s">
        <v>2344</v>
      </c>
      <c r="C2056" s="2" t="s">
        <v>1776</v>
      </c>
      <c r="D2056" s="2" t="s">
        <v>1777</v>
      </c>
      <c r="E2056" s="6">
        <v>46013.44993055556</v>
      </c>
      <c r="F2056" s="3" t="s">
        <v>1778</v>
      </c>
      <c r="G2056" s="2" t="s">
        <v>24</v>
      </c>
      <c r="H2056" s="2"/>
      <c r="I2056" s="2"/>
      <c r="J2056" s="2"/>
      <c r="K2056" s="2" t="s">
        <v>18</v>
      </c>
      <c r="L2056" s="2"/>
    </row>
    <row r="2057">
      <c r="A2057" s="8" t="s">
        <v>2345</v>
      </c>
      <c r="B2057" s="8" t="s">
        <v>2345</v>
      </c>
      <c r="C2057" s="2" t="s">
        <v>1873</v>
      </c>
      <c r="D2057" s="2" t="s">
        <v>1874</v>
      </c>
      <c r="E2057" s="6">
        <v>46013.45407407408</v>
      </c>
      <c r="F2057" s="3" t="s">
        <v>1875</v>
      </c>
      <c r="G2057" s="2" t="s">
        <v>16</v>
      </c>
      <c r="H2057" s="2"/>
      <c r="I2057" s="2" t="s">
        <v>395</v>
      </c>
      <c r="J2057" s="2"/>
      <c r="K2057" s="2" t="s">
        <v>18</v>
      </c>
      <c r="L2057" s="2"/>
    </row>
    <row r="2058">
      <c r="A2058" s="8" t="s">
        <v>2346</v>
      </c>
      <c r="B2058" s="8" t="s">
        <v>2346</v>
      </c>
      <c r="C2058" s="2" t="s">
        <v>885</v>
      </c>
      <c r="D2058" s="2" t="s">
        <v>886</v>
      </c>
      <c r="E2058" s="6">
        <v>46013.50665509259</v>
      </c>
      <c r="F2058" s="3" t="s">
        <v>887</v>
      </c>
      <c r="G2058" s="2" t="s">
        <v>16</v>
      </c>
      <c r="H2058" s="2"/>
      <c r="I2058" s="2" t="s">
        <v>17</v>
      </c>
      <c r="J2058" s="2"/>
      <c r="K2058" s="2" t="s">
        <v>18</v>
      </c>
      <c r="L2058" s="2"/>
    </row>
    <row r="2059">
      <c r="A2059" s="8" t="s">
        <v>2347</v>
      </c>
      <c r="B2059" s="8" t="s">
        <v>2347</v>
      </c>
      <c r="C2059" s="2" t="s">
        <v>1183</v>
      </c>
      <c r="D2059" s="2" t="s">
        <v>1184</v>
      </c>
      <c r="E2059" s="6">
        <v>46013.521053240744</v>
      </c>
      <c r="F2059" s="3" t="s">
        <v>1185</v>
      </c>
      <c r="G2059" s="2" t="s">
        <v>24</v>
      </c>
      <c r="H2059" s="2"/>
      <c r="I2059" s="2"/>
      <c r="J2059" s="2"/>
      <c r="K2059" s="2" t="s">
        <v>18</v>
      </c>
      <c r="L2059" s="2"/>
    </row>
    <row r="2060">
      <c r="A2060" s="8" t="s">
        <v>2348</v>
      </c>
      <c r="B2060" s="8" t="s">
        <v>2348</v>
      </c>
      <c r="C2060" s="2" t="s">
        <v>2349</v>
      </c>
      <c r="D2060" s="2" t="s">
        <v>2350</v>
      </c>
      <c r="E2060" s="6">
        <v>46013.663298611114</v>
      </c>
      <c r="F2060" s="3" t="s">
        <v>2351</v>
      </c>
      <c r="G2060" s="2" t="s">
        <v>16</v>
      </c>
      <c r="H2060" s="2"/>
      <c r="I2060" s="2" t="s">
        <v>395</v>
      </c>
      <c r="J2060" s="2"/>
      <c r="K2060" s="2" t="s">
        <v>18</v>
      </c>
      <c r="L2060" s="2"/>
    </row>
    <row r="2061">
      <c r="A2061" s="8" t="s">
        <v>2352</v>
      </c>
      <c r="B2061" s="8" t="s">
        <v>2352</v>
      </c>
      <c r="C2061" s="2" t="s">
        <v>885</v>
      </c>
      <c r="D2061" s="2" t="s">
        <v>886</v>
      </c>
      <c r="E2061" s="6">
        <v>46013.67648148148</v>
      </c>
      <c r="F2061" s="3" t="s">
        <v>887</v>
      </c>
      <c r="G2061" s="2" t="s">
        <v>24</v>
      </c>
      <c r="H2061" s="2"/>
      <c r="I2061" s="2"/>
      <c r="J2061" s="2"/>
      <c r="K2061" s="2" t="s">
        <v>18</v>
      </c>
      <c r="L2061" s="2"/>
    </row>
    <row r="2062">
      <c r="A2062" s="8" t="s">
        <v>2353</v>
      </c>
      <c r="B2062" s="8" t="s">
        <v>2353</v>
      </c>
      <c r="C2062" s="2" t="s">
        <v>786</v>
      </c>
      <c r="D2062" s="2" t="s">
        <v>787</v>
      </c>
      <c r="E2062" s="6">
        <v>46013.71655092593</v>
      </c>
      <c r="F2062" s="3" t="s">
        <v>788</v>
      </c>
      <c r="G2062" s="2" t="s">
        <v>24</v>
      </c>
      <c r="H2062" s="2"/>
      <c r="I2062" s="2"/>
      <c r="J2062" s="2"/>
      <c r="K2062" s="2" t="s">
        <v>18</v>
      </c>
      <c r="L2062" s="2"/>
    </row>
    <row r="2063">
      <c r="A2063" s="8" t="s">
        <v>2354</v>
      </c>
      <c r="B2063" s="8" t="s">
        <v>2354</v>
      </c>
      <c r="C2063" s="2" t="s">
        <v>1975</v>
      </c>
      <c r="D2063" s="2" t="s">
        <v>1976</v>
      </c>
      <c r="E2063" s="6">
        <v>46013.7193287037</v>
      </c>
      <c r="F2063" s="3" t="s">
        <v>1977</v>
      </c>
      <c r="G2063" s="2" t="s">
        <v>24</v>
      </c>
      <c r="H2063" s="2"/>
      <c r="I2063" s="2"/>
      <c r="J2063" s="2"/>
      <c r="K2063" s="2" t="s">
        <v>18</v>
      </c>
      <c r="L2063" s="2"/>
    </row>
    <row r="2064">
      <c r="A2064" s="8" t="s">
        <v>2355</v>
      </c>
      <c r="B2064" s="8" t="s">
        <v>2355</v>
      </c>
      <c r="C2064" s="2" t="s">
        <v>2270</v>
      </c>
      <c r="D2064" s="2" t="s">
        <v>2271</v>
      </c>
      <c r="E2064" s="6">
        <v>46013.720358796294</v>
      </c>
      <c r="F2064" s="3" t="s">
        <v>2272</v>
      </c>
      <c r="G2064" s="2" t="s">
        <v>24</v>
      </c>
      <c r="H2064" s="2"/>
      <c r="I2064" s="2"/>
      <c r="J2064" s="2"/>
      <c r="K2064" s="2" t="s">
        <v>18</v>
      </c>
      <c r="L2064" s="2"/>
    </row>
    <row r="2065">
      <c r="A2065" s="8" t="s">
        <v>2356</v>
      </c>
      <c r="B2065" s="8" t="s">
        <v>2356</v>
      </c>
      <c r="C2065" s="2" t="s">
        <v>2131</v>
      </c>
      <c r="D2065" s="2" t="s">
        <v>2171</v>
      </c>
      <c r="E2065" s="6">
        <v>46014.34872685185</v>
      </c>
      <c r="F2065" s="3" t="s">
        <v>2172</v>
      </c>
      <c r="G2065" s="2" t="s">
        <v>16</v>
      </c>
      <c r="H2065" s="2"/>
      <c r="I2065" s="2" t="s">
        <v>17</v>
      </c>
      <c r="J2065" s="2"/>
      <c r="K2065" s="2" t="s">
        <v>18</v>
      </c>
      <c r="L2065" s="2"/>
    </row>
    <row r="2066">
      <c r="A2066" s="8" t="s">
        <v>2357</v>
      </c>
      <c r="B2066" s="8" t="s">
        <v>2357</v>
      </c>
      <c r="C2066" s="2" t="s">
        <v>1993</v>
      </c>
      <c r="D2066" s="2" t="s">
        <v>1994</v>
      </c>
      <c r="E2066" s="6">
        <v>46014.36880787037</v>
      </c>
      <c r="F2066" s="3" t="s">
        <v>1995</v>
      </c>
      <c r="G2066" s="2" t="s">
        <v>16</v>
      </c>
      <c r="H2066" s="2"/>
      <c r="I2066" s="2" t="s">
        <v>17</v>
      </c>
      <c r="J2066" s="2"/>
      <c r="K2066" s="2" t="s">
        <v>18</v>
      </c>
      <c r="L2066" s="2"/>
    </row>
    <row r="2067">
      <c r="A2067" s="8" t="s">
        <v>2358</v>
      </c>
      <c r="B2067" s="8" t="s">
        <v>2358</v>
      </c>
      <c r="C2067" s="2" t="s">
        <v>885</v>
      </c>
      <c r="D2067" s="2" t="s">
        <v>886</v>
      </c>
      <c r="E2067" s="6">
        <v>46014.44019675926</v>
      </c>
      <c r="F2067" s="3" t="s">
        <v>887</v>
      </c>
      <c r="G2067" s="2" t="s">
        <v>16</v>
      </c>
      <c r="H2067" s="2"/>
      <c r="I2067" s="2" t="s">
        <v>17</v>
      </c>
      <c r="J2067" s="2"/>
      <c r="K2067" s="2" t="s">
        <v>18</v>
      </c>
      <c r="L2067" s="2"/>
    </row>
    <row r="2068">
      <c r="A2068" s="8" t="s">
        <v>2359</v>
      </c>
      <c r="B2068" s="8" t="s">
        <v>2359</v>
      </c>
      <c r="C2068" s="2" t="s">
        <v>2005</v>
      </c>
      <c r="D2068" s="2" t="s">
        <v>2006</v>
      </c>
      <c r="E2068" s="6">
        <v>46014.50011574074</v>
      </c>
      <c r="F2068" s="3" t="s">
        <v>2007</v>
      </c>
      <c r="G2068" s="2" t="s">
        <v>24</v>
      </c>
      <c r="H2068" s="2"/>
      <c r="I2068" s="2"/>
      <c r="J2068" s="2"/>
      <c r="K2068" s="2" t="s">
        <v>18</v>
      </c>
      <c r="L2068" s="2"/>
    </row>
    <row r="2069">
      <c r="A2069" s="8" t="s">
        <v>2360</v>
      </c>
      <c r="B2069" s="8" t="s">
        <v>2360</v>
      </c>
      <c r="C2069" s="2" t="s">
        <v>1993</v>
      </c>
      <c r="D2069" s="2" t="s">
        <v>1994</v>
      </c>
      <c r="E2069" s="6">
        <v>46014.50067129629</v>
      </c>
      <c r="F2069" s="3" t="s">
        <v>1995</v>
      </c>
      <c r="G2069" s="2" t="s">
        <v>24</v>
      </c>
      <c r="H2069" s="2"/>
      <c r="I2069" s="2"/>
      <c r="J2069" s="2"/>
      <c r="K2069" s="2" t="s">
        <v>18</v>
      </c>
      <c r="L2069" s="2"/>
    </row>
    <row r="2070">
      <c r="A2070" s="8" t="s">
        <v>2361</v>
      </c>
      <c r="B2070" s="8" t="s">
        <v>2361</v>
      </c>
      <c r="C2070" s="2" t="s">
        <v>49</v>
      </c>
      <c r="D2070" s="2" t="s">
        <v>50</v>
      </c>
      <c r="E2070" s="6">
        <v>46014.50133101852</v>
      </c>
      <c r="F2070" s="3" t="s">
        <v>51</v>
      </c>
      <c r="G2070" s="2" t="s">
        <v>24</v>
      </c>
      <c r="H2070" s="2"/>
      <c r="I2070" s="2"/>
      <c r="J2070" s="2"/>
      <c r="K2070" s="2" t="s">
        <v>18</v>
      </c>
      <c r="L2070" s="2"/>
    </row>
    <row r="2071">
      <c r="A2071" s="8" t="s">
        <v>2362</v>
      </c>
      <c r="B2071" s="8" t="s">
        <v>2362</v>
      </c>
      <c r="C2071" s="2" t="s">
        <v>2131</v>
      </c>
      <c r="D2071" s="2" t="s">
        <v>2171</v>
      </c>
      <c r="E2071" s="6">
        <v>46014.523668981485</v>
      </c>
      <c r="F2071" s="3" t="s">
        <v>2172</v>
      </c>
      <c r="G2071" s="2" t="s">
        <v>24</v>
      </c>
      <c r="H2071" s="2"/>
      <c r="I2071" s="2"/>
      <c r="J2071" s="2"/>
      <c r="K2071" s="2" t="s">
        <v>18</v>
      </c>
      <c r="L2071" s="2"/>
    </row>
    <row r="2072">
      <c r="A2072" s="8" t="s">
        <v>2363</v>
      </c>
      <c r="B2072" s="8" t="s">
        <v>2363</v>
      </c>
      <c r="C2072" s="2" t="s">
        <v>786</v>
      </c>
      <c r="D2072" s="2" t="s">
        <v>787</v>
      </c>
      <c r="E2072" s="6">
        <v>46014.56628472222</v>
      </c>
      <c r="F2072" s="3" t="s">
        <v>788</v>
      </c>
      <c r="G2072" s="2" t="s">
        <v>16</v>
      </c>
      <c r="H2072" s="2"/>
      <c r="I2072" s="2" t="s">
        <v>17</v>
      </c>
      <c r="J2072" s="2"/>
      <c r="K2072" s="2" t="s">
        <v>18</v>
      </c>
      <c r="L2072" s="2"/>
    </row>
    <row r="2073">
      <c r="A2073" s="8" t="s">
        <v>2364</v>
      </c>
      <c r="B2073" s="8" t="s">
        <v>2364</v>
      </c>
      <c r="C2073" s="2" t="s">
        <v>786</v>
      </c>
      <c r="D2073" s="2" t="s">
        <v>787</v>
      </c>
      <c r="E2073" s="6">
        <v>46015.35417824074</v>
      </c>
      <c r="F2073" s="3" t="s">
        <v>788</v>
      </c>
      <c r="G2073" s="2" t="s">
        <v>24</v>
      </c>
      <c r="H2073" s="2"/>
      <c r="I2073" s="2"/>
      <c r="J2073" s="2"/>
      <c r="K2073" s="2" t="s">
        <v>18</v>
      </c>
      <c r="L2073" s="2"/>
    </row>
    <row r="2074">
      <c r="A2074" s="8" t="s">
        <v>2365</v>
      </c>
      <c r="B2074" s="8" t="s">
        <v>2365</v>
      </c>
      <c r="C2074" s="2" t="s">
        <v>45</v>
      </c>
      <c r="D2074" s="2" t="s">
        <v>46</v>
      </c>
      <c r="E2074" s="6">
        <v>46015.36939814815</v>
      </c>
      <c r="F2074" s="3" t="s">
        <v>47</v>
      </c>
      <c r="G2074" s="2" t="s">
        <v>16</v>
      </c>
      <c r="H2074" s="2"/>
      <c r="I2074" s="2" t="s">
        <v>17</v>
      </c>
      <c r="J2074" s="2"/>
      <c r="K2074" s="2" t="s">
        <v>18</v>
      </c>
      <c r="L2074" s="2"/>
    </row>
    <row r="2075">
      <c r="A2075" s="8" t="s">
        <v>2366</v>
      </c>
      <c r="B2075" s="8" t="s">
        <v>2366</v>
      </c>
      <c r="C2075" s="2" t="s">
        <v>786</v>
      </c>
      <c r="D2075" s="2" t="s">
        <v>787</v>
      </c>
      <c r="E2075" s="6">
        <v>46015.39083333333</v>
      </c>
      <c r="F2075" s="3" t="s">
        <v>788</v>
      </c>
      <c r="G2075" s="2" t="s">
        <v>16</v>
      </c>
      <c r="H2075" s="2"/>
      <c r="I2075" s="2" t="s">
        <v>17</v>
      </c>
      <c r="J2075" s="2"/>
      <c r="K2075" s="2" t="s">
        <v>18</v>
      </c>
      <c r="L2075" s="2"/>
    </row>
    <row r="2076">
      <c r="A2076" s="8" t="s">
        <v>2367</v>
      </c>
      <c r="B2076" s="8" t="s">
        <v>2367</v>
      </c>
      <c r="C2076" s="2" t="s">
        <v>2081</v>
      </c>
      <c r="D2076" s="2" t="s">
        <v>2082</v>
      </c>
      <c r="E2076" s="6">
        <v>46015.42946759259</v>
      </c>
      <c r="F2076" s="3" t="s">
        <v>2083</v>
      </c>
      <c r="G2076" s="2" t="s">
        <v>16</v>
      </c>
      <c r="H2076" s="2"/>
      <c r="I2076" s="2" t="s">
        <v>17</v>
      </c>
      <c r="J2076" s="2"/>
      <c r="K2076" s="2" t="s">
        <v>18</v>
      </c>
      <c r="L2076" s="2"/>
    </row>
    <row r="2077">
      <c r="A2077" s="8" t="s">
        <v>2368</v>
      </c>
      <c r="B2077" s="8" t="s">
        <v>2368</v>
      </c>
      <c r="C2077" s="2" t="s">
        <v>213</v>
      </c>
      <c r="D2077" s="2" t="s">
        <v>214</v>
      </c>
      <c r="E2077" s="6">
        <v>46015.43262731482</v>
      </c>
      <c r="F2077" s="3" t="s">
        <v>215</v>
      </c>
      <c r="G2077" s="2" t="s">
        <v>16</v>
      </c>
      <c r="H2077" s="2"/>
      <c r="I2077" s="2" t="s">
        <v>17</v>
      </c>
      <c r="J2077" s="2"/>
      <c r="K2077" s="2" t="s">
        <v>18</v>
      </c>
      <c r="L2077" s="2"/>
    </row>
    <row r="2078">
      <c r="A2078" s="8" t="s">
        <v>2369</v>
      </c>
      <c r="B2078" s="8" t="s">
        <v>2369</v>
      </c>
      <c r="C2078" s="2" t="s">
        <v>2217</v>
      </c>
      <c r="D2078" s="2" t="s">
        <v>2218</v>
      </c>
      <c r="E2078" s="6">
        <v>46015.444236111114</v>
      </c>
      <c r="F2078" s="3" t="s">
        <v>2219</v>
      </c>
      <c r="G2078" s="2" t="s">
        <v>24</v>
      </c>
      <c r="H2078" s="2"/>
      <c r="I2078" s="2"/>
      <c r="J2078" s="2"/>
      <c r="K2078" s="2" t="s">
        <v>18</v>
      </c>
      <c r="L2078" s="2"/>
    </row>
    <row r="2079">
      <c r="A2079" s="8" t="s">
        <v>2370</v>
      </c>
      <c r="B2079" s="8" t="s">
        <v>2370</v>
      </c>
      <c r="C2079" s="2" t="s">
        <v>45</v>
      </c>
      <c r="D2079" s="2" t="s">
        <v>46</v>
      </c>
      <c r="E2079" s="6">
        <v>46015.46444444444</v>
      </c>
      <c r="F2079" s="3" t="s">
        <v>47</v>
      </c>
      <c r="G2079" s="2" t="s">
        <v>24</v>
      </c>
      <c r="H2079" s="2"/>
      <c r="I2079" s="2"/>
      <c r="J2079" s="2"/>
      <c r="K2079" s="2" t="s">
        <v>18</v>
      </c>
      <c r="L2079" s="2"/>
    </row>
    <row r="2080">
      <c r="A2080" s="8" t="s">
        <v>2371</v>
      </c>
      <c r="B2080" s="8" t="s">
        <v>2371</v>
      </c>
      <c r="C2080" s="2" t="s">
        <v>326</v>
      </c>
      <c r="D2080" s="2" t="s">
        <v>327</v>
      </c>
      <c r="E2080" s="6">
        <v>46015.46538194444</v>
      </c>
      <c r="F2080" s="3" t="s">
        <v>328</v>
      </c>
      <c r="G2080" s="2" t="s">
        <v>24</v>
      </c>
      <c r="H2080" s="2"/>
      <c r="I2080" s="2"/>
      <c r="J2080" s="2"/>
      <c r="K2080" s="2" t="s">
        <v>18</v>
      </c>
      <c r="L2080" s="2"/>
    </row>
    <row r="2081">
      <c r="A2081" s="1"/>
      <c r="B2081" s="1"/>
      <c r="C2081" s="2"/>
      <c r="D2081" s="2"/>
      <c r="E2081" s="6"/>
      <c r="F2081" s="3"/>
      <c r="G2081" s="2"/>
      <c r="H2081" s="2"/>
      <c r="I2081" s="2"/>
      <c r="J2081" s="2"/>
      <c r="K2081" s="2"/>
      <c r="L2081" s="2"/>
    </row>
    <row r="2082">
      <c r="A2082" s="8" t="s">
        <v>2372</v>
      </c>
      <c r="B2082" s="8" t="s">
        <v>2372</v>
      </c>
      <c r="C2082" s="2" t="s">
        <v>786</v>
      </c>
      <c r="D2082" s="2" t="s">
        <v>787</v>
      </c>
      <c r="E2082" s="6">
        <v>46015.596284722225</v>
      </c>
      <c r="F2082" s="3" t="s">
        <v>788</v>
      </c>
      <c r="G2082" s="2" t="s">
        <v>24</v>
      </c>
      <c r="H2082" s="2"/>
      <c r="I2082" s="2"/>
      <c r="J2082" s="2"/>
      <c r="K2082" s="2" t="s">
        <v>18</v>
      </c>
      <c r="L2082" s="2"/>
    </row>
    <row r="2083">
      <c r="A2083" s="8" t="s">
        <v>2373</v>
      </c>
      <c r="B2083" s="8" t="s">
        <v>2373</v>
      </c>
      <c r="C2083" s="2" t="s">
        <v>2081</v>
      </c>
      <c r="D2083" s="2" t="s">
        <v>2082</v>
      </c>
      <c r="E2083" s="6">
        <v>46015.614074074074</v>
      </c>
      <c r="F2083" s="3" t="s">
        <v>2083</v>
      </c>
      <c r="G2083" s="2" t="s">
        <v>24</v>
      </c>
      <c r="H2083" s="2"/>
      <c r="I2083" s="2"/>
      <c r="J2083" s="2"/>
      <c r="K2083" s="2" t="s">
        <v>18</v>
      </c>
      <c r="L2083" s="2"/>
    </row>
    <row r="2084">
      <c r="A2084" s="8" t="s">
        <v>2374</v>
      </c>
      <c r="B2084" s="8" t="s">
        <v>2374</v>
      </c>
      <c r="C2084" s="2" t="s">
        <v>213</v>
      </c>
      <c r="D2084" s="2" t="s">
        <v>214</v>
      </c>
      <c r="E2084" s="6">
        <v>46015.614652777775</v>
      </c>
      <c r="F2084" s="3" t="s">
        <v>215</v>
      </c>
      <c r="G2084" s="2" t="s">
        <v>24</v>
      </c>
      <c r="H2084" s="2"/>
      <c r="I2084" s="2"/>
      <c r="J2084" s="2"/>
      <c r="K2084" s="2" t="s">
        <v>18</v>
      </c>
      <c r="L2084" s="2"/>
    </row>
    <row r="2085">
      <c r="A2085" s="8" t="s">
        <v>2375</v>
      </c>
      <c r="B2085" s="8" t="s">
        <v>2375</v>
      </c>
      <c r="C2085" s="2" t="s">
        <v>2005</v>
      </c>
      <c r="D2085" s="2" t="s">
        <v>2006</v>
      </c>
      <c r="E2085" s="6">
        <v>46017.35700231481</v>
      </c>
      <c r="F2085" s="3" t="s">
        <v>2007</v>
      </c>
      <c r="G2085" s="2" t="s">
        <v>16</v>
      </c>
      <c r="H2085" s="2"/>
      <c r="I2085" s="2" t="s">
        <v>17</v>
      </c>
      <c r="J2085" s="2"/>
      <c r="K2085" s="2" t="s">
        <v>18</v>
      </c>
      <c r="L2085" s="2"/>
    </row>
    <row r="2086">
      <c r="A2086" s="8" t="s">
        <v>2376</v>
      </c>
      <c r="B2086" s="8" t="s">
        <v>2376</v>
      </c>
      <c r="C2086" s="2" t="s">
        <v>1618</v>
      </c>
      <c r="D2086" s="2" t="s">
        <v>1619</v>
      </c>
      <c r="E2086" s="6">
        <v>46017.399664351855</v>
      </c>
      <c r="F2086" s="3" t="s">
        <v>1620</v>
      </c>
      <c r="G2086" s="2" t="s">
        <v>16</v>
      </c>
      <c r="H2086" s="2"/>
      <c r="I2086" s="2" t="s">
        <v>17</v>
      </c>
      <c r="J2086" s="2"/>
      <c r="K2086" s="2" t="s">
        <v>18</v>
      </c>
      <c r="L2086" s="2"/>
    </row>
    <row r="2087">
      <c r="A2087" s="8" t="s">
        <v>2377</v>
      </c>
      <c r="B2087" s="8" t="s">
        <v>2377</v>
      </c>
      <c r="C2087" s="2" t="s">
        <v>2005</v>
      </c>
      <c r="D2087" s="2" t="s">
        <v>2006</v>
      </c>
      <c r="E2087" s="6">
        <v>46017.41395833333</v>
      </c>
      <c r="F2087" s="3" t="s">
        <v>2007</v>
      </c>
      <c r="G2087" s="2" t="s">
        <v>24</v>
      </c>
      <c r="H2087" s="2"/>
      <c r="I2087" s="2"/>
      <c r="J2087" s="2"/>
      <c r="K2087" s="2" t="s">
        <v>18</v>
      </c>
      <c r="L2087" s="2"/>
    </row>
    <row r="2088">
      <c r="A2088" s="8" t="s">
        <v>2378</v>
      </c>
      <c r="B2088" s="8" t="s">
        <v>2378</v>
      </c>
      <c r="C2088" s="2" t="s">
        <v>1993</v>
      </c>
      <c r="D2088" s="2" t="s">
        <v>1994</v>
      </c>
      <c r="E2088" s="6">
        <v>46017.44954861111</v>
      </c>
      <c r="F2088" s="3" t="s">
        <v>1995</v>
      </c>
      <c r="G2088" s="2" t="s">
        <v>16</v>
      </c>
      <c r="H2088" s="2"/>
      <c r="I2088" s="2" t="s">
        <v>17</v>
      </c>
      <c r="J2088" s="2"/>
      <c r="K2088" s="2" t="s">
        <v>18</v>
      </c>
      <c r="L2088" s="2"/>
    </row>
    <row r="2089">
      <c r="A2089" s="8" t="s">
        <v>2379</v>
      </c>
      <c r="B2089" s="8" t="s">
        <v>2379</v>
      </c>
      <c r="C2089" s="2" t="s">
        <v>1756</v>
      </c>
      <c r="D2089" s="2" t="s">
        <v>1757</v>
      </c>
      <c r="E2089" s="6">
        <v>46017.48609953704</v>
      </c>
      <c r="F2089" s="3" t="s">
        <v>1758</v>
      </c>
      <c r="G2089" s="2" t="s">
        <v>16</v>
      </c>
      <c r="H2089" s="2"/>
      <c r="I2089" s="2" t="s">
        <v>17</v>
      </c>
      <c r="J2089" s="2"/>
      <c r="K2089" s="2" t="s">
        <v>18</v>
      </c>
      <c r="L2089" s="2"/>
    </row>
    <row r="2090">
      <c r="A2090" s="8" t="s">
        <v>2380</v>
      </c>
      <c r="B2090" s="8" t="s">
        <v>2380</v>
      </c>
      <c r="C2090" s="2" t="s">
        <v>1371</v>
      </c>
      <c r="D2090" s="2" t="s">
        <v>1372</v>
      </c>
      <c r="E2090" s="6">
        <v>46017.48708333333</v>
      </c>
      <c r="F2090" s="3" t="s">
        <v>1373</v>
      </c>
      <c r="G2090" s="2" t="s">
        <v>16</v>
      </c>
      <c r="H2090" s="2"/>
      <c r="I2090" s="2" t="s">
        <v>395</v>
      </c>
      <c r="J2090" s="2"/>
      <c r="K2090" s="2" t="s">
        <v>18</v>
      </c>
      <c r="L2090" s="2"/>
    </row>
    <row r="2091">
      <c r="A2091" s="8" t="s">
        <v>2381</v>
      </c>
      <c r="B2091" s="8" t="s">
        <v>2381</v>
      </c>
      <c r="C2091" s="2" t="s">
        <v>1993</v>
      </c>
      <c r="D2091" s="2" t="s">
        <v>1994</v>
      </c>
      <c r="E2091" s="6">
        <v>46017.4909375</v>
      </c>
      <c r="F2091" s="3" t="s">
        <v>1995</v>
      </c>
      <c r="G2091" s="2" t="s">
        <v>24</v>
      </c>
      <c r="H2091" s="2"/>
      <c r="I2091" s="2"/>
      <c r="J2091" s="2"/>
      <c r="K2091" s="2" t="s">
        <v>18</v>
      </c>
      <c r="L2091" s="2"/>
    </row>
    <row r="2092">
      <c r="A2092" s="8" t="s">
        <v>2382</v>
      </c>
      <c r="B2092" s="8" t="s">
        <v>2382</v>
      </c>
      <c r="C2092" s="2" t="s">
        <v>951</v>
      </c>
      <c r="D2092" s="2" t="s">
        <v>952</v>
      </c>
      <c r="E2092" s="6">
        <v>46017.51697916666</v>
      </c>
      <c r="F2092" s="3" t="s">
        <v>953</v>
      </c>
      <c r="G2092" s="2" t="s">
        <v>24</v>
      </c>
      <c r="H2092" s="2"/>
      <c r="I2092" s="2"/>
      <c r="J2092" s="2"/>
      <c r="K2092" s="2" t="s">
        <v>18</v>
      </c>
      <c r="L2092" s="2"/>
    </row>
    <row r="2093">
      <c r="A2093" s="8" t="s">
        <v>2383</v>
      </c>
      <c r="B2093" s="8" t="s">
        <v>2383</v>
      </c>
      <c r="C2093" s="2" t="s">
        <v>1618</v>
      </c>
      <c r="D2093" s="2" t="s">
        <v>1619</v>
      </c>
      <c r="E2093" s="6">
        <v>46017.51810185185</v>
      </c>
      <c r="F2093" s="3" t="s">
        <v>1620</v>
      </c>
      <c r="G2093" s="2" t="s">
        <v>24</v>
      </c>
      <c r="H2093" s="2"/>
      <c r="I2093" s="2"/>
      <c r="J2093" s="2"/>
      <c r="K2093" s="2" t="s">
        <v>18</v>
      </c>
      <c r="L2093" s="2"/>
    </row>
    <row r="2094">
      <c r="A2094" s="8" t="s">
        <v>2384</v>
      </c>
      <c r="B2094" s="8" t="s">
        <v>2384</v>
      </c>
      <c r="C2094" s="2" t="s">
        <v>786</v>
      </c>
      <c r="D2094" s="2" t="s">
        <v>787</v>
      </c>
      <c r="E2094" s="6">
        <v>46017.52071759259</v>
      </c>
      <c r="F2094" s="3" t="s">
        <v>788</v>
      </c>
      <c r="G2094" s="2" t="s">
        <v>16</v>
      </c>
      <c r="H2094" s="2"/>
      <c r="I2094" s="2" t="s">
        <v>17</v>
      </c>
      <c r="J2094" s="2"/>
      <c r="K2094" s="2" t="s">
        <v>18</v>
      </c>
      <c r="L2094" s="2"/>
    </row>
    <row r="2095">
      <c r="A2095" s="8" t="s">
        <v>2385</v>
      </c>
      <c r="B2095" s="8" t="s">
        <v>2385</v>
      </c>
      <c r="C2095" s="2" t="s">
        <v>951</v>
      </c>
      <c r="D2095" s="2" t="s">
        <v>952</v>
      </c>
      <c r="E2095" s="6">
        <v>46017.521157407406</v>
      </c>
      <c r="F2095" s="3" t="s">
        <v>953</v>
      </c>
      <c r="G2095" s="2" t="s">
        <v>16</v>
      </c>
      <c r="H2095" s="2"/>
      <c r="I2095" s="2" t="s">
        <v>17</v>
      </c>
      <c r="J2095" s="2"/>
      <c r="K2095" s="2" t="s">
        <v>18</v>
      </c>
      <c r="L2095" s="2"/>
    </row>
    <row r="2096">
      <c r="A2096" s="8" t="s">
        <v>2386</v>
      </c>
      <c r="B2096" s="8" t="s">
        <v>2386</v>
      </c>
      <c r="C2096" s="2" t="s">
        <v>1756</v>
      </c>
      <c r="D2096" s="2" t="s">
        <v>1757</v>
      </c>
      <c r="E2096" s="6">
        <v>46017.64958333333</v>
      </c>
      <c r="F2096" s="3" t="s">
        <v>1758</v>
      </c>
      <c r="G2096" s="2" t="s">
        <v>24</v>
      </c>
      <c r="H2096" s="2"/>
      <c r="I2096" s="2"/>
      <c r="J2096" s="2"/>
      <c r="K2096" s="2" t="s">
        <v>18</v>
      </c>
      <c r="L2096" s="2"/>
    </row>
    <row r="2097">
      <c r="A2097" s="8" t="s">
        <v>2387</v>
      </c>
      <c r="B2097" s="8" t="s">
        <v>2387</v>
      </c>
      <c r="C2097" s="2" t="s">
        <v>786</v>
      </c>
      <c r="D2097" s="2" t="s">
        <v>787</v>
      </c>
      <c r="E2097" s="6">
        <v>46017.650358796294</v>
      </c>
      <c r="F2097" s="3" t="s">
        <v>788</v>
      </c>
      <c r="G2097" s="2" t="s">
        <v>24</v>
      </c>
      <c r="H2097" s="2"/>
      <c r="I2097" s="2"/>
      <c r="J2097" s="2"/>
      <c r="K2097" s="2" t="s">
        <v>18</v>
      </c>
      <c r="L2097" s="2"/>
    </row>
    <row r="2098">
      <c r="A2098" s="8" t="s">
        <v>2388</v>
      </c>
      <c r="B2098" s="8" t="s">
        <v>2388</v>
      </c>
      <c r="C2098" s="2" t="s">
        <v>2131</v>
      </c>
      <c r="D2098" s="2" t="s">
        <v>2171</v>
      </c>
      <c r="E2098" s="6">
        <v>46018.34326388889</v>
      </c>
      <c r="F2098" s="3" t="s">
        <v>2172</v>
      </c>
      <c r="G2098" s="2" t="s">
        <v>16</v>
      </c>
      <c r="H2098" s="2"/>
      <c r="I2098" s="2" t="s">
        <v>17</v>
      </c>
      <c r="J2098" s="2"/>
      <c r="K2098" s="2" t="s">
        <v>18</v>
      </c>
      <c r="L2098" s="2"/>
    </row>
    <row r="2099">
      <c r="A2099" s="8" t="s">
        <v>2389</v>
      </c>
      <c r="B2099" s="8" t="s">
        <v>2389</v>
      </c>
      <c r="C2099" s="2" t="s">
        <v>786</v>
      </c>
      <c r="D2099" s="2" t="s">
        <v>787</v>
      </c>
      <c r="E2099" s="6">
        <v>46018.42357638889</v>
      </c>
      <c r="F2099" s="3" t="s">
        <v>788</v>
      </c>
      <c r="G2099" s="2" t="s">
        <v>16</v>
      </c>
      <c r="H2099" s="2"/>
      <c r="I2099" s="2" t="s">
        <v>17</v>
      </c>
      <c r="J2099" s="2"/>
      <c r="K2099" s="2" t="s">
        <v>18</v>
      </c>
      <c r="L2099" s="2"/>
    </row>
    <row r="2100">
      <c r="A2100" s="8" t="s">
        <v>2390</v>
      </c>
      <c r="B2100" s="8" t="s">
        <v>2390</v>
      </c>
      <c r="C2100" s="2" t="s">
        <v>326</v>
      </c>
      <c r="D2100" s="2" t="s">
        <v>327</v>
      </c>
      <c r="E2100" s="6">
        <v>46018.523368055554</v>
      </c>
      <c r="F2100" s="3" t="s">
        <v>328</v>
      </c>
      <c r="G2100" s="2" t="s">
        <v>16</v>
      </c>
      <c r="H2100" s="2"/>
      <c r="I2100" s="2" t="s">
        <v>395</v>
      </c>
      <c r="J2100" s="2"/>
      <c r="K2100" s="2" t="s">
        <v>18</v>
      </c>
      <c r="L2100" s="2"/>
    </row>
    <row r="2101">
      <c r="A2101" s="8" t="s">
        <v>2391</v>
      </c>
      <c r="B2101" s="8" t="s">
        <v>2391</v>
      </c>
      <c r="C2101" s="2" t="s">
        <v>213</v>
      </c>
      <c r="D2101" s="2" t="s">
        <v>214</v>
      </c>
      <c r="E2101" s="6">
        <v>46018.52887731481</v>
      </c>
      <c r="F2101" s="3" t="s">
        <v>215</v>
      </c>
      <c r="G2101" s="2" t="s">
        <v>24</v>
      </c>
      <c r="H2101" s="2"/>
      <c r="I2101" s="2"/>
      <c r="J2101" s="2"/>
      <c r="K2101" s="2" t="s">
        <v>18</v>
      </c>
      <c r="L2101" s="2"/>
    </row>
    <row r="2102">
      <c r="A2102" s="8" t="s">
        <v>2392</v>
      </c>
      <c r="B2102" s="8" t="s">
        <v>2392</v>
      </c>
      <c r="C2102" s="2" t="s">
        <v>1228</v>
      </c>
      <c r="D2102" s="2" t="s">
        <v>1229</v>
      </c>
      <c r="E2102" s="6">
        <v>46018.530497685184</v>
      </c>
      <c r="F2102" s="3" t="s">
        <v>1230</v>
      </c>
      <c r="G2102" s="2" t="s">
        <v>24</v>
      </c>
      <c r="H2102" s="2"/>
      <c r="I2102" s="2"/>
      <c r="J2102" s="2"/>
      <c r="K2102" s="2" t="s">
        <v>18</v>
      </c>
      <c r="L2102" s="2"/>
    </row>
    <row r="2103">
      <c r="A2103" s="8" t="s">
        <v>2393</v>
      </c>
      <c r="B2103" s="8" t="s">
        <v>2393</v>
      </c>
      <c r="C2103" s="2" t="s">
        <v>1776</v>
      </c>
      <c r="D2103" s="2" t="s">
        <v>1777</v>
      </c>
      <c r="E2103" s="6">
        <v>46018.53119212963</v>
      </c>
      <c r="F2103" s="3" t="s">
        <v>1778</v>
      </c>
      <c r="G2103" s="2" t="s">
        <v>16</v>
      </c>
      <c r="H2103" s="2"/>
      <c r="I2103" s="2" t="s">
        <v>395</v>
      </c>
      <c r="J2103" s="2"/>
      <c r="K2103" s="2" t="s">
        <v>18</v>
      </c>
      <c r="L2103" s="2"/>
    </row>
    <row r="2104">
      <c r="A2104" s="8" t="s">
        <v>2394</v>
      </c>
      <c r="B2104" s="8" t="s">
        <v>2394</v>
      </c>
      <c r="C2104" s="10" t="s">
        <v>1399</v>
      </c>
      <c r="D2104" s="2" t="s">
        <v>1400</v>
      </c>
      <c r="E2104" s="6">
        <v>46018.53159722222</v>
      </c>
      <c r="F2104" s="3" t="s">
        <v>1401</v>
      </c>
      <c r="G2104" s="2" t="s">
        <v>24</v>
      </c>
      <c r="H2104" s="2"/>
      <c r="I2104" s="2"/>
      <c r="J2104" s="2"/>
      <c r="K2104" s="2" t="s">
        <v>18</v>
      </c>
      <c r="L2104" s="2"/>
    </row>
    <row r="2105">
      <c r="A2105" s="8" t="s">
        <v>2395</v>
      </c>
      <c r="B2105" s="8" t="s">
        <v>2395</v>
      </c>
      <c r="C2105" s="2" t="s">
        <v>2131</v>
      </c>
      <c r="D2105" s="2" t="s">
        <v>2171</v>
      </c>
      <c r="E2105" s="6">
        <v>46018.531909722224</v>
      </c>
      <c r="F2105" s="3" t="s">
        <v>2172</v>
      </c>
      <c r="G2105" s="2" t="s">
        <v>24</v>
      </c>
      <c r="H2105" s="2"/>
      <c r="I2105" s="2"/>
      <c r="J2105" s="2"/>
      <c r="K2105" s="2" t="s">
        <v>18</v>
      </c>
      <c r="L2105" s="2"/>
    </row>
    <row r="2106">
      <c r="A2106" s="8" t="s">
        <v>2396</v>
      </c>
      <c r="B2106" s="8" t="s">
        <v>2396</v>
      </c>
      <c r="C2106" s="2" t="s">
        <v>786</v>
      </c>
      <c r="D2106" s="2" t="s">
        <v>787</v>
      </c>
      <c r="E2106" s="6">
        <v>46018.63214120371</v>
      </c>
      <c r="F2106" s="3" t="s">
        <v>788</v>
      </c>
      <c r="G2106" s="2" t="s">
        <v>24</v>
      </c>
      <c r="H2106" s="2"/>
      <c r="I2106" s="2"/>
      <c r="J2106" s="2"/>
      <c r="K2106" s="2" t="s">
        <v>18</v>
      </c>
      <c r="L2106" s="2"/>
    </row>
    <row r="2107">
      <c r="A2107" s="8" t="s">
        <v>2397</v>
      </c>
      <c r="B2107" s="8" t="s">
        <v>2397</v>
      </c>
      <c r="C2107" s="2" t="s">
        <v>1776</v>
      </c>
      <c r="D2107" s="2" t="s">
        <v>1777</v>
      </c>
      <c r="E2107" s="6">
        <v>46020.35666666667</v>
      </c>
      <c r="F2107" s="3" t="s">
        <v>1778</v>
      </c>
      <c r="G2107" s="2" t="s">
        <v>16</v>
      </c>
      <c r="H2107" s="2"/>
      <c r="I2107" s="2" t="s">
        <v>17</v>
      </c>
      <c r="J2107" s="2"/>
      <c r="K2107" s="2" t="s">
        <v>18</v>
      </c>
      <c r="L2107" s="2"/>
    </row>
    <row r="2108">
      <c r="A2108" s="8" t="s">
        <v>2398</v>
      </c>
      <c r="B2108" s="8" t="s">
        <v>2398</v>
      </c>
      <c r="C2108" s="2" t="s">
        <v>326</v>
      </c>
      <c r="D2108" s="2" t="s">
        <v>327</v>
      </c>
      <c r="E2108" s="6">
        <v>46020.35693287037</v>
      </c>
      <c r="F2108" s="3" t="s">
        <v>328</v>
      </c>
      <c r="G2108" s="2" t="s">
        <v>24</v>
      </c>
      <c r="H2108" s="2"/>
      <c r="I2108" s="2"/>
      <c r="J2108" s="2"/>
      <c r="K2108" s="2" t="s">
        <v>18</v>
      </c>
      <c r="L2108" s="2"/>
    </row>
    <row r="2109">
      <c r="A2109" s="8" t="s">
        <v>2399</v>
      </c>
      <c r="B2109" s="8" t="s">
        <v>2399</v>
      </c>
      <c r="C2109" s="2" t="s">
        <v>1873</v>
      </c>
      <c r="D2109" s="2" t="s">
        <v>1874</v>
      </c>
      <c r="E2109" s="6">
        <v>46020.37486111111</v>
      </c>
      <c r="F2109" s="3" t="s">
        <v>1875</v>
      </c>
      <c r="G2109" s="2" t="s">
        <v>16</v>
      </c>
      <c r="H2109" s="2"/>
      <c r="I2109" s="2" t="s">
        <v>395</v>
      </c>
      <c r="J2109" s="2"/>
      <c r="K2109" s="2" t="s">
        <v>18</v>
      </c>
      <c r="L2109" s="2"/>
    </row>
    <row r="2110">
      <c r="A2110" s="8" t="s">
        <v>2400</v>
      </c>
      <c r="B2110" s="8" t="s">
        <v>2400</v>
      </c>
      <c r="C2110" s="2" t="s">
        <v>1084</v>
      </c>
      <c r="D2110" s="2" t="s">
        <v>1085</v>
      </c>
      <c r="E2110" s="6">
        <v>46020.3984375</v>
      </c>
      <c r="F2110" s="3" t="s">
        <v>1086</v>
      </c>
      <c r="G2110" s="2" t="s">
        <v>16</v>
      </c>
      <c r="H2110" s="2"/>
      <c r="I2110" s="2" t="s">
        <v>17</v>
      </c>
      <c r="J2110" s="2"/>
      <c r="K2110" s="2" t="s">
        <v>18</v>
      </c>
      <c r="L2110" s="2"/>
    </row>
    <row r="2111">
      <c r="A2111" s="8" t="s">
        <v>2401</v>
      </c>
      <c r="B2111" s="8" t="s">
        <v>2401</v>
      </c>
      <c r="C2111" s="2" t="s">
        <v>1228</v>
      </c>
      <c r="D2111" s="2" t="s">
        <v>1229</v>
      </c>
      <c r="E2111" s="6">
        <v>46020.4862037037</v>
      </c>
      <c r="F2111" s="3" t="s">
        <v>1230</v>
      </c>
      <c r="G2111" s="2" t="s">
        <v>16</v>
      </c>
      <c r="H2111" s="2"/>
      <c r="I2111" s="2" t="s">
        <v>17</v>
      </c>
      <c r="J2111" s="2"/>
      <c r="K2111" s="2" t="s">
        <v>18</v>
      </c>
      <c r="L2111" s="2"/>
    </row>
    <row r="2112">
      <c r="A2112" s="8" t="s">
        <v>2402</v>
      </c>
      <c r="B2112" s="8" t="s">
        <v>2402</v>
      </c>
      <c r="C2112" s="2" t="s">
        <v>309</v>
      </c>
      <c r="D2112" s="2" t="s">
        <v>310</v>
      </c>
      <c r="E2112" s="6">
        <v>46020.48875</v>
      </c>
      <c r="F2112" s="3" t="s">
        <v>311</v>
      </c>
      <c r="G2112" s="2" t="s">
        <v>16</v>
      </c>
      <c r="H2112" s="2"/>
      <c r="I2112" s="2" t="s">
        <v>17</v>
      </c>
      <c r="J2112" s="2"/>
      <c r="K2112" s="2" t="s">
        <v>18</v>
      </c>
      <c r="L2112" s="2"/>
    </row>
    <row r="2113">
      <c r="A2113" s="8" t="s">
        <v>2403</v>
      </c>
      <c r="B2113" s="8" t="s">
        <v>2403</v>
      </c>
      <c r="C2113" s="2" t="s">
        <v>2081</v>
      </c>
      <c r="D2113" s="2" t="s">
        <v>2082</v>
      </c>
      <c r="E2113" s="6">
        <v>46020.52375</v>
      </c>
      <c r="F2113" s="3" t="s">
        <v>2083</v>
      </c>
      <c r="G2113" s="2" t="s">
        <v>16</v>
      </c>
      <c r="H2113" s="2"/>
      <c r="I2113" s="2" t="s">
        <v>17</v>
      </c>
      <c r="J2113" s="2"/>
      <c r="K2113" s="2" t="s">
        <v>18</v>
      </c>
      <c r="L2113" s="2"/>
    </row>
    <row r="2114">
      <c r="A2114" s="8" t="s">
        <v>2404</v>
      </c>
      <c r="B2114" s="8" t="s">
        <v>2404</v>
      </c>
      <c r="C2114" s="2" t="s">
        <v>2081</v>
      </c>
      <c r="D2114" s="2" t="s">
        <v>2082</v>
      </c>
      <c r="E2114" s="6">
        <v>46020.52474537037</v>
      </c>
      <c r="F2114" s="3" t="s">
        <v>2083</v>
      </c>
      <c r="G2114" s="2" t="s">
        <v>24</v>
      </c>
      <c r="H2114" s="2"/>
      <c r="I2114" s="2"/>
      <c r="J2114" s="2"/>
      <c r="K2114" s="2" t="s">
        <v>18</v>
      </c>
      <c r="L2114" s="2"/>
    </row>
    <row r="2115">
      <c r="A2115" s="8" t="s">
        <v>2405</v>
      </c>
      <c r="B2115" s="8" t="s">
        <v>2405</v>
      </c>
      <c r="C2115" s="2" t="s">
        <v>1084</v>
      </c>
      <c r="D2115" s="2" t="s">
        <v>1085</v>
      </c>
      <c r="E2115" s="6">
        <v>46020.525289351855</v>
      </c>
      <c r="F2115" s="3" t="s">
        <v>1086</v>
      </c>
      <c r="G2115" s="2" t="s">
        <v>24</v>
      </c>
      <c r="H2115" s="2"/>
      <c r="I2115" s="2"/>
      <c r="J2115" s="2"/>
      <c r="K2115" s="2" t="s">
        <v>18</v>
      </c>
      <c r="L2115" s="2"/>
    </row>
    <row r="2116">
      <c r="A2116" s="8" t="s">
        <v>2406</v>
      </c>
      <c r="B2116" s="8" t="s">
        <v>2406</v>
      </c>
      <c r="C2116" s="2" t="s">
        <v>1873</v>
      </c>
      <c r="D2116" s="2" t="s">
        <v>1874</v>
      </c>
      <c r="E2116" s="6">
        <v>46020.61246527778</v>
      </c>
      <c r="F2116" s="3" t="s">
        <v>1875</v>
      </c>
      <c r="G2116" s="2" t="s">
        <v>24</v>
      </c>
      <c r="H2116" s="2"/>
      <c r="I2116" s="2"/>
      <c r="J2116" s="2"/>
      <c r="K2116" s="2" t="s">
        <v>18</v>
      </c>
      <c r="L2116" s="2"/>
    </row>
    <row r="2117">
      <c r="A2117" s="8" t="s">
        <v>2407</v>
      </c>
      <c r="B2117" s="8" t="s">
        <v>2407</v>
      </c>
      <c r="C2117" s="2" t="s">
        <v>1975</v>
      </c>
      <c r="D2117" s="2" t="s">
        <v>1976</v>
      </c>
      <c r="E2117" s="6">
        <v>46020.613275462965</v>
      </c>
      <c r="F2117" s="3" t="s">
        <v>1977</v>
      </c>
      <c r="G2117" s="2" t="s">
        <v>24</v>
      </c>
      <c r="H2117" s="2"/>
      <c r="I2117" s="2"/>
      <c r="J2117" s="2"/>
      <c r="K2117" s="2" t="s">
        <v>18</v>
      </c>
      <c r="L2117" s="2"/>
    </row>
    <row r="2118">
      <c r="A2118" s="8" t="s">
        <v>2408</v>
      </c>
      <c r="B2118" s="8" t="s">
        <v>2408</v>
      </c>
      <c r="C2118" s="2" t="s">
        <v>786</v>
      </c>
      <c r="D2118" s="2" t="s">
        <v>787</v>
      </c>
      <c r="E2118" s="6">
        <v>46020.61368055556</v>
      </c>
      <c r="F2118" s="3" t="s">
        <v>788</v>
      </c>
      <c r="G2118" s="2" t="s">
        <v>24</v>
      </c>
      <c r="H2118" s="2"/>
      <c r="I2118" s="2"/>
      <c r="J2118" s="2"/>
      <c r="K2118" s="2" t="s">
        <v>18</v>
      </c>
      <c r="L2118" s="2"/>
    </row>
    <row r="2119">
      <c r="A2119" s="8" t="s">
        <v>2409</v>
      </c>
      <c r="B2119" s="8" t="s">
        <v>2409</v>
      </c>
      <c r="C2119" s="2" t="s">
        <v>309</v>
      </c>
      <c r="D2119" s="2" t="s">
        <v>310</v>
      </c>
      <c r="E2119" s="6">
        <v>46020.687731481485</v>
      </c>
      <c r="F2119" s="3" t="s">
        <v>311</v>
      </c>
      <c r="G2119" s="2" t="s">
        <v>24</v>
      </c>
      <c r="H2119" s="2"/>
      <c r="I2119" s="2"/>
      <c r="J2119" s="2"/>
      <c r="K2119" s="2" t="s">
        <v>18</v>
      </c>
      <c r="L2119" s="2"/>
    </row>
    <row r="2120">
      <c r="A2120" s="8" t="s">
        <v>2410</v>
      </c>
      <c r="B2120" s="8" t="s">
        <v>2410</v>
      </c>
      <c r="C2120" s="2" t="s">
        <v>786</v>
      </c>
      <c r="D2120" s="2" t="s">
        <v>787</v>
      </c>
      <c r="E2120" s="6">
        <v>46021.35766203704</v>
      </c>
      <c r="F2120" s="3" t="s">
        <v>788</v>
      </c>
      <c r="G2120" s="2" t="s">
        <v>16</v>
      </c>
      <c r="H2120" s="2"/>
      <c r="I2120" s="2" t="s">
        <v>17</v>
      </c>
      <c r="J2120" s="2"/>
      <c r="K2120" s="2" t="s">
        <v>18</v>
      </c>
      <c r="L2120" s="2"/>
    </row>
    <row r="2121">
      <c r="A2121" s="8" t="s">
        <v>2411</v>
      </c>
      <c r="B2121" s="8" t="s">
        <v>2411</v>
      </c>
      <c r="C2121" s="2" t="s">
        <v>309</v>
      </c>
      <c r="D2121" s="2" t="s">
        <v>310</v>
      </c>
      <c r="E2121" s="6">
        <v>46021.37201388889</v>
      </c>
      <c r="F2121" s="3" t="s">
        <v>311</v>
      </c>
      <c r="G2121" s="2" t="s">
        <v>16</v>
      </c>
      <c r="H2121" s="2"/>
      <c r="I2121" s="2" t="s">
        <v>395</v>
      </c>
      <c r="J2121" s="2"/>
      <c r="K2121" s="2" t="s">
        <v>18</v>
      </c>
      <c r="L2121" s="2"/>
    </row>
    <row r="2122">
      <c r="A2122" s="8" t="s">
        <v>2412</v>
      </c>
      <c r="B2122" s="8" t="s">
        <v>2412</v>
      </c>
      <c r="C2122" s="2" t="s">
        <v>2005</v>
      </c>
      <c r="D2122" s="2" t="s">
        <v>2006</v>
      </c>
      <c r="E2122" s="6">
        <v>46021.44636574074</v>
      </c>
      <c r="F2122" s="3" t="s">
        <v>2007</v>
      </c>
      <c r="G2122" s="2" t="s">
        <v>24</v>
      </c>
      <c r="H2122" s="2"/>
      <c r="I2122" s="2"/>
      <c r="J2122" s="2"/>
      <c r="K2122" s="2" t="s">
        <v>18</v>
      </c>
      <c r="L2122" s="2"/>
    </row>
    <row r="2123">
      <c r="A2123" s="8" t="s">
        <v>2413</v>
      </c>
      <c r="B2123" s="8" t="s">
        <v>2413</v>
      </c>
      <c r="C2123" s="2" t="s">
        <v>934</v>
      </c>
      <c r="D2123" s="2" t="s">
        <v>935</v>
      </c>
      <c r="E2123" s="6">
        <v>46021.447118055556</v>
      </c>
      <c r="F2123" s="3" t="s">
        <v>936</v>
      </c>
      <c r="G2123" s="2" t="s">
        <v>24</v>
      </c>
      <c r="H2123" s="2"/>
      <c r="I2123" s="2"/>
      <c r="J2123" s="2"/>
      <c r="K2123" s="2" t="s">
        <v>18</v>
      </c>
      <c r="L2123" s="2"/>
    </row>
    <row r="2124">
      <c r="A2124" s="8" t="s">
        <v>2414</v>
      </c>
      <c r="B2124" s="8" t="s">
        <v>2414</v>
      </c>
      <c r="C2124" s="2" t="s">
        <v>1904</v>
      </c>
      <c r="D2124" s="2" t="s">
        <v>1905</v>
      </c>
      <c r="E2124" s="6">
        <v>46021.44741898148</v>
      </c>
      <c r="F2124" s="3" t="s">
        <v>1906</v>
      </c>
      <c r="G2124" s="2" t="s">
        <v>24</v>
      </c>
      <c r="H2124" s="2"/>
      <c r="I2124" s="2"/>
      <c r="J2124" s="2"/>
      <c r="K2124" s="2" t="s">
        <v>18</v>
      </c>
      <c r="L2124" s="2"/>
    </row>
    <row r="2125">
      <c r="A2125" s="8" t="s">
        <v>2415</v>
      </c>
      <c r="B2125" s="8" t="s">
        <v>2415</v>
      </c>
      <c r="C2125" s="2" t="s">
        <v>109</v>
      </c>
      <c r="D2125" s="2" t="s">
        <v>110</v>
      </c>
      <c r="E2125" s="6">
        <v>46021.4478125</v>
      </c>
      <c r="F2125" s="3" t="s">
        <v>111</v>
      </c>
      <c r="G2125" s="2" t="s">
        <v>24</v>
      </c>
      <c r="H2125" s="2"/>
      <c r="I2125" s="2"/>
      <c r="J2125" s="2"/>
      <c r="K2125" s="2" t="s">
        <v>18</v>
      </c>
      <c r="L2125" s="2"/>
    </row>
    <row r="2126">
      <c r="A2126" s="8" t="s">
        <v>2416</v>
      </c>
      <c r="B2126" s="8" t="s">
        <v>2416</v>
      </c>
      <c r="C2126" s="2" t="s">
        <v>786</v>
      </c>
      <c r="D2126" s="2" t="s">
        <v>787</v>
      </c>
      <c r="E2126" s="6">
        <v>46021.57952546296</v>
      </c>
      <c r="F2126" s="3" t="s">
        <v>788</v>
      </c>
      <c r="G2126" s="2" t="s">
        <v>24</v>
      </c>
      <c r="H2126" s="2"/>
      <c r="I2126" s="2"/>
      <c r="J2126" s="2"/>
      <c r="K2126" s="2" t="s">
        <v>18</v>
      </c>
      <c r="L2126" s="2"/>
    </row>
    <row r="2127">
      <c r="A2127" s="8" t="s">
        <v>2417</v>
      </c>
      <c r="B2127" s="8" t="s">
        <v>2417</v>
      </c>
      <c r="C2127" s="2" t="s">
        <v>951</v>
      </c>
      <c r="D2127" s="2" t="s">
        <v>952</v>
      </c>
      <c r="E2127" s="6">
        <v>46021.58038194444</v>
      </c>
      <c r="F2127" s="3" t="s">
        <v>953</v>
      </c>
      <c r="G2127" s="2" t="s">
        <v>16</v>
      </c>
      <c r="H2127" s="2"/>
      <c r="I2127" s="2" t="s">
        <v>17</v>
      </c>
      <c r="J2127" s="2"/>
      <c r="K2127" s="2" t="s">
        <v>18</v>
      </c>
      <c r="L2127" s="2"/>
    </row>
    <row r="2128">
      <c r="A2128" s="8" t="s">
        <v>2418</v>
      </c>
      <c r="B2128" s="8" t="s">
        <v>2418</v>
      </c>
      <c r="C2128" s="2" t="s">
        <v>951</v>
      </c>
      <c r="D2128" s="2" t="s">
        <v>952</v>
      </c>
      <c r="E2128" s="6">
        <v>46021.61203703703</v>
      </c>
      <c r="F2128" s="3" t="s">
        <v>953</v>
      </c>
      <c r="G2128" s="2" t="s">
        <v>24</v>
      </c>
      <c r="H2128" s="2"/>
      <c r="I2128" s="2"/>
      <c r="J2128" s="2"/>
      <c r="K2128" s="2" t="s">
        <v>18</v>
      </c>
      <c r="L2128" s="2"/>
    </row>
    <row r="2129">
      <c r="A2129" s="8" t="s">
        <v>2419</v>
      </c>
      <c r="B2129" s="8" t="s">
        <v>2419</v>
      </c>
      <c r="C2129" s="2" t="s">
        <v>1889</v>
      </c>
      <c r="D2129" s="2" t="s">
        <v>1890</v>
      </c>
      <c r="E2129" s="6">
        <v>46022.35732638889</v>
      </c>
      <c r="F2129" s="3" t="s">
        <v>1891</v>
      </c>
      <c r="G2129" s="2" t="s">
        <v>16</v>
      </c>
      <c r="H2129" s="2"/>
      <c r="I2129" s="2" t="s">
        <v>17</v>
      </c>
      <c r="J2129" s="2"/>
      <c r="K2129" s="2" t="s">
        <v>18</v>
      </c>
      <c r="L2129" s="2"/>
    </row>
    <row r="2130">
      <c r="A2130" s="8" t="s">
        <v>2420</v>
      </c>
      <c r="B2130" s="8" t="s">
        <v>2420</v>
      </c>
      <c r="C2130" s="2" t="s">
        <v>786</v>
      </c>
      <c r="D2130" s="2" t="s">
        <v>787</v>
      </c>
      <c r="E2130" s="6">
        <v>46022.360243055555</v>
      </c>
      <c r="F2130" s="3" t="s">
        <v>788</v>
      </c>
      <c r="G2130" s="2" t="s">
        <v>16</v>
      </c>
      <c r="H2130" s="2"/>
      <c r="I2130" s="2" t="s">
        <v>17</v>
      </c>
      <c r="J2130" s="2"/>
      <c r="K2130" s="2" t="s">
        <v>18</v>
      </c>
      <c r="L2130" s="2"/>
    </row>
    <row r="2131">
      <c r="A2131" s="8" t="s">
        <v>2421</v>
      </c>
      <c r="B2131" s="8" t="s">
        <v>2421</v>
      </c>
      <c r="C2131" s="2" t="s">
        <v>1889</v>
      </c>
      <c r="D2131" s="2" t="s">
        <v>1890</v>
      </c>
      <c r="E2131" s="6">
        <v>46022.403333333335</v>
      </c>
      <c r="F2131" s="3" t="s">
        <v>1891</v>
      </c>
      <c r="G2131" s="2" t="s">
        <v>24</v>
      </c>
      <c r="H2131" s="2"/>
      <c r="I2131" s="2"/>
      <c r="J2131" s="2"/>
      <c r="K2131" s="2" t="s">
        <v>18</v>
      </c>
      <c r="L2131" s="2"/>
    </row>
    <row r="2132">
      <c r="A2132" s="8" t="s">
        <v>2422</v>
      </c>
      <c r="B2132" s="8" t="s">
        <v>2422</v>
      </c>
      <c r="C2132" s="2" t="s">
        <v>2131</v>
      </c>
      <c r="D2132" s="2" t="s">
        <v>2171</v>
      </c>
      <c r="E2132" s="6">
        <v>46024.37930555556</v>
      </c>
      <c r="F2132" s="3" t="s">
        <v>2172</v>
      </c>
      <c r="G2132" s="2" t="s">
        <v>16</v>
      </c>
      <c r="H2132" s="2"/>
      <c r="I2132" s="2" t="s">
        <v>17</v>
      </c>
      <c r="J2132" s="2"/>
      <c r="K2132" s="2" t="s">
        <v>18</v>
      </c>
      <c r="L2132" s="2"/>
    </row>
    <row r="2133">
      <c r="A2133" s="8" t="s">
        <v>2423</v>
      </c>
      <c r="B2133" s="8" t="s">
        <v>2423</v>
      </c>
      <c r="C2133" s="2" t="s">
        <v>2266</v>
      </c>
      <c r="D2133" s="2" t="s">
        <v>2267</v>
      </c>
      <c r="E2133" s="6">
        <v>46024.42030092593</v>
      </c>
      <c r="F2133" s="3" t="s">
        <v>2268</v>
      </c>
      <c r="G2133" s="2" t="s">
        <v>16</v>
      </c>
      <c r="H2133" s="2"/>
      <c r="I2133" s="2" t="s">
        <v>17</v>
      </c>
      <c r="J2133" s="2"/>
      <c r="K2133" s="2" t="s">
        <v>18</v>
      </c>
      <c r="L2133" s="2"/>
    </row>
    <row r="2134">
      <c r="A2134" s="8" t="s">
        <v>2424</v>
      </c>
      <c r="B2134" s="8" t="s">
        <v>2424</v>
      </c>
      <c r="C2134" s="2" t="s">
        <v>1371</v>
      </c>
      <c r="D2134" s="2" t="s">
        <v>1372</v>
      </c>
      <c r="E2134" s="6">
        <v>46024.46295138889</v>
      </c>
      <c r="F2134" s="3" t="s">
        <v>1373</v>
      </c>
      <c r="G2134" s="2" t="s">
        <v>16</v>
      </c>
      <c r="H2134" s="2"/>
      <c r="I2134" s="2" t="s">
        <v>395</v>
      </c>
      <c r="J2134" s="2"/>
      <c r="K2134" s="2" t="s">
        <v>18</v>
      </c>
      <c r="L2134" s="2"/>
    </row>
    <row r="2135">
      <c r="A2135" s="8" t="s">
        <v>2425</v>
      </c>
      <c r="B2135" s="8" t="s">
        <v>2425</v>
      </c>
      <c r="C2135" s="2" t="s">
        <v>1993</v>
      </c>
      <c r="D2135" s="2" t="s">
        <v>1994</v>
      </c>
      <c r="E2135" s="6">
        <v>46024.53482638889</v>
      </c>
      <c r="F2135" s="3" t="s">
        <v>1995</v>
      </c>
      <c r="G2135" s="2" t="s">
        <v>24</v>
      </c>
      <c r="H2135" s="2"/>
      <c r="I2135" s="2"/>
      <c r="J2135" s="2"/>
      <c r="K2135" s="2" t="s">
        <v>18</v>
      </c>
      <c r="L2135" s="2"/>
    </row>
    <row r="2136">
      <c r="A2136" s="8" t="s">
        <v>2426</v>
      </c>
      <c r="B2136" s="8" t="s">
        <v>2426</v>
      </c>
      <c r="C2136" s="2" t="s">
        <v>1371</v>
      </c>
      <c r="D2136" s="2" t="s">
        <v>1372</v>
      </c>
      <c r="E2136" s="6">
        <v>46024.535219907404</v>
      </c>
      <c r="F2136" s="3" t="s">
        <v>1373</v>
      </c>
      <c r="G2136" s="2" t="s">
        <v>24</v>
      </c>
      <c r="H2136" s="2"/>
      <c r="I2136" s="2"/>
      <c r="J2136" s="2"/>
      <c r="K2136" s="2" t="s">
        <v>18</v>
      </c>
      <c r="L2136" s="2"/>
    </row>
    <row r="2137">
      <c r="A2137" s="8" t="s">
        <v>2427</v>
      </c>
      <c r="B2137" s="8" t="s">
        <v>2427</v>
      </c>
      <c r="C2137" s="2" t="s">
        <v>2266</v>
      </c>
      <c r="D2137" s="2" t="s">
        <v>2267</v>
      </c>
      <c r="E2137" s="6">
        <v>46024.53575231481</v>
      </c>
      <c r="F2137" s="3" t="s">
        <v>2268</v>
      </c>
      <c r="G2137" s="2" t="s">
        <v>24</v>
      </c>
      <c r="H2137" s="2"/>
      <c r="I2137" s="2"/>
      <c r="J2137" s="2"/>
      <c r="K2137" s="2" t="s">
        <v>18</v>
      </c>
      <c r="L2137" s="2"/>
    </row>
    <row r="2138">
      <c r="A2138" s="8" t="s">
        <v>2428</v>
      </c>
      <c r="B2138" s="8" t="s">
        <v>2428</v>
      </c>
      <c r="C2138" s="2" t="s">
        <v>2131</v>
      </c>
      <c r="D2138" s="2" t="s">
        <v>2171</v>
      </c>
      <c r="E2138" s="6">
        <v>46024.53601851852</v>
      </c>
      <c r="F2138" s="3" t="s">
        <v>2172</v>
      </c>
      <c r="G2138" s="2" t="s">
        <v>24</v>
      </c>
      <c r="H2138" s="2"/>
      <c r="I2138" s="2"/>
      <c r="J2138" s="2"/>
      <c r="K2138" s="2" t="s">
        <v>18</v>
      </c>
      <c r="L2138" s="2"/>
    </row>
    <row r="2139">
      <c r="A2139" s="8" t="s">
        <v>2429</v>
      </c>
      <c r="B2139" s="8" t="s">
        <v>2429</v>
      </c>
      <c r="C2139" s="2" t="s">
        <v>951</v>
      </c>
      <c r="D2139" s="2" t="s">
        <v>952</v>
      </c>
      <c r="E2139" s="6">
        <v>46024.65027777778</v>
      </c>
      <c r="F2139" s="3" t="s">
        <v>953</v>
      </c>
      <c r="G2139" s="2" t="s">
        <v>16</v>
      </c>
      <c r="H2139" s="2"/>
      <c r="I2139" s="2" t="s">
        <v>17</v>
      </c>
      <c r="J2139" s="2"/>
      <c r="K2139" s="2" t="s">
        <v>18</v>
      </c>
      <c r="L2139" s="2"/>
    </row>
    <row r="2140">
      <c r="A2140" s="8" t="s">
        <v>2430</v>
      </c>
      <c r="B2140" s="8" t="s">
        <v>2430</v>
      </c>
      <c r="C2140" s="2" t="s">
        <v>786</v>
      </c>
      <c r="D2140" s="2" t="s">
        <v>787</v>
      </c>
      <c r="E2140" s="6">
        <v>46025.35506944444</v>
      </c>
      <c r="F2140" s="3" t="s">
        <v>788</v>
      </c>
      <c r="G2140" s="2" t="s">
        <v>16</v>
      </c>
      <c r="H2140" s="2"/>
      <c r="I2140" s="2" t="s">
        <v>17</v>
      </c>
      <c r="J2140" s="2"/>
      <c r="K2140" s="2" t="s">
        <v>18</v>
      </c>
      <c r="L2140" s="2"/>
    </row>
    <row r="2141">
      <c r="A2141" s="8" t="s">
        <v>2431</v>
      </c>
      <c r="B2141" s="8" t="s">
        <v>2431</v>
      </c>
      <c r="C2141" s="2" t="s">
        <v>904</v>
      </c>
      <c r="D2141" s="2" t="s">
        <v>905</v>
      </c>
      <c r="E2141" s="6">
        <v>46025.35738425926</v>
      </c>
      <c r="F2141" s="3" t="s">
        <v>906</v>
      </c>
      <c r="G2141" s="2" t="s">
        <v>16</v>
      </c>
      <c r="H2141" s="2"/>
      <c r="I2141" s="2" t="s">
        <v>395</v>
      </c>
      <c r="J2141" s="2"/>
      <c r="K2141" s="2" t="s">
        <v>18</v>
      </c>
      <c r="L2141" s="2"/>
    </row>
    <row r="2142">
      <c r="A2142" s="8" t="s">
        <v>2432</v>
      </c>
      <c r="B2142" s="8" t="s">
        <v>2432</v>
      </c>
      <c r="C2142" s="2" t="s">
        <v>1084</v>
      </c>
      <c r="D2142" s="2" t="s">
        <v>1085</v>
      </c>
      <c r="E2142" s="6">
        <v>46025.35787037037</v>
      </c>
      <c r="F2142" s="3" t="s">
        <v>1086</v>
      </c>
      <c r="G2142" s="2" t="s">
        <v>16</v>
      </c>
      <c r="H2142" s="2"/>
      <c r="I2142" s="2" t="s">
        <v>17</v>
      </c>
      <c r="J2142" s="2"/>
      <c r="K2142" s="2" t="s">
        <v>18</v>
      </c>
      <c r="L2142" s="2"/>
    </row>
    <row r="2143">
      <c r="A2143" s="8" t="s">
        <v>2433</v>
      </c>
      <c r="B2143" s="8" t="s">
        <v>2433</v>
      </c>
      <c r="C2143" s="2" t="s">
        <v>943</v>
      </c>
      <c r="D2143" s="2" t="s">
        <v>944</v>
      </c>
      <c r="E2143" s="6">
        <v>46025.51289351852</v>
      </c>
      <c r="F2143" s="3" t="s">
        <v>945</v>
      </c>
      <c r="G2143" s="2" t="s">
        <v>24</v>
      </c>
      <c r="H2143" s="2"/>
      <c r="I2143" s="2"/>
      <c r="J2143" s="2"/>
      <c r="K2143" s="2" t="s">
        <v>18</v>
      </c>
      <c r="L2143" s="2"/>
    </row>
    <row r="2144">
      <c r="A2144" s="8" t="s">
        <v>2434</v>
      </c>
      <c r="B2144" s="8" t="s">
        <v>2434</v>
      </c>
      <c r="C2144" s="2" t="s">
        <v>904</v>
      </c>
      <c r="D2144" s="2" t="s">
        <v>905</v>
      </c>
      <c r="E2144" s="6">
        <v>46025.514016203706</v>
      </c>
      <c r="F2144" s="3" t="s">
        <v>906</v>
      </c>
      <c r="G2144" s="2" t="s">
        <v>24</v>
      </c>
      <c r="H2144" s="2"/>
      <c r="I2144" s="2"/>
      <c r="J2144" s="2"/>
      <c r="K2144" s="2" t="s">
        <v>18</v>
      </c>
      <c r="L2144" s="2"/>
    </row>
    <row r="2145">
      <c r="A2145" s="8" t="s">
        <v>2435</v>
      </c>
      <c r="B2145" s="8" t="s">
        <v>2435</v>
      </c>
      <c r="C2145" s="2" t="s">
        <v>1084</v>
      </c>
      <c r="D2145" s="2" t="s">
        <v>1085</v>
      </c>
      <c r="E2145" s="6">
        <v>46025.51435185185</v>
      </c>
      <c r="F2145" s="3" t="s">
        <v>1086</v>
      </c>
      <c r="G2145" s="2" t="s">
        <v>24</v>
      </c>
      <c r="H2145" s="2"/>
      <c r="I2145" s="2"/>
      <c r="J2145" s="2"/>
      <c r="K2145" s="2" t="s">
        <v>18</v>
      </c>
      <c r="L2145" s="2"/>
    </row>
    <row r="2146">
      <c r="A2146" s="8" t="s">
        <v>2436</v>
      </c>
      <c r="B2146" s="8" t="s">
        <v>2436</v>
      </c>
      <c r="C2146" s="2" t="s">
        <v>1889</v>
      </c>
      <c r="D2146" s="2" t="s">
        <v>1890</v>
      </c>
      <c r="E2146" s="6">
        <v>46025.542766203704</v>
      </c>
      <c r="F2146" s="3" t="s">
        <v>1891</v>
      </c>
      <c r="G2146" s="2" t="s">
        <v>16</v>
      </c>
      <c r="H2146" s="2"/>
      <c r="I2146" s="2" t="s">
        <v>17</v>
      </c>
      <c r="J2146" s="2"/>
      <c r="K2146" s="2" t="s">
        <v>18</v>
      </c>
      <c r="L2146" s="2"/>
    </row>
    <row r="2147">
      <c r="A2147" s="8" t="s">
        <v>2437</v>
      </c>
      <c r="B2147" s="8" t="s">
        <v>2437</v>
      </c>
      <c r="C2147" s="2" t="s">
        <v>1889</v>
      </c>
      <c r="D2147" s="2" t="s">
        <v>1890</v>
      </c>
      <c r="E2147" s="6">
        <v>46025.61131944445</v>
      </c>
      <c r="F2147" s="3" t="s">
        <v>1891</v>
      </c>
      <c r="G2147" s="2" t="s">
        <v>24</v>
      </c>
      <c r="H2147" s="2"/>
      <c r="I2147" s="2"/>
      <c r="J2147" s="2"/>
      <c r="K2147" s="2" t="s">
        <v>18</v>
      </c>
      <c r="L2147" s="2"/>
    </row>
    <row r="2148">
      <c r="A2148" s="8" t="s">
        <v>2438</v>
      </c>
      <c r="B2148" s="8" t="s">
        <v>2438</v>
      </c>
      <c r="C2148" s="2" t="s">
        <v>786</v>
      </c>
      <c r="D2148" s="2" t="s">
        <v>787</v>
      </c>
      <c r="E2148" s="6">
        <v>46025.663402777776</v>
      </c>
      <c r="F2148" s="3" t="s">
        <v>788</v>
      </c>
      <c r="G2148" s="2" t="s">
        <v>24</v>
      </c>
      <c r="H2148" s="2"/>
      <c r="I2148" s="2"/>
      <c r="J2148" s="2"/>
      <c r="K2148" s="2" t="s">
        <v>18</v>
      </c>
      <c r="L2148" s="2"/>
    </row>
    <row r="2149">
      <c r="A2149" s="8" t="s">
        <v>2439</v>
      </c>
      <c r="B2149" s="8" t="s">
        <v>2439</v>
      </c>
      <c r="C2149" s="2" t="s">
        <v>13</v>
      </c>
      <c r="D2149" s="2" t="s">
        <v>14</v>
      </c>
      <c r="E2149" s="6">
        <v>46026.51981481481</v>
      </c>
      <c r="F2149" s="3" t="s">
        <v>15</v>
      </c>
      <c r="G2149" s="2" t="s">
        <v>16</v>
      </c>
      <c r="H2149" s="2"/>
      <c r="I2149" s="2" t="s">
        <v>17</v>
      </c>
      <c r="J2149" s="2"/>
      <c r="K2149" s="2" t="s">
        <v>18</v>
      </c>
      <c r="L2149" s="2"/>
    </row>
    <row r="2150">
      <c r="A2150" s="8" t="s">
        <v>2440</v>
      </c>
      <c r="B2150" s="8" t="s">
        <v>2440</v>
      </c>
      <c r="C2150" s="2" t="s">
        <v>1838</v>
      </c>
      <c r="D2150" s="2" t="s">
        <v>1839</v>
      </c>
      <c r="E2150" s="6">
        <v>46027.349641203706</v>
      </c>
      <c r="F2150" s="3" t="s">
        <v>1840</v>
      </c>
      <c r="G2150" s="2" t="s">
        <v>16</v>
      </c>
      <c r="H2150" s="2"/>
      <c r="I2150" s="2" t="s">
        <v>395</v>
      </c>
      <c r="J2150" s="2"/>
      <c r="K2150" s="2" t="s">
        <v>18</v>
      </c>
      <c r="L2150" s="2"/>
    </row>
    <row r="2151">
      <c r="A2151" s="8" t="s">
        <v>2441</v>
      </c>
      <c r="B2151" s="8" t="s">
        <v>2441</v>
      </c>
      <c r="C2151" s="2" t="s">
        <v>1573</v>
      </c>
      <c r="D2151" s="2" t="s">
        <v>2442</v>
      </c>
      <c r="E2151" s="6">
        <v>46027.35097222222</v>
      </c>
      <c r="F2151" s="3" t="s">
        <v>1575</v>
      </c>
      <c r="G2151" s="2" t="s">
        <v>16</v>
      </c>
      <c r="H2151" s="2"/>
      <c r="I2151" s="2" t="s">
        <v>395</v>
      </c>
      <c r="J2151" s="2"/>
      <c r="K2151" s="2" t="s">
        <v>18</v>
      </c>
      <c r="L2151" s="2"/>
    </row>
    <row r="2152">
      <c r="A2152" s="8" t="s">
        <v>2443</v>
      </c>
      <c r="B2152" s="8" t="s">
        <v>2443</v>
      </c>
      <c r="C2152" s="2" t="s">
        <v>1573</v>
      </c>
      <c r="D2152" s="2" t="s">
        <v>1574</v>
      </c>
      <c r="E2152" s="6">
        <v>46017.359456018516</v>
      </c>
      <c r="F2152" s="3" t="s">
        <v>1575</v>
      </c>
      <c r="G2152" s="2" t="s">
        <v>16</v>
      </c>
      <c r="H2152" s="2"/>
      <c r="I2152" s="2" t="s">
        <v>395</v>
      </c>
      <c r="J2152" s="2"/>
      <c r="K2152" s="2" t="s">
        <v>18</v>
      </c>
      <c r="L2152" s="2"/>
    </row>
    <row r="2153">
      <c r="A2153" s="8" t="s">
        <v>2444</v>
      </c>
      <c r="B2153" s="8" t="s">
        <v>2444</v>
      </c>
      <c r="C2153" s="2" t="s">
        <v>1573</v>
      </c>
      <c r="D2153" s="2" t="s">
        <v>2442</v>
      </c>
      <c r="E2153" s="6">
        <v>46027.36009259259</v>
      </c>
      <c r="F2153" s="3" t="s">
        <v>1575</v>
      </c>
      <c r="G2153" s="2" t="s">
        <v>24</v>
      </c>
      <c r="H2153" s="2"/>
      <c r="I2153" s="2"/>
      <c r="J2153" s="2"/>
      <c r="K2153" s="2" t="s">
        <v>18</v>
      </c>
      <c r="L2153" s="2"/>
    </row>
    <row r="2154">
      <c r="A2154" s="8" t="s">
        <v>2445</v>
      </c>
      <c r="B2154" s="8" t="s">
        <v>2445</v>
      </c>
      <c r="C2154" s="2" t="s">
        <v>1573</v>
      </c>
      <c r="D2154" s="2" t="s">
        <v>2442</v>
      </c>
      <c r="E2154" s="6">
        <v>46017.36101851852</v>
      </c>
      <c r="F2154" s="3" t="s">
        <v>1575</v>
      </c>
      <c r="G2154" s="2" t="s">
        <v>24</v>
      </c>
      <c r="H2154" s="2"/>
      <c r="I2154" s="2"/>
      <c r="J2154" s="2"/>
      <c r="K2154" s="2" t="s">
        <v>18</v>
      </c>
      <c r="L2154" s="2"/>
    </row>
    <row r="2155">
      <c r="A2155" s="8" t="s">
        <v>2446</v>
      </c>
      <c r="B2155" s="8" t="s">
        <v>2446</v>
      </c>
      <c r="C2155" s="2" t="s">
        <v>2005</v>
      </c>
      <c r="D2155" s="2" t="s">
        <v>2006</v>
      </c>
      <c r="E2155" s="6">
        <v>46027.36788194445</v>
      </c>
      <c r="F2155" s="3" t="s">
        <v>2007</v>
      </c>
      <c r="G2155" s="2" t="s">
        <v>16</v>
      </c>
      <c r="H2155" s="2"/>
      <c r="I2155" s="2" t="s">
        <v>17</v>
      </c>
      <c r="J2155" s="2"/>
      <c r="K2155" s="2" t="s">
        <v>18</v>
      </c>
      <c r="L2155" s="2"/>
    </row>
    <row r="2156">
      <c r="A2156" s="8" t="s">
        <v>2447</v>
      </c>
      <c r="B2156" s="8" t="s">
        <v>2447</v>
      </c>
      <c r="C2156" s="2" t="s">
        <v>786</v>
      </c>
      <c r="D2156" s="2" t="s">
        <v>787</v>
      </c>
      <c r="E2156" s="6">
        <v>46027.37070601852</v>
      </c>
      <c r="F2156" s="3" t="s">
        <v>788</v>
      </c>
      <c r="G2156" s="2" t="s">
        <v>16</v>
      </c>
      <c r="H2156" s="2"/>
      <c r="I2156" s="2" t="s">
        <v>17</v>
      </c>
      <c r="J2156" s="2"/>
      <c r="K2156" s="2" t="s">
        <v>18</v>
      </c>
      <c r="L2156" s="2"/>
    </row>
    <row r="2157">
      <c r="A2157" s="8" t="s">
        <v>2448</v>
      </c>
      <c r="B2157" s="8" t="s">
        <v>2448</v>
      </c>
      <c r="C2157" s="2" t="s">
        <v>109</v>
      </c>
      <c r="D2157" s="2" t="s">
        <v>110</v>
      </c>
      <c r="E2157" s="6">
        <v>46027.376296296294</v>
      </c>
      <c r="F2157" s="3" t="s">
        <v>111</v>
      </c>
      <c r="G2157" s="2" t="s">
        <v>16</v>
      </c>
      <c r="H2157" s="2"/>
      <c r="I2157" s="2" t="s">
        <v>17</v>
      </c>
      <c r="J2157" s="2"/>
      <c r="K2157" s="2" t="s">
        <v>18</v>
      </c>
      <c r="L2157" s="2"/>
    </row>
    <row r="2158">
      <c r="A2158" s="8" t="s">
        <v>2449</v>
      </c>
      <c r="B2158" s="8" t="s">
        <v>2449</v>
      </c>
      <c r="C2158" s="2" t="s">
        <v>786</v>
      </c>
      <c r="D2158" s="2" t="s">
        <v>787</v>
      </c>
      <c r="E2158" s="6">
        <v>46027.61373842593</v>
      </c>
      <c r="F2158" s="3" t="s">
        <v>788</v>
      </c>
      <c r="G2158" s="2" t="s">
        <v>24</v>
      </c>
      <c r="H2158" s="2"/>
      <c r="I2158" s="2"/>
      <c r="J2158" s="2"/>
      <c r="K2158" s="2" t="s">
        <v>18</v>
      </c>
      <c r="L2158" s="2"/>
    </row>
    <row r="2159">
      <c r="A2159" s="8" t="s">
        <v>2450</v>
      </c>
      <c r="B2159" s="8" t="s">
        <v>2450</v>
      </c>
      <c r="C2159" s="2" t="s">
        <v>326</v>
      </c>
      <c r="D2159" s="2" t="s">
        <v>327</v>
      </c>
      <c r="E2159" s="6">
        <v>46027.61460648148</v>
      </c>
      <c r="F2159" s="3" t="s">
        <v>328</v>
      </c>
      <c r="G2159" s="2" t="s">
        <v>24</v>
      </c>
      <c r="H2159" s="2"/>
      <c r="I2159" s="2"/>
      <c r="J2159" s="2"/>
      <c r="K2159" s="2" t="s">
        <v>18</v>
      </c>
      <c r="L2159" s="2"/>
    </row>
    <row r="2160">
      <c r="A2160" s="8" t="s">
        <v>2451</v>
      </c>
      <c r="B2160" s="8" t="s">
        <v>2451</v>
      </c>
      <c r="C2160" s="2" t="s">
        <v>1993</v>
      </c>
      <c r="D2160" s="2" t="s">
        <v>1994</v>
      </c>
      <c r="E2160" s="6">
        <v>46027.61510416667</v>
      </c>
      <c r="F2160" s="3" t="s">
        <v>1995</v>
      </c>
      <c r="G2160" s="2" t="s">
        <v>24</v>
      </c>
      <c r="H2160" s="2"/>
      <c r="I2160" s="2"/>
      <c r="J2160" s="2"/>
      <c r="K2160" s="2" t="s">
        <v>18</v>
      </c>
      <c r="L2160" s="2"/>
    </row>
    <row r="2161">
      <c r="A2161" s="8" t="s">
        <v>2452</v>
      </c>
      <c r="B2161" s="8" t="s">
        <v>2452</v>
      </c>
      <c r="C2161" s="2" t="s">
        <v>1745</v>
      </c>
      <c r="D2161" s="2" t="s">
        <v>1746</v>
      </c>
      <c r="E2161" s="6">
        <v>46027.61974537037</v>
      </c>
      <c r="F2161" s="3" t="s">
        <v>1747</v>
      </c>
      <c r="G2161" s="2" t="s">
        <v>16</v>
      </c>
      <c r="H2161" s="2"/>
      <c r="I2161" s="2" t="s">
        <v>395</v>
      </c>
      <c r="J2161" s="2"/>
      <c r="K2161" s="2" t="s">
        <v>18</v>
      </c>
      <c r="L2161" s="2"/>
    </row>
    <row r="2162">
      <c r="A2162" s="8" t="s">
        <v>2453</v>
      </c>
      <c r="B2162" s="8" t="s">
        <v>2453</v>
      </c>
      <c r="C2162" s="2" t="s">
        <v>109</v>
      </c>
      <c r="D2162" s="2" t="s">
        <v>110</v>
      </c>
      <c r="E2162" s="6">
        <v>46027.628171296295</v>
      </c>
      <c r="F2162" s="3" t="s">
        <v>111</v>
      </c>
      <c r="G2162" s="2" t="s">
        <v>24</v>
      </c>
      <c r="H2162" s="2"/>
      <c r="I2162" s="2"/>
      <c r="J2162" s="2"/>
      <c r="K2162" s="2" t="s">
        <v>18</v>
      </c>
      <c r="L2162" s="2"/>
    </row>
    <row r="2163">
      <c r="A2163" s="8" t="s">
        <v>2454</v>
      </c>
      <c r="B2163" s="8" t="s">
        <v>2454</v>
      </c>
      <c r="C2163" s="2" t="s">
        <v>2005</v>
      </c>
      <c r="D2163" s="2" t="s">
        <v>2006</v>
      </c>
      <c r="E2163" s="6">
        <v>46027.62866898148</v>
      </c>
      <c r="F2163" s="3" t="s">
        <v>2007</v>
      </c>
      <c r="G2163" s="2" t="s">
        <v>24</v>
      </c>
      <c r="H2163" s="2"/>
      <c r="I2163" s="2"/>
      <c r="J2163" s="2"/>
      <c r="K2163" s="2" t="s">
        <v>18</v>
      </c>
      <c r="L2163" s="2"/>
    </row>
    <row r="2164">
      <c r="A2164" s="8" t="s">
        <v>2455</v>
      </c>
      <c r="B2164" s="8" t="s">
        <v>2455</v>
      </c>
      <c r="C2164" s="2" t="s">
        <v>45</v>
      </c>
      <c r="D2164" s="2" t="s">
        <v>46</v>
      </c>
      <c r="E2164" s="6">
        <v>46027.646678240744</v>
      </c>
      <c r="F2164" s="3" t="s">
        <v>47</v>
      </c>
      <c r="G2164" s="2" t="s">
        <v>24</v>
      </c>
      <c r="H2164" s="2"/>
      <c r="I2164" s="2"/>
      <c r="J2164" s="2"/>
      <c r="K2164" s="2" t="s">
        <v>18</v>
      </c>
      <c r="L2164" s="2"/>
    </row>
    <row r="2165">
      <c r="A2165" s="8" t="s">
        <v>2456</v>
      </c>
      <c r="B2165" s="8" t="s">
        <v>2456</v>
      </c>
      <c r="C2165" s="2" t="s">
        <v>1838</v>
      </c>
      <c r="D2165" s="2" t="s">
        <v>1839</v>
      </c>
      <c r="E2165" s="6">
        <v>46027.65131944444</v>
      </c>
      <c r="F2165" s="3" t="s">
        <v>1840</v>
      </c>
      <c r="G2165" s="2" t="s">
        <v>24</v>
      </c>
      <c r="H2165" s="2"/>
      <c r="I2165" s="2"/>
      <c r="J2165" s="2"/>
      <c r="K2165" s="2" t="s">
        <v>18</v>
      </c>
      <c r="L2165" s="2"/>
    </row>
    <row r="2166">
      <c r="A2166" s="8" t="s">
        <v>2457</v>
      </c>
      <c r="B2166" s="8" t="s">
        <v>2457</v>
      </c>
      <c r="C2166" s="2" t="s">
        <v>1745</v>
      </c>
      <c r="D2166" s="2" t="s">
        <v>1746</v>
      </c>
      <c r="E2166" s="6">
        <v>46027.67826388889</v>
      </c>
      <c r="F2166" s="3" t="s">
        <v>1747</v>
      </c>
      <c r="G2166" s="2" t="s">
        <v>24</v>
      </c>
      <c r="H2166" s="2"/>
      <c r="I2166" s="2"/>
      <c r="J2166" s="2"/>
      <c r="K2166" s="2" t="s">
        <v>18</v>
      </c>
      <c r="L2166" s="2"/>
    </row>
    <row r="2167">
      <c r="A2167" s="8" t="s">
        <v>2458</v>
      </c>
      <c r="B2167" s="8" t="s">
        <v>2458</v>
      </c>
      <c r="C2167" s="2" t="s">
        <v>2459</v>
      </c>
      <c r="D2167" s="2" t="s">
        <v>2460</v>
      </c>
      <c r="E2167" s="6">
        <v>46028.38837962963</v>
      </c>
      <c r="F2167" s="3" t="s">
        <v>2461</v>
      </c>
      <c r="G2167" s="2" t="s">
        <v>16</v>
      </c>
      <c r="H2167" s="2"/>
      <c r="I2167" s="2" t="s">
        <v>395</v>
      </c>
      <c r="J2167" s="2"/>
      <c r="K2167" s="2" t="s">
        <v>18</v>
      </c>
      <c r="L2167" s="2"/>
    </row>
    <row r="2168">
      <c r="A2168" s="1"/>
      <c r="B2168" s="1"/>
      <c r="C2168" s="2"/>
      <c r="D2168" s="2"/>
      <c r="E2168" s="6"/>
      <c r="F2168" s="3"/>
      <c r="G2168" s="2"/>
      <c r="H2168" s="2"/>
      <c r="I2168" s="2"/>
      <c r="J2168" s="2"/>
      <c r="K2168" s="2"/>
      <c r="L2168" s="2"/>
    </row>
    <row r="2169">
      <c r="A2169" s="8" t="s">
        <v>2462</v>
      </c>
      <c r="B2169" s="8" t="s">
        <v>2462</v>
      </c>
      <c r="C2169" s="2" t="s">
        <v>392</v>
      </c>
      <c r="D2169" s="2" t="s">
        <v>393</v>
      </c>
      <c r="E2169" s="6">
        <v>46028.4153125</v>
      </c>
      <c r="F2169" s="3" t="s">
        <v>394</v>
      </c>
      <c r="G2169" s="2" t="s">
        <v>24</v>
      </c>
      <c r="H2169" s="2"/>
      <c r="I2169" s="2"/>
      <c r="J2169" s="2"/>
      <c r="K2169" s="2" t="s">
        <v>18</v>
      </c>
      <c r="L2169" s="2"/>
    </row>
    <row r="2170">
      <c r="A2170" s="8" t="s">
        <v>2463</v>
      </c>
      <c r="B2170" s="8" t="s">
        <v>2463</v>
      </c>
      <c r="C2170" s="2" t="s">
        <v>1705</v>
      </c>
      <c r="D2170" s="2" t="s">
        <v>1706</v>
      </c>
      <c r="E2170" s="6">
        <v>46028.45829861111</v>
      </c>
      <c r="F2170" s="3" t="s">
        <v>1707</v>
      </c>
      <c r="G2170" s="2" t="s">
        <v>16</v>
      </c>
      <c r="H2170" s="2"/>
      <c r="I2170" s="2" t="s">
        <v>17</v>
      </c>
      <c r="J2170" s="2"/>
      <c r="K2170" s="2" t="s">
        <v>18</v>
      </c>
      <c r="L2170" s="2"/>
    </row>
    <row r="2171">
      <c r="A2171" s="8" t="s">
        <v>2464</v>
      </c>
      <c r="B2171" s="8" t="s">
        <v>2464</v>
      </c>
      <c r="C2171" s="2" t="s">
        <v>392</v>
      </c>
      <c r="D2171" s="2" t="s">
        <v>393</v>
      </c>
      <c r="E2171" s="6">
        <v>46028.461805555555</v>
      </c>
      <c r="F2171" s="3" t="s">
        <v>394</v>
      </c>
      <c r="G2171" s="2" t="s">
        <v>16</v>
      </c>
      <c r="H2171" s="2"/>
      <c r="I2171" s="2" t="s">
        <v>395</v>
      </c>
      <c r="J2171" s="2"/>
      <c r="K2171" s="2" t="s">
        <v>18</v>
      </c>
      <c r="L2171" s="2"/>
    </row>
    <row r="2172">
      <c r="A2172" s="8" t="s">
        <v>2465</v>
      </c>
      <c r="B2172" s="8" t="s">
        <v>2465</v>
      </c>
      <c r="C2172" s="2" t="s">
        <v>2466</v>
      </c>
      <c r="D2172" s="2" t="s">
        <v>2467</v>
      </c>
      <c r="E2172" s="6">
        <v>46028.5678125</v>
      </c>
      <c r="F2172" s="3" t="s">
        <v>2468</v>
      </c>
      <c r="G2172" s="2" t="s">
        <v>16</v>
      </c>
      <c r="H2172" s="2"/>
      <c r="I2172" s="2" t="s">
        <v>395</v>
      </c>
      <c r="J2172" s="2"/>
      <c r="K2172" s="2" t="s">
        <v>18</v>
      </c>
      <c r="L2172" s="2"/>
    </row>
    <row r="2173">
      <c r="A2173" s="8" t="s">
        <v>2469</v>
      </c>
      <c r="B2173" s="8" t="s">
        <v>2469</v>
      </c>
      <c r="C2173" s="2" t="s">
        <v>2131</v>
      </c>
      <c r="D2173" s="2" t="s">
        <v>2171</v>
      </c>
      <c r="E2173" s="6">
        <v>46028.59641203703</v>
      </c>
      <c r="F2173" s="3" t="s">
        <v>2172</v>
      </c>
      <c r="G2173" s="2" t="s">
        <v>24</v>
      </c>
      <c r="H2173" s="2"/>
      <c r="I2173" s="2"/>
      <c r="J2173" s="2"/>
      <c r="K2173" s="2" t="s">
        <v>18</v>
      </c>
      <c r="L2173" s="2"/>
    </row>
    <row r="2174">
      <c r="A2174" s="8" t="s">
        <v>2470</v>
      </c>
      <c r="B2174" s="8" t="s">
        <v>2470</v>
      </c>
      <c r="C2174" s="2" t="s">
        <v>213</v>
      </c>
      <c r="D2174" s="2" t="s">
        <v>214</v>
      </c>
      <c r="E2174" s="6">
        <v>46028.59732638889</v>
      </c>
      <c r="F2174" s="3" t="s">
        <v>215</v>
      </c>
      <c r="G2174" s="2" t="s">
        <v>24</v>
      </c>
      <c r="H2174" s="2"/>
      <c r="I2174" s="2"/>
      <c r="J2174" s="2"/>
      <c r="K2174" s="2" t="s">
        <v>18</v>
      </c>
      <c r="L2174" s="2"/>
    </row>
    <row r="2175">
      <c r="A2175" s="8" t="s">
        <v>2471</v>
      </c>
      <c r="B2175" s="8" t="s">
        <v>2471</v>
      </c>
      <c r="C2175" s="2" t="s">
        <v>1228</v>
      </c>
      <c r="D2175" s="2" t="s">
        <v>1229</v>
      </c>
      <c r="E2175" s="6">
        <v>46028.598125</v>
      </c>
      <c r="F2175" s="3" t="s">
        <v>1230</v>
      </c>
      <c r="G2175" s="2" t="s">
        <v>24</v>
      </c>
      <c r="H2175" s="2"/>
      <c r="I2175" s="2"/>
      <c r="J2175" s="2"/>
      <c r="K2175" s="2" t="s">
        <v>18</v>
      </c>
      <c r="L2175" s="2"/>
    </row>
    <row r="2176">
      <c r="A2176" s="8" t="s">
        <v>2472</v>
      </c>
      <c r="B2176" s="8" t="s">
        <v>2472</v>
      </c>
      <c r="C2176" s="2" t="s">
        <v>2459</v>
      </c>
      <c r="D2176" s="2" t="s">
        <v>2460</v>
      </c>
      <c r="E2176" s="6">
        <v>46028.602430555555</v>
      </c>
      <c r="F2176" s="3" t="s">
        <v>2461</v>
      </c>
      <c r="G2176" s="2" t="s">
        <v>24</v>
      </c>
      <c r="H2176" s="2"/>
      <c r="I2176" s="2"/>
      <c r="J2176" s="2"/>
      <c r="K2176" s="2" t="s">
        <v>18</v>
      </c>
      <c r="L2176" s="2"/>
    </row>
    <row r="2177">
      <c r="A2177" s="8" t="s">
        <v>2473</v>
      </c>
      <c r="B2177" s="8" t="s">
        <v>2473</v>
      </c>
      <c r="C2177" s="2" t="s">
        <v>1963</v>
      </c>
      <c r="D2177" s="2" t="s">
        <v>1964</v>
      </c>
      <c r="E2177" s="6">
        <v>46029.373773148145</v>
      </c>
      <c r="F2177" s="3" t="s">
        <v>1965</v>
      </c>
      <c r="G2177" s="2" t="s">
        <v>16</v>
      </c>
      <c r="H2177" s="2"/>
      <c r="I2177" s="2" t="s">
        <v>395</v>
      </c>
      <c r="J2177" s="2"/>
      <c r="K2177" s="2" t="s">
        <v>18</v>
      </c>
      <c r="L2177" s="2"/>
    </row>
    <row r="2178">
      <c r="A2178" s="8" t="s">
        <v>2474</v>
      </c>
      <c r="B2178" s="8" t="s">
        <v>2474</v>
      </c>
      <c r="C2178" s="2" t="s">
        <v>786</v>
      </c>
      <c r="D2178" s="2" t="s">
        <v>787</v>
      </c>
      <c r="E2178" s="6">
        <v>46029.37482638889</v>
      </c>
      <c r="F2178" s="3" t="s">
        <v>788</v>
      </c>
      <c r="G2178" s="2" t="s">
        <v>16</v>
      </c>
      <c r="H2178" s="2"/>
      <c r="I2178" s="2" t="s">
        <v>17</v>
      </c>
      <c r="J2178" s="2"/>
      <c r="K2178" s="2" t="s">
        <v>18</v>
      </c>
      <c r="L2178" s="2"/>
    </row>
    <row r="2179">
      <c r="A2179" s="8" t="s">
        <v>2475</v>
      </c>
      <c r="B2179" s="8" t="s">
        <v>2475</v>
      </c>
      <c r="C2179" s="2" t="s">
        <v>885</v>
      </c>
      <c r="D2179" s="2" t="s">
        <v>886</v>
      </c>
      <c r="E2179" s="6">
        <v>46029.61452546297</v>
      </c>
      <c r="F2179" s="3" t="s">
        <v>887</v>
      </c>
      <c r="G2179" s="2" t="s">
        <v>16</v>
      </c>
      <c r="H2179" s="2"/>
      <c r="I2179" s="2" t="s">
        <v>17</v>
      </c>
      <c r="J2179" s="2"/>
      <c r="K2179" s="2" t="s">
        <v>18</v>
      </c>
      <c r="L2179" s="2"/>
    </row>
    <row r="2180">
      <c r="A2180" s="8" t="s">
        <v>2476</v>
      </c>
      <c r="B2180" s="8" t="s">
        <v>2476</v>
      </c>
      <c r="C2180" s="2" t="s">
        <v>1873</v>
      </c>
      <c r="D2180" s="2" t="s">
        <v>1874</v>
      </c>
      <c r="E2180" s="6">
        <v>46029.680555555555</v>
      </c>
      <c r="F2180" s="3" t="s">
        <v>1875</v>
      </c>
      <c r="G2180" s="2" t="s">
        <v>16</v>
      </c>
      <c r="H2180" s="2"/>
      <c r="I2180" s="2" t="s">
        <v>395</v>
      </c>
      <c r="J2180" s="2"/>
      <c r="K2180" s="2" t="s">
        <v>18</v>
      </c>
      <c r="L2180" s="2"/>
    </row>
    <row r="2181">
      <c r="A2181" s="8" t="s">
        <v>2477</v>
      </c>
      <c r="B2181" s="8" t="s">
        <v>2477</v>
      </c>
      <c r="C2181" s="2" t="s">
        <v>1873</v>
      </c>
      <c r="D2181" s="2" t="s">
        <v>1874</v>
      </c>
      <c r="E2181" s="6">
        <v>46030.36450231481</v>
      </c>
      <c r="F2181" s="3" t="s">
        <v>1875</v>
      </c>
      <c r="G2181" s="2" t="s">
        <v>24</v>
      </c>
      <c r="H2181" s="2"/>
      <c r="I2181" s="2"/>
      <c r="J2181" s="2"/>
      <c r="K2181" s="2" t="s">
        <v>18</v>
      </c>
      <c r="L2181" s="2"/>
    </row>
    <row r="2182">
      <c r="A2182" s="8" t="s">
        <v>2478</v>
      </c>
      <c r="B2182" s="8" t="s">
        <v>2478</v>
      </c>
      <c r="C2182" s="2" t="s">
        <v>885</v>
      </c>
      <c r="D2182" s="2" t="s">
        <v>886</v>
      </c>
      <c r="E2182" s="6">
        <v>46030.365439814814</v>
      </c>
      <c r="F2182" s="3" t="s">
        <v>887</v>
      </c>
      <c r="G2182" s="2" t="s">
        <v>24</v>
      </c>
      <c r="H2182" s="2"/>
      <c r="I2182" s="2"/>
      <c r="J2182" s="2"/>
      <c r="K2182" s="2" t="s">
        <v>18</v>
      </c>
      <c r="L2182" s="2"/>
    </row>
    <row r="2183">
      <c r="A2183" s="8" t="s">
        <v>2479</v>
      </c>
      <c r="B2183" s="8" t="s">
        <v>2479</v>
      </c>
      <c r="C2183" s="2" t="s">
        <v>1963</v>
      </c>
      <c r="D2183" s="2" t="s">
        <v>1964</v>
      </c>
      <c r="E2183" s="6">
        <v>46030.371296296296</v>
      </c>
      <c r="F2183" s="3" t="s">
        <v>1965</v>
      </c>
      <c r="G2183" s="2" t="s">
        <v>24</v>
      </c>
      <c r="H2183" s="2"/>
      <c r="I2183" s="2"/>
      <c r="J2183" s="2"/>
      <c r="K2183" s="2" t="s">
        <v>18</v>
      </c>
      <c r="L2183" s="2"/>
    </row>
    <row r="2184">
      <c r="A2184" s="8" t="s">
        <v>2480</v>
      </c>
      <c r="B2184" s="8" t="s">
        <v>2480</v>
      </c>
      <c r="C2184" s="2" t="s">
        <v>786</v>
      </c>
      <c r="D2184" s="2" t="s">
        <v>787</v>
      </c>
      <c r="E2184" s="6">
        <v>46030.37184027778</v>
      </c>
      <c r="F2184" s="3" t="s">
        <v>788</v>
      </c>
      <c r="G2184" s="2" t="s">
        <v>24</v>
      </c>
      <c r="H2184" s="2"/>
      <c r="I2184" s="2"/>
      <c r="J2184" s="2"/>
      <c r="K2184" s="2" t="s">
        <v>18</v>
      </c>
      <c r="L2184" s="2"/>
    </row>
    <row r="2185">
      <c r="A2185" s="8" t="s">
        <v>2481</v>
      </c>
      <c r="B2185" s="8" t="s">
        <v>2481</v>
      </c>
      <c r="C2185" s="2" t="s">
        <v>951</v>
      </c>
      <c r="D2185" s="2" t="s">
        <v>952</v>
      </c>
      <c r="E2185" s="6">
        <v>46030.3728125</v>
      </c>
      <c r="F2185" s="3" t="s">
        <v>953</v>
      </c>
      <c r="G2185" s="2" t="s">
        <v>24</v>
      </c>
      <c r="H2185" s="2"/>
      <c r="I2185" s="2"/>
      <c r="J2185" s="2"/>
      <c r="K2185" s="2" t="s">
        <v>18</v>
      </c>
      <c r="L2185" s="2"/>
    </row>
    <row r="2186">
      <c r="A2186" s="8" t="s">
        <v>2482</v>
      </c>
      <c r="B2186" s="8" t="s">
        <v>2482</v>
      </c>
      <c r="C2186" s="2" t="s">
        <v>1705</v>
      </c>
      <c r="D2186" s="2" t="s">
        <v>1706</v>
      </c>
      <c r="E2186" s="6">
        <v>46030.37414351852</v>
      </c>
      <c r="F2186" s="3" t="s">
        <v>1707</v>
      </c>
      <c r="G2186" s="2" t="s">
        <v>24</v>
      </c>
      <c r="H2186" s="2"/>
      <c r="I2186" s="2"/>
      <c r="J2186" s="2"/>
      <c r="K2186" s="2" t="s">
        <v>18</v>
      </c>
      <c r="L2186" s="2"/>
    </row>
    <row r="2187">
      <c r="A2187" s="8" t="s">
        <v>2483</v>
      </c>
      <c r="B2187" s="8" t="s">
        <v>2483</v>
      </c>
      <c r="C2187" s="2" t="s">
        <v>786</v>
      </c>
      <c r="D2187" s="2" t="s">
        <v>787</v>
      </c>
      <c r="E2187" s="6">
        <v>46030.38122685185</v>
      </c>
      <c r="F2187" s="3" t="s">
        <v>788</v>
      </c>
      <c r="G2187" s="2" t="s">
        <v>16</v>
      </c>
      <c r="H2187" s="2"/>
      <c r="I2187" s="2" t="s">
        <v>17</v>
      </c>
      <c r="J2187" s="2"/>
      <c r="K2187" s="2" t="s">
        <v>18</v>
      </c>
      <c r="L2187" s="2"/>
    </row>
    <row r="2188">
      <c r="A2188" s="8" t="s">
        <v>2484</v>
      </c>
      <c r="B2188" s="8" t="s">
        <v>2484</v>
      </c>
      <c r="C2188" s="2" t="s">
        <v>1228</v>
      </c>
      <c r="D2188" s="2" t="s">
        <v>1229</v>
      </c>
      <c r="E2188" s="6">
        <v>46030.381875</v>
      </c>
      <c r="F2188" s="3" t="s">
        <v>1230</v>
      </c>
      <c r="G2188" s="2" t="s">
        <v>16</v>
      </c>
      <c r="H2188" s="2"/>
      <c r="I2188" s="2" t="s">
        <v>17</v>
      </c>
      <c r="J2188" s="2"/>
      <c r="K2188" s="2" t="s">
        <v>18</v>
      </c>
      <c r="L2188" s="2"/>
    </row>
    <row r="2189">
      <c r="A2189" s="8" t="s">
        <v>2485</v>
      </c>
      <c r="B2189" s="8" t="s">
        <v>2485</v>
      </c>
      <c r="C2189" s="2" t="s">
        <v>464</v>
      </c>
      <c r="D2189" s="2" t="s">
        <v>465</v>
      </c>
      <c r="E2189" s="6">
        <v>46030.50670138889</v>
      </c>
      <c r="F2189" s="3" t="s">
        <v>466</v>
      </c>
      <c r="G2189" s="2" t="s">
        <v>16</v>
      </c>
      <c r="H2189" s="2"/>
      <c r="I2189" s="2" t="s">
        <v>395</v>
      </c>
      <c r="J2189" s="2"/>
      <c r="K2189" s="2" t="s">
        <v>18</v>
      </c>
      <c r="L2189" s="2"/>
    </row>
    <row r="2190">
      <c r="A2190" s="8" t="s">
        <v>2486</v>
      </c>
      <c r="B2190" s="8" t="s">
        <v>2486</v>
      </c>
      <c r="C2190" s="2" t="s">
        <v>1228</v>
      </c>
      <c r="D2190" s="2" t="s">
        <v>1229</v>
      </c>
      <c r="E2190" s="6">
        <v>46030.511770833335</v>
      </c>
      <c r="F2190" s="3" t="s">
        <v>1230</v>
      </c>
      <c r="G2190" s="2" t="s">
        <v>24</v>
      </c>
      <c r="H2190" s="2"/>
      <c r="I2190" s="2"/>
      <c r="J2190" s="2"/>
      <c r="K2190" s="2" t="s">
        <v>18</v>
      </c>
      <c r="L2190" s="2"/>
    </row>
    <row r="2191">
      <c r="A2191" s="8" t="s">
        <v>2487</v>
      </c>
      <c r="B2191" s="8" t="s">
        <v>2487</v>
      </c>
      <c r="C2191" s="2" t="s">
        <v>1084</v>
      </c>
      <c r="D2191" s="2" t="s">
        <v>1085</v>
      </c>
      <c r="E2191" s="6">
        <v>46030.614270833335</v>
      </c>
      <c r="F2191" s="3" t="s">
        <v>1086</v>
      </c>
      <c r="G2191" s="2" t="s">
        <v>24</v>
      </c>
      <c r="H2191" s="2"/>
      <c r="I2191" s="2"/>
      <c r="J2191" s="2"/>
      <c r="K2191" s="2" t="s">
        <v>18</v>
      </c>
      <c r="L2191" s="2"/>
    </row>
    <row r="2192">
      <c r="A2192" s="8" t="s">
        <v>2488</v>
      </c>
      <c r="B2192" s="8" t="s">
        <v>2488</v>
      </c>
      <c r="C2192" s="2" t="s">
        <v>786</v>
      </c>
      <c r="D2192" s="2" t="s">
        <v>787</v>
      </c>
      <c r="E2192" s="6">
        <v>46030.62101851852</v>
      </c>
      <c r="F2192" s="3" t="s">
        <v>788</v>
      </c>
      <c r="G2192" s="2" t="s">
        <v>24</v>
      </c>
      <c r="H2192" s="2"/>
      <c r="I2192" s="2"/>
      <c r="J2192" s="2"/>
      <c r="K2192" s="2" t="s">
        <v>18</v>
      </c>
      <c r="L2192" s="2"/>
    </row>
    <row r="2193">
      <c r="A2193" s="8" t="s">
        <v>2489</v>
      </c>
      <c r="B2193" s="8" t="s">
        <v>2489</v>
      </c>
      <c r="C2193" s="2" t="s">
        <v>464</v>
      </c>
      <c r="D2193" s="2" t="s">
        <v>465</v>
      </c>
      <c r="E2193" s="6">
        <v>46030.62163194444</v>
      </c>
      <c r="F2193" s="3" t="s">
        <v>466</v>
      </c>
      <c r="G2193" s="2" t="s">
        <v>24</v>
      </c>
      <c r="H2193" s="2"/>
      <c r="I2193" s="2"/>
      <c r="J2193" s="2"/>
      <c r="K2193" s="2" t="s">
        <v>18</v>
      </c>
      <c r="L2193" s="2"/>
    </row>
    <row r="2194">
      <c r="A2194" s="8" t="s">
        <v>2490</v>
      </c>
      <c r="B2194" s="8" t="s">
        <v>2490</v>
      </c>
      <c r="C2194" s="2" t="s">
        <v>2131</v>
      </c>
      <c r="D2194" s="2" t="s">
        <v>2171</v>
      </c>
      <c r="E2194" s="6">
        <v>46031.349953703706</v>
      </c>
      <c r="F2194" s="3" t="s">
        <v>2172</v>
      </c>
      <c r="G2194" s="2" t="s">
        <v>16</v>
      </c>
      <c r="H2194" s="2"/>
      <c r="I2194" s="2" t="s">
        <v>17</v>
      </c>
      <c r="J2194" s="2"/>
      <c r="K2194" s="2" t="s">
        <v>18</v>
      </c>
      <c r="L2194" s="2"/>
    </row>
    <row r="2195">
      <c r="A2195" s="8" t="s">
        <v>2491</v>
      </c>
      <c r="B2195" s="8" t="s">
        <v>2491</v>
      </c>
      <c r="C2195" s="2" t="s">
        <v>1228</v>
      </c>
      <c r="D2195" s="2" t="s">
        <v>1229</v>
      </c>
      <c r="E2195" s="6">
        <v>46031.37774305556</v>
      </c>
      <c r="F2195" s="3" t="s">
        <v>1230</v>
      </c>
      <c r="G2195" s="2" t="s">
        <v>16</v>
      </c>
      <c r="H2195" s="2"/>
      <c r="I2195" s="2" t="s">
        <v>17</v>
      </c>
      <c r="J2195" s="2"/>
      <c r="K2195" s="2" t="s">
        <v>18</v>
      </c>
      <c r="L2195" s="2"/>
    </row>
    <row r="2196">
      <c r="A2196" s="8" t="s">
        <v>2492</v>
      </c>
      <c r="B2196" s="8" t="s">
        <v>2492</v>
      </c>
      <c r="C2196" s="2" t="s">
        <v>326</v>
      </c>
      <c r="D2196" s="2" t="s">
        <v>327</v>
      </c>
      <c r="E2196" s="6">
        <v>46031.47510416667</v>
      </c>
      <c r="F2196" s="3" t="s">
        <v>328</v>
      </c>
      <c r="G2196" s="2" t="s">
        <v>16</v>
      </c>
      <c r="H2196" s="2"/>
      <c r="I2196" s="2" t="s">
        <v>395</v>
      </c>
      <c r="J2196" s="2"/>
      <c r="K2196" s="2" t="s">
        <v>18</v>
      </c>
      <c r="L2196" s="2"/>
    </row>
    <row r="2197">
      <c r="A2197" s="8" t="s">
        <v>2493</v>
      </c>
      <c r="B2197" s="8" t="s">
        <v>2493</v>
      </c>
      <c r="C2197" s="2" t="s">
        <v>786</v>
      </c>
      <c r="D2197" s="2" t="s">
        <v>787</v>
      </c>
      <c r="E2197" s="6">
        <v>46031.476331018515</v>
      </c>
      <c r="F2197" s="3" t="s">
        <v>788</v>
      </c>
      <c r="G2197" s="2" t="s">
        <v>16</v>
      </c>
      <c r="H2197" s="2"/>
      <c r="I2197" s="2" t="s">
        <v>17</v>
      </c>
      <c r="J2197" s="2"/>
      <c r="K2197" s="2" t="s">
        <v>18</v>
      </c>
      <c r="L2197" s="2"/>
    </row>
    <row r="2198">
      <c r="A2198" s="8" t="s">
        <v>2494</v>
      </c>
      <c r="B2198" s="8" t="s">
        <v>2494</v>
      </c>
      <c r="C2198" s="2" t="s">
        <v>2131</v>
      </c>
      <c r="D2198" s="2" t="s">
        <v>2171</v>
      </c>
      <c r="E2198" s="6">
        <v>46031.54002314815</v>
      </c>
      <c r="F2198" s="3" t="s">
        <v>2172</v>
      </c>
      <c r="G2198" s="2" t="s">
        <v>24</v>
      </c>
      <c r="H2198" s="2"/>
      <c r="I2198" s="2"/>
      <c r="J2198" s="2"/>
      <c r="K2198" s="2" t="s">
        <v>18</v>
      </c>
      <c r="L2198" s="2"/>
    </row>
    <row r="2199">
      <c r="A2199" s="8" t="s">
        <v>2495</v>
      </c>
      <c r="B2199" s="8" t="s">
        <v>2495</v>
      </c>
      <c r="C2199" s="2" t="s">
        <v>786</v>
      </c>
      <c r="D2199" s="2" t="s">
        <v>787</v>
      </c>
      <c r="E2199" s="6">
        <v>46031.647511574076</v>
      </c>
      <c r="F2199" s="3" t="s">
        <v>788</v>
      </c>
      <c r="G2199" s="2" t="s">
        <v>24</v>
      </c>
      <c r="H2199" s="2"/>
      <c r="I2199" s="2"/>
      <c r="J2199" s="2"/>
      <c r="K2199" s="2" t="s">
        <v>18</v>
      </c>
      <c r="L2199" s="2"/>
    </row>
    <row r="2200">
      <c r="A2200" s="8" t="s">
        <v>2496</v>
      </c>
      <c r="B2200" s="8" t="s">
        <v>2496</v>
      </c>
      <c r="C2200" s="2" t="s">
        <v>326</v>
      </c>
      <c r="D2200" s="2" t="s">
        <v>327</v>
      </c>
      <c r="E2200" s="6">
        <v>46031.64826388889</v>
      </c>
      <c r="F2200" s="3" t="s">
        <v>328</v>
      </c>
      <c r="G2200" s="2" t="s">
        <v>24</v>
      </c>
      <c r="H2200" s="2"/>
      <c r="I2200" s="2"/>
      <c r="J2200" s="2"/>
      <c r="K2200" s="2" t="s">
        <v>18</v>
      </c>
      <c r="L2200" s="2"/>
    </row>
    <row r="2201">
      <c r="A2201" s="8" t="s">
        <v>2497</v>
      </c>
      <c r="B2201" s="8" t="s">
        <v>2497</v>
      </c>
      <c r="C2201" s="2" t="s">
        <v>1018</v>
      </c>
      <c r="D2201" s="2" t="s">
        <v>1019</v>
      </c>
      <c r="E2201" s="6">
        <v>46032.41643518519</v>
      </c>
      <c r="F2201" s="3" t="s">
        <v>1020</v>
      </c>
      <c r="G2201" s="2" t="s">
        <v>16</v>
      </c>
      <c r="H2201" s="2"/>
      <c r="I2201" s="2" t="s">
        <v>17</v>
      </c>
      <c r="J2201" s="2"/>
      <c r="K2201" s="2" t="s">
        <v>18</v>
      </c>
      <c r="L2201" s="2"/>
    </row>
    <row r="2202">
      <c r="A2202" s="8" t="s">
        <v>2498</v>
      </c>
      <c r="B2202" s="8" t="s">
        <v>2498</v>
      </c>
      <c r="C2202" s="2" t="s">
        <v>1018</v>
      </c>
      <c r="D2202" s="2" t="s">
        <v>1019</v>
      </c>
      <c r="E2202" s="6">
        <v>46032.49784722222</v>
      </c>
      <c r="F2202" s="3" t="s">
        <v>1020</v>
      </c>
      <c r="G2202" s="2" t="s">
        <v>24</v>
      </c>
      <c r="H2202" s="2"/>
      <c r="I2202" s="2"/>
      <c r="J2202" s="2"/>
      <c r="K2202" s="2" t="s">
        <v>18</v>
      </c>
      <c r="L2202" s="2"/>
    </row>
    <row r="2203">
      <c r="A2203" s="8" t="s">
        <v>2499</v>
      </c>
      <c r="B2203" s="8" t="s">
        <v>2499</v>
      </c>
      <c r="C2203" s="2" t="s">
        <v>2005</v>
      </c>
      <c r="D2203" s="2" t="s">
        <v>2006</v>
      </c>
      <c r="E2203" s="6">
        <v>46032.498090277775</v>
      </c>
      <c r="F2203" s="3" t="s">
        <v>2007</v>
      </c>
      <c r="G2203" s="2" t="s">
        <v>24</v>
      </c>
      <c r="H2203" s="2"/>
      <c r="I2203" s="2"/>
      <c r="J2203" s="2"/>
      <c r="K2203" s="2" t="s">
        <v>18</v>
      </c>
      <c r="L2203" s="2"/>
    </row>
    <row r="2204">
      <c r="A2204" s="8" t="s">
        <v>2500</v>
      </c>
      <c r="B2204" s="8" t="s">
        <v>2500</v>
      </c>
      <c r="C2204" s="2" t="s">
        <v>885</v>
      </c>
      <c r="D2204" s="2" t="s">
        <v>886</v>
      </c>
      <c r="E2204" s="6">
        <v>46032.50361111111</v>
      </c>
      <c r="F2204" s="3" t="s">
        <v>887</v>
      </c>
      <c r="G2204" s="2" t="s">
        <v>16</v>
      </c>
      <c r="H2204" s="2"/>
      <c r="I2204" s="2" t="s">
        <v>17</v>
      </c>
      <c r="J2204" s="2"/>
      <c r="K2204" s="2" t="s">
        <v>18</v>
      </c>
      <c r="L2204" s="2"/>
    </row>
    <row r="2205">
      <c r="A2205" s="8" t="s">
        <v>2501</v>
      </c>
      <c r="B2205" s="8" t="s">
        <v>2501</v>
      </c>
      <c r="C2205" s="2" t="s">
        <v>951</v>
      </c>
      <c r="D2205" s="2" t="s">
        <v>952</v>
      </c>
      <c r="E2205" s="6">
        <v>46034.35303240741</v>
      </c>
      <c r="F2205" s="3" t="s">
        <v>953</v>
      </c>
      <c r="G2205" s="2" t="s">
        <v>16</v>
      </c>
      <c r="H2205" s="2"/>
      <c r="I2205" s="2" t="s">
        <v>17</v>
      </c>
      <c r="J2205" s="2"/>
      <c r="K2205" s="2" t="s">
        <v>18</v>
      </c>
      <c r="L2205" s="2"/>
    </row>
    <row r="2206">
      <c r="A2206" s="1"/>
      <c r="B2206" s="1"/>
      <c r="C2206" s="2"/>
      <c r="D2206" s="2"/>
      <c r="E2206" s="6"/>
      <c r="F2206" s="3"/>
      <c r="G2206" s="2"/>
      <c r="H2206" s="2"/>
      <c r="I2206" s="2"/>
      <c r="J2206" s="2"/>
      <c r="K2206" s="2"/>
      <c r="L2206" s="2"/>
    </row>
    <row r="2207">
      <c r="A2207" s="8" t="s">
        <v>2502</v>
      </c>
      <c r="B2207" s="8" t="s">
        <v>2502</v>
      </c>
      <c r="C2207" s="2" t="s">
        <v>2503</v>
      </c>
      <c r="D2207" s="2" t="s">
        <v>2504</v>
      </c>
      <c r="E2207" s="6">
        <v>46033.361238425925</v>
      </c>
      <c r="F2207" s="3" t="s">
        <v>2505</v>
      </c>
      <c r="G2207" s="2" t="s">
        <v>16</v>
      </c>
      <c r="H2207" s="2"/>
      <c r="I2207" s="2" t="s">
        <v>395</v>
      </c>
      <c r="J2207" s="2"/>
      <c r="K2207" s="2" t="s">
        <v>18</v>
      </c>
      <c r="L2207" s="2"/>
    </row>
    <row r="2208">
      <c r="A2208" s="8" t="s">
        <v>2506</v>
      </c>
      <c r="B2208" s="8" t="s">
        <v>2506</v>
      </c>
      <c r="C2208" s="2" t="s">
        <v>2459</v>
      </c>
      <c r="D2208" s="2" t="s">
        <v>2460</v>
      </c>
      <c r="E2208" s="6">
        <v>46033.36267361111</v>
      </c>
      <c r="F2208" s="3" t="s">
        <v>2461</v>
      </c>
      <c r="G2208" s="2" t="s">
        <v>16</v>
      </c>
      <c r="H2208" s="2"/>
      <c r="I2208" s="2" t="s">
        <v>395</v>
      </c>
      <c r="J2208" s="2"/>
      <c r="K2208" s="2" t="s">
        <v>18</v>
      </c>
      <c r="L2208" s="2"/>
    </row>
    <row r="2209">
      <c r="A2209" s="8" t="s">
        <v>2507</v>
      </c>
      <c r="B2209" s="8" t="s">
        <v>2507</v>
      </c>
      <c r="C2209" s="2" t="s">
        <v>2459</v>
      </c>
      <c r="D2209" s="2" t="s">
        <v>2460</v>
      </c>
      <c r="E2209" s="6">
        <v>46033.36984953703</v>
      </c>
      <c r="F2209" s="3" t="s">
        <v>2461</v>
      </c>
      <c r="G2209" s="2" t="s">
        <v>24</v>
      </c>
      <c r="H2209" s="2"/>
      <c r="I2209" s="2"/>
      <c r="J2209" s="2"/>
      <c r="K2209" s="2" t="s">
        <v>18</v>
      </c>
      <c r="L2209" s="2"/>
    </row>
    <row r="2210">
      <c r="A2210" s="8" t="s">
        <v>2508</v>
      </c>
      <c r="B2210" s="8" t="s">
        <v>2508</v>
      </c>
      <c r="C2210" s="2" t="s">
        <v>2005</v>
      </c>
      <c r="D2210" s="2" t="s">
        <v>2006</v>
      </c>
      <c r="E2210" s="6">
        <v>46034.39960648148</v>
      </c>
      <c r="F2210" s="3" t="s">
        <v>2007</v>
      </c>
      <c r="G2210" s="2" t="s">
        <v>16</v>
      </c>
      <c r="H2210" s="2"/>
      <c r="I2210" s="2" t="s">
        <v>17</v>
      </c>
      <c r="J2210" s="2"/>
      <c r="K2210" s="2" t="s">
        <v>18</v>
      </c>
      <c r="L2210" s="2"/>
    </row>
    <row r="2211">
      <c r="A2211" s="8" t="s">
        <v>2509</v>
      </c>
      <c r="B2211" s="8" t="s">
        <v>2509</v>
      </c>
      <c r="C2211" s="2" t="s">
        <v>2510</v>
      </c>
      <c r="D2211" s="2" t="s">
        <v>2511</v>
      </c>
      <c r="E2211" s="6">
        <v>46034.40186342593</v>
      </c>
      <c r="F2211" s="3" t="s">
        <v>2512</v>
      </c>
      <c r="G2211" s="2" t="s">
        <v>16</v>
      </c>
      <c r="H2211" s="2"/>
      <c r="I2211" s="2" t="s">
        <v>395</v>
      </c>
      <c r="J2211" s="2"/>
      <c r="K2211" s="2" t="s">
        <v>18</v>
      </c>
      <c r="L2211" s="2"/>
    </row>
    <row r="2212">
      <c r="A2212" s="8" t="s">
        <v>2513</v>
      </c>
      <c r="B2212" s="8" t="s">
        <v>2513</v>
      </c>
      <c r="C2212" s="2" t="s">
        <v>951</v>
      </c>
      <c r="D2212" s="2" t="s">
        <v>952</v>
      </c>
      <c r="E2212" s="6">
        <v>46034.41023148148</v>
      </c>
      <c r="F2212" s="3" t="s">
        <v>953</v>
      </c>
      <c r="G2212" s="2" t="s">
        <v>24</v>
      </c>
      <c r="H2212" s="2"/>
      <c r="I2212" s="2"/>
      <c r="J2212" s="2"/>
      <c r="K2212" s="2" t="s">
        <v>18</v>
      </c>
      <c r="L2212" s="2"/>
    </row>
    <row r="2213">
      <c r="A2213" s="8" t="s">
        <v>2514</v>
      </c>
      <c r="B2213" s="8" t="s">
        <v>2514</v>
      </c>
      <c r="C2213" s="2" t="s">
        <v>1975</v>
      </c>
      <c r="D2213" s="2" t="s">
        <v>1976</v>
      </c>
      <c r="E2213" s="6">
        <v>46034.42449074074</v>
      </c>
      <c r="F2213" s="3" t="s">
        <v>1977</v>
      </c>
      <c r="G2213" s="2" t="s">
        <v>16</v>
      </c>
      <c r="H2213" s="2"/>
      <c r="I2213" s="2" t="s">
        <v>17</v>
      </c>
      <c r="J2213" s="2"/>
      <c r="K2213" s="2" t="s">
        <v>18</v>
      </c>
      <c r="L2213" s="2"/>
    </row>
    <row r="2214">
      <c r="A2214" s="8" t="s">
        <v>2515</v>
      </c>
      <c r="B2214" s="8" t="s">
        <v>2515</v>
      </c>
      <c r="C2214" s="2" t="s">
        <v>786</v>
      </c>
      <c r="D2214" s="2" t="s">
        <v>787</v>
      </c>
      <c r="E2214" s="6">
        <v>46034.43135416666</v>
      </c>
      <c r="F2214" s="3" t="s">
        <v>788</v>
      </c>
      <c r="G2214" s="2" t="s">
        <v>16</v>
      </c>
      <c r="H2214" s="2"/>
      <c r="I2214" s="2" t="s">
        <v>17</v>
      </c>
      <c r="J2214" s="2"/>
      <c r="K2214" s="2" t="s">
        <v>18</v>
      </c>
      <c r="L2214" s="2"/>
    </row>
    <row r="2215">
      <c r="A2215" s="8" t="s">
        <v>2516</v>
      </c>
      <c r="B2215" s="8" t="s">
        <v>2516</v>
      </c>
      <c r="C2215" s="2" t="s">
        <v>49</v>
      </c>
      <c r="D2215" s="2" t="s">
        <v>50</v>
      </c>
      <c r="E2215" s="6">
        <v>46034.52327546296</v>
      </c>
      <c r="F2215" s="3" t="s">
        <v>51</v>
      </c>
      <c r="G2215" s="2" t="s">
        <v>24</v>
      </c>
      <c r="H2215" s="2"/>
      <c r="I2215" s="2"/>
      <c r="J2215" s="2"/>
      <c r="K2215" s="2" t="s">
        <v>18</v>
      </c>
      <c r="L2215" s="2"/>
    </row>
    <row r="2216">
      <c r="A2216" s="8" t="s">
        <v>2517</v>
      </c>
      <c r="B2216" s="8" t="s">
        <v>2517</v>
      </c>
      <c r="C2216" s="2" t="s">
        <v>1993</v>
      </c>
      <c r="D2216" s="2" t="s">
        <v>1994</v>
      </c>
      <c r="E2216" s="6">
        <v>46034.52449074074</v>
      </c>
      <c r="F2216" s="3" t="s">
        <v>1995</v>
      </c>
      <c r="G2216" s="2" t="s">
        <v>24</v>
      </c>
      <c r="H2216" s="2"/>
      <c r="I2216" s="2"/>
      <c r="J2216" s="2"/>
      <c r="K2216" s="2" t="s">
        <v>18</v>
      </c>
      <c r="L2216" s="2"/>
    </row>
    <row r="2217">
      <c r="A2217" s="8" t="s">
        <v>2518</v>
      </c>
      <c r="B2217" s="8" t="s">
        <v>2518</v>
      </c>
      <c r="C2217" s="2" t="s">
        <v>2005</v>
      </c>
      <c r="D2217" s="2" t="s">
        <v>2006</v>
      </c>
      <c r="E2217" s="6">
        <v>46034.527291666665</v>
      </c>
      <c r="F2217" s="3" t="s">
        <v>2007</v>
      </c>
      <c r="G2217" s="2" t="s">
        <v>24</v>
      </c>
      <c r="H2217" s="2"/>
      <c r="I2217" s="2"/>
      <c r="J2217" s="2"/>
      <c r="K2217" s="2" t="s">
        <v>18</v>
      </c>
      <c r="L2217" s="2"/>
    </row>
    <row r="2218">
      <c r="A2218" s="8" t="s">
        <v>2519</v>
      </c>
      <c r="B2218" s="8" t="s">
        <v>2519</v>
      </c>
      <c r="C2218" s="2" t="s">
        <v>1993</v>
      </c>
      <c r="D2218" s="2" t="s">
        <v>1994</v>
      </c>
      <c r="E2218" s="6">
        <v>46034.56234953704</v>
      </c>
      <c r="F2218" s="3" t="s">
        <v>1995</v>
      </c>
      <c r="G2218" s="2" t="s">
        <v>16</v>
      </c>
      <c r="H2218" s="2"/>
      <c r="I2218" s="2" t="s">
        <v>17</v>
      </c>
      <c r="J2218" s="2"/>
      <c r="K2218" s="2" t="s">
        <v>18</v>
      </c>
      <c r="L2218" s="2"/>
    </row>
    <row r="2219">
      <c r="A2219" s="8" t="s">
        <v>2520</v>
      </c>
      <c r="B2219" s="8" t="s">
        <v>2520</v>
      </c>
      <c r="C2219" s="2" t="s">
        <v>1993</v>
      </c>
      <c r="D2219" s="2" t="s">
        <v>1994</v>
      </c>
      <c r="E2219" s="6">
        <v>46034.56532407407</v>
      </c>
      <c r="F2219" s="3" t="s">
        <v>1995</v>
      </c>
      <c r="G2219" s="2" t="s">
        <v>159</v>
      </c>
      <c r="H2219" s="2"/>
      <c r="I2219" s="2"/>
      <c r="J2219" s="2"/>
      <c r="K2219" s="2" t="s">
        <v>18</v>
      </c>
      <c r="L2219" s="2"/>
    </row>
    <row r="2220">
      <c r="A2220" s="8" t="s">
        <v>2521</v>
      </c>
      <c r="B2220" s="8" t="s">
        <v>2521</v>
      </c>
      <c r="C2220" s="2" t="s">
        <v>786</v>
      </c>
      <c r="D2220" s="2" t="s">
        <v>787</v>
      </c>
      <c r="E2220" s="6">
        <v>46034.566782407404</v>
      </c>
      <c r="F2220" s="3" t="s">
        <v>788</v>
      </c>
      <c r="G2220" s="2" t="s">
        <v>24</v>
      </c>
      <c r="H2220" s="2"/>
      <c r="I2220" s="2"/>
      <c r="J2220" s="2"/>
      <c r="K2220" s="2" t="s">
        <v>18</v>
      </c>
      <c r="L2220" s="2"/>
    </row>
    <row r="2221">
      <c r="A2221" s="8" t="s">
        <v>2522</v>
      </c>
      <c r="B2221" s="8" t="s">
        <v>2522</v>
      </c>
      <c r="C2221" s="2" t="s">
        <v>1618</v>
      </c>
      <c r="D2221" s="2" t="s">
        <v>1619</v>
      </c>
      <c r="E2221" s="6">
        <v>46035.36048611111</v>
      </c>
      <c r="F2221" s="3" t="s">
        <v>1620</v>
      </c>
      <c r="G2221" s="2" t="s">
        <v>24</v>
      </c>
      <c r="H2221" s="2"/>
      <c r="I2221" s="2"/>
      <c r="J2221" s="2"/>
      <c r="K2221" s="2" t="s">
        <v>18</v>
      </c>
      <c r="L2221" s="2"/>
    </row>
    <row r="2222">
      <c r="A2222" s="8" t="s">
        <v>2523</v>
      </c>
      <c r="B2222" s="8" t="s">
        <v>2523</v>
      </c>
      <c r="C2222" s="2" t="s">
        <v>1613</v>
      </c>
      <c r="D2222" s="2" t="s">
        <v>1614</v>
      </c>
      <c r="E2222" s="6">
        <v>46035.361342592594</v>
      </c>
      <c r="F2222" s="3" t="s">
        <v>1615</v>
      </c>
      <c r="G2222" s="2" t="s">
        <v>16</v>
      </c>
      <c r="H2222" s="2"/>
      <c r="I2222" s="2" t="s">
        <v>17</v>
      </c>
      <c r="J2222" s="2"/>
      <c r="K2222" s="2" t="s">
        <v>18</v>
      </c>
      <c r="L2222" s="2"/>
    </row>
    <row r="2223">
      <c r="A2223" s="8" t="s">
        <v>2524</v>
      </c>
      <c r="B2223" s="8" t="s">
        <v>2524</v>
      </c>
      <c r="C2223" s="2" t="s">
        <v>464</v>
      </c>
      <c r="D2223" s="2" t="s">
        <v>465</v>
      </c>
      <c r="E2223" s="6">
        <v>46035.47922453703</v>
      </c>
      <c r="F2223" s="3" t="s">
        <v>466</v>
      </c>
      <c r="G2223" s="2" t="s">
        <v>16</v>
      </c>
      <c r="H2223" s="2"/>
      <c r="I2223" s="2" t="s">
        <v>17</v>
      </c>
      <c r="J2223" s="2"/>
      <c r="K2223" s="2" t="s">
        <v>18</v>
      </c>
      <c r="L2223" s="2"/>
    </row>
    <row r="2224">
      <c r="A2224" s="8" t="s">
        <v>2525</v>
      </c>
      <c r="B2224" s="8" t="s">
        <v>2525</v>
      </c>
      <c r="C2224" s="2" t="s">
        <v>786</v>
      </c>
      <c r="D2224" s="2" t="s">
        <v>787</v>
      </c>
      <c r="E2224" s="6">
        <v>46035.59894675926</v>
      </c>
      <c r="F2224" s="3" t="s">
        <v>788</v>
      </c>
      <c r="G2224" s="2" t="s">
        <v>24</v>
      </c>
      <c r="H2224" s="2"/>
      <c r="I2224" s="2"/>
      <c r="J2224" s="2"/>
      <c r="K2224" s="2" t="s">
        <v>18</v>
      </c>
      <c r="L2224" s="2"/>
    </row>
    <row r="2225">
      <c r="A2225" s="8" t="s">
        <v>2526</v>
      </c>
      <c r="B2225" s="8" t="s">
        <v>2526</v>
      </c>
      <c r="C2225" s="2" t="s">
        <v>1613</v>
      </c>
      <c r="D2225" s="2" t="s">
        <v>1614</v>
      </c>
      <c r="E2225" s="6">
        <v>46035.60251157408</v>
      </c>
      <c r="F2225" s="3" t="s">
        <v>1615</v>
      </c>
      <c r="G2225" s="2" t="s">
        <v>24</v>
      </c>
      <c r="H2225" s="2"/>
      <c r="I2225" s="2"/>
      <c r="J2225" s="2"/>
      <c r="K2225" s="2" t="s">
        <v>18</v>
      </c>
      <c r="L2225" s="2"/>
    </row>
    <row r="2226">
      <c r="A2226" s="8" t="s">
        <v>2527</v>
      </c>
      <c r="B2226" s="8" t="s">
        <v>2527</v>
      </c>
      <c r="C2226" s="2" t="s">
        <v>1592</v>
      </c>
      <c r="D2226" s="2" t="s">
        <v>1593</v>
      </c>
      <c r="E2226" s="6">
        <v>46035.60288194445</v>
      </c>
      <c r="F2226" s="3" t="s">
        <v>1594</v>
      </c>
      <c r="G2226" s="2" t="s">
        <v>24</v>
      </c>
      <c r="H2226" s="2"/>
      <c r="I2226" s="2"/>
      <c r="J2226" s="2"/>
      <c r="K2226" s="2" t="s">
        <v>18</v>
      </c>
      <c r="L2226" s="2"/>
    </row>
    <row r="2227">
      <c r="A2227" s="8" t="s">
        <v>2528</v>
      </c>
      <c r="B2227" s="8" t="s">
        <v>2528</v>
      </c>
      <c r="C2227" s="2" t="s">
        <v>464</v>
      </c>
      <c r="D2227" s="2" t="s">
        <v>465</v>
      </c>
      <c r="E2227" s="6">
        <v>46035.644537037035</v>
      </c>
      <c r="F2227" s="3" t="s">
        <v>466</v>
      </c>
      <c r="G2227" s="2" t="s">
        <v>24</v>
      </c>
      <c r="H2227" s="2"/>
      <c r="I2227" s="2"/>
      <c r="J2227" s="2"/>
      <c r="K2227" s="2" t="s">
        <v>18</v>
      </c>
      <c r="L2227" s="2"/>
    </row>
    <row r="2228">
      <c r="A2228" s="8" t="s">
        <v>2529</v>
      </c>
      <c r="B2228" s="8" t="s">
        <v>2529</v>
      </c>
      <c r="C2228" s="2" t="s">
        <v>326</v>
      </c>
      <c r="D2228" s="2" t="s">
        <v>327</v>
      </c>
      <c r="E2228" s="6">
        <v>46035.64659722222</v>
      </c>
      <c r="F2228" s="3" t="s">
        <v>328</v>
      </c>
      <c r="G2228" s="2" t="s">
        <v>24</v>
      </c>
      <c r="H2228" s="2"/>
      <c r="I2228" s="2"/>
      <c r="J2228" s="2"/>
      <c r="K2228" s="2" t="s">
        <v>18</v>
      </c>
      <c r="L2228" s="2"/>
    </row>
    <row r="2229">
      <c r="A2229" s="8" t="s">
        <v>2530</v>
      </c>
      <c r="B2229" s="8" t="s">
        <v>2530</v>
      </c>
      <c r="C2229" s="2" t="s">
        <v>1573</v>
      </c>
      <c r="D2229" s="2" t="s">
        <v>1574</v>
      </c>
      <c r="E2229" s="6">
        <v>46035.77027777778</v>
      </c>
      <c r="F2229" s="3" t="s">
        <v>1575</v>
      </c>
      <c r="G2229" s="2" t="s">
        <v>16</v>
      </c>
      <c r="H2229" s="2"/>
      <c r="I2229" s="2" t="s">
        <v>395</v>
      </c>
      <c r="J2229" s="2"/>
      <c r="K2229" s="2" t="s">
        <v>18</v>
      </c>
      <c r="L2229" s="2"/>
    </row>
    <row r="2230">
      <c r="A2230" s="8" t="s">
        <v>2531</v>
      </c>
      <c r="B2230" s="8" t="s">
        <v>2531</v>
      </c>
      <c r="C2230" s="2" t="s">
        <v>2459</v>
      </c>
      <c r="D2230" s="2" t="s">
        <v>2460</v>
      </c>
      <c r="E2230" s="6">
        <v>46035.80097222222</v>
      </c>
      <c r="F2230" s="3" t="s">
        <v>2461</v>
      </c>
      <c r="G2230" s="2" t="s">
        <v>16</v>
      </c>
      <c r="H2230" s="2"/>
      <c r="I2230" s="2" t="s">
        <v>395</v>
      </c>
      <c r="J2230" s="2"/>
      <c r="K2230" s="2" t="s">
        <v>18</v>
      </c>
      <c r="L2230" s="2"/>
    </row>
    <row r="2231">
      <c r="A2231" s="1" t="s">
        <v>2532</v>
      </c>
      <c r="B2231" s="1" t="s">
        <v>2532</v>
      </c>
      <c r="C2231" s="2" t="s">
        <v>2459</v>
      </c>
      <c r="D2231" s="2" t="s">
        <v>2460</v>
      </c>
      <c r="E2231" s="6">
        <v>46035.80152777778</v>
      </c>
      <c r="F2231" s="3" t="s">
        <v>2461</v>
      </c>
      <c r="G2231" s="2" t="s">
        <v>24</v>
      </c>
      <c r="H2231" s="2"/>
      <c r="I2231" s="2"/>
      <c r="J2231" s="2"/>
      <c r="K2231" s="2" t="s">
        <v>18</v>
      </c>
      <c r="L2231" s="2"/>
    </row>
    <row r="2232">
      <c r="A2232" s="8" t="s">
        <v>2533</v>
      </c>
      <c r="B2232" s="8" t="s">
        <v>2533</v>
      </c>
      <c r="C2232" s="2" t="s">
        <v>1889</v>
      </c>
      <c r="D2232" s="2" t="s">
        <v>1890</v>
      </c>
      <c r="E2232" s="6">
        <v>46036.35569444444</v>
      </c>
      <c r="F2232" s="3" t="s">
        <v>1891</v>
      </c>
      <c r="G2232" s="2" t="s">
        <v>16</v>
      </c>
      <c r="H2232" s="2"/>
      <c r="I2232" s="2" t="s">
        <v>17</v>
      </c>
      <c r="J2232" s="2"/>
      <c r="K2232" s="2" t="s">
        <v>18</v>
      </c>
      <c r="L2232" s="2"/>
    </row>
    <row r="2233">
      <c r="A2233" s="8" t="s">
        <v>2534</v>
      </c>
      <c r="B2233" s="8" t="s">
        <v>2534</v>
      </c>
      <c r="C2233" s="2" t="s">
        <v>1889</v>
      </c>
      <c r="D2233" s="2" t="s">
        <v>1890</v>
      </c>
      <c r="E2233" s="6">
        <v>46036.412627314814</v>
      </c>
      <c r="F2233" s="3" t="s">
        <v>1891</v>
      </c>
      <c r="G2233" s="2" t="s">
        <v>24</v>
      </c>
      <c r="H2233" s="2"/>
      <c r="I2233" s="2"/>
      <c r="J2233" s="2"/>
      <c r="K2233" s="2" t="s">
        <v>18</v>
      </c>
      <c r="L2233" s="2"/>
    </row>
    <row r="2234">
      <c r="A2234" s="8" t="s">
        <v>2535</v>
      </c>
      <c r="B2234" s="8" t="s">
        <v>2535</v>
      </c>
      <c r="C2234" s="2" t="s">
        <v>464</v>
      </c>
      <c r="D2234" s="2" t="s">
        <v>465</v>
      </c>
      <c r="E2234" s="6">
        <v>46036.499247685184</v>
      </c>
      <c r="F2234" s="3" t="s">
        <v>466</v>
      </c>
      <c r="G2234" s="2" t="s">
        <v>16</v>
      </c>
      <c r="H2234" s="2"/>
      <c r="I2234" s="2" t="s">
        <v>17</v>
      </c>
      <c r="J2234" s="2"/>
      <c r="K2234" s="2" t="s">
        <v>18</v>
      </c>
      <c r="L2234" s="2"/>
    </row>
    <row r="2235">
      <c r="A2235" s="8" t="s">
        <v>2536</v>
      </c>
      <c r="B2235" s="8" t="s">
        <v>2536</v>
      </c>
      <c r="C2235" s="2" t="s">
        <v>786</v>
      </c>
      <c r="D2235" s="2" t="s">
        <v>787</v>
      </c>
      <c r="E2235" s="6">
        <v>46036.49953703704</v>
      </c>
      <c r="F2235" s="3" t="s">
        <v>788</v>
      </c>
      <c r="G2235" s="2" t="s">
        <v>16</v>
      </c>
      <c r="H2235" s="2"/>
      <c r="I2235" s="2" t="s">
        <v>17</v>
      </c>
      <c r="J2235" s="2"/>
      <c r="K2235" s="2" t="s">
        <v>18</v>
      </c>
      <c r="L2235" s="2"/>
    </row>
    <row r="2236">
      <c r="A2236" s="8" t="s">
        <v>2537</v>
      </c>
      <c r="B2236" s="8" t="s">
        <v>2537</v>
      </c>
      <c r="C2236" s="2" t="s">
        <v>951</v>
      </c>
      <c r="D2236" s="2" t="s">
        <v>952</v>
      </c>
      <c r="E2236" s="6">
        <v>46036.57931712963</v>
      </c>
      <c r="F2236" s="3" t="s">
        <v>953</v>
      </c>
      <c r="G2236" s="2" t="s">
        <v>24</v>
      </c>
      <c r="H2236" s="2"/>
      <c r="I2236" s="2"/>
      <c r="J2236" s="2"/>
      <c r="K2236" s="2" t="s">
        <v>18</v>
      </c>
      <c r="L2236" s="2"/>
    </row>
    <row r="2237">
      <c r="A2237" s="8" t="s">
        <v>2538</v>
      </c>
      <c r="B2237" s="8" t="s">
        <v>2538</v>
      </c>
      <c r="C2237" s="2" t="s">
        <v>55</v>
      </c>
      <c r="D2237" s="2" t="s">
        <v>56</v>
      </c>
      <c r="E2237" s="6">
        <v>46036.57989583333</v>
      </c>
      <c r="F2237" s="3" t="s">
        <v>57</v>
      </c>
      <c r="G2237" s="2" t="s">
        <v>24</v>
      </c>
      <c r="H2237" s="2"/>
      <c r="I2237" s="2"/>
      <c r="J2237" s="2"/>
      <c r="K2237" s="2" t="s">
        <v>18</v>
      </c>
      <c r="L2237" s="2"/>
    </row>
    <row r="2238">
      <c r="A2238" s="8" t="s">
        <v>2539</v>
      </c>
      <c r="B2238" s="8" t="s">
        <v>2539</v>
      </c>
      <c r="C2238" s="2" t="s">
        <v>55</v>
      </c>
      <c r="D2238" s="2" t="s">
        <v>56</v>
      </c>
      <c r="E2238" s="6">
        <v>46036.58038194444</v>
      </c>
      <c r="F2238" s="3" t="s">
        <v>57</v>
      </c>
      <c r="G2238" s="2" t="s">
        <v>24</v>
      </c>
      <c r="H2238" s="2"/>
      <c r="I2238" s="2"/>
      <c r="J2238" s="2"/>
      <c r="K2238" s="2" t="s">
        <v>18</v>
      </c>
      <c r="L2238" s="2"/>
    </row>
    <row r="2239">
      <c r="A2239" s="8" t="s">
        <v>2540</v>
      </c>
      <c r="B2239" s="8" t="s">
        <v>2540</v>
      </c>
      <c r="C2239" s="2" t="s">
        <v>55</v>
      </c>
      <c r="D2239" s="2" t="s">
        <v>56</v>
      </c>
      <c r="E2239" s="6">
        <v>46036.58084490741</v>
      </c>
      <c r="F2239" s="3" t="s">
        <v>57</v>
      </c>
      <c r="G2239" s="2" t="s">
        <v>16</v>
      </c>
      <c r="H2239" s="2"/>
      <c r="I2239" s="2"/>
      <c r="J2239" s="2"/>
      <c r="K2239" s="2" t="s">
        <v>18</v>
      </c>
      <c r="L2239" s="2"/>
    </row>
    <row r="2240">
      <c r="A2240" s="8" t="s">
        <v>2541</v>
      </c>
      <c r="B2240" s="8" t="s">
        <v>2541</v>
      </c>
      <c r="C2240" s="2" t="s">
        <v>1993</v>
      </c>
      <c r="D2240" s="2" t="s">
        <v>1994</v>
      </c>
      <c r="E2240" s="6">
        <v>46036.58184027778</v>
      </c>
      <c r="F2240" s="3" t="s">
        <v>1995</v>
      </c>
      <c r="G2240" s="2" t="s">
        <v>16</v>
      </c>
      <c r="H2240" s="2"/>
      <c r="I2240" s="2" t="s">
        <v>17</v>
      </c>
      <c r="J2240" s="2"/>
      <c r="K2240" s="2" t="s">
        <v>18</v>
      </c>
      <c r="L2240" s="2"/>
    </row>
    <row r="2241">
      <c r="A2241" s="8" t="s">
        <v>2542</v>
      </c>
      <c r="B2241" s="8" t="s">
        <v>2542</v>
      </c>
      <c r="C2241" s="2" t="s">
        <v>2543</v>
      </c>
      <c r="D2241" s="2" t="s">
        <v>2544</v>
      </c>
      <c r="E2241" s="6">
        <v>46036.63375</v>
      </c>
      <c r="F2241" s="3" t="s">
        <v>2545</v>
      </c>
      <c r="G2241" s="2" t="s">
        <v>16</v>
      </c>
      <c r="H2241" s="2"/>
      <c r="I2241" s="2" t="s">
        <v>17</v>
      </c>
      <c r="J2241" s="2"/>
      <c r="K2241" s="2" t="s">
        <v>18</v>
      </c>
      <c r="L2241" s="2"/>
    </row>
    <row r="2242">
      <c r="A2242" s="8" t="s">
        <v>2546</v>
      </c>
      <c r="B2242" s="8" t="s">
        <v>2546</v>
      </c>
      <c r="C2242" s="2" t="s">
        <v>320</v>
      </c>
      <c r="D2242" s="2" t="s">
        <v>321</v>
      </c>
      <c r="E2242" s="6">
        <v>46036.63469907407</v>
      </c>
      <c r="F2242" s="3" t="s">
        <v>322</v>
      </c>
      <c r="G2242" s="2" t="s">
        <v>16</v>
      </c>
      <c r="H2242" s="2"/>
      <c r="I2242" s="2" t="s">
        <v>17</v>
      </c>
      <c r="J2242" s="2"/>
      <c r="K2242" s="2" t="s">
        <v>18</v>
      </c>
      <c r="L2242" s="2"/>
    </row>
    <row r="2243">
      <c r="A2243" s="8" t="s">
        <v>2547</v>
      </c>
      <c r="B2243" s="8" t="s">
        <v>2547</v>
      </c>
      <c r="C2243" s="2" t="s">
        <v>786</v>
      </c>
      <c r="D2243" s="2" t="s">
        <v>787</v>
      </c>
      <c r="E2243" s="6">
        <v>46036.64462962963</v>
      </c>
      <c r="F2243" s="3" t="s">
        <v>788</v>
      </c>
      <c r="G2243" s="2" t="s">
        <v>24</v>
      </c>
      <c r="H2243" s="2"/>
      <c r="I2243" s="2"/>
      <c r="J2243" s="2"/>
      <c r="K2243" s="2" t="s">
        <v>18</v>
      </c>
      <c r="L2243" s="2"/>
    </row>
    <row r="2244">
      <c r="A2244" s="8" t="s">
        <v>2548</v>
      </c>
      <c r="B2244" s="8" t="s">
        <v>2548</v>
      </c>
      <c r="C2244" s="2" t="s">
        <v>320</v>
      </c>
      <c r="D2244" s="2" t="s">
        <v>321</v>
      </c>
      <c r="E2244" s="6">
        <v>46036.712858796294</v>
      </c>
      <c r="F2244" s="3" t="s">
        <v>322</v>
      </c>
      <c r="G2244" s="2" t="s">
        <v>24</v>
      </c>
      <c r="H2244" s="2"/>
      <c r="I2244" s="2"/>
      <c r="J2244" s="2"/>
      <c r="K2244" s="2" t="s">
        <v>18</v>
      </c>
      <c r="L2244" s="2"/>
    </row>
    <row r="2245">
      <c r="A2245" s="8" t="s">
        <v>2549</v>
      </c>
      <c r="B2245" s="8" t="s">
        <v>2549</v>
      </c>
      <c r="C2245" s="2" t="s">
        <v>1311</v>
      </c>
      <c r="D2245" s="2" t="s">
        <v>1010</v>
      </c>
      <c r="E2245" s="6">
        <v>46037.357824074075</v>
      </c>
      <c r="F2245" s="3" t="s">
        <v>1312</v>
      </c>
      <c r="G2245" s="2" t="s">
        <v>16</v>
      </c>
      <c r="H2245" s="2"/>
      <c r="I2245" s="2" t="s">
        <v>395</v>
      </c>
      <c r="J2245" s="2"/>
      <c r="K2245" s="2" t="s">
        <v>18</v>
      </c>
      <c r="L2245" s="2"/>
    </row>
    <row r="2246">
      <c r="A2246" s="8" t="s">
        <v>2550</v>
      </c>
      <c r="B2246" s="8" t="s">
        <v>2550</v>
      </c>
      <c r="C2246" s="2" t="s">
        <v>109</v>
      </c>
      <c r="D2246" s="2" t="s">
        <v>110</v>
      </c>
      <c r="E2246" s="6">
        <v>46037.35851851852</v>
      </c>
      <c r="F2246" s="3" t="s">
        <v>111</v>
      </c>
      <c r="G2246" s="2" t="s">
        <v>16</v>
      </c>
      <c r="H2246" s="2"/>
      <c r="I2246" s="2" t="s">
        <v>17</v>
      </c>
      <c r="J2246" s="2"/>
      <c r="K2246" s="2" t="s">
        <v>18</v>
      </c>
      <c r="L2246" s="2"/>
    </row>
    <row r="2247">
      <c r="A2247" s="8" t="s">
        <v>2551</v>
      </c>
      <c r="B2247" s="8" t="s">
        <v>2551</v>
      </c>
      <c r="C2247" s="2" t="s">
        <v>1476</v>
      </c>
      <c r="D2247" s="2" t="s">
        <v>1477</v>
      </c>
      <c r="E2247" s="6">
        <v>46037.40112268519</v>
      </c>
      <c r="F2247" s="3" t="s">
        <v>1478</v>
      </c>
      <c r="G2247" s="2" t="s">
        <v>16</v>
      </c>
      <c r="H2247" s="2"/>
      <c r="I2247" s="2" t="s">
        <v>395</v>
      </c>
      <c r="J2247" s="2"/>
      <c r="K2247" s="2" t="s">
        <v>18</v>
      </c>
      <c r="L2247" s="2"/>
    </row>
    <row r="2248">
      <c r="A2248" s="8" t="s">
        <v>2552</v>
      </c>
      <c r="B2248" s="8" t="s">
        <v>2552</v>
      </c>
      <c r="C2248" s="2" t="s">
        <v>1311</v>
      </c>
      <c r="D2248" s="2" t="s">
        <v>1010</v>
      </c>
      <c r="E2248" s="6">
        <v>46037.40422453704</v>
      </c>
      <c r="F2248" s="3" t="s">
        <v>1312</v>
      </c>
      <c r="G2248" s="2" t="s">
        <v>24</v>
      </c>
      <c r="H2248" s="2"/>
      <c r="I2248" s="2"/>
      <c r="J2248" s="2"/>
      <c r="K2248" s="2" t="s">
        <v>18</v>
      </c>
      <c r="L2248" s="2"/>
    </row>
    <row r="2249">
      <c r="A2249" s="8" t="s">
        <v>2553</v>
      </c>
      <c r="B2249" s="8" t="s">
        <v>2553</v>
      </c>
      <c r="C2249" s="2" t="s">
        <v>109</v>
      </c>
      <c r="D2249" s="2" t="s">
        <v>110</v>
      </c>
      <c r="E2249" s="6">
        <v>46037.40478009259</v>
      </c>
      <c r="F2249" s="3" t="s">
        <v>111</v>
      </c>
      <c r="G2249" s="2" t="s">
        <v>24</v>
      </c>
      <c r="H2249" s="2"/>
      <c r="I2249" s="2"/>
      <c r="J2249" s="2"/>
      <c r="K2249" s="2" t="s">
        <v>18</v>
      </c>
      <c r="L2249" s="2"/>
    </row>
    <row r="2250">
      <c r="A2250" s="8" t="s">
        <v>2554</v>
      </c>
      <c r="B2250" s="8" t="s">
        <v>2554</v>
      </c>
      <c r="C2250" s="2" t="s">
        <v>1476</v>
      </c>
      <c r="D2250" s="2" t="s">
        <v>1477</v>
      </c>
      <c r="E2250" s="6">
        <v>46037.429398148146</v>
      </c>
      <c r="F2250" s="3" t="s">
        <v>1478</v>
      </c>
      <c r="G2250" s="2" t="s">
        <v>24</v>
      </c>
      <c r="H2250" s="2"/>
      <c r="I2250" s="2"/>
      <c r="J2250" s="2"/>
      <c r="K2250" s="2" t="s">
        <v>18</v>
      </c>
      <c r="L2250" s="2"/>
    </row>
    <row r="2251">
      <c r="A2251" s="8" t="s">
        <v>2555</v>
      </c>
      <c r="B2251" s="8" t="s">
        <v>2555</v>
      </c>
      <c r="C2251" s="2" t="s">
        <v>2005</v>
      </c>
      <c r="D2251" s="2" t="s">
        <v>2006</v>
      </c>
      <c r="E2251" s="6">
        <v>46037.47351851852</v>
      </c>
      <c r="F2251" s="3" t="s">
        <v>2007</v>
      </c>
      <c r="G2251" s="2" t="s">
        <v>24</v>
      </c>
      <c r="H2251" s="2"/>
      <c r="I2251" s="2"/>
      <c r="J2251" s="2"/>
      <c r="K2251" s="2" t="s">
        <v>18</v>
      </c>
      <c r="L2251" s="2"/>
    </row>
    <row r="2252">
      <c r="A2252" s="8" t="s">
        <v>2556</v>
      </c>
      <c r="B2252" s="8" t="s">
        <v>2556</v>
      </c>
      <c r="C2252" s="2" t="s">
        <v>1889</v>
      </c>
      <c r="D2252" s="2" t="s">
        <v>1890</v>
      </c>
      <c r="E2252" s="6">
        <v>46037.47697916667</v>
      </c>
      <c r="F2252" s="3" t="s">
        <v>1891</v>
      </c>
      <c r="G2252" s="2" t="s">
        <v>16</v>
      </c>
      <c r="H2252" s="2"/>
      <c r="I2252" s="2" t="s">
        <v>17</v>
      </c>
      <c r="J2252" s="2"/>
      <c r="K2252" s="2" t="s">
        <v>18</v>
      </c>
      <c r="L2252" s="2"/>
    </row>
    <row r="2253">
      <c r="A2253" s="8" t="s">
        <v>2557</v>
      </c>
      <c r="B2253" s="8" t="s">
        <v>2557</v>
      </c>
      <c r="C2253" s="2" t="s">
        <v>1873</v>
      </c>
      <c r="D2253" s="2" t="s">
        <v>1874</v>
      </c>
      <c r="E2253" s="6">
        <v>46037.47787037037</v>
      </c>
      <c r="F2253" s="3" t="s">
        <v>1875</v>
      </c>
      <c r="G2253" s="2" t="s">
        <v>16</v>
      </c>
      <c r="H2253" s="2"/>
      <c r="I2253" s="2" t="s">
        <v>395</v>
      </c>
      <c r="J2253" s="2"/>
      <c r="K2253" s="2" t="s">
        <v>18</v>
      </c>
      <c r="L2253" s="2"/>
    </row>
    <row r="2254">
      <c r="A2254" s="8" t="s">
        <v>2558</v>
      </c>
      <c r="B2254" s="8" t="s">
        <v>2558</v>
      </c>
      <c r="C2254" s="2" t="s">
        <v>2459</v>
      </c>
      <c r="D2254" s="2" t="s">
        <v>2460</v>
      </c>
      <c r="E2254" s="6">
        <v>46037.595138888886</v>
      </c>
      <c r="F2254" s="3" t="s">
        <v>2461</v>
      </c>
      <c r="G2254" s="2" t="s">
        <v>16</v>
      </c>
      <c r="H2254" s="2"/>
      <c r="I2254" s="2" t="s">
        <v>395</v>
      </c>
      <c r="J2254" s="2"/>
      <c r="K2254" s="2" t="s">
        <v>18</v>
      </c>
      <c r="L2254" s="2"/>
    </row>
    <row r="2255">
      <c r="A2255" s="8" t="s">
        <v>2559</v>
      </c>
      <c r="B2255" s="8" t="s">
        <v>2559</v>
      </c>
      <c r="C2255" s="2" t="s">
        <v>1889</v>
      </c>
      <c r="D2255" s="2" t="s">
        <v>1890</v>
      </c>
      <c r="E2255" s="6">
        <v>46037.6091087963</v>
      </c>
      <c r="F2255" s="3" t="s">
        <v>1891</v>
      </c>
      <c r="G2255" s="2" t="s">
        <v>24</v>
      </c>
      <c r="H2255" s="2"/>
      <c r="I2255" s="2"/>
      <c r="J2255" s="2"/>
      <c r="K2255" s="2" t="s">
        <v>18</v>
      </c>
      <c r="L2255" s="2"/>
    </row>
    <row r="2256">
      <c r="A2256" s="8" t="s">
        <v>2560</v>
      </c>
      <c r="B2256" s="8" t="s">
        <v>2560</v>
      </c>
      <c r="C2256" s="2" t="s">
        <v>2459</v>
      </c>
      <c r="D2256" s="2" t="s">
        <v>2460</v>
      </c>
      <c r="E2256" s="6">
        <v>46037.62396990741</v>
      </c>
      <c r="F2256" s="3" t="s">
        <v>2461</v>
      </c>
      <c r="G2256" s="2" t="s">
        <v>24</v>
      </c>
      <c r="H2256" s="2"/>
      <c r="I2256" s="2"/>
      <c r="J2256" s="2"/>
      <c r="K2256" s="2" t="s">
        <v>18</v>
      </c>
      <c r="L2256" s="2"/>
    </row>
    <row r="2257">
      <c r="A2257" s="8" t="s">
        <v>2561</v>
      </c>
      <c r="B2257" s="8" t="s">
        <v>2561</v>
      </c>
      <c r="C2257" s="2" t="s">
        <v>320</v>
      </c>
      <c r="D2257" s="2" t="s">
        <v>321</v>
      </c>
      <c r="E2257" s="6">
        <v>46037.66539351852</v>
      </c>
      <c r="F2257" s="3" t="s">
        <v>322</v>
      </c>
      <c r="G2257" s="2" t="s">
        <v>16</v>
      </c>
      <c r="H2257" s="2"/>
      <c r="I2257" s="2" t="s">
        <v>17</v>
      </c>
      <c r="J2257" s="2"/>
      <c r="K2257" s="2" t="s">
        <v>18</v>
      </c>
      <c r="L2257" s="2"/>
    </row>
    <row r="2258">
      <c r="A2258" s="8" t="s">
        <v>2562</v>
      </c>
      <c r="B2258" s="8" t="s">
        <v>2562</v>
      </c>
      <c r="C2258" s="2" t="s">
        <v>786</v>
      </c>
      <c r="D2258" s="2" t="s">
        <v>787</v>
      </c>
      <c r="E2258" s="6">
        <v>46037.67674768518</v>
      </c>
      <c r="F2258" s="3" t="s">
        <v>788</v>
      </c>
      <c r="G2258" s="2" t="s">
        <v>24</v>
      </c>
      <c r="H2258" s="2"/>
      <c r="I2258" s="2"/>
      <c r="J2258" s="2"/>
      <c r="K2258" s="2" t="s">
        <v>18</v>
      </c>
      <c r="L2258" s="2"/>
    </row>
    <row r="2259">
      <c r="A2259" s="1"/>
      <c r="B2259" s="1"/>
      <c r="C2259" s="2"/>
      <c r="D2259" s="2"/>
      <c r="E2259" s="6"/>
      <c r="F2259" s="3"/>
      <c r="G2259" s="2"/>
      <c r="H2259" s="2"/>
      <c r="I2259" s="2"/>
      <c r="J2259" s="2"/>
      <c r="K2259" s="2"/>
      <c r="L2259" s="2"/>
    </row>
    <row r="2260">
      <c r="A2260" s="8" t="s">
        <v>2563</v>
      </c>
      <c r="B2260" s="8" t="s">
        <v>2563</v>
      </c>
      <c r="C2260" s="2" t="s">
        <v>1975</v>
      </c>
      <c r="D2260" s="2" t="s">
        <v>1976</v>
      </c>
      <c r="E2260" s="6">
        <v>46037.677939814814</v>
      </c>
      <c r="F2260" s="3" t="s">
        <v>1977</v>
      </c>
      <c r="G2260" s="2" t="s">
        <v>24</v>
      </c>
      <c r="H2260" s="2"/>
      <c r="I2260" s="2"/>
      <c r="J2260" s="2"/>
      <c r="K2260" s="2" t="s">
        <v>18</v>
      </c>
      <c r="L2260" s="2"/>
    </row>
    <row r="2261">
      <c r="A2261" s="8" t="s">
        <v>2564</v>
      </c>
      <c r="B2261" s="8" t="s">
        <v>2564</v>
      </c>
      <c r="C2261" s="2" t="s">
        <v>1873</v>
      </c>
      <c r="D2261" s="2" t="s">
        <v>1874</v>
      </c>
      <c r="E2261" s="6">
        <v>46037.67884259259</v>
      </c>
      <c r="F2261" s="3" t="s">
        <v>1875</v>
      </c>
      <c r="G2261" s="2" t="s">
        <v>24</v>
      </c>
      <c r="H2261" s="2"/>
      <c r="I2261" s="2"/>
      <c r="J2261" s="2"/>
      <c r="K2261" s="2" t="s">
        <v>18</v>
      </c>
      <c r="L2261" s="2"/>
    </row>
    <row r="2262">
      <c r="A2262" s="8" t="s">
        <v>2565</v>
      </c>
      <c r="B2262" s="8" t="s">
        <v>2565</v>
      </c>
      <c r="C2262" s="2" t="s">
        <v>2081</v>
      </c>
      <c r="D2262" s="2" t="s">
        <v>2082</v>
      </c>
      <c r="E2262" s="6">
        <v>46037.68300925926</v>
      </c>
      <c r="F2262" s="3" t="s">
        <v>2083</v>
      </c>
      <c r="G2262" s="2" t="s">
        <v>24</v>
      </c>
      <c r="H2262" s="2"/>
      <c r="I2262" s="2"/>
      <c r="J2262" s="2"/>
      <c r="K2262" s="2" t="s">
        <v>18</v>
      </c>
      <c r="L2262" s="2"/>
    </row>
    <row r="2263">
      <c r="A2263" s="8" t="s">
        <v>2566</v>
      </c>
      <c r="B2263" s="8" t="s">
        <v>2566</v>
      </c>
      <c r="C2263" s="2" t="s">
        <v>1889</v>
      </c>
      <c r="D2263" s="2" t="s">
        <v>1890</v>
      </c>
      <c r="E2263" s="6">
        <v>46038.33346064815</v>
      </c>
      <c r="F2263" s="3" t="s">
        <v>1891</v>
      </c>
      <c r="G2263" s="2" t="s">
        <v>16</v>
      </c>
      <c r="H2263" s="2"/>
      <c r="I2263" s="2" t="s">
        <v>395</v>
      </c>
      <c r="J2263" s="2"/>
      <c r="K2263" s="2" t="s">
        <v>18</v>
      </c>
      <c r="L2263" s="2"/>
    </row>
    <row r="2264">
      <c r="A2264" s="8" t="s">
        <v>2567</v>
      </c>
      <c r="B2264" s="8" t="s">
        <v>2567</v>
      </c>
      <c r="C2264" s="2" t="s">
        <v>786</v>
      </c>
      <c r="D2264" s="2" t="s">
        <v>787</v>
      </c>
      <c r="E2264" s="6">
        <v>46038.333449074074</v>
      </c>
      <c r="F2264" s="3" t="s">
        <v>788</v>
      </c>
      <c r="G2264" s="2" t="s">
        <v>16</v>
      </c>
      <c r="H2264" s="2"/>
      <c r="I2264" s="2" t="s">
        <v>17</v>
      </c>
      <c r="J2264" s="2"/>
      <c r="K2264" s="2" t="s">
        <v>18</v>
      </c>
      <c r="L2264" s="2"/>
    </row>
    <row r="2265">
      <c r="A2265" s="8" t="s">
        <v>2568</v>
      </c>
      <c r="B2265" s="8" t="s">
        <v>2568</v>
      </c>
      <c r="C2265" s="2" t="s">
        <v>2081</v>
      </c>
      <c r="D2265" s="2" t="s">
        <v>2082</v>
      </c>
      <c r="E2265" s="6">
        <v>46038.33346064815</v>
      </c>
      <c r="F2265" s="3" t="s">
        <v>2083</v>
      </c>
      <c r="G2265" s="2" t="s">
        <v>16</v>
      </c>
      <c r="H2265" s="2"/>
      <c r="I2265" s="2" t="s">
        <v>17</v>
      </c>
      <c r="J2265" s="2"/>
      <c r="K2265" s="2" t="s">
        <v>18</v>
      </c>
      <c r="L2265" s="2"/>
    </row>
    <row r="2266">
      <c r="A2266" s="8" t="s">
        <v>2569</v>
      </c>
      <c r="B2266" s="8" t="s">
        <v>2569</v>
      </c>
      <c r="C2266" s="2" t="s">
        <v>1311</v>
      </c>
      <c r="D2266" s="2" t="s">
        <v>1010</v>
      </c>
      <c r="E2266" s="6">
        <v>46038.34111111111</v>
      </c>
      <c r="F2266" s="3" t="s">
        <v>1312</v>
      </c>
      <c r="G2266" s="2" t="s">
        <v>16</v>
      </c>
      <c r="H2266" s="2"/>
      <c r="I2266" s="2" t="s">
        <v>395</v>
      </c>
      <c r="J2266" s="2"/>
      <c r="K2266" s="2" t="s">
        <v>18</v>
      </c>
      <c r="L2266" s="2"/>
    </row>
    <row r="2267">
      <c r="A2267" s="8" t="s">
        <v>2570</v>
      </c>
      <c r="B2267" s="8" t="s">
        <v>2570</v>
      </c>
      <c r="C2267" s="2" t="s">
        <v>786</v>
      </c>
      <c r="D2267" s="2" t="s">
        <v>787</v>
      </c>
      <c r="E2267" s="6">
        <v>46038.53469907407</v>
      </c>
      <c r="F2267" s="3" t="s">
        <v>788</v>
      </c>
      <c r="G2267" s="2" t="s">
        <v>24</v>
      </c>
      <c r="H2267" s="2"/>
      <c r="I2267" s="2"/>
      <c r="J2267" s="2"/>
      <c r="K2267" s="2" t="s">
        <v>18</v>
      </c>
      <c r="L2267" s="2"/>
    </row>
    <row r="2268">
      <c r="A2268" s="8" t="s">
        <v>2571</v>
      </c>
      <c r="B2268" s="8" t="s">
        <v>2571</v>
      </c>
      <c r="C2268" s="2" t="s">
        <v>1993</v>
      </c>
      <c r="D2268" s="2" t="s">
        <v>1994</v>
      </c>
      <c r="E2268" s="6">
        <v>46038.53703703704</v>
      </c>
      <c r="F2268" s="3" t="s">
        <v>1995</v>
      </c>
      <c r="G2268" s="2" t="s">
        <v>16</v>
      </c>
      <c r="H2268" s="2"/>
      <c r="I2268" s="2" t="s">
        <v>17</v>
      </c>
      <c r="J2268" s="2"/>
      <c r="K2268" s="2" t="s">
        <v>18</v>
      </c>
      <c r="L2268" s="2"/>
    </row>
    <row r="2269">
      <c r="A2269" s="8" t="s">
        <v>2572</v>
      </c>
      <c r="B2269" s="8" t="s">
        <v>2572</v>
      </c>
      <c r="C2269" s="2" t="s">
        <v>2459</v>
      </c>
      <c r="D2269" s="2" t="s">
        <v>2460</v>
      </c>
      <c r="E2269" s="6">
        <v>46039.35157407408</v>
      </c>
      <c r="F2269" s="3" t="s">
        <v>2461</v>
      </c>
      <c r="G2269" s="2" t="s">
        <v>16</v>
      </c>
      <c r="H2269" s="2"/>
      <c r="I2269" s="2" t="s">
        <v>395</v>
      </c>
      <c r="J2269" s="2"/>
      <c r="K2269" s="2" t="s">
        <v>18</v>
      </c>
      <c r="L2269" s="2"/>
    </row>
    <row r="2270">
      <c r="A2270" s="8" t="s">
        <v>2573</v>
      </c>
      <c r="B2270" s="8" t="s">
        <v>2573</v>
      </c>
      <c r="C2270" s="2" t="s">
        <v>1573</v>
      </c>
      <c r="D2270" s="2" t="s">
        <v>1574</v>
      </c>
      <c r="E2270" s="6">
        <v>46039.35238425926</v>
      </c>
      <c r="F2270" s="3" t="s">
        <v>1575</v>
      </c>
      <c r="G2270" s="2" t="s">
        <v>16</v>
      </c>
      <c r="H2270" s="2"/>
      <c r="I2270" s="2" t="s">
        <v>395</v>
      </c>
      <c r="J2270" s="2"/>
      <c r="K2270" s="2" t="s">
        <v>18</v>
      </c>
      <c r="L2270" s="2"/>
    </row>
    <row r="2271">
      <c r="A2271" s="8" t="s">
        <v>2574</v>
      </c>
      <c r="B2271" s="8" t="s">
        <v>2574</v>
      </c>
      <c r="C2271" s="2" t="s">
        <v>1573</v>
      </c>
      <c r="D2271" s="2" t="s">
        <v>1574</v>
      </c>
      <c r="E2271" s="6">
        <v>46039.36318287037</v>
      </c>
      <c r="F2271" s="3" t="s">
        <v>1575</v>
      </c>
      <c r="G2271" s="2" t="s">
        <v>24</v>
      </c>
      <c r="H2271" s="2"/>
      <c r="I2271" s="2"/>
      <c r="J2271" s="2"/>
      <c r="K2271" s="2" t="s">
        <v>18</v>
      </c>
      <c r="L2271" s="2"/>
    </row>
    <row r="2272">
      <c r="A2272" s="8" t="s">
        <v>2575</v>
      </c>
      <c r="B2272" s="8" t="s">
        <v>2575</v>
      </c>
      <c r="C2272" s="2" t="s">
        <v>1993</v>
      </c>
      <c r="D2272" s="2" t="s">
        <v>1994</v>
      </c>
      <c r="E2272" s="6">
        <v>46039.36342592593</v>
      </c>
      <c r="F2272" s="3" t="s">
        <v>1995</v>
      </c>
      <c r="G2272" s="2" t="s">
        <v>24</v>
      </c>
      <c r="H2272" s="2"/>
      <c r="I2272" s="2"/>
      <c r="J2272" s="2"/>
      <c r="K2272" s="2" t="s">
        <v>18</v>
      </c>
      <c r="L2272" s="2"/>
    </row>
    <row r="2273">
      <c r="A2273" s="8" t="s">
        <v>2576</v>
      </c>
      <c r="B2273" s="8" t="s">
        <v>2576</v>
      </c>
      <c r="C2273" s="2" t="s">
        <v>2577</v>
      </c>
      <c r="D2273" s="2" t="s">
        <v>2578</v>
      </c>
      <c r="E2273" s="6">
        <v>46039.382569444446</v>
      </c>
      <c r="F2273" s="3" t="s">
        <v>2579</v>
      </c>
      <c r="G2273" s="2" t="s">
        <v>16</v>
      </c>
      <c r="H2273" s="2"/>
      <c r="I2273" s="2" t="s">
        <v>17</v>
      </c>
      <c r="J2273" s="2"/>
      <c r="K2273" s="2" t="s">
        <v>18</v>
      </c>
      <c r="L2273" s="2"/>
    </row>
    <row r="2274">
      <c r="A2274" s="8" t="s">
        <v>2580</v>
      </c>
      <c r="B2274" s="8" t="s">
        <v>2580</v>
      </c>
      <c r="C2274" s="2" t="s">
        <v>1371</v>
      </c>
      <c r="D2274" s="2" t="s">
        <v>1372</v>
      </c>
      <c r="E2274" s="6">
        <v>46039.38528935185</v>
      </c>
      <c r="F2274" s="3" t="s">
        <v>1373</v>
      </c>
      <c r="G2274" s="2" t="s">
        <v>16</v>
      </c>
      <c r="H2274" s="2"/>
      <c r="I2274" s="2" t="s">
        <v>395</v>
      </c>
      <c r="J2274" s="2"/>
      <c r="K2274" s="2" t="s">
        <v>18</v>
      </c>
      <c r="L2274" s="2"/>
    </row>
    <row r="2275">
      <c r="A2275" s="8" t="s">
        <v>2581</v>
      </c>
      <c r="B2275" s="8" t="s">
        <v>2581</v>
      </c>
      <c r="C2275" s="2" t="s">
        <v>309</v>
      </c>
      <c r="D2275" s="2" t="s">
        <v>310</v>
      </c>
      <c r="E2275" s="6">
        <v>46039.39275462963</v>
      </c>
      <c r="F2275" s="3" t="s">
        <v>311</v>
      </c>
      <c r="G2275" s="2" t="s">
        <v>16</v>
      </c>
      <c r="H2275" s="2"/>
      <c r="I2275" s="2" t="s">
        <v>395</v>
      </c>
      <c r="J2275" s="2"/>
      <c r="K2275" s="2" t="s">
        <v>18</v>
      </c>
      <c r="L2275" s="2"/>
    </row>
    <row r="2276">
      <c r="A2276" s="8" t="s">
        <v>2582</v>
      </c>
      <c r="B2276" s="8" t="s">
        <v>2582</v>
      </c>
      <c r="C2276" s="2" t="s">
        <v>2270</v>
      </c>
      <c r="D2276" s="2" t="s">
        <v>2271</v>
      </c>
      <c r="E2276" s="6">
        <v>46039.49775462963</v>
      </c>
      <c r="F2276" s="3" t="s">
        <v>2272</v>
      </c>
      <c r="G2276" s="2" t="s">
        <v>16</v>
      </c>
      <c r="H2276" s="2"/>
      <c r="I2276" s="2" t="s">
        <v>395</v>
      </c>
      <c r="J2276" s="2"/>
      <c r="K2276" s="2" t="s">
        <v>18</v>
      </c>
      <c r="L2276" s="2"/>
    </row>
    <row r="2277">
      <c r="A2277" s="8" t="s">
        <v>2583</v>
      </c>
      <c r="B2277" s="8" t="s">
        <v>2583</v>
      </c>
      <c r="C2277" s="2" t="s">
        <v>1371</v>
      </c>
      <c r="D2277" s="2" t="s">
        <v>1372</v>
      </c>
      <c r="E2277" s="6">
        <v>46039.498020833336</v>
      </c>
      <c r="F2277" s="3" t="s">
        <v>1373</v>
      </c>
      <c r="G2277" s="2" t="s">
        <v>16</v>
      </c>
      <c r="H2277" s="2"/>
      <c r="I2277" s="2" t="s">
        <v>395</v>
      </c>
      <c r="J2277" s="2"/>
      <c r="K2277" s="2" t="s">
        <v>18</v>
      </c>
      <c r="L2277" s="2"/>
    </row>
    <row r="2278">
      <c r="A2278" s="8" t="s">
        <v>2584</v>
      </c>
      <c r="B2278" s="8" t="s">
        <v>2584</v>
      </c>
      <c r="C2278" s="2" t="s">
        <v>1228</v>
      </c>
      <c r="D2278" s="2" t="s">
        <v>1229</v>
      </c>
      <c r="E2278" s="6">
        <v>46039.49841435185</v>
      </c>
      <c r="F2278" s="3" t="s">
        <v>1230</v>
      </c>
      <c r="G2278" s="2" t="s">
        <v>16</v>
      </c>
      <c r="H2278" s="2"/>
      <c r="I2278" s="2" t="s">
        <v>17</v>
      </c>
      <c r="J2278" s="2"/>
      <c r="K2278" s="2" t="s">
        <v>18</v>
      </c>
      <c r="L2278" s="2"/>
    </row>
    <row r="2279">
      <c r="A2279" s="8" t="s">
        <v>2585</v>
      </c>
      <c r="B2279" s="8" t="s">
        <v>2585</v>
      </c>
      <c r="C2279" s="2" t="s">
        <v>885</v>
      </c>
      <c r="D2279" s="2" t="s">
        <v>886</v>
      </c>
      <c r="E2279" s="6">
        <v>46039.50104166667</v>
      </c>
      <c r="F2279" s="3" t="s">
        <v>887</v>
      </c>
      <c r="G2279" s="2" t="s">
        <v>16</v>
      </c>
      <c r="H2279" s="2"/>
      <c r="I2279" s="2" t="s">
        <v>17</v>
      </c>
      <c r="J2279" s="2"/>
      <c r="K2279" s="2" t="s">
        <v>18</v>
      </c>
      <c r="L2279" s="2"/>
    </row>
    <row r="2280">
      <c r="A2280" s="8" t="s">
        <v>2586</v>
      </c>
      <c r="B2280" s="8" t="s">
        <v>2586</v>
      </c>
      <c r="C2280" s="2" t="s">
        <v>1618</v>
      </c>
      <c r="D2280" s="2" t="s">
        <v>1619</v>
      </c>
      <c r="E2280" s="6">
        <v>46039.53392361111</v>
      </c>
      <c r="F2280" s="3" t="s">
        <v>1620</v>
      </c>
      <c r="G2280" s="2" t="s">
        <v>16</v>
      </c>
      <c r="H2280" s="2"/>
      <c r="I2280" s="2" t="s">
        <v>17</v>
      </c>
      <c r="J2280" s="2"/>
      <c r="K2280" s="2" t="s">
        <v>18</v>
      </c>
      <c r="L2280" s="2"/>
    </row>
    <row r="2281">
      <c r="A2281" s="8" t="s">
        <v>2587</v>
      </c>
      <c r="B2281" s="8" t="s">
        <v>2587</v>
      </c>
      <c r="C2281" s="2" t="s">
        <v>1776</v>
      </c>
      <c r="D2281" s="2" t="s">
        <v>1777</v>
      </c>
      <c r="E2281" s="6">
        <v>46039.58224537037</v>
      </c>
      <c r="F2281" s="3" t="s">
        <v>1778</v>
      </c>
      <c r="G2281" s="2" t="s">
        <v>16</v>
      </c>
      <c r="H2281" s="2"/>
      <c r="I2281" s="2" t="s">
        <v>17</v>
      </c>
      <c r="J2281" s="2"/>
      <c r="K2281" s="2" t="s">
        <v>18</v>
      </c>
      <c r="L2281" s="2"/>
    </row>
    <row r="2282">
      <c r="A2282" s="8" t="s">
        <v>2588</v>
      </c>
      <c r="B2282" s="8" t="s">
        <v>2588</v>
      </c>
      <c r="C2282" s="2" t="s">
        <v>309</v>
      </c>
      <c r="D2282" s="2" t="s">
        <v>310</v>
      </c>
      <c r="E2282" s="6">
        <v>46039.59584490741</v>
      </c>
      <c r="F2282" s="3" t="s">
        <v>311</v>
      </c>
      <c r="G2282" s="2" t="s">
        <v>24</v>
      </c>
      <c r="H2282" s="2"/>
      <c r="I2282" s="2"/>
      <c r="J2282" s="2"/>
      <c r="K2282" s="2" t="s">
        <v>18</v>
      </c>
      <c r="L2282" s="2"/>
    </row>
    <row r="2283">
      <c r="A2283" s="8" t="s">
        <v>2589</v>
      </c>
      <c r="B2283" s="8" t="s">
        <v>2589</v>
      </c>
      <c r="C2283" s="2" t="s">
        <v>1371</v>
      </c>
      <c r="D2283" s="2" t="s">
        <v>1372</v>
      </c>
      <c r="E2283" s="6">
        <v>46039.59616898148</v>
      </c>
      <c r="F2283" s="3" t="s">
        <v>1373</v>
      </c>
      <c r="G2283" s="2" t="s">
        <v>24</v>
      </c>
      <c r="H2283" s="2"/>
      <c r="I2283" s="2"/>
      <c r="J2283" s="2"/>
      <c r="K2283" s="2" t="s">
        <v>18</v>
      </c>
      <c r="L2283" s="2"/>
    </row>
    <row r="2284">
      <c r="A2284" s="8" t="s">
        <v>2590</v>
      </c>
      <c r="B2284" s="8" t="s">
        <v>2590</v>
      </c>
      <c r="C2284" s="2" t="s">
        <v>2150</v>
      </c>
      <c r="D2284" s="2" t="s">
        <v>2591</v>
      </c>
      <c r="E2284" s="6">
        <v>46041.34050925926</v>
      </c>
      <c r="F2284" s="3" t="s">
        <v>2152</v>
      </c>
      <c r="G2284" s="2" t="s">
        <v>159</v>
      </c>
      <c r="H2284" s="2"/>
      <c r="I2284" s="2"/>
      <c r="J2284" s="2"/>
      <c r="K2284" s="2" t="s">
        <v>18</v>
      </c>
      <c r="L2284" s="2"/>
    </row>
    <row r="2285">
      <c r="A2285" s="8" t="s">
        <v>2592</v>
      </c>
      <c r="B2285" s="8" t="s">
        <v>2592</v>
      </c>
      <c r="C2285" s="2" t="s">
        <v>2270</v>
      </c>
      <c r="D2285" s="2" t="s">
        <v>2271</v>
      </c>
      <c r="E2285" s="6">
        <v>46039.672268518516</v>
      </c>
      <c r="F2285" s="3" t="s">
        <v>2272</v>
      </c>
      <c r="G2285" s="2" t="s">
        <v>24</v>
      </c>
      <c r="H2285" s="2"/>
      <c r="I2285" s="2"/>
      <c r="J2285" s="2"/>
      <c r="K2285" s="2" t="s">
        <v>18</v>
      </c>
      <c r="L2285" s="2"/>
    </row>
    <row r="2286">
      <c r="A2286" s="8" t="s">
        <v>2593</v>
      </c>
      <c r="B2286" s="8" t="s">
        <v>2593</v>
      </c>
      <c r="C2286" s="2" t="s">
        <v>1618</v>
      </c>
      <c r="D2286" s="2" t="s">
        <v>1619</v>
      </c>
      <c r="E2286" s="6">
        <v>46039.67254629629</v>
      </c>
      <c r="F2286" s="3" t="s">
        <v>1620</v>
      </c>
      <c r="G2286" s="2" t="s">
        <v>24</v>
      </c>
      <c r="H2286" s="2"/>
      <c r="I2286" s="2"/>
      <c r="J2286" s="2"/>
      <c r="K2286" s="2" t="s">
        <v>18</v>
      </c>
      <c r="L2286" s="2"/>
    </row>
    <row r="2287">
      <c r="A2287" s="8" t="s">
        <v>2594</v>
      </c>
      <c r="B2287" s="8" t="s">
        <v>2594</v>
      </c>
      <c r="C2287" s="2" t="s">
        <v>885</v>
      </c>
      <c r="D2287" s="2" t="s">
        <v>886</v>
      </c>
      <c r="E2287" s="6">
        <v>46039.672997685186</v>
      </c>
      <c r="F2287" s="3" t="s">
        <v>887</v>
      </c>
      <c r="G2287" s="2" t="s">
        <v>24</v>
      </c>
      <c r="H2287" s="2"/>
      <c r="I2287" s="2"/>
      <c r="J2287" s="2"/>
      <c r="K2287" s="2" t="s">
        <v>18</v>
      </c>
      <c r="L2287" s="2"/>
    </row>
    <row r="2288">
      <c r="A2288" s="8" t="s">
        <v>2595</v>
      </c>
      <c r="B2288" s="8" t="s">
        <v>2595</v>
      </c>
      <c r="C2288" s="2" t="s">
        <v>1776</v>
      </c>
      <c r="D2288" s="2" t="s">
        <v>1777</v>
      </c>
      <c r="E2288" s="6">
        <v>46041.37489583333</v>
      </c>
      <c r="F2288" s="3" t="s">
        <v>1778</v>
      </c>
      <c r="G2288" s="2" t="s">
        <v>24</v>
      </c>
      <c r="H2288" s="2"/>
      <c r="I2288" s="2"/>
      <c r="J2288" s="2"/>
      <c r="K2288" s="2" t="s">
        <v>18</v>
      </c>
      <c r="L2288" s="2"/>
    </row>
    <row r="2289">
      <c r="A2289" s="8" t="s">
        <v>2596</v>
      </c>
      <c r="B2289" s="8" t="s">
        <v>2596</v>
      </c>
      <c r="C2289" s="2" t="s">
        <v>1228</v>
      </c>
      <c r="D2289" s="2" t="s">
        <v>1229</v>
      </c>
      <c r="E2289" s="6">
        <v>46041.37520833333</v>
      </c>
      <c r="F2289" s="3" t="s">
        <v>1230</v>
      </c>
      <c r="G2289" s="2" t="s">
        <v>24</v>
      </c>
      <c r="H2289" s="2"/>
      <c r="I2289" s="2"/>
      <c r="J2289" s="2"/>
      <c r="K2289" s="2" t="s">
        <v>18</v>
      </c>
      <c r="L2289" s="2"/>
    </row>
    <row r="2290">
      <c r="A2290" s="8" t="s">
        <v>2597</v>
      </c>
      <c r="B2290" s="8" t="s">
        <v>2597</v>
      </c>
      <c r="C2290" s="2" t="s">
        <v>786</v>
      </c>
      <c r="D2290" s="2" t="s">
        <v>787</v>
      </c>
      <c r="E2290" s="6">
        <v>46041.37664351852</v>
      </c>
      <c r="F2290" s="3" t="s">
        <v>788</v>
      </c>
      <c r="G2290" s="2" t="s">
        <v>16</v>
      </c>
      <c r="H2290" s="2"/>
      <c r="I2290" s="2" t="s">
        <v>17</v>
      </c>
      <c r="J2290" s="2"/>
      <c r="K2290" s="2" t="s">
        <v>18</v>
      </c>
      <c r="L2290" s="2"/>
    </row>
    <row r="2291">
      <c r="A2291" s="8" t="s">
        <v>2598</v>
      </c>
      <c r="B2291" s="8" t="s">
        <v>2598</v>
      </c>
      <c r="C2291" s="2" t="s">
        <v>904</v>
      </c>
      <c r="D2291" s="2" t="s">
        <v>905</v>
      </c>
      <c r="E2291" s="6">
        <v>46041.37875</v>
      </c>
      <c r="F2291" s="3" t="s">
        <v>906</v>
      </c>
      <c r="G2291" s="2" t="s">
        <v>16</v>
      </c>
      <c r="H2291" s="2"/>
      <c r="I2291" s="2" t="s">
        <v>395</v>
      </c>
      <c r="J2291" s="2"/>
      <c r="K2291" s="2" t="s">
        <v>18</v>
      </c>
      <c r="L2291" s="2"/>
    </row>
    <row r="2292">
      <c r="A2292" s="8" t="s">
        <v>2599</v>
      </c>
      <c r="B2292" s="8" t="s">
        <v>2599</v>
      </c>
      <c r="C2292" s="2" t="s">
        <v>904</v>
      </c>
      <c r="D2292" s="2" t="s">
        <v>905</v>
      </c>
      <c r="E2292" s="6">
        <v>46041.59645833333</v>
      </c>
      <c r="F2292" s="3" t="s">
        <v>906</v>
      </c>
      <c r="G2292" s="2" t="s">
        <v>24</v>
      </c>
      <c r="H2292" s="2"/>
      <c r="I2292" s="2"/>
      <c r="J2292" s="2"/>
      <c r="K2292" s="2" t="s">
        <v>18</v>
      </c>
      <c r="L2292" s="2"/>
    </row>
    <row r="2293">
      <c r="A2293" s="8" t="s">
        <v>2600</v>
      </c>
      <c r="B2293" s="8" t="s">
        <v>2600</v>
      </c>
      <c r="C2293" s="2" t="s">
        <v>2131</v>
      </c>
      <c r="D2293" s="2" t="s">
        <v>2171</v>
      </c>
      <c r="E2293" s="6">
        <v>46041.5990625</v>
      </c>
      <c r="F2293" s="3" t="s">
        <v>2172</v>
      </c>
      <c r="G2293" s="2" t="s">
        <v>24</v>
      </c>
      <c r="H2293" s="2"/>
      <c r="I2293" s="2"/>
      <c r="J2293" s="2"/>
      <c r="K2293" s="2" t="s">
        <v>18</v>
      </c>
      <c r="L2293" s="2"/>
    </row>
    <row r="2294">
      <c r="A2294" s="8" t="s">
        <v>2601</v>
      </c>
      <c r="B2294" s="8" t="s">
        <v>2601</v>
      </c>
      <c r="C2294" s="2" t="s">
        <v>786</v>
      </c>
      <c r="D2294" s="2" t="s">
        <v>787</v>
      </c>
      <c r="E2294" s="6">
        <v>46041.60016203704</v>
      </c>
      <c r="F2294" s="3" t="s">
        <v>788</v>
      </c>
      <c r="G2294" s="2" t="s">
        <v>24</v>
      </c>
      <c r="H2294" s="2"/>
      <c r="I2294" s="2"/>
      <c r="J2294" s="2"/>
      <c r="K2294" s="2" t="s">
        <v>18</v>
      </c>
      <c r="L2294" s="2"/>
    </row>
    <row r="2295">
      <c r="A2295" s="8" t="s">
        <v>2602</v>
      </c>
      <c r="B2295" s="8" t="s">
        <v>2602</v>
      </c>
      <c r="C2295" s="2" t="s">
        <v>1993</v>
      </c>
      <c r="D2295" s="2" t="s">
        <v>1994</v>
      </c>
      <c r="E2295" s="6">
        <v>46041.62751157407</v>
      </c>
      <c r="F2295" s="3" t="s">
        <v>1995</v>
      </c>
      <c r="G2295" s="2" t="s">
        <v>16</v>
      </c>
      <c r="H2295" s="2"/>
      <c r="I2295" s="2" t="s">
        <v>17</v>
      </c>
      <c r="J2295" s="2"/>
      <c r="K2295" s="2" t="s">
        <v>18</v>
      </c>
      <c r="L2295" s="2"/>
    </row>
    <row r="2296">
      <c r="A2296" s="8" t="s">
        <v>2603</v>
      </c>
      <c r="B2296" s="8" t="s">
        <v>2603</v>
      </c>
      <c r="C2296" s="2" t="s">
        <v>1993</v>
      </c>
      <c r="D2296" s="2" t="s">
        <v>1994</v>
      </c>
      <c r="E2296" s="6">
        <v>46041.64635416667</v>
      </c>
      <c r="F2296" s="3" t="s">
        <v>1995</v>
      </c>
      <c r="G2296" s="2" t="s">
        <v>16</v>
      </c>
      <c r="H2296" s="2"/>
      <c r="I2296" s="2" t="s">
        <v>17</v>
      </c>
      <c r="J2296" s="2"/>
      <c r="K2296" s="2" t="s">
        <v>18</v>
      </c>
      <c r="L2296" s="2"/>
    </row>
    <row r="2297">
      <c r="A2297" s="8" t="s">
        <v>2604</v>
      </c>
      <c r="B2297" s="8" t="s">
        <v>2604</v>
      </c>
      <c r="C2297" s="2" t="s">
        <v>1993</v>
      </c>
      <c r="D2297" s="2" t="s">
        <v>1994</v>
      </c>
      <c r="E2297" s="6">
        <v>46041.67884259259</v>
      </c>
      <c r="F2297" s="3" t="s">
        <v>1995</v>
      </c>
      <c r="G2297" s="2" t="s">
        <v>24</v>
      </c>
      <c r="H2297" s="2"/>
      <c r="I2297" s="2"/>
      <c r="J2297" s="2"/>
      <c r="K2297" s="2" t="s">
        <v>18</v>
      </c>
      <c r="L2297" s="2"/>
    </row>
    <row r="2298">
      <c r="A2298" s="8" t="s">
        <v>2605</v>
      </c>
      <c r="B2298" s="8" t="s">
        <v>2605</v>
      </c>
      <c r="C2298" s="2" t="s">
        <v>2005</v>
      </c>
      <c r="D2298" s="2" t="s">
        <v>2006</v>
      </c>
      <c r="E2298" s="6">
        <v>46042.37199074074</v>
      </c>
      <c r="F2298" s="3" t="s">
        <v>2007</v>
      </c>
      <c r="G2298" s="2" t="s">
        <v>16</v>
      </c>
      <c r="H2298" s="2"/>
      <c r="I2298" s="2" t="s">
        <v>17</v>
      </c>
      <c r="J2298" s="2"/>
      <c r="K2298" s="2" t="s">
        <v>18</v>
      </c>
      <c r="L2298" s="2"/>
    </row>
    <row r="2299">
      <c r="A2299" s="8" t="s">
        <v>2606</v>
      </c>
      <c r="B2299" s="8" t="s">
        <v>2606</v>
      </c>
      <c r="C2299" s="2" t="s">
        <v>1975</v>
      </c>
      <c r="D2299" s="2" t="s">
        <v>1976</v>
      </c>
      <c r="E2299" s="6">
        <v>46042.375763888886</v>
      </c>
      <c r="F2299" s="3" t="s">
        <v>1977</v>
      </c>
      <c r="G2299" s="2" t="s">
        <v>16</v>
      </c>
      <c r="H2299" s="2"/>
      <c r="I2299" s="2" t="s">
        <v>17</v>
      </c>
      <c r="J2299" s="2"/>
      <c r="K2299" s="2" t="s">
        <v>18</v>
      </c>
      <c r="L2299" s="2"/>
    </row>
    <row r="2300">
      <c r="A2300" s="8" t="s">
        <v>2607</v>
      </c>
      <c r="B2300" s="8" t="s">
        <v>2607</v>
      </c>
      <c r="C2300" s="2" t="s">
        <v>55</v>
      </c>
      <c r="D2300" s="2" t="s">
        <v>56</v>
      </c>
      <c r="E2300" s="6">
        <v>46042.38454861111</v>
      </c>
      <c r="F2300" s="3" t="s">
        <v>57</v>
      </c>
      <c r="G2300" s="2" t="s">
        <v>159</v>
      </c>
      <c r="H2300" s="2"/>
      <c r="I2300" s="2"/>
      <c r="J2300" s="2"/>
      <c r="K2300" s="2" t="s">
        <v>18</v>
      </c>
      <c r="L2300" s="2"/>
    </row>
    <row r="2301">
      <c r="A2301" s="8" t="s">
        <v>2608</v>
      </c>
      <c r="B2301" s="8" t="s">
        <v>2608</v>
      </c>
      <c r="C2301" s="2" t="s">
        <v>1889</v>
      </c>
      <c r="D2301" s="2" t="s">
        <v>1890</v>
      </c>
      <c r="E2301" s="6">
        <v>46042.466099537036</v>
      </c>
      <c r="F2301" s="3" t="s">
        <v>1891</v>
      </c>
      <c r="G2301" s="2" t="s">
        <v>16</v>
      </c>
      <c r="H2301" s="2"/>
      <c r="I2301" s="2" t="s">
        <v>17</v>
      </c>
      <c r="J2301" s="2"/>
      <c r="K2301" s="2" t="s">
        <v>18</v>
      </c>
      <c r="L2301" s="2"/>
    </row>
    <row r="2302">
      <c r="A2302" s="8" t="s">
        <v>2609</v>
      </c>
      <c r="B2302" s="8" t="s">
        <v>2609</v>
      </c>
      <c r="C2302" s="2" t="s">
        <v>1756</v>
      </c>
      <c r="D2302" s="2" t="s">
        <v>1757</v>
      </c>
      <c r="E2302" s="6">
        <v>46042.46690972222</v>
      </c>
      <c r="F2302" s="3" t="s">
        <v>1758</v>
      </c>
      <c r="G2302" s="2" t="s">
        <v>16</v>
      </c>
      <c r="H2302" s="2"/>
      <c r="I2302" s="2" t="s">
        <v>17</v>
      </c>
      <c r="J2302" s="2"/>
      <c r="K2302" s="2" t="s">
        <v>18</v>
      </c>
      <c r="L2302" s="2"/>
    </row>
    <row r="2303">
      <c r="A2303" s="8" t="s">
        <v>2610</v>
      </c>
      <c r="B2303" s="8" t="s">
        <v>2610</v>
      </c>
      <c r="C2303" s="2" t="s">
        <v>2005</v>
      </c>
      <c r="D2303" s="2" t="s">
        <v>2006</v>
      </c>
      <c r="E2303" s="6">
        <v>46042.473275462966</v>
      </c>
      <c r="F2303" s="3" t="s">
        <v>2007</v>
      </c>
      <c r="G2303" s="2" t="s">
        <v>24</v>
      </c>
      <c r="H2303" s="2"/>
      <c r="I2303" s="2"/>
      <c r="J2303" s="2"/>
      <c r="K2303" s="2" t="s">
        <v>18</v>
      </c>
      <c r="L2303" s="2"/>
    </row>
    <row r="2304">
      <c r="A2304" s="8" t="s">
        <v>2611</v>
      </c>
      <c r="B2304" s="8" t="s">
        <v>2611</v>
      </c>
      <c r="C2304" s="2" t="s">
        <v>1975</v>
      </c>
      <c r="D2304" s="2" t="s">
        <v>1976</v>
      </c>
      <c r="E2304" s="6">
        <v>46042.53135416667</v>
      </c>
      <c r="F2304" s="3" t="s">
        <v>1977</v>
      </c>
      <c r="G2304" s="2" t="s">
        <v>24</v>
      </c>
      <c r="H2304" s="2"/>
      <c r="I2304" s="2"/>
      <c r="J2304" s="2"/>
      <c r="K2304" s="2" t="s">
        <v>18</v>
      </c>
      <c r="L2304" s="2"/>
    </row>
    <row r="2305">
      <c r="A2305" s="8" t="s">
        <v>2612</v>
      </c>
      <c r="B2305" s="8" t="s">
        <v>2612</v>
      </c>
      <c r="C2305" s="2" t="s">
        <v>326</v>
      </c>
      <c r="D2305" s="2" t="s">
        <v>327</v>
      </c>
      <c r="E2305" s="6">
        <v>46042.532222222224</v>
      </c>
      <c r="F2305" s="3" t="s">
        <v>328</v>
      </c>
      <c r="G2305" s="2" t="s">
        <v>24</v>
      </c>
      <c r="H2305" s="2"/>
      <c r="I2305" s="2"/>
      <c r="J2305" s="2"/>
      <c r="K2305" s="2" t="s">
        <v>18</v>
      </c>
      <c r="L2305" s="2"/>
    </row>
    <row r="2306">
      <c r="A2306" s="8" t="s">
        <v>2613</v>
      </c>
      <c r="B2306" s="8" t="s">
        <v>2613</v>
      </c>
      <c r="C2306" s="2" t="s">
        <v>2543</v>
      </c>
      <c r="D2306" s="2" t="s">
        <v>2544</v>
      </c>
      <c r="E2306" s="6">
        <v>46042.57813657408</v>
      </c>
      <c r="F2306" s="3" t="s">
        <v>2545</v>
      </c>
      <c r="G2306" s="2" t="s">
        <v>16</v>
      </c>
      <c r="H2306" s="2"/>
      <c r="I2306" s="2" t="s">
        <v>17</v>
      </c>
      <c r="J2306" s="2"/>
      <c r="K2306" s="2" t="s">
        <v>18</v>
      </c>
      <c r="L2306" s="2"/>
    </row>
    <row r="2307">
      <c r="A2307" s="8" t="s">
        <v>2614</v>
      </c>
      <c r="B2307" s="8" t="s">
        <v>2614</v>
      </c>
      <c r="C2307" s="2" t="s">
        <v>49</v>
      </c>
      <c r="D2307" s="2" t="s">
        <v>50</v>
      </c>
      <c r="E2307" s="6">
        <v>46042.62614583333</v>
      </c>
      <c r="F2307" s="3" t="s">
        <v>51</v>
      </c>
      <c r="G2307" s="2" t="s">
        <v>24</v>
      </c>
      <c r="H2307" s="2"/>
      <c r="I2307" s="2"/>
      <c r="J2307" s="2"/>
      <c r="K2307" s="2" t="s">
        <v>18</v>
      </c>
      <c r="L2307" s="2"/>
    </row>
    <row r="2308">
      <c r="A2308" s="8" t="s">
        <v>2615</v>
      </c>
      <c r="B2308" s="8" t="s">
        <v>2615</v>
      </c>
      <c r="C2308" s="2" t="s">
        <v>1084</v>
      </c>
      <c r="D2308" s="2" t="s">
        <v>1085</v>
      </c>
      <c r="E2308" s="6">
        <v>46042.62648148148</v>
      </c>
      <c r="F2308" s="3" t="s">
        <v>1086</v>
      </c>
      <c r="G2308" s="2" t="s">
        <v>24</v>
      </c>
      <c r="H2308" s="2"/>
      <c r="I2308" s="2"/>
      <c r="J2308" s="2"/>
      <c r="K2308" s="2" t="s">
        <v>18</v>
      </c>
      <c r="L2308" s="2"/>
    </row>
    <row r="2309">
      <c r="A2309" s="8" t="s">
        <v>2616</v>
      </c>
      <c r="B2309" s="8" t="s">
        <v>2616</v>
      </c>
      <c r="C2309" s="2" t="s">
        <v>786</v>
      </c>
      <c r="D2309" s="2" t="s">
        <v>787</v>
      </c>
      <c r="E2309" s="6">
        <v>46042.672789351855</v>
      </c>
      <c r="F2309" s="3" t="s">
        <v>788</v>
      </c>
      <c r="G2309" s="2" t="s">
        <v>24</v>
      </c>
      <c r="H2309" s="2"/>
      <c r="I2309" s="2"/>
      <c r="J2309" s="2"/>
      <c r="K2309" s="2" t="s">
        <v>18</v>
      </c>
      <c r="L2309" s="2"/>
    </row>
    <row r="2310">
      <c r="A2310" s="8" t="s">
        <v>2617</v>
      </c>
      <c r="B2310" s="8" t="s">
        <v>2617</v>
      </c>
      <c r="C2310" s="2" t="s">
        <v>1756</v>
      </c>
      <c r="D2310" s="2" t="s">
        <v>1757</v>
      </c>
      <c r="E2310" s="6">
        <v>46042.681550925925</v>
      </c>
      <c r="F2310" s="3" t="s">
        <v>1758</v>
      </c>
      <c r="G2310" s="2" t="s">
        <v>24</v>
      </c>
      <c r="H2310" s="2"/>
      <c r="I2310" s="2"/>
      <c r="J2310" s="2"/>
      <c r="K2310" s="2" t="s">
        <v>18</v>
      </c>
      <c r="L2310" s="2"/>
    </row>
    <row r="2311">
      <c r="A2311" s="8" t="s">
        <v>2618</v>
      </c>
      <c r="B2311" s="8" t="s">
        <v>2618</v>
      </c>
      <c r="C2311" s="2" t="s">
        <v>309</v>
      </c>
      <c r="D2311" s="2" t="s">
        <v>310</v>
      </c>
      <c r="E2311" s="6">
        <v>46043.37229166667</v>
      </c>
      <c r="F2311" s="3" t="s">
        <v>311</v>
      </c>
      <c r="G2311" s="2" t="s">
        <v>16</v>
      </c>
      <c r="H2311" s="2"/>
      <c r="I2311" s="2" t="s">
        <v>395</v>
      </c>
      <c r="J2311" s="2"/>
      <c r="K2311" s="2" t="s">
        <v>18</v>
      </c>
      <c r="L2311" s="2"/>
    </row>
    <row r="2312">
      <c r="A2312" s="8" t="s">
        <v>2619</v>
      </c>
      <c r="B2312" s="8" t="s">
        <v>2619</v>
      </c>
      <c r="C2312" s="2" t="s">
        <v>786</v>
      </c>
      <c r="D2312" s="2" t="s">
        <v>787</v>
      </c>
      <c r="E2312" s="6">
        <v>46043.39255787037</v>
      </c>
      <c r="F2312" s="3" t="s">
        <v>788</v>
      </c>
      <c r="G2312" s="2" t="s">
        <v>16</v>
      </c>
      <c r="H2312" s="2"/>
      <c r="I2312" s="2" t="s">
        <v>17</v>
      </c>
      <c r="J2312" s="2"/>
      <c r="K2312" s="2" t="s">
        <v>18</v>
      </c>
      <c r="L2312" s="2"/>
    </row>
    <row r="2313">
      <c r="A2313" s="8" t="s">
        <v>2620</v>
      </c>
      <c r="B2313" s="8" t="s">
        <v>2620</v>
      </c>
      <c r="C2313" s="2" t="s">
        <v>1203</v>
      </c>
      <c r="D2313" s="2" t="s">
        <v>1204</v>
      </c>
      <c r="E2313" s="6">
        <v>46043.498402777775</v>
      </c>
      <c r="F2313" s="3" t="s">
        <v>1205</v>
      </c>
      <c r="G2313" s="2" t="s">
        <v>16</v>
      </c>
      <c r="H2313" s="2"/>
      <c r="I2313" s="2" t="s">
        <v>17</v>
      </c>
      <c r="J2313" s="2"/>
      <c r="K2313" s="2" t="s">
        <v>18</v>
      </c>
      <c r="L2313" s="2"/>
    </row>
    <row r="2314">
      <c r="A2314" s="8" t="s">
        <v>2621</v>
      </c>
      <c r="B2314" s="8" t="s">
        <v>2621</v>
      </c>
      <c r="C2314" s="2" t="s">
        <v>951</v>
      </c>
      <c r="D2314" s="2" t="s">
        <v>952</v>
      </c>
      <c r="E2314" s="6">
        <v>46043.50679398148</v>
      </c>
      <c r="F2314" s="3" t="s">
        <v>953</v>
      </c>
      <c r="G2314" s="2" t="s">
        <v>16</v>
      </c>
      <c r="H2314" s="2"/>
      <c r="I2314" s="2" t="s">
        <v>17</v>
      </c>
      <c r="J2314" s="2"/>
      <c r="K2314" s="2" t="s">
        <v>18</v>
      </c>
      <c r="L2314" s="2"/>
    </row>
    <row r="2315">
      <c r="A2315" s="8" t="s">
        <v>2622</v>
      </c>
      <c r="B2315" s="8" t="s">
        <v>2622</v>
      </c>
      <c r="C2315" s="2" t="s">
        <v>2623</v>
      </c>
      <c r="D2315" s="2" t="s">
        <v>2624</v>
      </c>
      <c r="E2315" s="6">
        <v>46043.50753472222</v>
      </c>
      <c r="F2315" s="3" t="s">
        <v>2625</v>
      </c>
      <c r="G2315" s="2" t="s">
        <v>16</v>
      </c>
      <c r="H2315" s="2"/>
      <c r="I2315" s="2" t="s">
        <v>395</v>
      </c>
      <c r="J2315" s="2"/>
      <c r="K2315" s="2" t="s">
        <v>18</v>
      </c>
      <c r="L2315" s="2"/>
    </row>
    <row r="2316">
      <c r="A2316" s="8" t="s">
        <v>2626</v>
      </c>
      <c r="B2316" s="8" t="s">
        <v>2626</v>
      </c>
      <c r="C2316" s="2" t="s">
        <v>885</v>
      </c>
      <c r="D2316" s="2" t="s">
        <v>886</v>
      </c>
      <c r="E2316" s="6">
        <v>46043.50797453704</v>
      </c>
      <c r="F2316" s="3" t="s">
        <v>887</v>
      </c>
      <c r="G2316" s="2" t="s">
        <v>16</v>
      </c>
      <c r="H2316" s="2"/>
      <c r="I2316" s="2" t="s">
        <v>17</v>
      </c>
      <c r="J2316" s="2"/>
      <c r="K2316" s="2" t="s">
        <v>18</v>
      </c>
      <c r="L2316" s="2"/>
    </row>
    <row r="2317">
      <c r="A2317" s="8" t="s">
        <v>2627</v>
      </c>
      <c r="B2317" s="8" t="s">
        <v>2627</v>
      </c>
      <c r="C2317" s="2" t="s">
        <v>45</v>
      </c>
      <c r="D2317" s="2" t="s">
        <v>46</v>
      </c>
      <c r="E2317" s="6">
        <v>46043.527407407404</v>
      </c>
      <c r="F2317" s="3" t="s">
        <v>47</v>
      </c>
      <c r="G2317" s="2" t="s">
        <v>24</v>
      </c>
      <c r="H2317" s="2"/>
      <c r="I2317" s="2"/>
      <c r="J2317" s="2"/>
      <c r="K2317" s="2" t="s">
        <v>18</v>
      </c>
      <c r="L2317" s="2"/>
    </row>
    <row r="2318">
      <c r="A2318" s="8" t="s">
        <v>2628</v>
      </c>
      <c r="B2318" s="8" t="s">
        <v>2628</v>
      </c>
      <c r="C2318" s="2" t="s">
        <v>786</v>
      </c>
      <c r="D2318" s="2" t="s">
        <v>787</v>
      </c>
      <c r="E2318" s="6">
        <v>46043.537673611114</v>
      </c>
      <c r="F2318" s="3" t="s">
        <v>788</v>
      </c>
      <c r="G2318" s="2" t="s">
        <v>24</v>
      </c>
      <c r="H2318" s="2"/>
      <c r="I2318" s="2"/>
      <c r="J2318" s="2"/>
      <c r="K2318" s="2" t="s">
        <v>18</v>
      </c>
      <c r="L2318" s="2"/>
    </row>
    <row r="2319">
      <c r="A2319" s="8" t="s">
        <v>2629</v>
      </c>
      <c r="B2319" s="8" t="s">
        <v>2629</v>
      </c>
      <c r="C2319" s="2" t="s">
        <v>109</v>
      </c>
      <c r="D2319" s="2" t="s">
        <v>110</v>
      </c>
      <c r="E2319" s="6">
        <v>46043.608831018515</v>
      </c>
      <c r="F2319" s="3" t="s">
        <v>111</v>
      </c>
      <c r="G2319" s="2" t="s">
        <v>16</v>
      </c>
      <c r="H2319" s="2"/>
      <c r="I2319" s="2" t="s">
        <v>17</v>
      </c>
      <c r="J2319" s="2"/>
      <c r="K2319" s="2" t="s">
        <v>18</v>
      </c>
      <c r="L2319" s="2"/>
    </row>
    <row r="2320">
      <c r="A2320" s="8" t="s">
        <v>2630</v>
      </c>
      <c r="B2320" s="8" t="s">
        <v>2630</v>
      </c>
      <c r="C2320" s="2" t="s">
        <v>951</v>
      </c>
      <c r="D2320" s="2" t="s">
        <v>952</v>
      </c>
      <c r="E2320" s="6">
        <v>46043.610497685186</v>
      </c>
      <c r="F2320" s="3" t="s">
        <v>953</v>
      </c>
      <c r="G2320" s="2" t="s">
        <v>24</v>
      </c>
      <c r="H2320" s="2"/>
      <c r="I2320" s="2"/>
      <c r="J2320" s="2"/>
      <c r="K2320" s="2" t="s">
        <v>18</v>
      </c>
      <c r="L2320" s="2"/>
    </row>
    <row r="2321">
      <c r="A2321" s="8" t="s">
        <v>2631</v>
      </c>
      <c r="B2321" s="8" t="s">
        <v>2631</v>
      </c>
      <c r="C2321" s="2" t="s">
        <v>1203</v>
      </c>
      <c r="D2321" s="2" t="s">
        <v>1204</v>
      </c>
      <c r="E2321" s="6">
        <v>46043.61127314815</v>
      </c>
      <c r="F2321" s="3" t="s">
        <v>1205</v>
      </c>
      <c r="G2321" s="2" t="s">
        <v>24</v>
      </c>
      <c r="H2321" s="2"/>
      <c r="I2321" s="2"/>
      <c r="J2321" s="2"/>
      <c r="K2321" s="2" t="s">
        <v>18</v>
      </c>
      <c r="L2321" s="2"/>
    </row>
    <row r="2322">
      <c r="A2322" s="8" t="s">
        <v>2632</v>
      </c>
      <c r="B2322" s="8" t="s">
        <v>2632</v>
      </c>
      <c r="C2322" s="2" t="s">
        <v>885</v>
      </c>
      <c r="D2322" s="2" t="s">
        <v>886</v>
      </c>
      <c r="E2322" s="6">
        <v>46043.6475462963</v>
      </c>
      <c r="F2322" s="3" t="s">
        <v>887</v>
      </c>
      <c r="G2322" s="2" t="s">
        <v>24</v>
      </c>
      <c r="H2322" s="2"/>
      <c r="I2322" s="2"/>
      <c r="J2322" s="2"/>
      <c r="K2322" s="2" t="s">
        <v>18</v>
      </c>
      <c r="L2322" s="2"/>
    </row>
    <row r="2323">
      <c r="A2323" s="8" t="s">
        <v>2633</v>
      </c>
      <c r="B2323" s="8" t="s">
        <v>2633</v>
      </c>
      <c r="C2323" s="2" t="s">
        <v>109</v>
      </c>
      <c r="D2323" s="2" t="s">
        <v>110</v>
      </c>
      <c r="E2323" s="6">
        <v>46043.68813657408</v>
      </c>
      <c r="F2323" s="3" t="s">
        <v>111</v>
      </c>
      <c r="G2323" s="2" t="s">
        <v>24</v>
      </c>
      <c r="H2323" s="2"/>
      <c r="I2323" s="2"/>
      <c r="J2323" s="2"/>
      <c r="K2323" s="2" t="s">
        <v>18</v>
      </c>
      <c r="L2323" s="2"/>
    </row>
    <row r="2324">
      <c r="A2324" s="8" t="s">
        <v>2634</v>
      </c>
      <c r="B2324" s="8" t="s">
        <v>2634</v>
      </c>
      <c r="C2324" s="2" t="s">
        <v>1573</v>
      </c>
      <c r="D2324" s="2" t="s">
        <v>1574</v>
      </c>
      <c r="E2324" s="6">
        <v>46043.71974537037</v>
      </c>
      <c r="F2324" s="3" t="s">
        <v>1575</v>
      </c>
      <c r="G2324" s="2" t="s">
        <v>16</v>
      </c>
      <c r="H2324" s="2"/>
      <c r="I2324" s="2" t="s">
        <v>395</v>
      </c>
      <c r="J2324" s="2"/>
      <c r="K2324" s="2" t="s">
        <v>18</v>
      </c>
      <c r="L2324" s="2"/>
    </row>
    <row r="2325">
      <c r="A2325" s="8" t="s">
        <v>2635</v>
      </c>
      <c r="B2325" s="8" t="s">
        <v>2635</v>
      </c>
      <c r="C2325" s="2" t="s">
        <v>1776</v>
      </c>
      <c r="D2325" s="2" t="s">
        <v>1777</v>
      </c>
      <c r="E2325" s="6">
        <v>46044.34984953704</v>
      </c>
      <c r="F2325" s="3" t="s">
        <v>1778</v>
      </c>
      <c r="G2325" s="2" t="s">
        <v>16</v>
      </c>
      <c r="H2325" s="2"/>
      <c r="I2325" s="2" t="s">
        <v>17</v>
      </c>
      <c r="J2325" s="2"/>
      <c r="K2325" s="2" t="s">
        <v>18</v>
      </c>
      <c r="L2325" s="2"/>
    </row>
    <row r="2326">
      <c r="A2326" s="8" t="s">
        <v>2636</v>
      </c>
      <c r="B2326" s="8" t="s">
        <v>2636</v>
      </c>
      <c r="C2326" s="2" t="s">
        <v>2459</v>
      </c>
      <c r="D2326" s="2" t="s">
        <v>2460</v>
      </c>
      <c r="E2326" s="6">
        <v>46044.35273148148</v>
      </c>
      <c r="F2326" s="3" t="s">
        <v>2461</v>
      </c>
      <c r="G2326" s="2" t="s">
        <v>16</v>
      </c>
      <c r="H2326" s="2"/>
      <c r="I2326" s="2" t="s">
        <v>395</v>
      </c>
      <c r="J2326" s="2"/>
      <c r="K2326" s="2" t="s">
        <v>18</v>
      </c>
      <c r="L2326" s="2"/>
    </row>
    <row r="2327">
      <c r="A2327" s="8" t="s">
        <v>2637</v>
      </c>
      <c r="B2327" s="8" t="s">
        <v>2637</v>
      </c>
      <c r="C2327" s="2" t="s">
        <v>1573</v>
      </c>
      <c r="D2327" s="2" t="s">
        <v>1574</v>
      </c>
      <c r="E2327" s="6">
        <v>46044.369155092594</v>
      </c>
      <c r="F2327" s="3" t="s">
        <v>1575</v>
      </c>
      <c r="G2327" s="2" t="s">
        <v>24</v>
      </c>
      <c r="H2327" s="2"/>
      <c r="I2327" s="2"/>
      <c r="J2327" s="2"/>
      <c r="K2327" s="2" t="s">
        <v>18</v>
      </c>
      <c r="L2327" s="2"/>
    </row>
    <row r="2328">
      <c r="A2328" s="8" t="s">
        <v>2638</v>
      </c>
      <c r="B2328" s="8" t="s">
        <v>2638</v>
      </c>
      <c r="C2328" s="2" t="s">
        <v>2459</v>
      </c>
      <c r="D2328" s="2" t="s">
        <v>2460</v>
      </c>
      <c r="E2328" s="6">
        <v>46044.3875</v>
      </c>
      <c r="F2328" s="3" t="s">
        <v>2461</v>
      </c>
      <c r="G2328" s="2" t="s">
        <v>24</v>
      </c>
      <c r="H2328" s="2"/>
      <c r="I2328" s="2"/>
      <c r="J2328" s="2"/>
      <c r="K2328" s="2" t="s">
        <v>18</v>
      </c>
      <c r="L2328" s="2"/>
    </row>
    <row r="2329">
      <c r="A2329" s="8" t="s">
        <v>2639</v>
      </c>
      <c r="B2329" s="8" t="s">
        <v>2639</v>
      </c>
      <c r="C2329" s="2" t="s">
        <v>2640</v>
      </c>
      <c r="D2329" s="2" t="s">
        <v>2641</v>
      </c>
      <c r="E2329" s="6">
        <v>46044.391122685185</v>
      </c>
      <c r="F2329" s="3" t="s">
        <v>2642</v>
      </c>
      <c r="G2329" s="2" t="s">
        <v>16</v>
      </c>
      <c r="H2329" s="2"/>
      <c r="I2329" s="2" t="s">
        <v>17</v>
      </c>
      <c r="J2329" s="2"/>
      <c r="K2329" s="2" t="s">
        <v>18</v>
      </c>
      <c r="L2329" s="2"/>
    </row>
    <row r="2330">
      <c r="A2330" s="8" t="s">
        <v>2643</v>
      </c>
      <c r="B2330" s="8" t="s">
        <v>2643</v>
      </c>
      <c r="C2330" s="2" t="s">
        <v>2640</v>
      </c>
      <c r="D2330" s="2" t="s">
        <v>2641</v>
      </c>
      <c r="E2330" s="6">
        <v>46044.39665509259</v>
      </c>
      <c r="F2330" s="3" t="s">
        <v>2642</v>
      </c>
      <c r="G2330" s="2" t="s">
        <v>16</v>
      </c>
      <c r="H2330" s="2"/>
      <c r="I2330" s="2" t="s">
        <v>17</v>
      </c>
      <c r="J2330" s="2"/>
      <c r="K2330" s="2" t="s">
        <v>18</v>
      </c>
      <c r="L2330" s="2"/>
    </row>
    <row r="2331">
      <c r="A2331" s="8" t="s">
        <v>2644</v>
      </c>
      <c r="B2331" s="8" t="s">
        <v>2644</v>
      </c>
      <c r="C2331" s="2" t="s">
        <v>2266</v>
      </c>
      <c r="D2331" s="2" t="s">
        <v>2267</v>
      </c>
      <c r="E2331" s="6">
        <v>46044.43340277778</v>
      </c>
      <c r="F2331" s="3" t="s">
        <v>2268</v>
      </c>
      <c r="G2331" s="2" t="s">
        <v>16</v>
      </c>
      <c r="H2331" s="2"/>
      <c r="I2331" s="2" t="s">
        <v>17</v>
      </c>
      <c r="J2331" s="2"/>
      <c r="K2331" s="2" t="s">
        <v>18</v>
      </c>
      <c r="L2331" s="2"/>
    </row>
    <row r="2332">
      <c r="A2332" s="8" t="s">
        <v>2645</v>
      </c>
      <c r="B2332" s="8" t="s">
        <v>2645</v>
      </c>
      <c r="C2332" s="2" t="s">
        <v>45</v>
      </c>
      <c r="D2332" s="2" t="s">
        <v>46</v>
      </c>
      <c r="E2332" s="6">
        <v>46044.433703703704</v>
      </c>
      <c r="F2332" s="3" t="s">
        <v>47</v>
      </c>
      <c r="G2332" s="2" t="s">
        <v>16</v>
      </c>
      <c r="H2332" s="2"/>
      <c r="I2332" s="2"/>
      <c r="J2332" s="2"/>
      <c r="K2332" s="2" t="s">
        <v>18</v>
      </c>
      <c r="L2332" s="2"/>
    </row>
    <row r="2333">
      <c r="A2333" s="8" t="s">
        <v>2646</v>
      </c>
      <c r="B2333" s="8" t="s">
        <v>2646</v>
      </c>
      <c r="C2333" s="2" t="s">
        <v>786</v>
      </c>
      <c r="D2333" s="2" t="s">
        <v>787</v>
      </c>
      <c r="E2333" s="6">
        <v>46044.44074074074</v>
      </c>
      <c r="F2333" s="3" t="s">
        <v>788</v>
      </c>
      <c r="G2333" s="2" t="s">
        <v>16</v>
      </c>
      <c r="H2333" s="2"/>
      <c r="I2333" s="2" t="s">
        <v>17</v>
      </c>
      <c r="J2333" s="2"/>
      <c r="K2333" s="2" t="s">
        <v>18</v>
      </c>
      <c r="L2333" s="2"/>
    </row>
    <row r="2334">
      <c r="A2334" s="8" t="s">
        <v>2647</v>
      </c>
      <c r="B2334" s="8" t="s">
        <v>2647</v>
      </c>
      <c r="C2334" s="2" t="s">
        <v>2005</v>
      </c>
      <c r="D2334" s="2" t="s">
        <v>2006</v>
      </c>
      <c r="E2334" s="6">
        <v>46044.58099537037</v>
      </c>
      <c r="F2334" s="3" t="s">
        <v>2007</v>
      </c>
      <c r="G2334" s="2" t="s">
        <v>24</v>
      </c>
      <c r="H2334" s="2"/>
      <c r="I2334" s="2"/>
      <c r="J2334" s="2"/>
      <c r="K2334" s="2" t="s">
        <v>18</v>
      </c>
      <c r="L2334" s="2"/>
    </row>
    <row r="2335">
      <c r="A2335" s="8" t="s">
        <v>2648</v>
      </c>
      <c r="B2335" s="8" t="s">
        <v>2648</v>
      </c>
      <c r="C2335" s="2" t="s">
        <v>786</v>
      </c>
      <c r="D2335" s="2" t="s">
        <v>787</v>
      </c>
      <c r="E2335" s="6">
        <v>46044.58162037037</v>
      </c>
      <c r="F2335" s="3" t="s">
        <v>788</v>
      </c>
      <c r="G2335" s="2" t="s">
        <v>24</v>
      </c>
      <c r="H2335" s="2"/>
      <c r="I2335" s="2"/>
      <c r="J2335" s="2"/>
      <c r="K2335" s="2" t="s">
        <v>18</v>
      </c>
      <c r="L2335" s="2"/>
    </row>
    <row r="2336">
      <c r="A2336" s="8" t="s">
        <v>2649</v>
      </c>
      <c r="B2336" s="8" t="s">
        <v>2649</v>
      </c>
      <c r="C2336" s="2" t="s">
        <v>1975</v>
      </c>
      <c r="D2336" s="2" t="s">
        <v>1976</v>
      </c>
      <c r="E2336" s="6">
        <v>46044.58211805556</v>
      </c>
      <c r="F2336" s="3" t="s">
        <v>1977</v>
      </c>
      <c r="G2336" s="2" t="s">
        <v>24</v>
      </c>
      <c r="H2336" s="2"/>
      <c r="I2336" s="2"/>
      <c r="J2336" s="2"/>
      <c r="K2336" s="2" t="s">
        <v>18</v>
      </c>
      <c r="L2336" s="2"/>
    </row>
    <row r="2337">
      <c r="A2337" s="8" t="s">
        <v>2650</v>
      </c>
      <c r="B2337" s="8" t="s">
        <v>2650</v>
      </c>
      <c r="C2337" s="2" t="s">
        <v>1993</v>
      </c>
      <c r="D2337" s="2" t="s">
        <v>1994</v>
      </c>
      <c r="E2337" s="6">
        <v>46044.61096064815</v>
      </c>
      <c r="F2337" s="3" t="s">
        <v>1995</v>
      </c>
      <c r="G2337" s="2" t="s">
        <v>16</v>
      </c>
      <c r="H2337" s="2"/>
      <c r="I2337" s="2" t="s">
        <v>17</v>
      </c>
      <c r="J2337" s="2"/>
      <c r="K2337" s="2" t="s">
        <v>18</v>
      </c>
      <c r="L2337" s="2"/>
    </row>
    <row r="2338">
      <c r="A2338" s="8" t="s">
        <v>2651</v>
      </c>
      <c r="B2338" s="8" t="s">
        <v>2651</v>
      </c>
      <c r="C2338" s="2" t="s">
        <v>2266</v>
      </c>
      <c r="D2338" s="2" t="s">
        <v>2267</v>
      </c>
      <c r="E2338" s="6">
        <v>46044.619988425926</v>
      </c>
      <c r="F2338" s="3" t="s">
        <v>2268</v>
      </c>
      <c r="G2338" s="2" t="s">
        <v>24</v>
      </c>
      <c r="H2338" s="2"/>
      <c r="I2338" s="2"/>
      <c r="J2338" s="2"/>
      <c r="K2338" s="2" t="s">
        <v>18</v>
      </c>
      <c r="L2338" s="2"/>
    </row>
    <row r="2339">
      <c r="A2339" s="8" t="s">
        <v>2652</v>
      </c>
      <c r="B2339" s="8" t="s">
        <v>2652</v>
      </c>
      <c r="C2339" s="2" t="s">
        <v>326</v>
      </c>
      <c r="D2339" s="2" t="s">
        <v>327</v>
      </c>
      <c r="E2339" s="6">
        <v>46044.62055555556</v>
      </c>
      <c r="F2339" s="3" t="s">
        <v>328</v>
      </c>
      <c r="G2339" s="2" t="s">
        <v>24</v>
      </c>
      <c r="H2339" s="2"/>
      <c r="I2339" s="2"/>
      <c r="J2339" s="2"/>
      <c r="K2339" s="2" t="s">
        <v>18</v>
      </c>
      <c r="L2339" s="2"/>
    </row>
    <row r="2340">
      <c r="A2340" s="8" t="s">
        <v>2653</v>
      </c>
      <c r="B2340" s="8" t="s">
        <v>2653</v>
      </c>
      <c r="C2340" s="2" t="s">
        <v>1993</v>
      </c>
      <c r="D2340" s="2" t="s">
        <v>1994</v>
      </c>
      <c r="E2340" s="6">
        <v>46044.64876157408</v>
      </c>
      <c r="F2340" s="3" t="s">
        <v>1995</v>
      </c>
      <c r="G2340" s="2" t="s">
        <v>24</v>
      </c>
      <c r="H2340" s="2"/>
      <c r="I2340" s="2"/>
      <c r="J2340" s="2"/>
      <c r="K2340" s="2" t="s">
        <v>18</v>
      </c>
      <c r="L2340" s="2"/>
    </row>
    <row r="2341">
      <c r="A2341" s="8" t="s">
        <v>2654</v>
      </c>
      <c r="B2341" s="8" t="s">
        <v>2654</v>
      </c>
      <c r="C2341" s="2" t="s">
        <v>951</v>
      </c>
      <c r="D2341" s="2" t="s">
        <v>952</v>
      </c>
      <c r="E2341" s="6">
        <v>46045.378912037035</v>
      </c>
      <c r="F2341" s="3" t="s">
        <v>953</v>
      </c>
      <c r="G2341" s="2" t="s">
        <v>16</v>
      </c>
      <c r="H2341" s="2"/>
      <c r="I2341" s="2" t="s">
        <v>17</v>
      </c>
      <c r="J2341" s="2"/>
      <c r="K2341" s="2" t="s">
        <v>18</v>
      </c>
      <c r="L2341" s="2"/>
    </row>
    <row r="2342">
      <c r="A2342" s="8" t="s">
        <v>2655</v>
      </c>
      <c r="B2342" s="8" t="s">
        <v>2655</v>
      </c>
      <c r="C2342" s="2" t="s">
        <v>951</v>
      </c>
      <c r="D2342" s="2" t="s">
        <v>952</v>
      </c>
      <c r="E2342" s="6">
        <v>46045.47346064815</v>
      </c>
      <c r="F2342" s="3" t="s">
        <v>953</v>
      </c>
      <c r="G2342" s="2" t="s">
        <v>24</v>
      </c>
      <c r="H2342" s="2"/>
      <c r="I2342" s="2"/>
      <c r="J2342" s="2"/>
      <c r="K2342" s="2" t="s">
        <v>18</v>
      </c>
      <c r="L2342" s="2"/>
    </row>
    <row r="2343">
      <c r="A2343" s="8" t="s">
        <v>2656</v>
      </c>
      <c r="B2343" s="8" t="s">
        <v>2656</v>
      </c>
      <c r="C2343" s="2" t="s">
        <v>1776</v>
      </c>
      <c r="D2343" s="2" t="s">
        <v>1777</v>
      </c>
      <c r="E2343" s="6">
        <v>46045.55484953704</v>
      </c>
      <c r="F2343" s="3" t="s">
        <v>1778</v>
      </c>
      <c r="G2343" s="2" t="s">
        <v>16</v>
      </c>
      <c r="H2343" s="2"/>
      <c r="I2343" s="2" t="s">
        <v>395</v>
      </c>
      <c r="J2343" s="2"/>
      <c r="K2343" s="2" t="s">
        <v>18</v>
      </c>
      <c r="L2343" s="2"/>
    </row>
    <row r="2344">
      <c r="A2344" s="8" t="s">
        <v>2657</v>
      </c>
      <c r="B2344" s="8" t="s">
        <v>2657</v>
      </c>
      <c r="C2344" s="2" t="s">
        <v>786</v>
      </c>
      <c r="D2344" s="2" t="s">
        <v>787</v>
      </c>
      <c r="E2344" s="6">
        <v>46045.55994212963</v>
      </c>
      <c r="F2344" s="3" t="s">
        <v>788</v>
      </c>
      <c r="G2344" s="2" t="s">
        <v>24</v>
      </c>
      <c r="H2344" s="2"/>
      <c r="I2344" s="2"/>
      <c r="J2344" s="2"/>
      <c r="K2344" s="2" t="s">
        <v>18</v>
      </c>
      <c r="L2344" s="2"/>
    </row>
    <row r="2345">
      <c r="A2345" s="8" t="s">
        <v>2658</v>
      </c>
      <c r="B2345" s="8" t="s">
        <v>2658</v>
      </c>
      <c r="C2345" s="2" t="s">
        <v>1776</v>
      </c>
      <c r="D2345" s="2" t="s">
        <v>1777</v>
      </c>
      <c r="E2345" s="6">
        <v>46045.59480324074</v>
      </c>
      <c r="F2345" s="3" t="s">
        <v>1778</v>
      </c>
      <c r="G2345" s="2" t="s">
        <v>24</v>
      </c>
      <c r="H2345" s="2"/>
      <c r="I2345" s="2"/>
      <c r="J2345" s="2"/>
      <c r="K2345" s="2" t="s">
        <v>18</v>
      </c>
      <c r="L2345" s="2"/>
    </row>
    <row r="2346">
      <c r="A2346" s="8" t="s">
        <v>2659</v>
      </c>
      <c r="B2346" s="8" t="s">
        <v>2659</v>
      </c>
      <c r="C2346" s="2" t="s">
        <v>2005</v>
      </c>
      <c r="D2346" s="2" t="s">
        <v>2006</v>
      </c>
      <c r="E2346" s="6">
        <v>46046.362291666665</v>
      </c>
      <c r="F2346" s="3" t="s">
        <v>2007</v>
      </c>
      <c r="G2346" s="2" t="s">
        <v>16</v>
      </c>
      <c r="H2346" s="2"/>
      <c r="I2346" s="2" t="s">
        <v>17</v>
      </c>
      <c r="J2346" s="2"/>
      <c r="K2346" s="2" t="s">
        <v>18</v>
      </c>
      <c r="L2346" s="2"/>
    </row>
    <row r="2347">
      <c r="A2347" s="8" t="s">
        <v>2660</v>
      </c>
      <c r="B2347" s="8" t="s">
        <v>2660</v>
      </c>
      <c r="C2347" s="2" t="s">
        <v>786</v>
      </c>
      <c r="D2347" s="2" t="s">
        <v>787</v>
      </c>
      <c r="E2347" s="6">
        <v>46046.37181712963</v>
      </c>
      <c r="F2347" s="3" t="s">
        <v>788</v>
      </c>
      <c r="G2347" s="2" t="s">
        <v>16</v>
      </c>
      <c r="H2347" s="2"/>
      <c r="I2347" s="2" t="s">
        <v>17</v>
      </c>
      <c r="J2347" s="2"/>
      <c r="K2347" s="2" t="s">
        <v>18</v>
      </c>
      <c r="L2347" s="2"/>
    </row>
    <row r="2348">
      <c r="A2348" s="8" t="s">
        <v>2661</v>
      </c>
      <c r="B2348" s="8" t="s">
        <v>2661</v>
      </c>
      <c r="C2348" s="2" t="s">
        <v>1889</v>
      </c>
      <c r="D2348" s="2" t="s">
        <v>1890</v>
      </c>
      <c r="E2348" s="6">
        <v>46046.40924768519</v>
      </c>
      <c r="F2348" s="3" t="s">
        <v>1891</v>
      </c>
      <c r="G2348" s="2" t="s">
        <v>16</v>
      </c>
      <c r="H2348" s="2"/>
      <c r="I2348" s="2" t="s">
        <v>17</v>
      </c>
      <c r="J2348" s="2"/>
      <c r="K2348" s="2" t="s">
        <v>18</v>
      </c>
      <c r="L2348" s="2"/>
    </row>
    <row r="2349">
      <c r="A2349" s="8" t="s">
        <v>2662</v>
      </c>
      <c r="B2349" s="8" t="s">
        <v>2662</v>
      </c>
      <c r="C2349" s="2" t="s">
        <v>1705</v>
      </c>
      <c r="D2349" s="2" t="s">
        <v>1706</v>
      </c>
      <c r="E2349" s="6">
        <v>46046.409895833334</v>
      </c>
      <c r="F2349" s="3" t="s">
        <v>1707</v>
      </c>
      <c r="G2349" s="2" t="s">
        <v>16</v>
      </c>
      <c r="H2349" s="2"/>
      <c r="I2349" s="2" t="s">
        <v>17</v>
      </c>
      <c r="J2349" s="2"/>
      <c r="K2349" s="2" t="s">
        <v>18</v>
      </c>
      <c r="L2349" s="2"/>
    </row>
    <row r="2350">
      <c r="A2350" s="8" t="s">
        <v>2663</v>
      </c>
      <c r="B2350" s="8" t="s">
        <v>2663</v>
      </c>
      <c r="C2350" s="2" t="s">
        <v>2005</v>
      </c>
      <c r="D2350" s="2" t="s">
        <v>2006</v>
      </c>
      <c r="E2350" s="6">
        <v>46046.439155092594</v>
      </c>
      <c r="F2350" s="3" t="s">
        <v>2007</v>
      </c>
      <c r="G2350" s="2" t="s">
        <v>24</v>
      </c>
      <c r="H2350" s="2"/>
      <c r="I2350" s="2"/>
      <c r="J2350" s="2"/>
      <c r="K2350" s="2" t="s">
        <v>18</v>
      </c>
      <c r="L2350" s="2"/>
    </row>
    <row r="2351">
      <c r="A2351" s="8" t="s">
        <v>2664</v>
      </c>
      <c r="B2351" s="8" t="s">
        <v>2664</v>
      </c>
      <c r="C2351" s="2" t="s">
        <v>1873</v>
      </c>
      <c r="D2351" s="2" t="s">
        <v>1874</v>
      </c>
      <c r="E2351" s="6">
        <v>46046.47008101852</v>
      </c>
      <c r="F2351" s="3" t="s">
        <v>1875</v>
      </c>
      <c r="G2351" s="2" t="s">
        <v>16</v>
      </c>
      <c r="H2351" s="2"/>
      <c r="I2351" s="2" t="s">
        <v>395</v>
      </c>
      <c r="J2351" s="2"/>
      <c r="K2351" s="2" t="s">
        <v>18</v>
      </c>
      <c r="L2351" s="2"/>
    </row>
    <row r="2352">
      <c r="A2352" s="8" t="s">
        <v>2665</v>
      </c>
      <c r="B2352" s="8" t="s">
        <v>2665</v>
      </c>
      <c r="C2352" s="2" t="s">
        <v>786</v>
      </c>
      <c r="D2352" s="2" t="s">
        <v>787</v>
      </c>
      <c r="E2352" s="6">
        <v>46046.49056712963</v>
      </c>
      <c r="F2352" s="3" t="s">
        <v>788</v>
      </c>
      <c r="G2352" s="2" t="s">
        <v>24</v>
      </c>
      <c r="H2352" s="2"/>
      <c r="I2352" s="2"/>
      <c r="J2352" s="2"/>
      <c r="K2352" s="2" t="s">
        <v>18</v>
      </c>
      <c r="L2352" s="2"/>
    </row>
    <row r="2353">
      <c r="A2353" s="8" t="s">
        <v>2666</v>
      </c>
      <c r="B2353" s="8" t="s">
        <v>2666</v>
      </c>
      <c r="C2353" s="2" t="s">
        <v>1705</v>
      </c>
      <c r="D2353" s="2" t="s">
        <v>1706</v>
      </c>
      <c r="E2353" s="6">
        <v>46046.601493055554</v>
      </c>
      <c r="F2353" s="3" t="s">
        <v>1707</v>
      </c>
      <c r="G2353" s="2" t="s">
        <v>24</v>
      </c>
      <c r="H2353" s="2"/>
      <c r="I2353" s="2"/>
      <c r="J2353" s="2"/>
      <c r="K2353" s="2" t="s">
        <v>18</v>
      </c>
      <c r="L2353" s="2"/>
    </row>
    <row r="2354">
      <c r="A2354" s="8" t="s">
        <v>2667</v>
      </c>
      <c r="B2354" s="8" t="s">
        <v>2667</v>
      </c>
      <c r="C2354" s="2" t="s">
        <v>1873</v>
      </c>
      <c r="D2354" s="2" t="s">
        <v>1874</v>
      </c>
      <c r="E2354" s="6">
        <v>46046.61597222222</v>
      </c>
      <c r="F2354" s="3" t="s">
        <v>1875</v>
      </c>
      <c r="G2354" s="2" t="s">
        <v>24</v>
      </c>
      <c r="H2354" s="2"/>
      <c r="I2354" s="2"/>
      <c r="J2354" s="2"/>
      <c r="K2354" s="2" t="s">
        <v>18</v>
      </c>
      <c r="L2354" s="2"/>
    </row>
    <row r="2355">
      <c r="A2355" s="8" t="s">
        <v>2668</v>
      </c>
      <c r="B2355" s="8" t="s">
        <v>2668</v>
      </c>
      <c r="C2355" s="2" t="s">
        <v>1776</v>
      </c>
      <c r="D2355" s="2" t="s">
        <v>1777</v>
      </c>
      <c r="E2355" s="6">
        <v>46047.52648148148</v>
      </c>
      <c r="F2355" s="3" t="s">
        <v>1778</v>
      </c>
      <c r="G2355" s="2" t="s">
        <v>16</v>
      </c>
      <c r="H2355" s="2"/>
      <c r="I2355" s="2" t="s">
        <v>17</v>
      </c>
      <c r="J2355" s="2"/>
      <c r="K2355" s="2" t="s">
        <v>18</v>
      </c>
      <c r="L2355" s="2"/>
    </row>
    <row r="2356">
      <c r="A2356" s="8" t="s">
        <v>2669</v>
      </c>
      <c r="B2356" s="8" t="s">
        <v>2669</v>
      </c>
      <c r="C2356" s="2" t="s">
        <v>1776</v>
      </c>
      <c r="D2356" s="2" t="s">
        <v>1777</v>
      </c>
      <c r="E2356" s="6">
        <v>46048.346597222226</v>
      </c>
      <c r="F2356" s="3" t="s">
        <v>1778</v>
      </c>
      <c r="G2356" s="2" t="s">
        <v>24</v>
      </c>
      <c r="H2356" s="2"/>
      <c r="I2356" s="2"/>
      <c r="J2356" s="2"/>
      <c r="K2356" s="2" t="s">
        <v>18</v>
      </c>
      <c r="L2356" s="2"/>
    </row>
    <row r="2357">
      <c r="A2357" s="8" t="s">
        <v>2670</v>
      </c>
      <c r="B2357" s="8" t="s">
        <v>2670</v>
      </c>
      <c r="C2357" s="2" t="s">
        <v>1993</v>
      </c>
      <c r="D2357" s="2" t="s">
        <v>1994</v>
      </c>
      <c r="E2357" s="6">
        <v>46048.47519675926</v>
      </c>
      <c r="F2357" s="3" t="s">
        <v>1995</v>
      </c>
      <c r="G2357" s="2" t="s">
        <v>16</v>
      </c>
      <c r="H2357" s="2"/>
      <c r="I2357" s="2" t="s">
        <v>17</v>
      </c>
      <c r="J2357" s="2"/>
      <c r="K2357" s="2" t="s">
        <v>18</v>
      </c>
      <c r="L2357" s="2"/>
    </row>
    <row r="2358">
      <c r="A2358" s="8" t="s">
        <v>2671</v>
      </c>
      <c r="B2358" s="8" t="s">
        <v>2671</v>
      </c>
      <c r="C2358" s="2" t="s">
        <v>1993</v>
      </c>
      <c r="D2358" s="2" t="s">
        <v>1994</v>
      </c>
      <c r="E2358" s="6">
        <v>46048.47767361111</v>
      </c>
      <c r="F2358" s="3" t="s">
        <v>1995</v>
      </c>
      <c r="G2358" s="2" t="s">
        <v>24</v>
      </c>
      <c r="H2358" s="2"/>
      <c r="I2358" s="2"/>
      <c r="J2358" s="2"/>
      <c r="K2358" s="2" t="s">
        <v>18</v>
      </c>
      <c r="L2358" s="2"/>
    </row>
    <row r="2359">
      <c r="A2359" s="8" t="s">
        <v>2672</v>
      </c>
      <c r="B2359" s="8" t="s">
        <v>2672</v>
      </c>
      <c r="C2359" s="2" t="s">
        <v>109</v>
      </c>
      <c r="D2359" s="2" t="s">
        <v>110</v>
      </c>
      <c r="E2359" s="6">
        <v>46048.61618055555</v>
      </c>
      <c r="F2359" s="3" t="s">
        <v>111</v>
      </c>
      <c r="G2359" s="2" t="s">
        <v>24</v>
      </c>
      <c r="H2359" s="2"/>
      <c r="I2359" s="2"/>
      <c r="J2359" s="2"/>
      <c r="K2359" s="2" t="s">
        <v>18</v>
      </c>
      <c r="L2359" s="2"/>
    </row>
    <row r="2360">
      <c r="A2360" s="8" t="s">
        <v>2673</v>
      </c>
      <c r="B2360" s="8" t="s">
        <v>2673</v>
      </c>
      <c r="C2360" s="2" t="s">
        <v>951</v>
      </c>
      <c r="D2360" s="2" t="s">
        <v>952</v>
      </c>
      <c r="E2360" s="6">
        <v>46048.62605324074</v>
      </c>
      <c r="F2360" s="3" t="s">
        <v>953</v>
      </c>
      <c r="G2360" s="2" t="s">
        <v>24</v>
      </c>
      <c r="H2360" s="2"/>
      <c r="I2360" s="2"/>
      <c r="J2360" s="2"/>
      <c r="K2360" s="2" t="s">
        <v>18</v>
      </c>
      <c r="L2360" s="2"/>
    </row>
    <row r="2361">
      <c r="A2361" s="8" t="s">
        <v>2674</v>
      </c>
      <c r="B2361" s="8" t="s">
        <v>2674</v>
      </c>
      <c r="C2361" s="2" t="s">
        <v>2005</v>
      </c>
      <c r="D2361" s="2" t="s">
        <v>2006</v>
      </c>
      <c r="E2361" s="6">
        <v>46048.62657407407</v>
      </c>
      <c r="F2361" s="3" t="s">
        <v>2007</v>
      </c>
      <c r="G2361" s="2" t="s">
        <v>24</v>
      </c>
      <c r="H2361" s="2"/>
      <c r="I2361" s="2"/>
      <c r="J2361" s="2"/>
      <c r="K2361" s="2" t="s">
        <v>18</v>
      </c>
      <c r="L2361" s="2"/>
    </row>
    <row r="2362">
      <c r="A2362" s="8" t="s">
        <v>2675</v>
      </c>
      <c r="B2362" s="8" t="s">
        <v>2675</v>
      </c>
      <c r="C2362" s="2" t="s">
        <v>786</v>
      </c>
      <c r="D2362" s="2" t="s">
        <v>787</v>
      </c>
      <c r="E2362" s="6">
        <v>46048.68990740741</v>
      </c>
      <c r="F2362" s="3" t="s">
        <v>788</v>
      </c>
      <c r="G2362" s="2" t="s">
        <v>24</v>
      </c>
      <c r="H2362" s="2"/>
      <c r="I2362" s="2"/>
      <c r="J2362" s="2"/>
      <c r="K2362" s="2" t="s">
        <v>18</v>
      </c>
      <c r="L2362" s="2"/>
    </row>
    <row r="2363">
      <c r="A2363" s="8" t="s">
        <v>2676</v>
      </c>
      <c r="B2363" s="8" t="s">
        <v>2676</v>
      </c>
      <c r="C2363" s="2" t="s">
        <v>1311</v>
      </c>
      <c r="D2363" s="2" t="s">
        <v>1010</v>
      </c>
      <c r="E2363" s="6">
        <v>46049.35649305556</v>
      </c>
      <c r="F2363" s="3" t="s">
        <v>1312</v>
      </c>
      <c r="G2363" s="2" t="s">
        <v>16</v>
      </c>
      <c r="H2363" s="2"/>
      <c r="I2363" s="2" t="s">
        <v>395</v>
      </c>
      <c r="J2363" s="2"/>
      <c r="K2363" s="2" t="s">
        <v>18</v>
      </c>
      <c r="L2363" s="2"/>
    </row>
    <row r="2364">
      <c r="A2364" s="8" t="s">
        <v>2677</v>
      </c>
      <c r="B2364" s="8" t="s">
        <v>2677</v>
      </c>
      <c r="C2364" s="2" t="s">
        <v>1311</v>
      </c>
      <c r="D2364" s="2" t="s">
        <v>1010</v>
      </c>
      <c r="E2364" s="6">
        <v>46049.36927083333</v>
      </c>
      <c r="F2364" s="3" t="s">
        <v>1312</v>
      </c>
      <c r="G2364" s="2" t="s">
        <v>24</v>
      </c>
      <c r="H2364" s="2"/>
      <c r="I2364" s="2"/>
      <c r="J2364" s="2"/>
      <c r="K2364" s="2" t="s">
        <v>18</v>
      </c>
      <c r="L2364" s="2"/>
    </row>
    <row r="2365">
      <c r="A2365" s="8" t="s">
        <v>2678</v>
      </c>
      <c r="B2365" s="8" t="s">
        <v>2678</v>
      </c>
      <c r="C2365" s="2" t="s">
        <v>320</v>
      </c>
      <c r="D2365" s="2" t="s">
        <v>321</v>
      </c>
      <c r="E2365" s="6">
        <v>46049.37813657407</v>
      </c>
      <c r="F2365" s="3" t="s">
        <v>322</v>
      </c>
      <c r="G2365" s="2" t="s">
        <v>16</v>
      </c>
      <c r="H2365" s="2"/>
      <c r="I2365" s="2" t="s">
        <v>17</v>
      </c>
      <c r="J2365" s="2"/>
      <c r="K2365" s="2" t="s">
        <v>18</v>
      </c>
      <c r="L2365" s="2"/>
    </row>
    <row r="2366">
      <c r="A2366" s="8" t="s">
        <v>2679</v>
      </c>
      <c r="B2366" s="8" t="s">
        <v>2679</v>
      </c>
      <c r="C2366" s="2" t="s">
        <v>326</v>
      </c>
      <c r="D2366" s="2" t="s">
        <v>327</v>
      </c>
      <c r="E2366" s="6">
        <v>46049.38143518518</v>
      </c>
      <c r="F2366" s="3" t="s">
        <v>328</v>
      </c>
      <c r="G2366" s="2" t="s">
        <v>16</v>
      </c>
      <c r="H2366" s="2"/>
      <c r="I2366" s="2" t="s">
        <v>395</v>
      </c>
      <c r="J2366" s="2"/>
      <c r="K2366" s="2" t="s">
        <v>18</v>
      </c>
      <c r="L2366" s="2"/>
    </row>
    <row r="2367">
      <c r="A2367" s="8" t="s">
        <v>2680</v>
      </c>
      <c r="B2367" s="8" t="s">
        <v>2680</v>
      </c>
      <c r="C2367" s="2" t="s">
        <v>2005</v>
      </c>
      <c r="D2367" s="2" t="s">
        <v>2006</v>
      </c>
      <c r="E2367" s="6">
        <v>46049.38591435185</v>
      </c>
      <c r="F2367" s="3" t="s">
        <v>2007</v>
      </c>
      <c r="G2367" s="2" t="s">
        <v>16</v>
      </c>
      <c r="H2367" s="2"/>
      <c r="I2367" s="2" t="s">
        <v>17</v>
      </c>
      <c r="J2367" s="2"/>
      <c r="K2367" s="2" t="s">
        <v>18</v>
      </c>
      <c r="L2367" s="2"/>
    </row>
    <row r="2368">
      <c r="A2368" s="8" t="s">
        <v>2681</v>
      </c>
      <c r="B2368" s="8" t="s">
        <v>2681</v>
      </c>
      <c r="C2368" s="2" t="s">
        <v>786</v>
      </c>
      <c r="D2368" s="2" t="s">
        <v>787</v>
      </c>
      <c r="E2368" s="6">
        <v>46049.40972222222</v>
      </c>
      <c r="F2368" s="3" t="s">
        <v>788</v>
      </c>
      <c r="G2368" s="2" t="s">
        <v>16</v>
      </c>
      <c r="H2368" s="2"/>
      <c r="I2368" s="2" t="s">
        <v>17</v>
      </c>
      <c r="J2368" s="2"/>
      <c r="K2368" s="2" t="s">
        <v>18</v>
      </c>
      <c r="L2368" s="2"/>
    </row>
    <row r="2369">
      <c r="A2369" s="8" t="s">
        <v>2682</v>
      </c>
      <c r="B2369" s="8" t="s">
        <v>2682</v>
      </c>
      <c r="C2369" s="2" t="s">
        <v>2005</v>
      </c>
      <c r="D2369" s="2" t="s">
        <v>2006</v>
      </c>
      <c r="E2369" s="6">
        <v>46049.47534722222</v>
      </c>
      <c r="F2369" s="3" t="s">
        <v>2007</v>
      </c>
      <c r="G2369" s="2" t="s">
        <v>24</v>
      </c>
      <c r="H2369" s="2"/>
      <c r="I2369" s="2"/>
      <c r="J2369" s="2"/>
      <c r="K2369" s="2" t="s">
        <v>18</v>
      </c>
      <c r="L2369" s="2"/>
    </row>
    <row r="2370">
      <c r="A2370" s="8" t="s">
        <v>2683</v>
      </c>
      <c r="B2370" s="8" t="s">
        <v>2683</v>
      </c>
      <c r="C2370" s="2" t="s">
        <v>320</v>
      </c>
      <c r="D2370" s="2" t="s">
        <v>321</v>
      </c>
      <c r="E2370" s="6">
        <v>46049.47619212963</v>
      </c>
      <c r="F2370" s="3" t="s">
        <v>322</v>
      </c>
      <c r="G2370" s="2" t="s">
        <v>24</v>
      </c>
      <c r="H2370" s="2"/>
      <c r="I2370" s="2"/>
      <c r="J2370" s="2"/>
      <c r="K2370" s="2" t="s">
        <v>18</v>
      </c>
      <c r="L2370" s="2"/>
    </row>
    <row r="2371">
      <c r="A2371" s="8" t="s">
        <v>2684</v>
      </c>
      <c r="B2371" s="8" t="s">
        <v>2684</v>
      </c>
      <c r="C2371" s="2" t="s">
        <v>326</v>
      </c>
      <c r="D2371" s="2" t="s">
        <v>327</v>
      </c>
      <c r="E2371" s="6">
        <v>46049.68667824074</v>
      </c>
      <c r="F2371" s="3" t="s">
        <v>328</v>
      </c>
      <c r="G2371" s="2" t="s">
        <v>24</v>
      </c>
      <c r="H2371" s="2"/>
      <c r="I2371" s="2"/>
      <c r="J2371" s="2"/>
      <c r="K2371" s="2" t="s">
        <v>18</v>
      </c>
      <c r="L2371" s="2"/>
    </row>
    <row r="2372">
      <c r="A2372" s="8" t="s">
        <v>2685</v>
      </c>
      <c r="B2372" s="8" t="s">
        <v>2685</v>
      </c>
      <c r="C2372" s="2" t="s">
        <v>2686</v>
      </c>
      <c r="D2372" s="2" t="s">
        <v>2687</v>
      </c>
      <c r="E2372" s="6">
        <v>46050.36010416667</v>
      </c>
      <c r="F2372" s="3" t="s">
        <v>2688</v>
      </c>
      <c r="G2372" s="2" t="s">
        <v>16</v>
      </c>
      <c r="H2372" s="2"/>
      <c r="I2372" s="2"/>
      <c r="J2372" s="2"/>
      <c r="K2372" s="2" t="s">
        <v>18</v>
      </c>
      <c r="L2372" s="2"/>
    </row>
    <row r="2373">
      <c r="A2373" s="8" t="s">
        <v>2689</v>
      </c>
      <c r="B2373" s="8" t="s">
        <v>2689</v>
      </c>
      <c r="C2373" s="2" t="s">
        <v>49</v>
      </c>
      <c r="D2373" s="2" t="s">
        <v>50</v>
      </c>
      <c r="E2373" s="6">
        <v>46050.36048611111</v>
      </c>
      <c r="F2373" s="3" t="s">
        <v>51</v>
      </c>
      <c r="G2373" s="2" t="s">
        <v>16</v>
      </c>
      <c r="H2373" s="2"/>
      <c r="I2373" s="2" t="s">
        <v>395</v>
      </c>
      <c r="J2373" s="2"/>
      <c r="K2373" s="2" t="s">
        <v>18</v>
      </c>
      <c r="L2373" s="2"/>
    </row>
    <row r="2374">
      <c r="A2374" s="8" t="s">
        <v>2690</v>
      </c>
      <c r="B2374" s="8" t="s">
        <v>2690</v>
      </c>
      <c r="C2374" s="2" t="s">
        <v>951</v>
      </c>
      <c r="D2374" s="2" t="s">
        <v>952</v>
      </c>
      <c r="E2374" s="6">
        <v>46050.3618287037</v>
      </c>
      <c r="F2374" s="3" t="s">
        <v>953</v>
      </c>
      <c r="G2374" s="2" t="s">
        <v>16</v>
      </c>
      <c r="H2374" s="2"/>
      <c r="I2374" s="2" t="s">
        <v>17</v>
      </c>
      <c r="J2374" s="2"/>
      <c r="K2374" s="2" t="s">
        <v>18</v>
      </c>
      <c r="L2374" s="2"/>
    </row>
    <row r="2375">
      <c r="A2375" s="8" t="s">
        <v>2691</v>
      </c>
      <c r="B2375" s="8" t="s">
        <v>2691</v>
      </c>
      <c r="C2375" s="2" t="s">
        <v>464</v>
      </c>
      <c r="D2375" s="2" t="s">
        <v>465</v>
      </c>
      <c r="E2375" s="6">
        <v>46050.367256944446</v>
      </c>
      <c r="F2375" s="3" t="s">
        <v>466</v>
      </c>
      <c r="G2375" s="2" t="s">
        <v>16</v>
      </c>
      <c r="H2375" s="2"/>
      <c r="I2375" s="2" t="s">
        <v>17</v>
      </c>
      <c r="J2375" s="2"/>
      <c r="K2375" s="2" t="s">
        <v>18</v>
      </c>
      <c r="L2375" s="2"/>
    </row>
    <row r="2376">
      <c r="A2376" s="8" t="s">
        <v>2692</v>
      </c>
      <c r="B2376" s="8" t="s">
        <v>2692</v>
      </c>
      <c r="C2376" s="2" t="s">
        <v>320</v>
      </c>
      <c r="D2376" s="2" t="s">
        <v>321</v>
      </c>
      <c r="E2376" s="6">
        <v>46050.37126157407</v>
      </c>
      <c r="F2376" s="3" t="s">
        <v>322</v>
      </c>
      <c r="G2376" s="2" t="s">
        <v>16</v>
      </c>
      <c r="H2376" s="2"/>
      <c r="I2376" s="2" t="s">
        <v>17</v>
      </c>
      <c r="J2376" s="2"/>
      <c r="K2376" s="2" t="s">
        <v>18</v>
      </c>
      <c r="L2376" s="2"/>
    </row>
    <row r="2377">
      <c r="A2377" s="8" t="s">
        <v>2693</v>
      </c>
      <c r="B2377" s="8" t="s">
        <v>2693</v>
      </c>
      <c r="C2377" s="2" t="s">
        <v>786</v>
      </c>
      <c r="D2377" s="2" t="s">
        <v>787</v>
      </c>
      <c r="E2377" s="6">
        <v>46050.3996875</v>
      </c>
      <c r="F2377" s="3" t="s">
        <v>788</v>
      </c>
      <c r="G2377" s="2" t="s">
        <v>24</v>
      </c>
      <c r="H2377" s="2"/>
      <c r="I2377" s="2"/>
      <c r="J2377" s="2"/>
      <c r="K2377" s="2" t="s">
        <v>18</v>
      </c>
      <c r="L2377" s="2"/>
    </row>
    <row r="2378">
      <c r="A2378" s="8" t="s">
        <v>2694</v>
      </c>
      <c r="B2378" s="8" t="s">
        <v>2694</v>
      </c>
      <c r="C2378" s="2" t="s">
        <v>1975</v>
      </c>
      <c r="D2378" s="2" t="s">
        <v>1976</v>
      </c>
      <c r="E2378" s="6">
        <v>46050.40107638889</v>
      </c>
      <c r="F2378" s="3" t="s">
        <v>1977</v>
      </c>
      <c r="G2378" s="2" t="s">
        <v>16</v>
      </c>
      <c r="H2378" s="2"/>
      <c r="I2378" s="2" t="s">
        <v>17</v>
      </c>
      <c r="J2378" s="2"/>
      <c r="K2378" s="2" t="s">
        <v>18</v>
      </c>
      <c r="L2378" s="2"/>
    </row>
    <row r="2379">
      <c r="A2379" s="8" t="s">
        <v>2695</v>
      </c>
      <c r="B2379" s="8" t="s">
        <v>2695</v>
      </c>
      <c r="C2379" s="2" t="s">
        <v>2640</v>
      </c>
      <c r="D2379" s="2" t="s">
        <v>2641</v>
      </c>
      <c r="E2379" s="6">
        <v>46050.4031712963</v>
      </c>
      <c r="F2379" s="3" t="s">
        <v>2642</v>
      </c>
      <c r="G2379" s="2" t="s">
        <v>16</v>
      </c>
      <c r="H2379" s="2"/>
      <c r="I2379" s="2" t="s">
        <v>17</v>
      </c>
      <c r="J2379" s="2"/>
      <c r="K2379" s="2" t="s">
        <v>18</v>
      </c>
      <c r="L2379" s="2"/>
    </row>
    <row r="2380">
      <c r="A2380" s="8" t="s">
        <v>2696</v>
      </c>
      <c r="B2380" s="8" t="s">
        <v>2696</v>
      </c>
      <c r="C2380" s="2" t="s">
        <v>169</v>
      </c>
      <c r="D2380" s="2" t="s">
        <v>170</v>
      </c>
      <c r="E2380" s="6">
        <v>46050.41837962963</v>
      </c>
      <c r="F2380" s="3" t="s">
        <v>171</v>
      </c>
      <c r="G2380" s="2" t="s">
        <v>16</v>
      </c>
      <c r="H2380" s="2"/>
      <c r="I2380" s="2" t="s">
        <v>17</v>
      </c>
      <c r="J2380" s="2"/>
      <c r="K2380" s="2" t="s">
        <v>18</v>
      </c>
      <c r="L2380" s="2"/>
    </row>
    <row r="2381">
      <c r="A2381" s="8" t="s">
        <v>2697</v>
      </c>
      <c r="B2381" s="8" t="s">
        <v>2697</v>
      </c>
      <c r="C2381" s="2" t="s">
        <v>131</v>
      </c>
      <c r="D2381" s="2" t="s">
        <v>132</v>
      </c>
      <c r="E2381" s="6">
        <v>46050.433229166665</v>
      </c>
      <c r="F2381" s="3" t="s">
        <v>133</v>
      </c>
      <c r="G2381" s="2" t="s">
        <v>16</v>
      </c>
      <c r="H2381" s="2"/>
      <c r="I2381" s="2" t="s">
        <v>17</v>
      </c>
      <c r="J2381" s="2"/>
      <c r="K2381" s="2" t="s">
        <v>18</v>
      </c>
      <c r="L2381" s="2"/>
    </row>
    <row r="2382">
      <c r="A2382" s="8" t="s">
        <v>2698</v>
      </c>
      <c r="B2382" s="8" t="s">
        <v>2698</v>
      </c>
      <c r="C2382" s="2" t="s">
        <v>131</v>
      </c>
      <c r="D2382" s="2" t="s">
        <v>132</v>
      </c>
      <c r="E2382" s="6">
        <v>46050.49862268518</v>
      </c>
      <c r="F2382" s="3" t="s">
        <v>133</v>
      </c>
      <c r="G2382" s="2" t="s">
        <v>24</v>
      </c>
      <c r="H2382" s="2"/>
      <c r="I2382" s="2"/>
      <c r="J2382" s="2"/>
      <c r="K2382" s="2" t="s">
        <v>18</v>
      </c>
      <c r="L2382" s="2"/>
    </row>
    <row r="2383">
      <c r="A2383" s="8" t="s">
        <v>2699</v>
      </c>
      <c r="B2383" s="8" t="s">
        <v>2699</v>
      </c>
      <c r="C2383" s="2" t="s">
        <v>169</v>
      </c>
      <c r="D2383" s="2" t="s">
        <v>170</v>
      </c>
      <c r="E2383" s="6">
        <v>46050.49940972222</v>
      </c>
      <c r="F2383" s="3" t="s">
        <v>171</v>
      </c>
      <c r="G2383" s="2" t="s">
        <v>24</v>
      </c>
      <c r="H2383" s="2"/>
      <c r="I2383" s="2"/>
      <c r="J2383" s="2"/>
      <c r="K2383" s="2" t="s">
        <v>18</v>
      </c>
      <c r="L2383" s="2"/>
    </row>
    <row r="2384">
      <c r="A2384" s="8" t="s">
        <v>2700</v>
      </c>
      <c r="B2384" s="8" t="s">
        <v>2700</v>
      </c>
      <c r="C2384" s="2" t="s">
        <v>464</v>
      </c>
      <c r="D2384" s="2" t="s">
        <v>465</v>
      </c>
      <c r="E2384" s="6">
        <v>46050.50751157408</v>
      </c>
      <c r="F2384" s="3" t="s">
        <v>466</v>
      </c>
      <c r="G2384" s="2" t="s">
        <v>24</v>
      </c>
      <c r="H2384" s="2"/>
      <c r="I2384" s="2"/>
      <c r="J2384" s="2"/>
      <c r="K2384" s="2" t="s">
        <v>18</v>
      </c>
      <c r="L2384" s="2"/>
    </row>
    <row r="2385">
      <c r="A2385" s="8" t="s">
        <v>2701</v>
      </c>
      <c r="B2385" s="8" t="s">
        <v>2701</v>
      </c>
      <c r="C2385" s="2" t="s">
        <v>951</v>
      </c>
      <c r="D2385" s="2" t="s">
        <v>952</v>
      </c>
      <c r="E2385" s="6">
        <v>46050.508564814816</v>
      </c>
      <c r="F2385" s="3" t="s">
        <v>953</v>
      </c>
      <c r="G2385" s="2" t="s">
        <v>24</v>
      </c>
      <c r="H2385" s="2"/>
      <c r="I2385" s="2"/>
      <c r="J2385" s="2"/>
      <c r="K2385" s="2" t="s">
        <v>18</v>
      </c>
      <c r="L2385" s="2"/>
    </row>
    <row r="2386">
      <c r="A2386" s="8" t="s">
        <v>2702</v>
      </c>
      <c r="B2386" s="8" t="s">
        <v>2702</v>
      </c>
      <c r="C2386" s="2" t="s">
        <v>320</v>
      </c>
      <c r="D2386" s="2" t="s">
        <v>321</v>
      </c>
      <c r="E2386" s="6">
        <v>46050.50894675926</v>
      </c>
      <c r="F2386" s="3" t="s">
        <v>322</v>
      </c>
      <c r="G2386" s="2" t="s">
        <v>24</v>
      </c>
      <c r="H2386" s="2"/>
      <c r="I2386" s="2"/>
      <c r="J2386" s="2"/>
      <c r="K2386" s="2" t="s">
        <v>18</v>
      </c>
      <c r="L2386" s="2"/>
    </row>
    <row r="2387">
      <c r="A2387" s="8" t="s">
        <v>2703</v>
      </c>
      <c r="B2387" s="8" t="s">
        <v>2703</v>
      </c>
      <c r="C2387" s="2" t="s">
        <v>1975</v>
      </c>
      <c r="D2387" s="2" t="s">
        <v>1976</v>
      </c>
      <c r="E2387" s="6">
        <v>46050.65574074074</v>
      </c>
      <c r="F2387" s="3" t="s">
        <v>1977</v>
      </c>
      <c r="G2387" s="2" t="s">
        <v>24</v>
      </c>
      <c r="H2387" s="2"/>
      <c r="I2387" s="2"/>
      <c r="J2387" s="2"/>
      <c r="K2387" s="2" t="s">
        <v>18</v>
      </c>
      <c r="L2387" s="2"/>
    </row>
    <row r="2388">
      <c r="A2388" s="8" t="s">
        <v>2704</v>
      </c>
      <c r="B2388" s="8" t="s">
        <v>2704</v>
      </c>
      <c r="C2388" s="2" t="s">
        <v>2640</v>
      </c>
      <c r="D2388" s="2" t="s">
        <v>2641</v>
      </c>
      <c r="E2388" s="6">
        <v>46050.65626157408</v>
      </c>
      <c r="F2388" s="3" t="s">
        <v>2642</v>
      </c>
      <c r="G2388" s="2" t="s">
        <v>24</v>
      </c>
      <c r="H2388" s="2"/>
      <c r="I2388" s="2"/>
      <c r="J2388" s="2"/>
      <c r="K2388" s="2" t="s">
        <v>18</v>
      </c>
      <c r="L2388" s="2"/>
    </row>
    <row r="2389">
      <c r="A2389" s="8" t="s">
        <v>2705</v>
      </c>
      <c r="B2389" s="8" t="s">
        <v>2705</v>
      </c>
      <c r="C2389" s="2" t="s">
        <v>320</v>
      </c>
      <c r="D2389" s="2" t="s">
        <v>321</v>
      </c>
      <c r="E2389" s="6">
        <v>46050.659097222226</v>
      </c>
      <c r="F2389" s="3" t="s">
        <v>322</v>
      </c>
      <c r="G2389" s="2" t="s">
        <v>16</v>
      </c>
      <c r="H2389" s="2"/>
      <c r="I2389" s="2" t="s">
        <v>17</v>
      </c>
      <c r="J2389" s="2"/>
      <c r="K2389" s="2" t="s">
        <v>18</v>
      </c>
      <c r="L2389" s="2"/>
    </row>
    <row r="2390">
      <c r="A2390" s="8" t="s">
        <v>2706</v>
      </c>
      <c r="B2390" s="8" t="s">
        <v>2706</v>
      </c>
      <c r="C2390" s="2" t="s">
        <v>1573</v>
      </c>
      <c r="D2390" s="2" t="s">
        <v>1574</v>
      </c>
      <c r="E2390" s="6">
        <v>46050.66721064815</v>
      </c>
      <c r="F2390" s="3" t="s">
        <v>1575</v>
      </c>
      <c r="G2390" s="2" t="s">
        <v>16</v>
      </c>
      <c r="H2390" s="2"/>
      <c r="I2390" s="2" t="s">
        <v>395</v>
      </c>
      <c r="J2390" s="2"/>
      <c r="K2390" s="2" t="s">
        <v>18</v>
      </c>
      <c r="L2390" s="2"/>
    </row>
    <row r="2391">
      <c r="A2391" s="8" t="s">
        <v>2707</v>
      </c>
      <c r="B2391" s="8" t="s">
        <v>2707</v>
      </c>
      <c r="C2391" s="2" t="s">
        <v>45</v>
      </c>
      <c r="D2391" s="2" t="s">
        <v>46</v>
      </c>
      <c r="E2391" s="6">
        <v>46050.69231481481</v>
      </c>
      <c r="F2391" s="3" t="s">
        <v>47</v>
      </c>
      <c r="G2391" s="2" t="s">
        <v>24</v>
      </c>
      <c r="H2391" s="2"/>
      <c r="I2391" s="2"/>
      <c r="J2391" s="2"/>
      <c r="K2391" s="2" t="s">
        <v>18</v>
      </c>
      <c r="L2391" s="2"/>
    </row>
    <row r="2392">
      <c r="A2392" s="8" t="s">
        <v>2708</v>
      </c>
      <c r="B2392" s="8" t="s">
        <v>2708</v>
      </c>
      <c r="C2392" s="2" t="s">
        <v>2543</v>
      </c>
      <c r="D2392" s="2" t="s">
        <v>2544</v>
      </c>
      <c r="E2392" s="6">
        <v>46051.357407407406</v>
      </c>
      <c r="F2392" s="3" t="s">
        <v>2545</v>
      </c>
      <c r="G2392" s="2" t="s">
        <v>16</v>
      </c>
      <c r="H2392" s="2"/>
      <c r="I2392" s="2" t="s">
        <v>17</v>
      </c>
      <c r="J2392" s="2"/>
      <c r="K2392" s="2" t="s">
        <v>18</v>
      </c>
      <c r="L2392" s="2"/>
    </row>
    <row r="2393">
      <c r="A2393" s="8" t="s">
        <v>2709</v>
      </c>
      <c r="B2393" s="8" t="s">
        <v>2709</v>
      </c>
      <c r="C2393" s="2" t="s">
        <v>1573</v>
      </c>
      <c r="D2393" s="2" t="s">
        <v>1574</v>
      </c>
      <c r="E2393" s="6">
        <v>46051.361354166664</v>
      </c>
      <c r="F2393" s="3" t="s">
        <v>1575</v>
      </c>
      <c r="G2393" s="2" t="s">
        <v>24</v>
      </c>
      <c r="H2393" s="2"/>
      <c r="I2393" s="2"/>
      <c r="J2393" s="2"/>
      <c r="K2393" s="2" t="s">
        <v>18</v>
      </c>
      <c r="L2393" s="2"/>
    </row>
    <row r="2394">
      <c r="A2394" s="8" t="s">
        <v>2710</v>
      </c>
      <c r="B2394" s="8" t="s">
        <v>2710</v>
      </c>
      <c r="C2394" s="2" t="s">
        <v>1838</v>
      </c>
      <c r="D2394" s="2" t="s">
        <v>1839</v>
      </c>
      <c r="E2394" s="6">
        <v>46051.36586805555</v>
      </c>
      <c r="F2394" s="3" t="s">
        <v>1840</v>
      </c>
      <c r="G2394" s="2" t="s">
        <v>16</v>
      </c>
      <c r="H2394" s="2"/>
      <c r="I2394" s="2" t="s">
        <v>395</v>
      </c>
      <c r="J2394" s="2"/>
      <c r="K2394" s="2" t="s">
        <v>18</v>
      </c>
      <c r="L2394" s="2"/>
    </row>
    <row r="2395">
      <c r="A2395" s="1"/>
      <c r="B2395" s="1"/>
      <c r="C2395" s="2"/>
      <c r="D2395" s="2"/>
      <c r="E2395" s="6"/>
      <c r="F2395" s="3"/>
      <c r="G2395" s="2"/>
      <c r="H2395" s="2"/>
      <c r="I2395" s="2"/>
      <c r="J2395" s="2"/>
      <c r="K2395" s="2" t="s">
        <v>18</v>
      </c>
      <c r="L2395" s="2"/>
    </row>
    <row r="2396">
      <c r="A2396" s="8" t="s">
        <v>2711</v>
      </c>
      <c r="B2396" s="8" t="s">
        <v>2711</v>
      </c>
      <c r="C2396" s="2" t="s">
        <v>1776</v>
      </c>
      <c r="D2396" s="2" t="s">
        <v>1777</v>
      </c>
      <c r="E2396" s="6">
        <v>46051.45300925926</v>
      </c>
      <c r="F2396" s="3" t="s">
        <v>1778</v>
      </c>
      <c r="G2396" s="2" t="s">
        <v>16</v>
      </c>
      <c r="H2396" s="2"/>
      <c r="I2396" s="2" t="s">
        <v>17</v>
      </c>
      <c r="J2396" s="2"/>
      <c r="K2396" s="2" t="s">
        <v>18</v>
      </c>
      <c r="L2396" s="2"/>
    </row>
    <row r="2397">
      <c r="A2397" s="8" t="s">
        <v>2712</v>
      </c>
      <c r="B2397" s="8" t="s">
        <v>2712</v>
      </c>
      <c r="C2397" s="2" t="s">
        <v>2543</v>
      </c>
      <c r="D2397" s="2" t="s">
        <v>2544</v>
      </c>
      <c r="E2397" s="6">
        <v>46051.49167824074</v>
      </c>
      <c r="F2397" s="3" t="s">
        <v>2545</v>
      </c>
      <c r="G2397" s="2" t="s">
        <v>24</v>
      </c>
      <c r="H2397" s="2"/>
      <c r="I2397" s="2"/>
      <c r="J2397" s="2"/>
      <c r="K2397" s="2" t="s">
        <v>18</v>
      </c>
      <c r="L2397" s="2"/>
    </row>
    <row r="2398">
      <c r="A2398" s="8" t="s">
        <v>2713</v>
      </c>
      <c r="B2398" s="8" t="s">
        <v>2713</v>
      </c>
      <c r="C2398" s="2" t="s">
        <v>1228</v>
      </c>
      <c r="D2398" s="2" t="s">
        <v>1229</v>
      </c>
      <c r="E2398" s="6">
        <v>46051.492210648146</v>
      </c>
      <c r="F2398" s="3" t="s">
        <v>1230</v>
      </c>
      <c r="G2398" s="2" t="s">
        <v>24</v>
      </c>
      <c r="H2398" s="2"/>
      <c r="I2398" s="2"/>
      <c r="J2398" s="2"/>
      <c r="K2398" s="2" t="s">
        <v>18</v>
      </c>
      <c r="L2398" s="2"/>
    </row>
    <row r="2399">
      <c r="A2399" s="8" t="s">
        <v>2714</v>
      </c>
      <c r="B2399" s="8" t="s">
        <v>2714</v>
      </c>
      <c r="C2399" s="2" t="s">
        <v>2131</v>
      </c>
      <c r="D2399" s="2" t="s">
        <v>2171</v>
      </c>
      <c r="E2399" s="6">
        <v>46051.49783564815</v>
      </c>
      <c r="F2399" s="3" t="s">
        <v>2172</v>
      </c>
      <c r="G2399" s="2" t="s">
        <v>24</v>
      </c>
      <c r="H2399" s="2"/>
      <c r="I2399" s="2"/>
      <c r="J2399" s="2"/>
      <c r="K2399" s="2" t="s">
        <v>18</v>
      </c>
      <c r="L2399" s="2"/>
    </row>
    <row r="2400">
      <c r="A2400" s="8" t="s">
        <v>2715</v>
      </c>
      <c r="B2400" s="8" t="s">
        <v>2715</v>
      </c>
      <c r="C2400" s="2" t="s">
        <v>1776</v>
      </c>
      <c r="D2400" s="2" t="s">
        <v>1777</v>
      </c>
      <c r="E2400" s="6">
        <v>46051.52417824074</v>
      </c>
      <c r="F2400" s="3" t="s">
        <v>1778</v>
      </c>
      <c r="G2400" s="2" t="s">
        <v>24</v>
      </c>
      <c r="H2400" s="2"/>
      <c r="I2400" s="2"/>
      <c r="J2400" s="2"/>
      <c r="K2400" s="2" t="s">
        <v>18</v>
      </c>
      <c r="L2400" s="2"/>
    </row>
    <row r="2401">
      <c r="A2401" s="8" t="s">
        <v>2716</v>
      </c>
      <c r="B2401" s="8" t="s">
        <v>2716</v>
      </c>
      <c r="C2401" s="2" t="s">
        <v>786</v>
      </c>
      <c r="D2401" s="2" t="s">
        <v>787</v>
      </c>
      <c r="E2401" s="6">
        <v>46051.535949074074</v>
      </c>
      <c r="F2401" s="3" t="s">
        <v>788</v>
      </c>
      <c r="G2401" s="2" t="s">
        <v>24</v>
      </c>
      <c r="H2401" s="2"/>
      <c r="I2401" s="2"/>
      <c r="J2401" s="2"/>
      <c r="K2401" s="2" t="s">
        <v>18</v>
      </c>
      <c r="L2401" s="2"/>
    </row>
    <row r="2402">
      <c r="A2402" s="8" t="s">
        <v>2717</v>
      </c>
      <c r="B2402" s="8" t="s">
        <v>2717</v>
      </c>
      <c r="C2402" s="2" t="s">
        <v>1993</v>
      </c>
      <c r="D2402" s="2" t="s">
        <v>1994</v>
      </c>
      <c r="E2402" s="6">
        <v>46051.54100694445</v>
      </c>
      <c r="F2402" s="3" t="s">
        <v>1995</v>
      </c>
      <c r="G2402" s="2" t="s">
        <v>16</v>
      </c>
      <c r="H2402" s="2"/>
      <c r="I2402" s="2" t="s">
        <v>17</v>
      </c>
      <c r="J2402" s="2"/>
      <c r="K2402" s="2" t="s">
        <v>18</v>
      </c>
      <c r="L2402" s="2"/>
    </row>
    <row r="2403">
      <c r="A2403" s="8" t="s">
        <v>2718</v>
      </c>
      <c r="B2403" s="8" t="s">
        <v>2718</v>
      </c>
      <c r="C2403" s="2" t="s">
        <v>109</v>
      </c>
      <c r="D2403" s="2" t="s">
        <v>110</v>
      </c>
      <c r="E2403" s="6">
        <v>46051.61923611111</v>
      </c>
      <c r="F2403" s="3" t="s">
        <v>111</v>
      </c>
      <c r="G2403" s="2" t="s">
        <v>16</v>
      </c>
      <c r="H2403" s="2"/>
      <c r="I2403" s="2" t="s">
        <v>17</v>
      </c>
      <c r="J2403" s="2"/>
      <c r="K2403" s="2" t="s">
        <v>18</v>
      </c>
      <c r="L2403" s="2"/>
    </row>
    <row r="2404">
      <c r="A2404" s="8" t="s">
        <v>2719</v>
      </c>
      <c r="B2404" s="8" t="s">
        <v>2719</v>
      </c>
      <c r="C2404" s="2" t="s">
        <v>1993</v>
      </c>
      <c r="D2404" s="2" t="s">
        <v>1994</v>
      </c>
      <c r="E2404" s="6">
        <v>46051.649409722224</v>
      </c>
      <c r="F2404" s="3" t="s">
        <v>1995</v>
      </c>
      <c r="G2404" s="2" t="s">
        <v>24</v>
      </c>
      <c r="H2404" s="2"/>
      <c r="I2404" s="2"/>
      <c r="J2404" s="2"/>
      <c r="K2404" s="2" t="s">
        <v>18</v>
      </c>
      <c r="L2404" s="2"/>
    </row>
    <row r="2405">
      <c r="A2405" s="8" t="s">
        <v>2720</v>
      </c>
      <c r="B2405" s="8" t="s">
        <v>2720</v>
      </c>
      <c r="C2405" s="2" t="s">
        <v>109</v>
      </c>
      <c r="D2405" s="2" t="s">
        <v>110</v>
      </c>
      <c r="E2405" s="6">
        <v>46051.66018518519</v>
      </c>
      <c r="F2405" s="3" t="s">
        <v>111</v>
      </c>
      <c r="G2405" s="2" t="s">
        <v>24</v>
      </c>
      <c r="H2405" s="2"/>
      <c r="I2405" s="2"/>
      <c r="J2405" s="2"/>
      <c r="K2405" s="2" t="s">
        <v>18</v>
      </c>
      <c r="L2405" s="2"/>
    </row>
    <row r="2406">
      <c r="A2406" s="8" t="s">
        <v>2721</v>
      </c>
      <c r="B2406" s="8" t="s">
        <v>2721</v>
      </c>
      <c r="C2406" s="2" t="s">
        <v>1228</v>
      </c>
      <c r="D2406" s="2" t="s">
        <v>1229</v>
      </c>
      <c r="E2406" s="6">
        <v>46052.374930555554</v>
      </c>
      <c r="F2406" s="3" t="s">
        <v>1230</v>
      </c>
      <c r="G2406" s="2" t="s">
        <v>16</v>
      </c>
      <c r="H2406" s="2"/>
      <c r="I2406" s="2" t="s">
        <v>17</v>
      </c>
      <c r="J2406" s="2"/>
      <c r="K2406" s="2" t="s">
        <v>18</v>
      </c>
      <c r="L2406" s="2"/>
    </row>
    <row r="2407">
      <c r="A2407" s="8" t="s">
        <v>2722</v>
      </c>
      <c r="B2407" s="8" t="s">
        <v>2722</v>
      </c>
      <c r="C2407" s="2" t="s">
        <v>786</v>
      </c>
      <c r="D2407" s="2" t="s">
        <v>787</v>
      </c>
      <c r="E2407" s="6">
        <v>46052.4025</v>
      </c>
      <c r="F2407" s="3" t="s">
        <v>788</v>
      </c>
      <c r="G2407" s="2" t="s">
        <v>16</v>
      </c>
      <c r="H2407" s="2"/>
      <c r="I2407" s="2" t="s">
        <v>17</v>
      </c>
      <c r="J2407" s="2"/>
      <c r="K2407" s="2" t="s">
        <v>18</v>
      </c>
      <c r="L2407" s="2"/>
    </row>
    <row r="2408">
      <c r="A2408" s="8" t="s">
        <v>2723</v>
      </c>
      <c r="B2408" s="8" t="s">
        <v>2723</v>
      </c>
      <c r="C2408" s="2" t="s">
        <v>1756</v>
      </c>
      <c r="D2408" s="2" t="s">
        <v>1757</v>
      </c>
      <c r="E2408" s="6">
        <v>46052.40484953704</v>
      </c>
      <c r="F2408" s="3" t="s">
        <v>1758</v>
      </c>
      <c r="G2408" s="2" t="s">
        <v>16</v>
      </c>
      <c r="H2408" s="2"/>
      <c r="I2408" s="2" t="s">
        <v>17</v>
      </c>
      <c r="J2408" s="2"/>
      <c r="K2408" s="2" t="s">
        <v>18</v>
      </c>
      <c r="L2408" s="2"/>
    </row>
    <row r="2409">
      <c r="A2409" s="8" t="s">
        <v>2724</v>
      </c>
      <c r="B2409" s="8" t="s">
        <v>2724</v>
      </c>
      <c r="C2409" s="2" t="s">
        <v>2577</v>
      </c>
      <c r="D2409" s="2" t="s">
        <v>2578</v>
      </c>
      <c r="E2409" s="6">
        <v>46052.44626157408</v>
      </c>
      <c r="F2409" s="3" t="s">
        <v>2579</v>
      </c>
      <c r="G2409" s="2" t="s">
        <v>24</v>
      </c>
      <c r="H2409" s="2"/>
      <c r="I2409" s="2"/>
      <c r="J2409" s="2"/>
      <c r="K2409" s="2" t="s">
        <v>18</v>
      </c>
      <c r="L2409" s="2"/>
    </row>
    <row r="2410">
      <c r="A2410" s="8" t="s">
        <v>2725</v>
      </c>
      <c r="B2410" s="8" t="s">
        <v>2725</v>
      </c>
      <c r="C2410" s="2" t="s">
        <v>1618</v>
      </c>
      <c r="D2410" s="2" t="s">
        <v>1619</v>
      </c>
      <c r="E2410" s="6">
        <v>46052.44724537037</v>
      </c>
      <c r="F2410" s="3" t="s">
        <v>1620</v>
      </c>
      <c r="G2410" s="2" t="s">
        <v>24</v>
      </c>
      <c r="H2410" s="2"/>
      <c r="I2410" s="2"/>
      <c r="J2410" s="2"/>
      <c r="K2410" s="2" t="s">
        <v>18</v>
      </c>
      <c r="L2410" s="2"/>
    </row>
    <row r="2411">
      <c r="A2411" s="8" t="s">
        <v>2726</v>
      </c>
      <c r="B2411" s="8" t="s">
        <v>2726</v>
      </c>
      <c r="C2411" s="2" t="s">
        <v>951</v>
      </c>
      <c r="D2411" s="2" t="s">
        <v>952</v>
      </c>
      <c r="E2411" s="6">
        <v>46052.5399537037</v>
      </c>
      <c r="F2411" s="3" t="s">
        <v>953</v>
      </c>
      <c r="G2411" s="2" t="s">
        <v>16</v>
      </c>
      <c r="H2411" s="2"/>
      <c r="I2411" s="2" t="s">
        <v>17</v>
      </c>
      <c r="J2411" s="2"/>
      <c r="K2411" s="2" t="s">
        <v>18</v>
      </c>
      <c r="L2411" s="2"/>
    </row>
    <row r="2412">
      <c r="A2412" s="8" t="s">
        <v>2727</v>
      </c>
      <c r="B2412" s="8" t="s">
        <v>2727</v>
      </c>
      <c r="C2412" s="2" t="s">
        <v>2728</v>
      </c>
      <c r="D2412" s="2" t="s">
        <v>2729</v>
      </c>
      <c r="E2412" s="6">
        <v>46052.589479166665</v>
      </c>
      <c r="F2412" s="3" t="s">
        <v>2730</v>
      </c>
      <c r="G2412" s="2" t="s">
        <v>16</v>
      </c>
      <c r="H2412" s="2"/>
      <c r="I2412" s="2" t="s">
        <v>395</v>
      </c>
      <c r="J2412" s="2"/>
      <c r="K2412" s="2" t="s">
        <v>18</v>
      </c>
      <c r="L2412" s="2"/>
    </row>
    <row r="2413">
      <c r="A2413" s="8" t="s">
        <v>2731</v>
      </c>
      <c r="B2413" s="8" t="s">
        <v>2731</v>
      </c>
      <c r="C2413" s="2" t="s">
        <v>786</v>
      </c>
      <c r="D2413" s="2" t="s">
        <v>787</v>
      </c>
      <c r="E2413" s="6">
        <v>46052.66863425926</v>
      </c>
      <c r="F2413" s="3" t="s">
        <v>788</v>
      </c>
      <c r="G2413" s="2" t="s">
        <v>24</v>
      </c>
      <c r="H2413" s="2"/>
      <c r="I2413" s="2"/>
      <c r="J2413" s="2"/>
      <c r="K2413" s="2" t="s">
        <v>18</v>
      </c>
      <c r="L2413" s="2"/>
    </row>
    <row r="2414">
      <c r="A2414" s="8" t="s">
        <v>2732</v>
      </c>
      <c r="B2414" s="8" t="s">
        <v>2732</v>
      </c>
      <c r="C2414" s="2" t="s">
        <v>1756</v>
      </c>
      <c r="D2414" s="2" t="s">
        <v>1757</v>
      </c>
      <c r="E2414" s="6">
        <v>46052.66952546296</v>
      </c>
      <c r="F2414" s="3" t="s">
        <v>1758</v>
      </c>
      <c r="G2414" s="2" t="s">
        <v>24</v>
      </c>
      <c r="H2414" s="2"/>
      <c r="I2414" s="2"/>
      <c r="J2414" s="2"/>
      <c r="K2414" s="2" t="s">
        <v>18</v>
      </c>
      <c r="L2414" s="2"/>
    </row>
    <row r="2415">
      <c r="A2415" s="8" t="s">
        <v>2733</v>
      </c>
      <c r="B2415" s="8" t="s">
        <v>2733</v>
      </c>
      <c r="C2415" s="2" t="s">
        <v>464</v>
      </c>
      <c r="D2415" s="2" t="s">
        <v>465</v>
      </c>
      <c r="E2415" s="6">
        <v>46053.33771990741</v>
      </c>
      <c r="F2415" s="3" t="s">
        <v>466</v>
      </c>
      <c r="G2415" s="2" t="s">
        <v>16</v>
      </c>
      <c r="H2415" s="2"/>
      <c r="I2415" s="2" t="s">
        <v>17</v>
      </c>
      <c r="J2415" s="2"/>
      <c r="K2415" s="2" t="s">
        <v>18</v>
      </c>
      <c r="L2415" s="2"/>
    </row>
    <row r="2416">
      <c r="A2416" s="8" t="s">
        <v>2734</v>
      </c>
      <c r="B2416" s="8" t="s">
        <v>2734</v>
      </c>
      <c r="C2416" s="2" t="s">
        <v>951</v>
      </c>
      <c r="D2416" s="2" t="s">
        <v>952</v>
      </c>
      <c r="E2416" s="6">
        <v>46053.338113425925</v>
      </c>
      <c r="F2416" s="3" t="s">
        <v>953</v>
      </c>
      <c r="G2416" s="2" t="s">
        <v>16</v>
      </c>
      <c r="H2416" s="2"/>
      <c r="I2416" s="2" t="s">
        <v>17</v>
      </c>
      <c r="J2416" s="2"/>
      <c r="K2416" s="2" t="s">
        <v>18</v>
      </c>
      <c r="L2416" s="2"/>
    </row>
    <row r="2417">
      <c r="A2417" s="8" t="s">
        <v>2735</v>
      </c>
      <c r="B2417" s="8" t="s">
        <v>2735</v>
      </c>
      <c r="C2417" s="2" t="s">
        <v>1018</v>
      </c>
      <c r="D2417" s="2" t="s">
        <v>1019</v>
      </c>
      <c r="E2417" s="6">
        <v>46053.33898148148</v>
      </c>
      <c r="F2417" s="3" t="s">
        <v>1020</v>
      </c>
      <c r="G2417" s="2" t="s">
        <v>16</v>
      </c>
      <c r="H2417" s="2"/>
      <c r="I2417" s="2" t="s">
        <v>17</v>
      </c>
      <c r="J2417" s="2"/>
      <c r="K2417" s="2" t="s">
        <v>18</v>
      </c>
      <c r="L2417" s="2"/>
    </row>
    <row r="2418">
      <c r="A2418" s="8" t="s">
        <v>2736</v>
      </c>
      <c r="B2418" s="8" t="s">
        <v>2736</v>
      </c>
      <c r="C2418" s="2" t="s">
        <v>786</v>
      </c>
      <c r="D2418" s="2" t="s">
        <v>787</v>
      </c>
      <c r="E2418" s="6">
        <v>46053.40253472222</v>
      </c>
      <c r="F2418" s="3" t="s">
        <v>788</v>
      </c>
      <c r="G2418" s="2" t="s">
        <v>16</v>
      </c>
      <c r="H2418" s="2"/>
      <c r="I2418" s="2" t="s">
        <v>17</v>
      </c>
      <c r="J2418" s="2"/>
      <c r="K2418" s="2" t="s">
        <v>18</v>
      </c>
      <c r="L2418" s="2"/>
    </row>
    <row r="2419">
      <c r="A2419" s="8" t="s">
        <v>2737</v>
      </c>
      <c r="B2419" s="8" t="s">
        <v>2737</v>
      </c>
      <c r="C2419" s="2" t="s">
        <v>464</v>
      </c>
      <c r="D2419" s="2" t="s">
        <v>465</v>
      </c>
      <c r="E2419" s="6">
        <v>46053.41415509259</v>
      </c>
      <c r="F2419" s="3" t="s">
        <v>466</v>
      </c>
      <c r="G2419" s="2" t="s">
        <v>24</v>
      </c>
      <c r="H2419" s="2"/>
      <c r="I2419" s="2"/>
      <c r="J2419" s="2"/>
      <c r="K2419" s="2" t="s">
        <v>18</v>
      </c>
      <c r="L2419" s="2"/>
    </row>
    <row r="2420">
      <c r="A2420" s="8" t="s">
        <v>2738</v>
      </c>
      <c r="B2420" s="8" t="s">
        <v>2738</v>
      </c>
      <c r="C2420" s="2" t="s">
        <v>1018</v>
      </c>
      <c r="D2420" s="2" t="s">
        <v>1019</v>
      </c>
      <c r="E2420" s="6">
        <v>46053.414675925924</v>
      </c>
      <c r="F2420" s="3" t="s">
        <v>1020</v>
      </c>
      <c r="G2420" s="2" t="s">
        <v>24</v>
      </c>
      <c r="H2420" s="2"/>
      <c r="I2420" s="2"/>
      <c r="J2420" s="2"/>
      <c r="K2420" s="2" t="s">
        <v>18</v>
      </c>
      <c r="L2420" s="2"/>
    </row>
    <row r="2421">
      <c r="A2421" s="8" t="s">
        <v>2739</v>
      </c>
      <c r="B2421" s="8" t="s">
        <v>2739</v>
      </c>
      <c r="C2421" s="2" t="s">
        <v>1776</v>
      </c>
      <c r="D2421" s="2" t="s">
        <v>1777</v>
      </c>
      <c r="E2421" s="6">
        <v>46053.42626157407</v>
      </c>
      <c r="F2421" s="3" t="s">
        <v>1778</v>
      </c>
      <c r="G2421" s="2" t="s">
        <v>16</v>
      </c>
      <c r="H2421" s="2"/>
      <c r="I2421" s="2" t="s">
        <v>395</v>
      </c>
      <c r="J2421" s="2"/>
      <c r="K2421" s="2" t="s">
        <v>18</v>
      </c>
      <c r="L2421" s="2"/>
    </row>
    <row r="2422">
      <c r="A2422" s="8" t="s">
        <v>2740</v>
      </c>
      <c r="B2422" s="8" t="s">
        <v>2740</v>
      </c>
      <c r="C2422" s="2" t="s">
        <v>1776</v>
      </c>
      <c r="D2422" s="2" t="s">
        <v>1777</v>
      </c>
      <c r="E2422" s="6">
        <v>46053.480474537035</v>
      </c>
      <c r="F2422" s="3" t="s">
        <v>1778</v>
      </c>
      <c r="G2422" s="2" t="s">
        <v>24</v>
      </c>
      <c r="H2422" s="2"/>
      <c r="I2422" s="2"/>
      <c r="J2422" s="2"/>
      <c r="K2422" s="2" t="s">
        <v>18</v>
      </c>
      <c r="L2422" s="2"/>
    </row>
    <row r="2423">
      <c r="A2423" s="8" t="s">
        <v>2741</v>
      </c>
      <c r="B2423" s="8" t="s">
        <v>2741</v>
      </c>
      <c r="C2423" s="2" t="s">
        <v>2640</v>
      </c>
      <c r="D2423" s="2" t="s">
        <v>2641</v>
      </c>
      <c r="E2423" s="6">
        <v>46053.54571759259</v>
      </c>
      <c r="F2423" s="3" t="s">
        <v>2642</v>
      </c>
      <c r="G2423" s="2" t="s">
        <v>16</v>
      </c>
      <c r="H2423" s="2"/>
      <c r="I2423" s="2" t="s">
        <v>17</v>
      </c>
      <c r="J2423" s="2"/>
      <c r="K2423" s="2" t="s">
        <v>18</v>
      </c>
      <c r="L2423" s="2"/>
    </row>
    <row r="2424">
      <c r="A2424" s="8" t="s">
        <v>2742</v>
      </c>
      <c r="B2424" s="8" t="s">
        <v>2742</v>
      </c>
      <c r="C2424" s="2" t="s">
        <v>320</v>
      </c>
      <c r="D2424" s="2" t="s">
        <v>321</v>
      </c>
      <c r="E2424" s="6">
        <v>46053.57362268519</v>
      </c>
      <c r="F2424" s="3" t="s">
        <v>322</v>
      </c>
      <c r="G2424" s="2" t="s">
        <v>16</v>
      </c>
      <c r="H2424" s="2"/>
      <c r="I2424" s="2" t="s">
        <v>395</v>
      </c>
      <c r="J2424" s="2"/>
      <c r="K2424" s="2" t="s">
        <v>18</v>
      </c>
      <c r="L2424" s="2"/>
    </row>
    <row r="2425">
      <c r="A2425" s="8" t="s">
        <v>2743</v>
      </c>
      <c r="B2425" s="8" t="s">
        <v>2743</v>
      </c>
      <c r="C2425" s="2" t="s">
        <v>786</v>
      </c>
      <c r="D2425" s="2" t="s">
        <v>787</v>
      </c>
      <c r="E2425" s="6">
        <v>46053.57460648148</v>
      </c>
      <c r="F2425" s="3" t="s">
        <v>788</v>
      </c>
      <c r="G2425" s="2" t="s">
        <v>24</v>
      </c>
      <c r="H2425" s="2"/>
      <c r="I2425" s="2"/>
      <c r="J2425" s="2"/>
      <c r="K2425" s="2" t="s">
        <v>18</v>
      </c>
      <c r="L2425" s="2"/>
    </row>
    <row r="2426">
      <c r="A2426" s="8" t="s">
        <v>2744</v>
      </c>
      <c r="B2426" s="8" t="s">
        <v>2744</v>
      </c>
      <c r="C2426" s="2" t="s">
        <v>326</v>
      </c>
      <c r="D2426" s="2" t="s">
        <v>327</v>
      </c>
      <c r="E2426" s="6">
        <v>46053.605787037035</v>
      </c>
      <c r="F2426" s="3" t="s">
        <v>328</v>
      </c>
      <c r="G2426" s="2" t="s">
        <v>24</v>
      </c>
      <c r="H2426" s="2"/>
      <c r="I2426" s="2"/>
      <c r="J2426" s="2"/>
      <c r="K2426" s="2" t="s">
        <v>18</v>
      </c>
      <c r="L2426" s="2"/>
    </row>
    <row r="2427">
      <c r="A2427" s="8" t="s">
        <v>2745</v>
      </c>
      <c r="B2427" s="8" t="s">
        <v>2745</v>
      </c>
      <c r="C2427" s="2" t="s">
        <v>1889</v>
      </c>
      <c r="D2427" s="2" t="s">
        <v>1890</v>
      </c>
      <c r="E2427" s="6">
        <v>46055.37028935185</v>
      </c>
      <c r="F2427" s="3" t="s">
        <v>1891</v>
      </c>
      <c r="G2427" s="2" t="s">
        <v>16</v>
      </c>
      <c r="H2427" s="2"/>
      <c r="I2427" s="2" t="s">
        <v>17</v>
      </c>
      <c r="J2427" s="2"/>
      <c r="K2427" s="2" t="s">
        <v>18</v>
      </c>
      <c r="L2427" s="2"/>
    </row>
    <row r="2428">
      <c r="A2428" s="8" t="s">
        <v>2746</v>
      </c>
      <c r="B2428" s="8" t="s">
        <v>2746</v>
      </c>
      <c r="C2428" s="2" t="s">
        <v>1993</v>
      </c>
      <c r="D2428" s="2" t="s">
        <v>1994</v>
      </c>
      <c r="E2428" s="6">
        <v>46055.39603009259</v>
      </c>
      <c r="F2428" s="3" t="s">
        <v>1995</v>
      </c>
      <c r="G2428" s="2" t="s">
        <v>16</v>
      </c>
      <c r="H2428" s="2"/>
      <c r="I2428" s="2" t="s">
        <v>17</v>
      </c>
      <c r="J2428" s="2"/>
      <c r="K2428" s="2" t="s">
        <v>18</v>
      </c>
      <c r="L2428" s="2"/>
    </row>
    <row r="2429">
      <c r="A2429" s="8" t="s">
        <v>2747</v>
      </c>
      <c r="B2429" s="8" t="s">
        <v>2747</v>
      </c>
      <c r="C2429" s="2" t="s">
        <v>786</v>
      </c>
      <c r="D2429" s="2" t="s">
        <v>787</v>
      </c>
      <c r="E2429" s="6">
        <v>46055.430868055555</v>
      </c>
      <c r="F2429" s="3" t="s">
        <v>788</v>
      </c>
      <c r="G2429" s="2" t="s">
        <v>16</v>
      </c>
      <c r="H2429" s="2"/>
      <c r="I2429" s="2" t="s">
        <v>17</v>
      </c>
      <c r="J2429" s="2"/>
      <c r="K2429" s="2" t="s">
        <v>18</v>
      </c>
      <c r="L2429" s="2"/>
    </row>
    <row r="2430">
      <c r="A2430" s="8" t="s">
        <v>2748</v>
      </c>
      <c r="B2430" s="8" t="s">
        <v>2748</v>
      </c>
      <c r="C2430" s="2" t="s">
        <v>1889</v>
      </c>
      <c r="D2430" s="2" t="s">
        <v>1890</v>
      </c>
      <c r="E2430" s="6">
        <v>46055.440613425926</v>
      </c>
      <c r="F2430" s="3" t="s">
        <v>1891</v>
      </c>
      <c r="G2430" s="2" t="s">
        <v>24</v>
      </c>
      <c r="H2430" s="2"/>
      <c r="I2430" s="2"/>
      <c r="J2430" s="2"/>
      <c r="K2430" s="2" t="s">
        <v>18</v>
      </c>
      <c r="L2430" s="2"/>
    </row>
    <row r="2431">
      <c r="A2431" s="8" t="s">
        <v>2749</v>
      </c>
      <c r="B2431" s="8" t="s">
        <v>2749</v>
      </c>
      <c r="C2431" s="2" t="s">
        <v>109</v>
      </c>
      <c r="D2431" s="2" t="s">
        <v>110</v>
      </c>
      <c r="E2431" s="6">
        <v>46055.520324074074</v>
      </c>
      <c r="F2431" s="3" t="s">
        <v>111</v>
      </c>
      <c r="G2431" s="2" t="s">
        <v>24</v>
      </c>
      <c r="H2431" s="2"/>
      <c r="I2431" s="2"/>
      <c r="J2431" s="2"/>
      <c r="K2431" s="2" t="s">
        <v>18</v>
      </c>
      <c r="L2431" s="2"/>
    </row>
    <row r="2432">
      <c r="A2432" s="8" t="s">
        <v>2750</v>
      </c>
      <c r="B2432" s="8" t="s">
        <v>2750</v>
      </c>
      <c r="C2432" s="2" t="s">
        <v>1993</v>
      </c>
      <c r="D2432" s="2" t="s">
        <v>1994</v>
      </c>
      <c r="E2432" s="6">
        <v>46055.52092592593</v>
      </c>
      <c r="F2432" s="3" t="s">
        <v>1995</v>
      </c>
      <c r="G2432" s="2" t="s">
        <v>24</v>
      </c>
      <c r="H2432" s="2"/>
      <c r="I2432" s="2"/>
      <c r="J2432" s="2"/>
      <c r="K2432" s="2" t="s">
        <v>18</v>
      </c>
      <c r="L2432" s="2"/>
    </row>
    <row r="2433">
      <c r="A2433" s="8" t="s">
        <v>2751</v>
      </c>
      <c r="B2433" s="8" t="s">
        <v>2751</v>
      </c>
      <c r="C2433" s="2" t="s">
        <v>1084</v>
      </c>
      <c r="D2433" s="2" t="s">
        <v>1085</v>
      </c>
      <c r="E2433" s="6">
        <v>46055.52150462963</v>
      </c>
      <c r="F2433" s="3" t="s">
        <v>1086</v>
      </c>
      <c r="G2433" s="2" t="s">
        <v>24</v>
      </c>
      <c r="H2433" s="2"/>
      <c r="I2433" s="2"/>
      <c r="J2433" s="2"/>
      <c r="K2433" s="2" t="s">
        <v>18</v>
      </c>
      <c r="L2433" s="2"/>
    </row>
    <row r="2434">
      <c r="A2434" s="8" t="s">
        <v>2752</v>
      </c>
      <c r="B2434" s="8" t="s">
        <v>2752</v>
      </c>
      <c r="C2434" s="2" t="s">
        <v>2150</v>
      </c>
      <c r="D2434" s="2" t="s">
        <v>2591</v>
      </c>
      <c r="E2434" s="6">
        <v>46055.53538194444</v>
      </c>
      <c r="F2434" s="3" t="s">
        <v>2152</v>
      </c>
      <c r="G2434" s="2" t="s">
        <v>159</v>
      </c>
      <c r="H2434" s="2"/>
      <c r="I2434" s="2"/>
      <c r="J2434" s="2"/>
      <c r="K2434" s="2" t="s">
        <v>18</v>
      </c>
      <c r="L2434" s="2"/>
    </row>
    <row r="2435">
      <c r="A2435" s="8" t="s">
        <v>2753</v>
      </c>
      <c r="B2435" s="8" t="s">
        <v>2753</v>
      </c>
      <c r="C2435" s="2" t="s">
        <v>786</v>
      </c>
      <c r="D2435" s="2" t="s">
        <v>787</v>
      </c>
      <c r="E2435" s="6">
        <v>46055.62872685185</v>
      </c>
      <c r="F2435" s="3" t="s">
        <v>788</v>
      </c>
      <c r="G2435" s="2" t="s">
        <v>24</v>
      </c>
      <c r="H2435" s="2"/>
      <c r="I2435" s="2"/>
      <c r="J2435" s="2"/>
      <c r="K2435" s="2" t="s">
        <v>18</v>
      </c>
      <c r="L2435" s="2"/>
    </row>
    <row r="2436">
      <c r="A2436" s="8" t="s">
        <v>2754</v>
      </c>
      <c r="B2436" s="8" t="s">
        <v>2754</v>
      </c>
      <c r="C2436" s="2" t="s">
        <v>1975</v>
      </c>
      <c r="D2436" s="2" t="s">
        <v>1976</v>
      </c>
      <c r="E2436" s="6">
        <v>46055.63930555555</v>
      </c>
      <c r="F2436" s="3" t="s">
        <v>1977</v>
      </c>
      <c r="G2436" s="2" t="s">
        <v>24</v>
      </c>
      <c r="H2436" s="2"/>
      <c r="I2436" s="2"/>
      <c r="J2436" s="2"/>
      <c r="K2436" s="2" t="s">
        <v>18</v>
      </c>
      <c r="L2436" s="2"/>
    </row>
    <row r="2437">
      <c r="A2437" s="8" t="s">
        <v>2755</v>
      </c>
      <c r="B2437" s="8" t="s">
        <v>2755</v>
      </c>
      <c r="C2437" s="2" t="s">
        <v>2503</v>
      </c>
      <c r="D2437" s="2" t="s">
        <v>2504</v>
      </c>
      <c r="E2437" s="6">
        <v>46056.34649305556</v>
      </c>
      <c r="F2437" s="3" t="s">
        <v>2505</v>
      </c>
      <c r="G2437" s="2" t="s">
        <v>16</v>
      </c>
      <c r="H2437" s="2"/>
      <c r="I2437" s="2" t="s">
        <v>395</v>
      </c>
      <c r="J2437" s="2"/>
      <c r="K2437" s="2" t="s">
        <v>18</v>
      </c>
      <c r="L2437" s="2"/>
    </row>
    <row r="2438">
      <c r="A2438" s="8" t="s">
        <v>2756</v>
      </c>
      <c r="B2438" s="8" t="s">
        <v>2756</v>
      </c>
      <c r="C2438" s="2" t="s">
        <v>1975</v>
      </c>
      <c r="D2438" s="2" t="s">
        <v>1976</v>
      </c>
      <c r="E2438" s="6">
        <v>46056.37829861111</v>
      </c>
      <c r="F2438" s="3" t="s">
        <v>1977</v>
      </c>
      <c r="G2438" s="2" t="s">
        <v>16</v>
      </c>
      <c r="H2438" s="2"/>
      <c r="I2438" s="2" t="s">
        <v>17</v>
      </c>
      <c r="J2438" s="2"/>
      <c r="K2438" s="2" t="s">
        <v>18</v>
      </c>
      <c r="L2438" s="2"/>
    </row>
    <row r="2439">
      <c r="A2439" s="8" t="s">
        <v>2757</v>
      </c>
      <c r="B2439" s="8" t="s">
        <v>2757</v>
      </c>
      <c r="C2439" s="2" t="s">
        <v>951</v>
      </c>
      <c r="D2439" s="2" t="s">
        <v>952</v>
      </c>
      <c r="E2439" s="6">
        <v>46056.5471412037</v>
      </c>
      <c r="F2439" s="3" t="s">
        <v>953</v>
      </c>
      <c r="G2439" s="2" t="s">
        <v>16</v>
      </c>
      <c r="H2439" s="2"/>
      <c r="I2439" s="2" t="s">
        <v>17</v>
      </c>
      <c r="J2439" s="2"/>
      <c r="K2439" s="2" t="s">
        <v>18</v>
      </c>
      <c r="L2439" s="2"/>
    </row>
    <row r="2440">
      <c r="A2440" s="8" t="s">
        <v>2758</v>
      </c>
      <c r="B2440" s="8" t="s">
        <v>2758</v>
      </c>
      <c r="C2440" s="2" t="s">
        <v>786</v>
      </c>
      <c r="D2440" s="2" t="s">
        <v>787</v>
      </c>
      <c r="E2440" s="6">
        <v>46056.548726851855</v>
      </c>
      <c r="F2440" s="3" t="s">
        <v>788</v>
      </c>
      <c r="G2440" s="2" t="s">
        <v>24</v>
      </c>
      <c r="H2440" s="2"/>
      <c r="I2440" s="2"/>
      <c r="J2440" s="2"/>
      <c r="K2440" s="2" t="s">
        <v>18</v>
      </c>
      <c r="L2440" s="2"/>
    </row>
    <row r="2441">
      <c r="A2441" s="8" t="s">
        <v>2759</v>
      </c>
      <c r="B2441" s="8" t="s">
        <v>2759</v>
      </c>
      <c r="C2441" s="2" t="s">
        <v>131</v>
      </c>
      <c r="D2441" s="2" t="s">
        <v>132</v>
      </c>
      <c r="E2441" s="6">
        <v>46056.54922453704</v>
      </c>
      <c r="F2441" s="3" t="s">
        <v>133</v>
      </c>
      <c r="G2441" s="2" t="s">
        <v>24</v>
      </c>
      <c r="H2441" s="2"/>
      <c r="I2441" s="2"/>
      <c r="J2441" s="2"/>
      <c r="K2441" s="2" t="s">
        <v>18</v>
      </c>
      <c r="L2441" s="2"/>
    </row>
    <row r="2442">
      <c r="A2442" s="8" t="s">
        <v>2760</v>
      </c>
      <c r="B2442" s="8" t="s">
        <v>2760</v>
      </c>
      <c r="C2442" s="2" t="s">
        <v>1975</v>
      </c>
      <c r="D2442" s="2" t="s">
        <v>1976</v>
      </c>
      <c r="E2442" s="6">
        <v>46056.55064814815</v>
      </c>
      <c r="F2442" s="3" t="s">
        <v>1977</v>
      </c>
      <c r="G2442" s="2" t="s">
        <v>24</v>
      </c>
      <c r="H2442" s="2"/>
      <c r="I2442" s="2"/>
      <c r="J2442" s="2"/>
      <c r="K2442" s="2" t="s">
        <v>18</v>
      </c>
      <c r="L2442" s="2"/>
    </row>
    <row r="2443">
      <c r="A2443" s="8" t="s">
        <v>2761</v>
      </c>
      <c r="B2443" s="8" t="s">
        <v>2761</v>
      </c>
      <c r="C2443" s="2" t="s">
        <v>951</v>
      </c>
      <c r="D2443" s="2" t="s">
        <v>952</v>
      </c>
      <c r="E2443" s="6">
        <v>46056.58399305555</v>
      </c>
      <c r="F2443" s="3" t="s">
        <v>953</v>
      </c>
      <c r="G2443" s="2" t="s">
        <v>24</v>
      </c>
      <c r="H2443" s="2"/>
      <c r="I2443" s="2"/>
      <c r="J2443" s="2"/>
      <c r="K2443" s="2" t="s">
        <v>18</v>
      </c>
      <c r="L2443" s="2"/>
    </row>
    <row r="2444">
      <c r="A2444" s="8" t="s">
        <v>2762</v>
      </c>
      <c r="B2444" s="8" t="s">
        <v>2762</v>
      </c>
      <c r="C2444" s="2" t="s">
        <v>2081</v>
      </c>
      <c r="D2444" s="2" t="s">
        <v>2082</v>
      </c>
      <c r="E2444" s="6">
        <v>46056.59986111111</v>
      </c>
      <c r="F2444" s="3" t="s">
        <v>2083</v>
      </c>
      <c r="G2444" s="2" t="s">
        <v>24</v>
      </c>
      <c r="H2444" s="2"/>
      <c r="I2444" s="2"/>
      <c r="J2444" s="2"/>
      <c r="K2444" s="2" t="s">
        <v>18</v>
      </c>
      <c r="L2444" s="2"/>
    </row>
    <row r="2445">
      <c r="A2445" s="8" t="s">
        <v>2763</v>
      </c>
      <c r="B2445" s="8" t="s">
        <v>2763</v>
      </c>
      <c r="C2445" s="2" t="s">
        <v>2640</v>
      </c>
      <c r="D2445" s="2" t="s">
        <v>2641</v>
      </c>
      <c r="E2445" s="6">
        <v>46056.60028935185</v>
      </c>
      <c r="F2445" s="3" t="s">
        <v>2642</v>
      </c>
      <c r="G2445" s="2" t="s">
        <v>24</v>
      </c>
      <c r="H2445" s="2"/>
      <c r="I2445" s="2"/>
      <c r="J2445" s="2"/>
      <c r="K2445" s="2" t="s">
        <v>18</v>
      </c>
      <c r="L2445" s="2"/>
    </row>
    <row r="2446">
      <c r="A2446" s="8" t="s">
        <v>2764</v>
      </c>
      <c r="B2446" s="8" t="s">
        <v>2764</v>
      </c>
      <c r="C2446" s="2" t="s">
        <v>2640</v>
      </c>
      <c r="D2446" s="2" t="s">
        <v>2641</v>
      </c>
      <c r="E2446" s="6">
        <v>46056.60501157407</v>
      </c>
      <c r="F2446" s="3" t="s">
        <v>2642</v>
      </c>
      <c r="G2446" s="2" t="s">
        <v>16</v>
      </c>
      <c r="H2446" s="2"/>
      <c r="I2446" s="2" t="s">
        <v>17</v>
      </c>
      <c r="J2446" s="2"/>
      <c r="K2446" s="2" t="s">
        <v>18</v>
      </c>
      <c r="L2446" s="2"/>
    </row>
    <row r="2447">
      <c r="A2447" s="8" t="s">
        <v>2765</v>
      </c>
      <c r="B2447" s="8" t="s">
        <v>2765</v>
      </c>
      <c r="C2447" s="2" t="s">
        <v>2081</v>
      </c>
      <c r="D2447" s="2" t="s">
        <v>2082</v>
      </c>
      <c r="E2447" s="6">
        <v>46056.60789351852</v>
      </c>
      <c r="F2447" s="3" t="s">
        <v>2083</v>
      </c>
      <c r="G2447" s="2" t="s">
        <v>16</v>
      </c>
      <c r="H2447" s="2"/>
      <c r="I2447" s="2" t="s">
        <v>17</v>
      </c>
      <c r="J2447" s="2"/>
      <c r="K2447" s="2" t="s">
        <v>18</v>
      </c>
      <c r="L2447" s="2"/>
    </row>
    <row r="2448">
      <c r="A2448" s="8" t="s">
        <v>2766</v>
      </c>
      <c r="B2448" s="8" t="s">
        <v>2766</v>
      </c>
      <c r="C2448" s="2" t="s">
        <v>2728</v>
      </c>
      <c r="D2448" s="2" t="s">
        <v>2729</v>
      </c>
      <c r="E2448" s="6">
        <v>46056.77858796297</v>
      </c>
      <c r="F2448" s="3" t="s">
        <v>2730</v>
      </c>
      <c r="G2448" s="2" t="s">
        <v>16</v>
      </c>
      <c r="H2448" s="2"/>
      <c r="I2448" s="2" t="s">
        <v>17</v>
      </c>
      <c r="J2448" s="2"/>
      <c r="K2448" s="2" t="s">
        <v>18</v>
      </c>
      <c r="L2448" s="2"/>
    </row>
    <row r="2449">
      <c r="A2449" s="8" t="s">
        <v>2767</v>
      </c>
      <c r="B2449" s="8" t="s">
        <v>2767</v>
      </c>
      <c r="C2449" s="2" t="s">
        <v>2728</v>
      </c>
      <c r="D2449" s="2" t="s">
        <v>2729</v>
      </c>
      <c r="E2449" s="6">
        <v>46056.781643518516</v>
      </c>
      <c r="F2449" s="3" t="s">
        <v>2730</v>
      </c>
      <c r="G2449" s="2" t="s">
        <v>16</v>
      </c>
      <c r="H2449" s="2"/>
      <c r="I2449" s="2" t="s">
        <v>17</v>
      </c>
      <c r="J2449" s="2"/>
      <c r="K2449" s="2" t="s">
        <v>18</v>
      </c>
      <c r="L2449" s="2"/>
    </row>
    <row r="2450">
      <c r="A2450" s="8" t="s">
        <v>2768</v>
      </c>
      <c r="B2450" s="8" t="s">
        <v>2768</v>
      </c>
      <c r="C2450" s="2" t="s">
        <v>1745</v>
      </c>
      <c r="D2450" s="2" t="s">
        <v>1746</v>
      </c>
      <c r="E2450" s="6">
        <v>46057.29106481482</v>
      </c>
      <c r="F2450" s="3" t="s">
        <v>1747</v>
      </c>
      <c r="G2450" s="2" t="s">
        <v>16</v>
      </c>
      <c r="H2450" s="2"/>
      <c r="I2450" s="2" t="s">
        <v>17</v>
      </c>
      <c r="J2450" s="2"/>
      <c r="K2450" s="2" t="s">
        <v>18</v>
      </c>
      <c r="L2450" s="2"/>
    </row>
    <row r="2451">
      <c r="A2451" s="8" t="s">
        <v>2769</v>
      </c>
      <c r="B2451" s="8" t="s">
        <v>2769</v>
      </c>
      <c r="C2451" s="2" t="s">
        <v>1613</v>
      </c>
      <c r="D2451" s="2" t="s">
        <v>1614</v>
      </c>
      <c r="E2451" s="6">
        <v>46057.35350694445</v>
      </c>
      <c r="F2451" s="3" t="s">
        <v>1615</v>
      </c>
      <c r="G2451" s="2" t="s">
        <v>16</v>
      </c>
      <c r="H2451" s="2"/>
      <c r="I2451" s="2" t="s">
        <v>395</v>
      </c>
      <c r="J2451" s="2"/>
      <c r="K2451" s="2" t="s">
        <v>18</v>
      </c>
      <c r="L2451" s="2"/>
    </row>
    <row r="2452">
      <c r="A2452" s="8" t="s">
        <v>2770</v>
      </c>
      <c r="B2452" s="8" t="s">
        <v>2770</v>
      </c>
      <c r="C2452" s="2" t="s">
        <v>169</v>
      </c>
      <c r="D2452" s="2" t="s">
        <v>170</v>
      </c>
      <c r="E2452" s="6">
        <v>46057.354166666664</v>
      </c>
      <c r="F2452" s="3" t="s">
        <v>171</v>
      </c>
      <c r="G2452" s="2" t="s">
        <v>16</v>
      </c>
      <c r="H2452" s="2"/>
      <c r="I2452" s="2" t="s">
        <v>17</v>
      </c>
      <c r="J2452" s="2"/>
      <c r="K2452" s="2" t="s">
        <v>18</v>
      </c>
      <c r="L2452" s="2"/>
    </row>
    <row r="2453">
      <c r="A2453" s="8" t="s">
        <v>2771</v>
      </c>
      <c r="B2453" s="8" t="s">
        <v>2771</v>
      </c>
      <c r="C2453" s="2" t="s">
        <v>1745</v>
      </c>
      <c r="D2453" s="2" t="s">
        <v>1746</v>
      </c>
      <c r="E2453" s="6">
        <v>46057.435011574074</v>
      </c>
      <c r="F2453" s="3" t="s">
        <v>1747</v>
      </c>
      <c r="G2453" s="2" t="s">
        <v>24</v>
      </c>
      <c r="H2453" s="2"/>
      <c r="I2453" s="2"/>
      <c r="J2453" s="2"/>
      <c r="K2453" s="2" t="s">
        <v>18</v>
      </c>
      <c r="L2453" s="2"/>
    </row>
    <row r="2454">
      <c r="A2454" s="8" t="s">
        <v>2772</v>
      </c>
      <c r="B2454" s="8" t="s">
        <v>2772</v>
      </c>
      <c r="C2454" s="2" t="s">
        <v>169</v>
      </c>
      <c r="D2454" s="2" t="s">
        <v>170</v>
      </c>
      <c r="E2454" s="6">
        <v>46057.4356712963</v>
      </c>
      <c r="F2454" s="3" t="s">
        <v>171</v>
      </c>
      <c r="G2454" s="2" t="s">
        <v>24</v>
      </c>
      <c r="H2454" s="2"/>
      <c r="I2454" s="2"/>
      <c r="J2454" s="2"/>
      <c r="K2454" s="2" t="s">
        <v>18</v>
      </c>
      <c r="L2454" s="2"/>
    </row>
    <row r="2455">
      <c r="A2455" s="8" t="s">
        <v>2773</v>
      </c>
      <c r="B2455" s="8" t="s">
        <v>2773</v>
      </c>
      <c r="C2455" s="2" t="s">
        <v>2774</v>
      </c>
      <c r="D2455" s="2" t="s">
        <v>2775</v>
      </c>
      <c r="E2455" s="6">
        <v>46057.43686342592</v>
      </c>
      <c r="F2455" s="3" t="s">
        <v>2776</v>
      </c>
      <c r="G2455" s="2" t="s">
        <v>16</v>
      </c>
      <c r="H2455" s="2"/>
      <c r="I2455" s="2" t="s">
        <v>395</v>
      </c>
      <c r="J2455" s="2"/>
      <c r="K2455" s="2" t="s">
        <v>18</v>
      </c>
      <c r="L2455" s="2"/>
    </row>
    <row r="2456">
      <c r="A2456" s="8" t="s">
        <v>2777</v>
      </c>
      <c r="B2456" s="8" t="s">
        <v>2777</v>
      </c>
      <c r="C2456" s="2" t="s">
        <v>2577</v>
      </c>
      <c r="D2456" s="2" t="s">
        <v>2578</v>
      </c>
      <c r="E2456" s="6">
        <v>46057.437372685185</v>
      </c>
      <c r="F2456" s="3" t="s">
        <v>2579</v>
      </c>
      <c r="G2456" s="2" t="s">
        <v>16</v>
      </c>
      <c r="H2456" s="2"/>
      <c r="I2456" s="2" t="s">
        <v>17</v>
      </c>
      <c r="J2456" s="2"/>
      <c r="K2456" s="2" t="s">
        <v>18</v>
      </c>
      <c r="L2456" s="2"/>
    </row>
    <row r="2457">
      <c r="A2457" s="8" t="s">
        <v>2778</v>
      </c>
      <c r="B2457" s="8" t="s">
        <v>2778</v>
      </c>
      <c r="C2457" s="2" t="s">
        <v>131</v>
      </c>
      <c r="D2457" s="2" t="s">
        <v>132</v>
      </c>
      <c r="E2457" s="6">
        <v>46057.52428240741</v>
      </c>
      <c r="F2457" s="3" t="s">
        <v>133</v>
      </c>
      <c r="G2457" s="2" t="s">
        <v>16</v>
      </c>
      <c r="H2457" s="2"/>
      <c r="I2457" s="2" t="s">
        <v>17</v>
      </c>
      <c r="J2457" s="2"/>
      <c r="K2457" s="2" t="s">
        <v>18</v>
      </c>
      <c r="L2457" s="2"/>
    </row>
    <row r="2458">
      <c r="A2458" s="8" t="s">
        <v>2779</v>
      </c>
      <c r="B2458" s="8" t="s">
        <v>2779</v>
      </c>
      <c r="C2458" s="2" t="s">
        <v>2577</v>
      </c>
      <c r="D2458" s="2" t="s">
        <v>2578</v>
      </c>
      <c r="E2458" s="6">
        <v>46057.52648148148</v>
      </c>
      <c r="F2458" s="3" t="s">
        <v>2579</v>
      </c>
      <c r="G2458" s="2" t="s">
        <v>24</v>
      </c>
      <c r="H2458" s="2"/>
      <c r="I2458" s="2"/>
      <c r="J2458" s="2"/>
      <c r="K2458" s="2" t="s">
        <v>18</v>
      </c>
      <c r="L2458" s="2"/>
    </row>
    <row r="2459">
      <c r="A2459" s="8" t="s">
        <v>2780</v>
      </c>
      <c r="B2459" s="8" t="s">
        <v>2780</v>
      </c>
      <c r="C2459" s="2" t="s">
        <v>131</v>
      </c>
      <c r="D2459" s="2" t="s">
        <v>132</v>
      </c>
      <c r="E2459" s="6">
        <v>46057.57465277778</v>
      </c>
      <c r="F2459" s="3" t="s">
        <v>133</v>
      </c>
      <c r="G2459" s="2" t="s">
        <v>24</v>
      </c>
      <c r="H2459" s="2"/>
      <c r="I2459" s="2"/>
      <c r="J2459" s="2"/>
      <c r="K2459" s="2" t="s">
        <v>18</v>
      </c>
      <c r="L2459" s="2"/>
    </row>
    <row r="2460">
      <c r="A2460" s="8" t="s">
        <v>2781</v>
      </c>
      <c r="B2460" s="8" t="s">
        <v>2781</v>
      </c>
      <c r="C2460" s="2" t="s">
        <v>1613</v>
      </c>
      <c r="D2460" s="2" t="s">
        <v>1614</v>
      </c>
      <c r="E2460" s="6">
        <v>46057.61032407408</v>
      </c>
      <c r="F2460" s="3" t="s">
        <v>1615</v>
      </c>
      <c r="G2460" s="2" t="s">
        <v>24</v>
      </c>
      <c r="H2460" s="2"/>
      <c r="I2460" s="2"/>
      <c r="J2460" s="2"/>
      <c r="K2460" s="2" t="s">
        <v>18</v>
      </c>
      <c r="L2460" s="2"/>
    </row>
    <row r="2461">
      <c r="A2461" s="8" t="s">
        <v>2782</v>
      </c>
      <c r="B2461" s="8" t="s">
        <v>2782</v>
      </c>
      <c r="C2461" s="2" t="s">
        <v>326</v>
      </c>
      <c r="D2461" s="2" t="s">
        <v>327</v>
      </c>
      <c r="E2461" s="6">
        <v>46057.61230324074</v>
      </c>
      <c r="F2461" s="3" t="s">
        <v>328</v>
      </c>
      <c r="G2461" s="2" t="s">
        <v>24</v>
      </c>
      <c r="H2461" s="2"/>
      <c r="I2461" s="2"/>
      <c r="J2461" s="2"/>
      <c r="K2461" s="2" t="s">
        <v>18</v>
      </c>
      <c r="L2461" s="2"/>
    </row>
    <row r="2462">
      <c r="A2462" s="8" t="s">
        <v>2783</v>
      </c>
      <c r="B2462" s="8" t="s">
        <v>2783</v>
      </c>
      <c r="C2462" s="2" t="s">
        <v>1618</v>
      </c>
      <c r="D2462" s="2" t="s">
        <v>1619</v>
      </c>
      <c r="E2462" s="6">
        <v>46057.61293981481</v>
      </c>
      <c r="F2462" s="3" t="s">
        <v>1620</v>
      </c>
      <c r="G2462" s="2" t="s">
        <v>16</v>
      </c>
      <c r="H2462" s="2"/>
      <c r="I2462" s="2" t="s">
        <v>17</v>
      </c>
      <c r="J2462" s="2"/>
      <c r="K2462" s="2" t="s">
        <v>18</v>
      </c>
      <c r="L2462" s="2"/>
    </row>
    <row r="2463">
      <c r="A2463" s="8" t="s">
        <v>2784</v>
      </c>
      <c r="B2463" s="8" t="s">
        <v>2784</v>
      </c>
      <c r="C2463" s="2" t="s">
        <v>1618</v>
      </c>
      <c r="D2463" s="2" t="s">
        <v>1619</v>
      </c>
      <c r="E2463" s="6">
        <v>46057.668854166666</v>
      </c>
      <c r="F2463" s="3" t="s">
        <v>1620</v>
      </c>
      <c r="G2463" s="2" t="s">
        <v>24</v>
      </c>
      <c r="H2463" s="2"/>
      <c r="I2463" s="2"/>
      <c r="J2463" s="2"/>
      <c r="K2463" s="2" t="s">
        <v>18</v>
      </c>
      <c r="L2463" s="2"/>
    </row>
    <row r="2464">
      <c r="A2464" s="8" t="s">
        <v>2785</v>
      </c>
      <c r="B2464" s="8" t="s">
        <v>2785</v>
      </c>
      <c r="C2464" s="2" t="s">
        <v>1873</v>
      </c>
      <c r="D2464" s="2" t="s">
        <v>1874</v>
      </c>
      <c r="E2464" s="6">
        <v>46058.37604166667</v>
      </c>
      <c r="F2464" s="3" t="s">
        <v>1875</v>
      </c>
      <c r="G2464" s="2" t="s">
        <v>16</v>
      </c>
      <c r="H2464" s="2"/>
      <c r="I2464" s="2" t="s">
        <v>395</v>
      </c>
      <c r="J2464" s="2"/>
      <c r="K2464" s="2" t="s">
        <v>18</v>
      </c>
      <c r="L2464" s="2"/>
    </row>
    <row r="2465">
      <c r="A2465" s="8" t="s">
        <v>2786</v>
      </c>
      <c r="B2465" s="8" t="s">
        <v>2786</v>
      </c>
      <c r="C2465" s="2" t="s">
        <v>786</v>
      </c>
      <c r="D2465" s="2" t="s">
        <v>787</v>
      </c>
      <c r="E2465" s="6">
        <v>46058.40056712963</v>
      </c>
      <c r="F2465" s="3" t="s">
        <v>788</v>
      </c>
      <c r="G2465" s="2" t="s">
        <v>16</v>
      </c>
      <c r="H2465" s="2"/>
      <c r="I2465" s="2" t="s">
        <v>17</v>
      </c>
      <c r="J2465" s="2"/>
      <c r="K2465" s="2" t="s">
        <v>18</v>
      </c>
      <c r="L2465" s="2"/>
    </row>
    <row r="2466">
      <c r="A2466" s="8" t="s">
        <v>2787</v>
      </c>
      <c r="B2466" s="8" t="s">
        <v>2787</v>
      </c>
      <c r="C2466" s="2" t="s">
        <v>904</v>
      </c>
      <c r="D2466" s="2" t="s">
        <v>905</v>
      </c>
      <c r="E2466" s="6">
        <v>46058.526921296296</v>
      </c>
      <c r="F2466" s="3" t="s">
        <v>906</v>
      </c>
      <c r="G2466" s="2" t="s">
        <v>24</v>
      </c>
      <c r="H2466" s="2"/>
      <c r="I2466" s="2"/>
      <c r="J2466" s="2"/>
      <c r="K2466" s="2" t="s">
        <v>18</v>
      </c>
      <c r="L2466" s="2"/>
    </row>
    <row r="2467">
      <c r="A2467" s="1"/>
      <c r="B2467" s="1"/>
      <c r="C2467" s="2"/>
      <c r="D2467" s="2"/>
      <c r="E2467" s="6"/>
      <c r="F2467" s="3"/>
      <c r="G2467" s="2"/>
      <c r="H2467" s="2"/>
      <c r="I2467" s="2"/>
      <c r="J2467" s="2"/>
      <c r="K2467" s="2" t="s">
        <v>18</v>
      </c>
      <c r="L2467" s="2"/>
    </row>
    <row r="2468">
      <c r="A2468" s="8" t="s">
        <v>2788</v>
      </c>
      <c r="B2468" s="8" t="s">
        <v>2788</v>
      </c>
      <c r="C2468" s="2" t="s">
        <v>943</v>
      </c>
      <c r="D2468" s="2" t="s">
        <v>944</v>
      </c>
      <c r="E2468" s="6">
        <v>46058.527233796296</v>
      </c>
      <c r="F2468" s="3" t="s">
        <v>945</v>
      </c>
      <c r="G2468" s="2" t="s">
        <v>24</v>
      </c>
      <c r="H2468" s="2"/>
      <c r="I2468" s="2"/>
      <c r="J2468" s="2"/>
      <c r="K2468" s="2" t="s">
        <v>18</v>
      </c>
      <c r="L2468" s="2"/>
    </row>
    <row r="2469">
      <c r="A2469" s="8" t="s">
        <v>2789</v>
      </c>
      <c r="B2469" s="8" t="s">
        <v>2789</v>
      </c>
      <c r="C2469" s="2" t="s">
        <v>786</v>
      </c>
      <c r="D2469" s="2" t="s">
        <v>787</v>
      </c>
      <c r="E2469" s="6">
        <v>46058.59780092593</v>
      </c>
      <c r="F2469" s="3" t="s">
        <v>788</v>
      </c>
      <c r="G2469" s="2" t="s">
        <v>24</v>
      </c>
      <c r="H2469" s="2"/>
      <c r="I2469" s="2"/>
      <c r="J2469" s="2"/>
      <c r="K2469" s="2" t="s">
        <v>18</v>
      </c>
      <c r="L2469" s="2"/>
    </row>
    <row r="2470">
      <c r="A2470" s="8" t="s">
        <v>2790</v>
      </c>
      <c r="B2470" s="8" t="s">
        <v>2790</v>
      </c>
      <c r="C2470" s="2" t="s">
        <v>1873</v>
      </c>
      <c r="D2470" s="2" t="s">
        <v>1874</v>
      </c>
      <c r="E2470" s="6">
        <v>46058.59832175926</v>
      </c>
      <c r="F2470" s="3" t="s">
        <v>1875</v>
      </c>
      <c r="G2470" s="2" t="s">
        <v>24</v>
      </c>
      <c r="H2470" s="2"/>
      <c r="I2470" s="2"/>
      <c r="J2470" s="2"/>
      <c r="K2470" s="2" t="s">
        <v>18</v>
      </c>
      <c r="L2470" s="2"/>
    </row>
    <row r="2471">
      <c r="A2471" s="8" t="s">
        <v>2791</v>
      </c>
      <c r="B2471" s="8" t="s">
        <v>2791</v>
      </c>
      <c r="C2471" s="2" t="s">
        <v>2543</v>
      </c>
      <c r="D2471" s="2" t="s">
        <v>2544</v>
      </c>
      <c r="E2471" s="6">
        <v>46058.623506944445</v>
      </c>
      <c r="F2471" s="3" t="s">
        <v>2545</v>
      </c>
      <c r="G2471" s="2" t="s">
        <v>16</v>
      </c>
      <c r="H2471" s="2"/>
      <c r="I2471" s="2" t="s">
        <v>17</v>
      </c>
      <c r="J2471" s="2"/>
      <c r="K2471" s="2" t="s">
        <v>18</v>
      </c>
      <c r="L2471" s="2"/>
    </row>
    <row r="2472">
      <c r="A2472" s="8" t="s">
        <v>2792</v>
      </c>
      <c r="B2472" s="8" t="s">
        <v>2792</v>
      </c>
      <c r="C2472" s="2" t="s">
        <v>55</v>
      </c>
      <c r="D2472" s="2" t="s">
        <v>56</v>
      </c>
      <c r="E2472" s="6">
        <v>46058.68583333334</v>
      </c>
      <c r="F2472" s="3" t="s">
        <v>57</v>
      </c>
      <c r="G2472" s="2" t="s">
        <v>24</v>
      </c>
      <c r="H2472" s="2"/>
      <c r="I2472" s="2"/>
      <c r="J2472" s="2"/>
    </row>
    <row r="2473">
      <c r="A2473" s="8" t="s">
        <v>2793</v>
      </c>
      <c r="B2473" s="8" t="s">
        <v>2793</v>
      </c>
      <c r="C2473" s="2" t="s">
        <v>2543</v>
      </c>
      <c r="D2473" s="2" t="s">
        <v>2544</v>
      </c>
      <c r="E2473" s="6">
        <v>46058.68732638889</v>
      </c>
      <c r="F2473" s="3" t="s">
        <v>2545</v>
      </c>
      <c r="G2473" s="2" t="s">
        <v>24</v>
      </c>
      <c r="H2473" s="2"/>
      <c r="I2473" s="2"/>
      <c r="J2473" s="2"/>
    </row>
    <row r="2474">
      <c r="A2474" s="8" t="s">
        <v>2794</v>
      </c>
      <c r="B2474" s="8" t="s">
        <v>2794</v>
      </c>
      <c r="C2474" s="2" t="s">
        <v>1573</v>
      </c>
      <c r="D2474" s="2" t="s">
        <v>1574</v>
      </c>
      <c r="E2474" s="6">
        <v>46058.71561342593</v>
      </c>
      <c r="F2474" s="3" t="s">
        <v>1575</v>
      </c>
      <c r="G2474" s="2" t="s">
        <v>16</v>
      </c>
      <c r="H2474" s="2"/>
      <c r="I2474" s="2" t="s">
        <v>395</v>
      </c>
      <c r="J2474" s="2"/>
    </row>
    <row r="2475">
      <c r="A2475" s="1"/>
      <c r="B2475" s="1"/>
      <c r="C2475" s="2"/>
      <c r="D2475" s="2"/>
      <c r="E2475" s="6"/>
      <c r="F2475" s="3"/>
      <c r="G2475" s="2"/>
      <c r="H2475" s="2"/>
      <c r="I2475" s="2"/>
      <c r="J2475" s="2"/>
    </row>
    <row r="2476">
      <c r="A2476" s="8" t="s">
        <v>2795</v>
      </c>
      <c r="B2476" s="8" t="s">
        <v>2795</v>
      </c>
      <c r="C2476" s="2" t="s">
        <v>1573</v>
      </c>
      <c r="D2476" s="2" t="s">
        <v>1574</v>
      </c>
      <c r="E2476" s="6">
        <v>46058.75152777778</v>
      </c>
      <c r="F2476" s="3" t="s">
        <v>1575</v>
      </c>
      <c r="G2476" s="2" t="s">
        <v>24</v>
      </c>
      <c r="H2476" s="2"/>
      <c r="I2476" s="2"/>
      <c r="J2476" s="2"/>
    </row>
    <row r="2477">
      <c r="A2477" s="8" t="s">
        <v>2796</v>
      </c>
      <c r="B2477" s="8" t="s">
        <v>2796</v>
      </c>
      <c r="C2477" s="2" t="s">
        <v>109</v>
      </c>
      <c r="D2477" s="2" t="s">
        <v>110</v>
      </c>
      <c r="E2477" s="6">
        <v>46059.4131712963</v>
      </c>
      <c r="F2477" s="3" t="s">
        <v>111</v>
      </c>
      <c r="G2477" s="2" t="s">
        <v>16</v>
      </c>
      <c r="H2477" s="2"/>
      <c r="I2477" s="2" t="s">
        <v>17</v>
      </c>
      <c r="J2477" s="2"/>
    </row>
    <row r="2478">
      <c r="A2478" s="8" t="s">
        <v>2797</v>
      </c>
      <c r="B2478" s="8" t="s">
        <v>2797</v>
      </c>
      <c r="C2478" s="2" t="s">
        <v>786</v>
      </c>
      <c r="D2478" s="2" t="s">
        <v>787</v>
      </c>
      <c r="E2478" s="6">
        <v>46059.60120370371</v>
      </c>
      <c r="F2478" s="3" t="s">
        <v>788</v>
      </c>
      <c r="G2478" s="2" t="s">
        <v>24</v>
      </c>
      <c r="H2478" s="2"/>
      <c r="I2478" s="2"/>
      <c r="J2478" s="2"/>
    </row>
    <row r="2479">
      <c r="A2479" s="8" t="s">
        <v>2798</v>
      </c>
      <c r="B2479" s="8" t="s">
        <v>2798</v>
      </c>
      <c r="C2479" s="2" t="s">
        <v>2640</v>
      </c>
      <c r="D2479" s="2" t="s">
        <v>2641</v>
      </c>
      <c r="E2479" s="6">
        <v>46059.60450231482</v>
      </c>
      <c r="F2479" s="3" t="s">
        <v>2642</v>
      </c>
      <c r="G2479" s="2" t="s">
        <v>16</v>
      </c>
      <c r="H2479" s="2"/>
      <c r="I2479" s="2" t="s">
        <v>17</v>
      </c>
      <c r="J2479" s="2"/>
    </row>
    <row r="2480">
      <c r="A2480" s="8" t="s">
        <v>2799</v>
      </c>
      <c r="B2480" s="8" t="s">
        <v>2799</v>
      </c>
      <c r="C2480" s="2" t="s">
        <v>1873</v>
      </c>
      <c r="D2480" s="2" t="s">
        <v>1874</v>
      </c>
      <c r="E2480" s="6">
        <v>46059.606782407405</v>
      </c>
      <c r="F2480" s="3" t="s">
        <v>1875</v>
      </c>
      <c r="G2480" s="2" t="s">
        <v>24</v>
      </c>
      <c r="H2480" s="2"/>
      <c r="I2480" s="2"/>
      <c r="J2480" s="2"/>
    </row>
    <row r="2481">
      <c r="A2481" s="8" t="s">
        <v>2800</v>
      </c>
      <c r="B2481" s="8" t="s">
        <v>2800</v>
      </c>
      <c r="C2481" s="2" t="s">
        <v>1975</v>
      </c>
      <c r="D2481" s="2" t="s">
        <v>1976</v>
      </c>
      <c r="E2481" s="6">
        <v>46059.60732638889</v>
      </c>
      <c r="F2481" s="3" t="s">
        <v>1977</v>
      </c>
      <c r="G2481" s="2" t="s">
        <v>24</v>
      </c>
      <c r="H2481" s="2"/>
      <c r="I2481" s="2"/>
      <c r="J2481" s="2"/>
    </row>
    <row r="2482">
      <c r="A2482" s="8" t="s">
        <v>2801</v>
      </c>
      <c r="B2482" s="8" t="s">
        <v>2801</v>
      </c>
      <c r="C2482" s="2" t="s">
        <v>1993</v>
      </c>
      <c r="D2482" s="2" t="s">
        <v>1994</v>
      </c>
      <c r="E2482" s="6">
        <v>46059.62162037037</v>
      </c>
      <c r="F2482" s="3" t="s">
        <v>1995</v>
      </c>
      <c r="G2482" s="2" t="s">
        <v>16</v>
      </c>
      <c r="H2482" s="2"/>
      <c r="I2482" s="2" t="s">
        <v>17</v>
      </c>
      <c r="J2482" s="2"/>
    </row>
    <row r="2483">
      <c r="A2483" s="1"/>
      <c r="B2483" s="1"/>
      <c r="C2483" s="2"/>
      <c r="D2483" s="2"/>
      <c r="E2483" s="6"/>
      <c r="F2483" s="3"/>
      <c r="G2483" s="2"/>
      <c r="H2483" s="2"/>
      <c r="I2483" s="2"/>
      <c r="J2483" s="2"/>
    </row>
    <row r="2484">
      <c r="A2484" s="8" t="s">
        <v>2802</v>
      </c>
      <c r="B2484" s="8" t="s">
        <v>2802</v>
      </c>
      <c r="C2484" s="2" t="s">
        <v>2032</v>
      </c>
      <c r="D2484" s="2" t="s">
        <v>2033</v>
      </c>
      <c r="E2484" s="6">
        <v>46059.65482638889</v>
      </c>
      <c r="F2484" s="3" t="s">
        <v>2803</v>
      </c>
      <c r="G2484" s="2" t="s">
        <v>16</v>
      </c>
      <c r="H2484" s="2"/>
      <c r="I2484" s="2" t="s">
        <v>395</v>
      </c>
      <c r="J2484" s="2"/>
    </row>
    <row r="2485">
      <c r="A2485" s="8" t="s">
        <v>2804</v>
      </c>
      <c r="B2485" s="8" t="s">
        <v>2804</v>
      </c>
      <c r="C2485" s="2" t="s">
        <v>1993</v>
      </c>
      <c r="D2485" s="2" t="s">
        <v>1994</v>
      </c>
      <c r="E2485" s="6">
        <v>46059.69862268519</v>
      </c>
      <c r="F2485" s="3" t="s">
        <v>1995</v>
      </c>
      <c r="G2485" s="2" t="s">
        <v>24</v>
      </c>
      <c r="H2485" s="2"/>
      <c r="I2485" s="2"/>
      <c r="J2485" s="2"/>
    </row>
    <row r="2486">
      <c r="A2486" s="8" t="s">
        <v>2805</v>
      </c>
      <c r="B2486" s="8" t="s">
        <v>2805</v>
      </c>
      <c r="C2486" s="2" t="s">
        <v>1889</v>
      </c>
      <c r="D2486" s="2" t="s">
        <v>1890</v>
      </c>
      <c r="E2486" s="6">
        <v>46059.6997337963</v>
      </c>
      <c r="F2486" s="3" t="s">
        <v>1891</v>
      </c>
      <c r="G2486" s="2" t="s">
        <v>24</v>
      </c>
      <c r="H2486" s="2"/>
      <c r="I2486" s="2"/>
      <c r="J2486" s="2"/>
    </row>
    <row r="2487">
      <c r="A2487" s="8" t="s">
        <v>2806</v>
      </c>
      <c r="B2487" s="8" t="s">
        <v>2806</v>
      </c>
      <c r="C2487" s="2" t="s">
        <v>2640</v>
      </c>
      <c r="D2487" s="2" t="s">
        <v>2641</v>
      </c>
      <c r="E2487" s="6">
        <v>46059.70042824074</v>
      </c>
      <c r="F2487" s="3" t="s">
        <v>2642</v>
      </c>
      <c r="G2487" s="2" t="s">
        <v>24</v>
      </c>
      <c r="H2487" s="2"/>
      <c r="I2487" s="2"/>
      <c r="J2487" s="2"/>
    </row>
    <row r="2488">
      <c r="A2488" s="8" t="s">
        <v>2807</v>
      </c>
      <c r="B2488" s="8" t="s">
        <v>2807</v>
      </c>
      <c r="C2488" s="2" t="s">
        <v>2005</v>
      </c>
      <c r="D2488" s="2" t="s">
        <v>2006</v>
      </c>
      <c r="E2488" s="6">
        <v>46060.59762731481</v>
      </c>
      <c r="F2488" s="3" t="s">
        <v>2007</v>
      </c>
      <c r="G2488" s="2" t="s">
        <v>24</v>
      </c>
      <c r="H2488" s="2"/>
      <c r="I2488" s="2"/>
      <c r="J2488" s="2"/>
    </row>
    <row r="2489">
      <c r="A2489" s="8" t="s">
        <v>2808</v>
      </c>
      <c r="B2489" s="8" t="s">
        <v>2808</v>
      </c>
      <c r="C2489" s="2" t="s">
        <v>2081</v>
      </c>
      <c r="D2489" s="2" t="s">
        <v>2082</v>
      </c>
      <c r="E2489" s="6">
        <v>46060.605844907404</v>
      </c>
      <c r="F2489" s="3" t="s">
        <v>2083</v>
      </c>
      <c r="G2489" s="2" t="s">
        <v>16</v>
      </c>
      <c r="H2489" s="2"/>
      <c r="I2489" s="2" t="s">
        <v>17</v>
      </c>
      <c r="J2489" s="2"/>
    </row>
    <row r="2490">
      <c r="A2490" s="8" t="s">
        <v>2809</v>
      </c>
      <c r="B2490" s="8" t="s">
        <v>2809</v>
      </c>
      <c r="C2490" s="2" t="s">
        <v>2081</v>
      </c>
      <c r="D2490" s="2" t="s">
        <v>2082</v>
      </c>
      <c r="E2490" s="6">
        <v>46062.34626157407</v>
      </c>
      <c r="F2490" s="3" t="s">
        <v>2083</v>
      </c>
      <c r="G2490" s="2" t="s">
        <v>24</v>
      </c>
      <c r="H2490" s="2"/>
      <c r="I2490" s="2"/>
      <c r="J2490" s="2"/>
      <c r="L2490" s="2" t="s">
        <v>2810</v>
      </c>
    </row>
    <row r="2491">
      <c r="A2491" s="8" t="s">
        <v>2811</v>
      </c>
      <c r="B2491" s="8" t="s">
        <v>2811</v>
      </c>
      <c r="C2491" s="2" t="s">
        <v>786</v>
      </c>
      <c r="D2491" s="2" t="s">
        <v>787</v>
      </c>
      <c r="E2491" s="6">
        <v>46062.35506944444</v>
      </c>
      <c r="F2491" s="3" t="s">
        <v>788</v>
      </c>
      <c r="G2491" s="2" t="s">
        <v>16</v>
      </c>
      <c r="H2491" s="2"/>
      <c r="I2491" s="2" t="s">
        <v>17</v>
      </c>
      <c r="J2491" s="2"/>
      <c r="L2491" s="2" t="s">
        <v>2810</v>
      </c>
    </row>
    <row r="2492">
      <c r="A2492" s="8" t="s">
        <v>2812</v>
      </c>
      <c r="B2492" s="8" t="s">
        <v>2812</v>
      </c>
      <c r="C2492" s="2" t="s">
        <v>1705</v>
      </c>
      <c r="D2492" s="2" t="s">
        <v>1706</v>
      </c>
      <c r="E2492" s="6">
        <v>46062.35724537037</v>
      </c>
      <c r="F2492" s="3" t="s">
        <v>1707</v>
      </c>
      <c r="G2492" s="2" t="s">
        <v>16</v>
      </c>
      <c r="H2492" s="2"/>
      <c r="I2492" s="2" t="s">
        <v>17</v>
      </c>
      <c r="J2492" s="2"/>
      <c r="L2492" s="2" t="s">
        <v>2810</v>
      </c>
    </row>
    <row r="2493">
      <c r="A2493" s="1"/>
      <c r="B2493" s="1"/>
      <c r="C2493" s="2"/>
      <c r="D2493" s="2"/>
      <c r="E2493" s="6"/>
      <c r="F2493" s="3"/>
      <c r="G2493" s="2"/>
      <c r="H2493" s="2"/>
      <c r="I2493" s="2"/>
      <c r="J2493" s="2"/>
      <c r="L2493" s="2"/>
    </row>
    <row r="2494">
      <c r="A2494" s="8" t="s">
        <v>2813</v>
      </c>
      <c r="B2494" s="8" t="s">
        <v>2813</v>
      </c>
      <c r="C2494" s="2" t="s">
        <v>2005</v>
      </c>
      <c r="D2494" s="2" t="s">
        <v>2006</v>
      </c>
      <c r="E2494" s="6">
        <v>46062.368472222224</v>
      </c>
      <c r="F2494" s="3" t="s">
        <v>2007</v>
      </c>
      <c r="G2494" s="2" t="s">
        <v>16</v>
      </c>
      <c r="H2494" s="2"/>
      <c r="I2494" s="2" t="s">
        <v>17</v>
      </c>
      <c r="J2494" s="2"/>
      <c r="L2494" s="2" t="s">
        <v>2814</v>
      </c>
    </row>
    <row r="2495">
      <c r="A2495" s="8" t="s">
        <v>2815</v>
      </c>
      <c r="B2495" s="8" t="s">
        <v>2815</v>
      </c>
      <c r="C2495" s="2" t="s">
        <v>1873</v>
      </c>
      <c r="D2495" s="2" t="s">
        <v>1874</v>
      </c>
      <c r="E2495" s="6">
        <v>46062.37032407407</v>
      </c>
      <c r="F2495" s="3" t="s">
        <v>1875</v>
      </c>
      <c r="G2495" s="2" t="s">
        <v>16</v>
      </c>
      <c r="H2495" s="2"/>
      <c r="I2495" s="2" t="s">
        <v>17</v>
      </c>
      <c r="J2495" s="2"/>
      <c r="L2495" s="2" t="s">
        <v>2810</v>
      </c>
    </row>
    <row r="2496">
      <c r="A2496" s="8" t="s">
        <v>2816</v>
      </c>
      <c r="B2496" s="8" t="s">
        <v>2816</v>
      </c>
      <c r="C2496" s="2" t="s">
        <v>786</v>
      </c>
      <c r="D2496" s="2" t="s">
        <v>787</v>
      </c>
      <c r="E2496" s="6">
        <v>46062.507199074076</v>
      </c>
      <c r="F2496" s="3" t="s">
        <v>788</v>
      </c>
      <c r="G2496" s="2" t="s">
        <v>24</v>
      </c>
      <c r="H2496" s="2"/>
      <c r="I2496" s="2"/>
      <c r="J2496" s="2"/>
      <c r="L2496" s="2" t="s">
        <v>2810</v>
      </c>
    </row>
    <row r="2497">
      <c r="A2497" s="8" t="s">
        <v>2817</v>
      </c>
      <c r="B2497" s="8" t="s">
        <v>2817</v>
      </c>
      <c r="C2497" s="2" t="s">
        <v>1838</v>
      </c>
      <c r="D2497" s="2" t="s">
        <v>1839</v>
      </c>
      <c r="E2497" s="6">
        <v>46062.510416666664</v>
      </c>
      <c r="F2497" s="3" t="s">
        <v>1840</v>
      </c>
      <c r="G2497" s="2" t="s">
        <v>24</v>
      </c>
      <c r="H2497" s="2"/>
      <c r="I2497" s="2"/>
      <c r="J2497" s="2"/>
      <c r="L2497" s="2" t="s">
        <v>2810</v>
      </c>
    </row>
    <row r="2498">
      <c r="A2498" s="8" t="s">
        <v>2818</v>
      </c>
      <c r="B2498" s="8" t="s">
        <v>2818</v>
      </c>
      <c r="C2498" s="2" t="s">
        <v>1705</v>
      </c>
      <c r="D2498" s="2" t="s">
        <v>1706</v>
      </c>
      <c r="E2498" s="6">
        <v>46062.51085648148</v>
      </c>
      <c r="F2498" s="3" t="s">
        <v>1707</v>
      </c>
      <c r="G2498" s="2" t="s">
        <v>24</v>
      </c>
      <c r="H2498" s="2"/>
      <c r="I2498" s="2"/>
      <c r="J2498" s="2"/>
      <c r="L2498" s="2" t="s">
        <v>2810</v>
      </c>
    </row>
    <row r="2499">
      <c r="A2499" s="8" t="s">
        <v>2819</v>
      </c>
      <c r="B2499" s="8" t="s">
        <v>2819</v>
      </c>
      <c r="C2499" s="2" t="s">
        <v>1873</v>
      </c>
      <c r="D2499" s="2" t="s">
        <v>1874</v>
      </c>
      <c r="E2499" s="6">
        <v>46062.511458333334</v>
      </c>
      <c r="F2499" s="3" t="s">
        <v>1875</v>
      </c>
      <c r="G2499" s="2" t="s">
        <v>24</v>
      </c>
      <c r="H2499" s="2"/>
      <c r="I2499" s="2"/>
      <c r="J2499" s="2"/>
      <c r="L2499" s="2" t="s">
        <v>2810</v>
      </c>
    </row>
    <row r="2500">
      <c r="A2500" s="8" t="s">
        <v>2820</v>
      </c>
      <c r="B2500" s="8" t="s">
        <v>2820</v>
      </c>
      <c r="C2500" s="2" t="s">
        <v>1975</v>
      </c>
      <c r="D2500" s="2" t="s">
        <v>1976</v>
      </c>
      <c r="E2500" s="6">
        <v>46062.58164351852</v>
      </c>
      <c r="F2500" s="3" t="s">
        <v>1977</v>
      </c>
      <c r="G2500" s="2" t="s">
        <v>16</v>
      </c>
      <c r="H2500" s="2"/>
      <c r="I2500" s="2" t="s">
        <v>17</v>
      </c>
      <c r="J2500" s="2"/>
      <c r="L2500" s="2" t="s">
        <v>2814</v>
      </c>
    </row>
    <row r="2501">
      <c r="A2501" s="8" t="s">
        <v>2821</v>
      </c>
      <c r="B2501" s="8" t="s">
        <v>2821</v>
      </c>
      <c r="C2501" s="2" t="s">
        <v>2728</v>
      </c>
      <c r="D2501" s="2" t="s">
        <v>2729</v>
      </c>
      <c r="E2501" s="6">
        <v>46062.659467592595</v>
      </c>
      <c r="F2501" s="3" t="s">
        <v>2730</v>
      </c>
      <c r="G2501" s="2" t="s">
        <v>16</v>
      </c>
      <c r="H2501" s="2"/>
      <c r="I2501" s="2" t="s">
        <v>17</v>
      </c>
      <c r="J2501" s="2"/>
      <c r="L2501" s="2" t="s">
        <v>2814</v>
      </c>
    </row>
    <row r="2502">
      <c r="A2502" s="8" t="s">
        <v>2822</v>
      </c>
      <c r="B2502" s="8" t="s">
        <v>2822</v>
      </c>
      <c r="C2502" s="2" t="s">
        <v>904</v>
      </c>
      <c r="D2502" s="2" t="s">
        <v>905</v>
      </c>
      <c r="E2502" s="6">
        <v>46063.34027777778</v>
      </c>
      <c r="F2502" s="3" t="s">
        <v>906</v>
      </c>
      <c r="G2502" s="2" t="s">
        <v>16</v>
      </c>
      <c r="H2502" s="2"/>
      <c r="I2502" s="2" t="s">
        <v>395</v>
      </c>
      <c r="J2502" s="2"/>
      <c r="L2502" s="2" t="s">
        <v>2814</v>
      </c>
    </row>
    <row r="2503">
      <c r="A2503" s="8" t="s">
        <v>2823</v>
      </c>
      <c r="B2503" s="8" t="s">
        <v>2823</v>
      </c>
      <c r="C2503" s="2" t="s">
        <v>2728</v>
      </c>
      <c r="D2503" s="2" t="s">
        <v>2729</v>
      </c>
      <c r="E2503" s="6">
        <v>46062.688993055555</v>
      </c>
      <c r="F2503" s="3" t="s">
        <v>2730</v>
      </c>
      <c r="G2503" s="2" t="s">
        <v>24</v>
      </c>
      <c r="H2503" s="2"/>
      <c r="I2503" s="2"/>
      <c r="J2503" s="2"/>
      <c r="L2503" s="2" t="s">
        <v>2810</v>
      </c>
    </row>
    <row r="2504">
      <c r="A2504" s="8" t="s">
        <v>2824</v>
      </c>
      <c r="B2504" s="8" t="s">
        <v>2824</v>
      </c>
      <c r="C2504" s="2" t="s">
        <v>320</v>
      </c>
      <c r="D2504" s="2" t="s">
        <v>321</v>
      </c>
      <c r="E2504" s="6">
        <v>46063.36376157407</v>
      </c>
      <c r="F2504" s="3" t="s">
        <v>322</v>
      </c>
      <c r="G2504" s="2" t="s">
        <v>16</v>
      </c>
      <c r="H2504" s="2"/>
      <c r="I2504" s="2" t="s">
        <v>17</v>
      </c>
      <c r="J2504" s="2"/>
      <c r="L2504" s="2" t="s">
        <v>2814</v>
      </c>
    </row>
    <row r="2505">
      <c r="A2505" s="8" t="s">
        <v>2825</v>
      </c>
      <c r="B2505" s="8" t="s">
        <v>2825</v>
      </c>
      <c r="C2505" s="2" t="s">
        <v>1203</v>
      </c>
      <c r="D2505" s="2" t="s">
        <v>1204</v>
      </c>
      <c r="E2505" s="6">
        <v>46063.390023148146</v>
      </c>
      <c r="F2505" s="3" t="s">
        <v>1205</v>
      </c>
      <c r="G2505" s="2" t="s">
        <v>16</v>
      </c>
      <c r="H2505" s="2"/>
      <c r="I2505" s="2" t="s">
        <v>17</v>
      </c>
      <c r="J2505" s="2"/>
      <c r="L2505" s="2" t="s">
        <v>2810</v>
      </c>
    </row>
    <row r="2506">
      <c r="A2506" s="1"/>
      <c r="B2506" s="1"/>
      <c r="C2506" s="2"/>
      <c r="D2506" s="2"/>
      <c r="E2506" s="6"/>
      <c r="F2506" s="3"/>
      <c r="G2506" s="2"/>
      <c r="H2506" s="2"/>
      <c r="I2506" s="2"/>
      <c r="J2506" s="2"/>
      <c r="L2506" s="2"/>
    </row>
    <row r="2507">
      <c r="A2507" s="8" t="s">
        <v>2826</v>
      </c>
      <c r="B2507" s="8" t="s">
        <v>2826</v>
      </c>
      <c r="C2507" s="2" t="s">
        <v>943</v>
      </c>
      <c r="D2507" s="2" t="s">
        <v>944</v>
      </c>
      <c r="E2507" s="6">
        <v>46063.419641203705</v>
      </c>
      <c r="F2507" s="3" t="s">
        <v>945</v>
      </c>
      <c r="G2507" s="2" t="s">
        <v>16</v>
      </c>
      <c r="H2507" s="2"/>
      <c r="I2507" s="2" t="s">
        <v>395</v>
      </c>
      <c r="J2507" s="2"/>
      <c r="L2507" s="2" t="s">
        <v>2814</v>
      </c>
    </row>
    <row r="2508">
      <c r="A2508" s="8" t="s">
        <v>2827</v>
      </c>
      <c r="B2508" s="8" t="s">
        <v>2827</v>
      </c>
      <c r="C2508" s="2" t="s">
        <v>2623</v>
      </c>
      <c r="D2508" s="2" t="s">
        <v>2624</v>
      </c>
      <c r="E2508" s="6">
        <v>46063.42853009259</v>
      </c>
      <c r="F2508" s="3" t="s">
        <v>2625</v>
      </c>
      <c r="G2508" s="2" t="s">
        <v>16</v>
      </c>
      <c r="H2508" s="2"/>
      <c r="I2508" s="2" t="s">
        <v>395</v>
      </c>
      <c r="J2508" s="2"/>
      <c r="L2508" s="2" t="s">
        <v>2814</v>
      </c>
    </row>
    <row r="2509">
      <c r="A2509" s="8" t="s">
        <v>2828</v>
      </c>
      <c r="B2509" s="8" t="s">
        <v>2828</v>
      </c>
      <c r="C2509" s="2" t="s">
        <v>1203</v>
      </c>
      <c r="D2509" s="2" t="s">
        <v>1204</v>
      </c>
      <c r="E2509" s="6">
        <v>46063.43548611111</v>
      </c>
      <c r="F2509" s="3" t="s">
        <v>1205</v>
      </c>
      <c r="G2509" s="2" t="s">
        <v>24</v>
      </c>
      <c r="H2509" s="2"/>
      <c r="I2509" s="2"/>
      <c r="J2509" s="2"/>
      <c r="L2509" s="2" t="s">
        <v>2810</v>
      </c>
    </row>
    <row r="2510">
      <c r="A2510" s="8" t="s">
        <v>2829</v>
      </c>
      <c r="B2510" s="8" t="s">
        <v>2829</v>
      </c>
      <c r="C2510" s="2" t="s">
        <v>1014</v>
      </c>
      <c r="D2510" s="2" t="s">
        <v>1015</v>
      </c>
      <c r="E2510" s="6">
        <v>46063.512604166666</v>
      </c>
      <c r="F2510" s="3" t="s">
        <v>1016</v>
      </c>
      <c r="G2510" s="2" t="s">
        <v>24</v>
      </c>
      <c r="H2510" s="2"/>
      <c r="I2510" s="2"/>
      <c r="J2510" s="2"/>
      <c r="L2510" s="2" t="s">
        <v>2810</v>
      </c>
    </row>
    <row r="2511">
      <c r="A2511" s="8" t="s">
        <v>2830</v>
      </c>
      <c r="B2511" s="8" t="s">
        <v>2830</v>
      </c>
      <c r="C2511" s="2" t="s">
        <v>786</v>
      </c>
      <c r="D2511" s="2" t="s">
        <v>787</v>
      </c>
      <c r="E2511" s="6">
        <v>46063.51770833333</v>
      </c>
      <c r="F2511" s="3" t="s">
        <v>788</v>
      </c>
      <c r="G2511" s="2" t="s">
        <v>24</v>
      </c>
      <c r="H2511" s="2"/>
      <c r="I2511" s="2"/>
      <c r="J2511" s="2"/>
      <c r="L2511" s="2" t="s">
        <v>2810</v>
      </c>
    </row>
    <row r="2512">
      <c r="A2512" s="8" t="s">
        <v>2831</v>
      </c>
      <c r="B2512" s="8" t="s">
        <v>2831</v>
      </c>
      <c r="C2512" s="2" t="s">
        <v>1975</v>
      </c>
      <c r="D2512" s="2" t="s">
        <v>1976</v>
      </c>
      <c r="E2512" s="6">
        <v>46063.51825231482</v>
      </c>
      <c r="F2512" s="3" t="s">
        <v>1977</v>
      </c>
      <c r="G2512" s="2" t="s">
        <v>24</v>
      </c>
      <c r="H2512" s="2"/>
      <c r="I2512" s="2"/>
      <c r="J2512" s="2"/>
      <c r="L2512" s="2" t="s">
        <v>2810</v>
      </c>
    </row>
    <row r="2513">
      <c r="A2513" s="8" t="s">
        <v>2832</v>
      </c>
      <c r="B2513" s="8" t="s">
        <v>2832</v>
      </c>
      <c r="C2513" s="2" t="s">
        <v>2640</v>
      </c>
      <c r="D2513" s="2" t="s">
        <v>2641</v>
      </c>
      <c r="E2513" s="6">
        <v>46063.520370370374</v>
      </c>
      <c r="F2513" s="3" t="s">
        <v>2642</v>
      </c>
      <c r="G2513" s="2" t="s">
        <v>16</v>
      </c>
      <c r="H2513" s="2"/>
      <c r="I2513" s="2" t="s">
        <v>17</v>
      </c>
      <c r="J2513" s="2"/>
      <c r="L2513" s="2" t="s">
        <v>2814</v>
      </c>
    </row>
    <row r="2514">
      <c r="A2514" s="8" t="s">
        <v>2833</v>
      </c>
      <c r="B2514" s="8" t="s">
        <v>2833</v>
      </c>
      <c r="C2514" s="2" t="s">
        <v>786</v>
      </c>
      <c r="D2514" s="2" t="s">
        <v>787</v>
      </c>
      <c r="E2514" s="6">
        <v>46063.52175925926</v>
      </c>
      <c r="F2514" s="3" t="s">
        <v>788</v>
      </c>
      <c r="G2514" s="2" t="s">
        <v>16</v>
      </c>
      <c r="H2514" s="2"/>
      <c r="I2514" s="2" t="s">
        <v>17</v>
      </c>
      <c r="J2514" s="2"/>
      <c r="L2514" s="2" t="s">
        <v>2814</v>
      </c>
    </row>
    <row r="2515">
      <c r="A2515" s="8" t="s">
        <v>2834</v>
      </c>
      <c r="B2515" s="8" t="s">
        <v>2834</v>
      </c>
      <c r="C2515" s="2" t="s">
        <v>2835</v>
      </c>
      <c r="D2515" s="2" t="s">
        <v>2836</v>
      </c>
      <c r="E2515" s="6">
        <v>46063.56616898148</v>
      </c>
      <c r="F2515" s="3" t="s">
        <v>2837</v>
      </c>
      <c r="G2515" s="2" t="s">
        <v>16</v>
      </c>
      <c r="H2515" s="2"/>
      <c r="I2515" s="2" t="s">
        <v>395</v>
      </c>
      <c r="J2515" s="2"/>
      <c r="L2515" s="2" t="s">
        <v>2814</v>
      </c>
    </row>
    <row r="2516">
      <c r="A2516" s="8" t="s">
        <v>2838</v>
      </c>
      <c r="B2516" s="8" t="s">
        <v>2838</v>
      </c>
      <c r="C2516" s="2" t="s">
        <v>1904</v>
      </c>
      <c r="D2516" s="2" t="s">
        <v>1905</v>
      </c>
      <c r="E2516" s="6">
        <v>46063.62480324074</v>
      </c>
      <c r="F2516" s="3" t="s">
        <v>1906</v>
      </c>
      <c r="G2516" s="2" t="s">
        <v>24</v>
      </c>
      <c r="H2516" s="2"/>
      <c r="I2516" s="2"/>
      <c r="J2516" s="2"/>
      <c r="L2516" s="2" t="s">
        <v>2810</v>
      </c>
    </row>
    <row r="2517">
      <c r="A2517" s="8" t="s">
        <v>2839</v>
      </c>
      <c r="B2517" s="8" t="s">
        <v>2839</v>
      </c>
      <c r="C2517" s="2" t="s">
        <v>2640</v>
      </c>
      <c r="D2517" s="2" t="s">
        <v>2641</v>
      </c>
      <c r="E2517" s="6">
        <v>46063.62613425926</v>
      </c>
      <c r="F2517" s="3" t="s">
        <v>2642</v>
      </c>
      <c r="G2517" s="2" t="s">
        <v>24</v>
      </c>
      <c r="H2517" s="2"/>
      <c r="I2517" s="2"/>
      <c r="J2517" s="2"/>
      <c r="L2517" s="2" t="s">
        <v>2810</v>
      </c>
    </row>
    <row r="2518">
      <c r="A2518" s="8" t="s">
        <v>2840</v>
      </c>
      <c r="B2518" s="8" t="s">
        <v>2840</v>
      </c>
      <c r="C2518" s="2" t="s">
        <v>320</v>
      </c>
      <c r="D2518" s="2" t="s">
        <v>321</v>
      </c>
      <c r="E2518" s="6">
        <v>46063.726273148146</v>
      </c>
      <c r="F2518" s="3" t="s">
        <v>322</v>
      </c>
      <c r="G2518" s="2" t="s">
        <v>24</v>
      </c>
      <c r="H2518" s="2"/>
      <c r="I2518" s="2"/>
      <c r="J2518" s="2"/>
      <c r="L2518" s="2" t="s">
        <v>2810</v>
      </c>
    </row>
    <row r="2519">
      <c r="A2519" s="8" t="s">
        <v>2841</v>
      </c>
      <c r="B2519" s="8" t="s">
        <v>2841</v>
      </c>
      <c r="C2519" s="2" t="s">
        <v>904</v>
      </c>
      <c r="D2519" s="2" t="s">
        <v>905</v>
      </c>
      <c r="E2519" s="6">
        <v>46063.726805555554</v>
      </c>
      <c r="F2519" s="3" t="s">
        <v>906</v>
      </c>
      <c r="G2519" s="2" t="s">
        <v>24</v>
      </c>
      <c r="H2519" s="2"/>
      <c r="I2519" s="2"/>
      <c r="J2519" s="2"/>
      <c r="L2519" s="2" t="s">
        <v>2810</v>
      </c>
    </row>
    <row r="2520">
      <c r="A2520" s="8" t="s">
        <v>2842</v>
      </c>
      <c r="B2520" s="8" t="s">
        <v>2842</v>
      </c>
      <c r="C2520" s="2" t="s">
        <v>326</v>
      </c>
      <c r="D2520" s="2" t="s">
        <v>327</v>
      </c>
      <c r="E2520" s="6">
        <v>46063.727106481485</v>
      </c>
      <c r="F2520" s="3" t="s">
        <v>328</v>
      </c>
      <c r="G2520" s="2" t="s">
        <v>24</v>
      </c>
      <c r="H2520" s="2"/>
      <c r="I2520" s="2"/>
      <c r="J2520" s="2"/>
      <c r="L2520" s="2" t="s">
        <v>2810</v>
      </c>
    </row>
    <row r="2521">
      <c r="A2521" s="8" t="s">
        <v>2843</v>
      </c>
      <c r="B2521" s="8" t="s">
        <v>2843</v>
      </c>
      <c r="C2521" s="2" t="s">
        <v>320</v>
      </c>
      <c r="D2521" s="2" t="s">
        <v>321</v>
      </c>
      <c r="E2521" s="6">
        <v>46064.359664351854</v>
      </c>
      <c r="F2521" s="3" t="s">
        <v>322</v>
      </c>
      <c r="G2521" s="2" t="s">
        <v>16</v>
      </c>
      <c r="H2521" s="2"/>
      <c r="I2521" s="2" t="s">
        <v>17</v>
      </c>
      <c r="J2521" s="2"/>
      <c r="L2521" s="2" t="s">
        <v>2814</v>
      </c>
    </row>
    <row r="2522">
      <c r="A2522" s="8" t="s">
        <v>2844</v>
      </c>
      <c r="B2522" s="8" t="s">
        <v>2844</v>
      </c>
      <c r="C2522" s="2" t="s">
        <v>320</v>
      </c>
      <c r="D2522" s="2" t="s">
        <v>321</v>
      </c>
      <c r="E2522" s="6">
        <v>46064.41303240741</v>
      </c>
      <c r="F2522" s="3" t="s">
        <v>322</v>
      </c>
      <c r="G2522" s="2" t="s">
        <v>24</v>
      </c>
      <c r="H2522" s="2"/>
      <c r="I2522" s="2"/>
      <c r="J2522" s="2"/>
      <c r="L2522" s="2" t="s">
        <v>2810</v>
      </c>
    </row>
    <row r="2523">
      <c r="A2523" s="8" t="s">
        <v>2845</v>
      </c>
      <c r="B2523" s="8" t="s">
        <v>2845</v>
      </c>
      <c r="C2523" s="2" t="s">
        <v>2131</v>
      </c>
      <c r="D2523" s="2" t="s">
        <v>2132</v>
      </c>
      <c r="E2523" s="6">
        <v>46064.4174537037</v>
      </c>
      <c r="F2523" s="3" t="s">
        <v>2133</v>
      </c>
      <c r="G2523" s="2" t="s">
        <v>16</v>
      </c>
      <c r="H2523" s="2"/>
      <c r="I2523" s="2" t="s">
        <v>17</v>
      </c>
      <c r="J2523" s="2"/>
      <c r="L2523" s="2" t="s">
        <v>2814</v>
      </c>
    </row>
    <row r="2524">
      <c r="A2524" s="8" t="s">
        <v>2846</v>
      </c>
      <c r="B2524" s="8" t="s">
        <v>2846</v>
      </c>
      <c r="C2524" s="2" t="s">
        <v>1873</v>
      </c>
      <c r="D2524" s="2" t="s">
        <v>1874</v>
      </c>
      <c r="E2524" s="6">
        <v>46064.533101851855</v>
      </c>
      <c r="F2524" s="3" t="s">
        <v>1875</v>
      </c>
      <c r="G2524" s="2" t="s">
        <v>16</v>
      </c>
      <c r="H2524" s="2"/>
      <c r="I2524" s="2" t="s">
        <v>395</v>
      </c>
      <c r="J2524" s="2"/>
      <c r="L2524" s="2" t="s">
        <v>2814</v>
      </c>
    </row>
    <row r="2525">
      <c r="A2525" s="8" t="s">
        <v>2847</v>
      </c>
      <c r="B2525" s="8" t="s">
        <v>2847</v>
      </c>
      <c r="C2525" s="2" t="s">
        <v>2270</v>
      </c>
      <c r="D2525" s="2" t="s">
        <v>2271</v>
      </c>
      <c r="E2525" s="6">
        <v>46064.53320601852</v>
      </c>
      <c r="F2525" s="3" t="s">
        <v>2272</v>
      </c>
      <c r="G2525" s="2" t="s">
        <v>16</v>
      </c>
      <c r="H2525" s="2"/>
      <c r="I2525" s="2" t="s">
        <v>395</v>
      </c>
      <c r="J2525" s="2"/>
      <c r="L2525" s="2" t="s">
        <v>2814</v>
      </c>
    </row>
    <row r="2526">
      <c r="A2526" s="8" t="s">
        <v>2848</v>
      </c>
      <c r="B2526" s="8" t="s">
        <v>2848</v>
      </c>
      <c r="C2526" s="2" t="s">
        <v>2266</v>
      </c>
      <c r="D2526" s="2" t="s">
        <v>2267</v>
      </c>
      <c r="E2526" s="6">
        <v>46064.57944444445</v>
      </c>
      <c r="F2526" s="3" t="s">
        <v>2268</v>
      </c>
      <c r="G2526" s="2" t="s">
        <v>16</v>
      </c>
      <c r="H2526" s="2"/>
      <c r="I2526" s="2" t="s">
        <v>17</v>
      </c>
      <c r="J2526" s="2"/>
      <c r="L2526" s="2" t="s">
        <v>2814</v>
      </c>
    </row>
    <row r="2527">
      <c r="A2527" s="8" t="s">
        <v>2849</v>
      </c>
      <c r="B2527" s="8" t="s">
        <v>2849</v>
      </c>
      <c r="C2527" s="2" t="s">
        <v>2081</v>
      </c>
      <c r="D2527" s="2" t="s">
        <v>2082</v>
      </c>
      <c r="E2527" s="6">
        <v>46064.581458333334</v>
      </c>
      <c r="F2527" s="3" t="s">
        <v>2083</v>
      </c>
      <c r="G2527" s="2" t="s">
        <v>16</v>
      </c>
      <c r="H2527" s="2"/>
      <c r="I2527" s="2" t="s">
        <v>17</v>
      </c>
      <c r="J2527" s="2"/>
      <c r="L2527" s="2" t="s">
        <v>2814</v>
      </c>
    </row>
    <row r="2528">
      <c r="A2528" s="8" t="s">
        <v>2850</v>
      </c>
      <c r="B2528" s="8" t="s">
        <v>2850</v>
      </c>
      <c r="C2528" s="2" t="s">
        <v>2266</v>
      </c>
      <c r="D2528" s="2" t="s">
        <v>2267</v>
      </c>
      <c r="E2528" s="6">
        <v>46065.35418981482</v>
      </c>
      <c r="F2528" s="3" t="s">
        <v>2268</v>
      </c>
      <c r="G2528" s="2" t="s">
        <v>24</v>
      </c>
      <c r="H2528" s="2"/>
      <c r="I2528" s="2"/>
      <c r="J2528" s="2"/>
      <c r="L2528" s="2" t="s">
        <v>2810</v>
      </c>
    </row>
    <row r="2529">
      <c r="A2529" s="8" t="s">
        <v>2851</v>
      </c>
      <c r="B2529" s="8" t="s">
        <v>2851</v>
      </c>
      <c r="C2529" s="2" t="s">
        <v>679</v>
      </c>
      <c r="D2529" s="2" t="s">
        <v>680</v>
      </c>
      <c r="E2529" s="6">
        <v>46065.357465277775</v>
      </c>
      <c r="F2529" s="3" t="s">
        <v>681</v>
      </c>
      <c r="G2529" s="2" t="s">
        <v>24</v>
      </c>
      <c r="H2529" s="2"/>
      <c r="I2529" s="2"/>
      <c r="J2529" s="2"/>
      <c r="L2529" s="2" t="s">
        <v>2810</v>
      </c>
    </row>
    <row r="2530">
      <c r="A2530" s="8" t="s">
        <v>2852</v>
      </c>
      <c r="B2530" s="8" t="s">
        <v>2852</v>
      </c>
      <c r="C2530" s="2" t="s">
        <v>1873</v>
      </c>
      <c r="D2530" s="2" t="s">
        <v>1874</v>
      </c>
      <c r="E2530" s="6">
        <v>46065.357986111114</v>
      </c>
      <c r="F2530" s="3" t="s">
        <v>1875</v>
      </c>
      <c r="G2530" s="2" t="s">
        <v>24</v>
      </c>
      <c r="H2530" s="2"/>
      <c r="I2530" s="2"/>
      <c r="J2530" s="2"/>
      <c r="L2530" s="2" t="s">
        <v>2810</v>
      </c>
    </row>
    <row r="2531">
      <c r="A2531" s="8" t="s">
        <v>2853</v>
      </c>
      <c r="B2531" s="8" t="s">
        <v>2853</v>
      </c>
      <c r="C2531" s="2" t="s">
        <v>2270</v>
      </c>
      <c r="D2531" s="2" t="s">
        <v>2271</v>
      </c>
      <c r="E2531" s="6">
        <v>46065.35990740741</v>
      </c>
      <c r="F2531" s="3" t="s">
        <v>2272</v>
      </c>
      <c r="G2531" s="2" t="s">
        <v>24</v>
      </c>
      <c r="H2531" s="2"/>
      <c r="I2531" s="2"/>
      <c r="J2531" s="2"/>
      <c r="L2531" s="2" t="s">
        <v>2810</v>
      </c>
    </row>
    <row r="2532">
      <c r="A2532" s="8" t="s">
        <v>2854</v>
      </c>
      <c r="B2532" s="8" t="s">
        <v>2854</v>
      </c>
      <c r="C2532" s="2" t="s">
        <v>2081</v>
      </c>
      <c r="D2532" s="2" t="s">
        <v>2082</v>
      </c>
      <c r="E2532" s="6">
        <v>46065.36027777778</v>
      </c>
      <c r="F2532" s="3" t="s">
        <v>2083</v>
      </c>
      <c r="G2532" s="2" t="s">
        <v>24</v>
      </c>
      <c r="H2532" s="2"/>
      <c r="I2532" s="2"/>
      <c r="J2532" s="2"/>
      <c r="L2532" s="2" t="s">
        <v>2810</v>
      </c>
    </row>
    <row r="2533">
      <c r="A2533" s="8" t="s">
        <v>2855</v>
      </c>
      <c r="B2533" s="8" t="s">
        <v>2855</v>
      </c>
      <c r="C2533" s="2" t="s">
        <v>2640</v>
      </c>
      <c r="D2533" s="2" t="s">
        <v>2641</v>
      </c>
      <c r="E2533" s="6">
        <v>46065.38045138889</v>
      </c>
      <c r="F2533" s="3" t="s">
        <v>2642</v>
      </c>
      <c r="G2533" s="2" t="s">
        <v>16</v>
      </c>
      <c r="H2533" s="2"/>
      <c r="I2533" s="2" t="s">
        <v>17</v>
      </c>
      <c r="J2533" s="2"/>
      <c r="L2533" s="2" t="s">
        <v>2814</v>
      </c>
    </row>
    <row r="2534">
      <c r="A2534" s="1"/>
      <c r="B2534" s="1"/>
      <c r="C2534" s="2"/>
      <c r="D2534" s="2"/>
      <c r="E2534" s="6"/>
      <c r="F2534" s="3"/>
      <c r="G2534" s="2"/>
      <c r="H2534" s="2"/>
      <c r="I2534" s="2"/>
      <c r="J2534" s="2"/>
      <c r="L2534" s="2"/>
    </row>
    <row r="2535">
      <c r="A2535" s="8" t="s">
        <v>2856</v>
      </c>
      <c r="B2535" s="8" t="s">
        <v>2856</v>
      </c>
      <c r="C2535" s="2" t="s">
        <v>786</v>
      </c>
      <c r="D2535" s="2" t="s">
        <v>787</v>
      </c>
      <c r="E2535" s="6">
        <v>46065.434525462966</v>
      </c>
      <c r="F2535" s="3" t="s">
        <v>788</v>
      </c>
      <c r="G2535" s="2" t="s">
        <v>16</v>
      </c>
      <c r="H2535" s="2"/>
      <c r="I2535" s="2" t="s">
        <v>17</v>
      </c>
      <c r="J2535" s="2"/>
      <c r="L2535" s="2" t="s">
        <v>2814</v>
      </c>
    </row>
    <row r="2536">
      <c r="A2536" s="8" t="s">
        <v>2857</v>
      </c>
      <c r="B2536" s="8" t="s">
        <v>2857</v>
      </c>
      <c r="C2536" s="2" t="s">
        <v>1613</v>
      </c>
      <c r="D2536" s="2" t="s">
        <v>1614</v>
      </c>
      <c r="E2536" s="6">
        <v>46065.47414351852</v>
      </c>
      <c r="F2536" s="3" t="s">
        <v>1615</v>
      </c>
      <c r="G2536" s="2" t="s">
        <v>16</v>
      </c>
      <c r="H2536" s="2"/>
      <c r="I2536" s="2" t="s">
        <v>395</v>
      </c>
      <c r="J2536" s="2"/>
      <c r="L2536" s="2" t="s">
        <v>2814</v>
      </c>
    </row>
    <row r="2537">
      <c r="A2537" s="8" t="s">
        <v>2858</v>
      </c>
      <c r="B2537" s="8" t="s">
        <v>2858</v>
      </c>
      <c r="C2537" s="2" t="s">
        <v>951</v>
      </c>
      <c r="D2537" s="2" t="s">
        <v>952</v>
      </c>
      <c r="E2537" s="6">
        <v>46065.60965277778</v>
      </c>
      <c r="F2537" s="3" t="s">
        <v>953</v>
      </c>
      <c r="G2537" s="2" t="s">
        <v>16</v>
      </c>
      <c r="H2537" s="2"/>
      <c r="I2537" s="2" t="s">
        <v>17</v>
      </c>
      <c r="J2537" s="2"/>
      <c r="L2537" s="2" t="s">
        <v>2814</v>
      </c>
    </row>
    <row r="2538">
      <c r="A2538" s="8" t="s">
        <v>2859</v>
      </c>
      <c r="B2538" s="8" t="s">
        <v>2859</v>
      </c>
      <c r="C2538" s="2" t="s">
        <v>1613</v>
      </c>
      <c r="D2538" s="2" t="s">
        <v>1614</v>
      </c>
      <c r="E2538" s="6">
        <v>46065.70508101852</v>
      </c>
      <c r="F2538" s="3" t="s">
        <v>1615</v>
      </c>
      <c r="G2538" s="2" t="s">
        <v>24</v>
      </c>
      <c r="H2538" s="2"/>
      <c r="I2538" s="2"/>
      <c r="J2538" s="2"/>
      <c r="L2538" s="2" t="s">
        <v>2810</v>
      </c>
    </row>
    <row r="2539">
      <c r="A2539" s="8" t="s">
        <v>2860</v>
      </c>
      <c r="B2539" s="8" t="s">
        <v>2860</v>
      </c>
      <c r="C2539" s="2" t="s">
        <v>951</v>
      </c>
      <c r="D2539" s="2" t="s">
        <v>952</v>
      </c>
      <c r="E2539" s="6">
        <v>46065.70569444444</v>
      </c>
      <c r="F2539" s="3" t="s">
        <v>953</v>
      </c>
      <c r="G2539" s="2" t="s">
        <v>24</v>
      </c>
      <c r="H2539" s="2"/>
      <c r="I2539" s="2"/>
      <c r="J2539" s="2"/>
      <c r="L2539" s="2" t="s">
        <v>2810</v>
      </c>
    </row>
    <row r="2540">
      <c r="A2540" s="8" t="s">
        <v>2861</v>
      </c>
      <c r="B2540" s="8" t="s">
        <v>2861</v>
      </c>
      <c r="C2540" s="2" t="s">
        <v>1993</v>
      </c>
      <c r="D2540" s="2" t="s">
        <v>1994</v>
      </c>
      <c r="E2540" s="6">
        <v>46065.71207175926</v>
      </c>
      <c r="F2540" s="3" t="s">
        <v>1995</v>
      </c>
      <c r="G2540" s="2" t="s">
        <v>24</v>
      </c>
      <c r="H2540" s="2"/>
      <c r="I2540" s="2"/>
      <c r="J2540" s="2"/>
      <c r="L2540" s="2" t="s">
        <v>2810</v>
      </c>
    </row>
    <row r="2541">
      <c r="A2541" s="8" t="s">
        <v>2862</v>
      </c>
      <c r="B2541" s="8" t="s">
        <v>2862</v>
      </c>
      <c r="C2541" s="2" t="s">
        <v>2640</v>
      </c>
      <c r="D2541" s="2" t="s">
        <v>2641</v>
      </c>
      <c r="E2541" s="6">
        <v>46065.71296296296</v>
      </c>
      <c r="F2541" s="3" t="s">
        <v>2642</v>
      </c>
      <c r="G2541" s="2" t="s">
        <v>24</v>
      </c>
      <c r="H2541" s="2"/>
      <c r="I2541" s="2"/>
      <c r="J2541" s="2"/>
      <c r="L2541" s="2" t="s">
        <v>2810</v>
      </c>
    </row>
    <row r="2542">
      <c r="A2542" s="8" t="s">
        <v>2863</v>
      </c>
      <c r="B2542" s="8" t="s">
        <v>2863</v>
      </c>
      <c r="C2542" s="2" t="s">
        <v>786</v>
      </c>
      <c r="D2542" s="2" t="s">
        <v>787</v>
      </c>
      <c r="E2542" s="6">
        <v>46065.713587962964</v>
      </c>
      <c r="F2542" s="3" t="s">
        <v>788</v>
      </c>
      <c r="G2542" s="2" t="s">
        <v>24</v>
      </c>
      <c r="H2542" s="2"/>
      <c r="I2542" s="2"/>
      <c r="J2542" s="2"/>
      <c r="L2542" s="2" t="s">
        <v>2810</v>
      </c>
    </row>
    <row r="2543">
      <c r="A2543" s="8" t="s">
        <v>2864</v>
      </c>
      <c r="B2543" s="8" t="s">
        <v>2864</v>
      </c>
      <c r="C2543" s="2" t="s">
        <v>1873</v>
      </c>
      <c r="D2543" s="2" t="s">
        <v>1874</v>
      </c>
      <c r="E2543" s="6">
        <v>46066.35686342593</v>
      </c>
      <c r="F2543" s="3" t="s">
        <v>1875</v>
      </c>
      <c r="G2543" s="2" t="s">
        <v>16</v>
      </c>
      <c r="H2543" s="2"/>
      <c r="I2543" s="2" t="s">
        <v>395</v>
      </c>
      <c r="J2543" s="2"/>
      <c r="L2543" s="2" t="s">
        <v>2814</v>
      </c>
    </row>
    <row r="2544">
      <c r="A2544" s="8" t="s">
        <v>2865</v>
      </c>
      <c r="B2544" s="8" t="s">
        <v>2865</v>
      </c>
      <c r="C2544" s="2" t="s">
        <v>951</v>
      </c>
      <c r="D2544" s="2" t="s">
        <v>952</v>
      </c>
      <c r="E2544" s="6">
        <v>46066.35747685185</v>
      </c>
      <c r="F2544" s="3" t="s">
        <v>953</v>
      </c>
      <c r="G2544" s="2" t="s">
        <v>16</v>
      </c>
      <c r="H2544" s="2"/>
      <c r="I2544" s="2" t="s">
        <v>17</v>
      </c>
      <c r="J2544" s="2"/>
      <c r="L2544" s="2" t="s">
        <v>2814</v>
      </c>
    </row>
    <row r="2545">
      <c r="A2545" s="8" t="s">
        <v>2866</v>
      </c>
      <c r="B2545" s="8" t="s">
        <v>2866</v>
      </c>
      <c r="C2545" s="2" t="s">
        <v>49</v>
      </c>
      <c r="D2545" s="2" t="s">
        <v>50</v>
      </c>
      <c r="E2545" s="6">
        <v>46066.39770833333</v>
      </c>
      <c r="F2545" s="3" t="s">
        <v>51</v>
      </c>
      <c r="G2545" s="2" t="s">
        <v>16</v>
      </c>
      <c r="H2545" s="2"/>
      <c r="I2545" s="2" t="s">
        <v>395</v>
      </c>
      <c r="J2545" s="2"/>
      <c r="L2545" s="2" t="s">
        <v>2814</v>
      </c>
    </row>
    <row r="2546">
      <c r="A2546" s="8" t="s">
        <v>2867</v>
      </c>
      <c r="B2546" s="8" t="s">
        <v>2867</v>
      </c>
      <c r="C2546" s="2" t="s">
        <v>1993</v>
      </c>
      <c r="D2546" s="2" t="s">
        <v>1994</v>
      </c>
      <c r="E2546" s="6">
        <v>46066.397893518515</v>
      </c>
      <c r="F2546" s="3" t="s">
        <v>1995</v>
      </c>
      <c r="G2546" s="2" t="s">
        <v>16</v>
      </c>
      <c r="H2546" s="2"/>
      <c r="I2546" s="2" t="s">
        <v>17</v>
      </c>
      <c r="J2546" s="2"/>
      <c r="L2546" s="2" t="s">
        <v>2814</v>
      </c>
    </row>
    <row r="2547">
      <c r="A2547" s="8" t="s">
        <v>2868</v>
      </c>
      <c r="B2547" s="8" t="s">
        <v>2868</v>
      </c>
      <c r="C2547" s="2" t="s">
        <v>309</v>
      </c>
      <c r="D2547" s="2" t="s">
        <v>310</v>
      </c>
      <c r="E2547" s="6">
        <v>46066.405497685184</v>
      </c>
      <c r="F2547" s="3" t="s">
        <v>311</v>
      </c>
      <c r="G2547" s="2" t="s">
        <v>16</v>
      </c>
      <c r="H2547" s="2"/>
      <c r="I2547" s="2" t="s">
        <v>395</v>
      </c>
      <c r="J2547" s="2"/>
      <c r="L2547" s="2" t="s">
        <v>2810</v>
      </c>
    </row>
    <row r="2548">
      <c r="A2548" s="8" t="s">
        <v>2869</v>
      </c>
      <c r="B2548" s="8" t="s">
        <v>2869</v>
      </c>
      <c r="C2548" s="2" t="s">
        <v>1873</v>
      </c>
      <c r="D2548" s="2" t="s">
        <v>1874</v>
      </c>
      <c r="E2548" s="6">
        <v>46066.43284722222</v>
      </c>
      <c r="F2548" s="3" t="s">
        <v>1875</v>
      </c>
      <c r="G2548" s="2" t="s">
        <v>16</v>
      </c>
      <c r="H2548" s="2"/>
      <c r="I2548" s="2" t="s">
        <v>395</v>
      </c>
      <c r="J2548" s="2"/>
      <c r="L2548" s="2" t="s">
        <v>2814</v>
      </c>
    </row>
    <row r="2549">
      <c r="A2549" s="8" t="s">
        <v>2870</v>
      </c>
      <c r="B2549" s="8" t="s">
        <v>2870</v>
      </c>
      <c r="C2549" s="2" t="s">
        <v>131</v>
      </c>
      <c r="D2549" s="2" t="s">
        <v>132</v>
      </c>
      <c r="E2549" s="6">
        <v>46066.436886574076</v>
      </c>
      <c r="F2549" s="3" t="s">
        <v>133</v>
      </c>
      <c r="G2549" s="2" t="s">
        <v>16</v>
      </c>
      <c r="H2549" s="2"/>
      <c r="I2549" s="2" t="s">
        <v>17</v>
      </c>
      <c r="J2549" s="2"/>
      <c r="L2549" s="2" t="s">
        <v>2814</v>
      </c>
    </row>
    <row r="2550">
      <c r="A2550" s="8" t="s">
        <v>2871</v>
      </c>
      <c r="B2550" s="8" t="s">
        <v>2871</v>
      </c>
      <c r="C2550" s="2" t="s">
        <v>1756</v>
      </c>
      <c r="D2550" s="2" t="s">
        <v>1757</v>
      </c>
      <c r="E2550" s="6">
        <v>46066.447800925926</v>
      </c>
      <c r="F2550" s="3" t="s">
        <v>1758</v>
      </c>
      <c r="G2550" s="2" t="s">
        <v>16</v>
      </c>
      <c r="H2550" s="2"/>
      <c r="I2550" s="2" t="s">
        <v>17</v>
      </c>
      <c r="J2550" s="2"/>
      <c r="L2550" s="2" t="s">
        <v>2814</v>
      </c>
    </row>
    <row r="2551">
      <c r="A2551" s="8" t="s">
        <v>2872</v>
      </c>
      <c r="B2551" s="8" t="s">
        <v>2872</v>
      </c>
      <c r="C2551" s="2" t="s">
        <v>2640</v>
      </c>
      <c r="D2551" s="2" t="s">
        <v>2641</v>
      </c>
      <c r="E2551" s="6">
        <v>46066.52788194444</v>
      </c>
      <c r="F2551" s="3" t="s">
        <v>2642</v>
      </c>
      <c r="G2551" s="2" t="s">
        <v>16</v>
      </c>
      <c r="H2551" s="2"/>
      <c r="I2551" s="2" t="s">
        <v>17</v>
      </c>
      <c r="J2551" s="2"/>
      <c r="L2551" s="2" t="s">
        <v>2810</v>
      </c>
    </row>
    <row r="2552">
      <c r="A2552" s="8" t="s">
        <v>2873</v>
      </c>
      <c r="B2552" s="8" t="s">
        <v>2873</v>
      </c>
      <c r="C2552" s="2" t="s">
        <v>2543</v>
      </c>
      <c r="D2552" s="2" t="s">
        <v>2544</v>
      </c>
      <c r="E2552" s="6">
        <v>46066.56592592593</v>
      </c>
      <c r="F2552" s="3" t="s">
        <v>2545</v>
      </c>
      <c r="G2552" s="2" t="s">
        <v>16</v>
      </c>
      <c r="H2552" s="2"/>
      <c r="I2552" s="2" t="s">
        <v>17</v>
      </c>
      <c r="J2552" s="2"/>
      <c r="L2552" s="2" t="s">
        <v>2814</v>
      </c>
    </row>
    <row r="2553">
      <c r="A2553" s="8" t="s">
        <v>2874</v>
      </c>
      <c r="B2553" s="8" t="s">
        <v>2874</v>
      </c>
      <c r="C2553" s="2" t="s">
        <v>1228</v>
      </c>
      <c r="D2553" s="2" t="s">
        <v>1229</v>
      </c>
      <c r="E2553" s="6">
        <v>46066.586018518516</v>
      </c>
      <c r="F2553" s="3" t="s">
        <v>1230</v>
      </c>
      <c r="G2553" s="2" t="s">
        <v>24</v>
      </c>
      <c r="H2553" s="2"/>
      <c r="I2553" s="2"/>
      <c r="J2553" s="2"/>
      <c r="L2553" s="2" t="s">
        <v>2810</v>
      </c>
    </row>
    <row r="2554">
      <c r="A2554" s="8" t="s">
        <v>2875</v>
      </c>
      <c r="B2554" s="8" t="s">
        <v>2875</v>
      </c>
      <c r="C2554" s="2" t="s">
        <v>309</v>
      </c>
      <c r="D2554" s="2" t="s">
        <v>310</v>
      </c>
      <c r="E2554" s="6">
        <v>46066.58856481482</v>
      </c>
      <c r="F2554" s="3" t="s">
        <v>311</v>
      </c>
      <c r="G2554" s="2" t="s">
        <v>24</v>
      </c>
      <c r="H2554" s="2"/>
      <c r="I2554" s="2"/>
      <c r="J2554" s="2"/>
      <c r="L2554" s="2" t="s">
        <v>2810</v>
      </c>
    </row>
    <row r="2555">
      <c r="A2555" s="8" t="s">
        <v>2876</v>
      </c>
      <c r="B2555" s="8" t="s">
        <v>2876</v>
      </c>
      <c r="C2555" s="2" t="s">
        <v>213</v>
      </c>
      <c r="D2555" s="2" t="s">
        <v>214</v>
      </c>
      <c r="E2555" s="6">
        <v>46066.59055555556</v>
      </c>
      <c r="F2555" s="3" t="s">
        <v>215</v>
      </c>
      <c r="G2555" s="2" t="s">
        <v>24</v>
      </c>
      <c r="H2555" s="2"/>
      <c r="I2555" s="2"/>
      <c r="J2555" s="2"/>
      <c r="L2555" s="2" t="s">
        <v>2810</v>
      </c>
    </row>
    <row r="2556">
      <c r="A2556" s="8" t="s">
        <v>2877</v>
      </c>
      <c r="B2556" s="8" t="s">
        <v>2877</v>
      </c>
      <c r="C2556" s="2" t="s">
        <v>1873</v>
      </c>
      <c r="D2556" s="2" t="s">
        <v>1874</v>
      </c>
      <c r="E2556" s="6">
        <v>46066.592511574076</v>
      </c>
      <c r="F2556" s="3" t="s">
        <v>1875</v>
      </c>
      <c r="G2556" s="2" t="s">
        <v>24</v>
      </c>
      <c r="H2556" s="2"/>
      <c r="I2556" s="2"/>
      <c r="J2556" s="2"/>
      <c r="L2556" s="2" t="s">
        <v>2810</v>
      </c>
    </row>
    <row r="2557">
      <c r="A2557" s="8" t="s">
        <v>2878</v>
      </c>
      <c r="B2557" s="8" t="s">
        <v>2878</v>
      </c>
      <c r="C2557" s="2" t="s">
        <v>49</v>
      </c>
      <c r="D2557" s="2" t="s">
        <v>50</v>
      </c>
      <c r="E2557" s="6">
        <v>46066.593043981484</v>
      </c>
      <c r="F2557" s="3" t="s">
        <v>51</v>
      </c>
      <c r="G2557" s="2" t="s">
        <v>24</v>
      </c>
      <c r="H2557" s="2"/>
      <c r="I2557" s="2"/>
      <c r="J2557" s="2"/>
      <c r="L2557" s="2" t="s">
        <v>2810</v>
      </c>
    </row>
    <row r="2558">
      <c r="A2558" s="8" t="s">
        <v>2879</v>
      </c>
      <c r="B2558" s="8" t="s">
        <v>2879</v>
      </c>
      <c r="C2558" s="2" t="s">
        <v>131</v>
      </c>
      <c r="D2558" s="2" t="s">
        <v>132</v>
      </c>
      <c r="E2558" s="6">
        <v>46066.59354166667</v>
      </c>
      <c r="F2558" s="3" t="s">
        <v>133</v>
      </c>
      <c r="G2558" s="2" t="s">
        <v>24</v>
      </c>
      <c r="H2558" s="2"/>
      <c r="I2558" s="2"/>
      <c r="J2558" s="2"/>
      <c r="L2558" s="2" t="s">
        <v>2810</v>
      </c>
    </row>
    <row r="2559">
      <c r="A2559" s="8" t="s">
        <v>2880</v>
      </c>
      <c r="B2559" s="8" t="s">
        <v>2880</v>
      </c>
      <c r="C2559" s="2" t="s">
        <v>1084</v>
      </c>
      <c r="D2559" s="2" t="s">
        <v>1085</v>
      </c>
      <c r="E2559" s="6">
        <v>46066.619375</v>
      </c>
      <c r="F2559" s="3" t="s">
        <v>1086</v>
      </c>
      <c r="G2559" s="2" t="s">
        <v>16</v>
      </c>
      <c r="H2559" s="2"/>
      <c r="I2559" s="2" t="s">
        <v>17</v>
      </c>
      <c r="J2559" s="2"/>
      <c r="L2559" s="2" t="s">
        <v>2814</v>
      </c>
    </row>
    <row r="2560">
      <c r="A2560" s="8" t="s">
        <v>2881</v>
      </c>
      <c r="B2560" s="8" t="s">
        <v>2881</v>
      </c>
      <c r="C2560" s="2" t="s">
        <v>1587</v>
      </c>
      <c r="D2560" s="2" t="s">
        <v>1588</v>
      </c>
      <c r="E2560" s="6">
        <v>46066.657847222225</v>
      </c>
      <c r="F2560" s="3" t="s">
        <v>1589</v>
      </c>
      <c r="G2560" s="2" t="s">
        <v>16</v>
      </c>
      <c r="H2560" s="2"/>
      <c r="I2560" s="2" t="s">
        <v>17</v>
      </c>
      <c r="J2560" s="2"/>
      <c r="L2560" s="2" t="s">
        <v>2810</v>
      </c>
    </row>
    <row r="2561">
      <c r="A2561" s="8" t="s">
        <v>2882</v>
      </c>
      <c r="B2561" s="8" t="s">
        <v>2882</v>
      </c>
      <c r="C2561" s="2" t="s">
        <v>2728</v>
      </c>
      <c r="D2561" s="2" t="s">
        <v>2729</v>
      </c>
      <c r="E2561" s="6">
        <v>46066.68697916667</v>
      </c>
      <c r="F2561" s="3" t="s">
        <v>2730</v>
      </c>
      <c r="G2561" s="2" t="s">
        <v>16</v>
      </c>
      <c r="H2561" s="2"/>
      <c r="I2561" s="2" t="s">
        <v>17</v>
      </c>
      <c r="J2561" s="2"/>
      <c r="L2561" s="2" t="s">
        <v>2814</v>
      </c>
    </row>
    <row r="2562">
      <c r="A2562" s="8" t="s">
        <v>2883</v>
      </c>
      <c r="B2562" s="8" t="s">
        <v>2883</v>
      </c>
      <c r="C2562" s="2" t="s">
        <v>1084</v>
      </c>
      <c r="D2562" s="2" t="s">
        <v>1085</v>
      </c>
      <c r="E2562" s="6">
        <v>46066.70428240741</v>
      </c>
      <c r="F2562" s="3" t="s">
        <v>1086</v>
      </c>
      <c r="G2562" s="2" t="s">
        <v>24</v>
      </c>
      <c r="H2562" s="2"/>
      <c r="I2562" s="2"/>
      <c r="J2562" s="2"/>
      <c r="L2562" s="2" t="s">
        <v>2810</v>
      </c>
    </row>
    <row r="2563">
      <c r="A2563" s="8" t="s">
        <v>2884</v>
      </c>
      <c r="B2563" s="8" t="s">
        <v>2884</v>
      </c>
      <c r="C2563" s="2" t="s">
        <v>1993</v>
      </c>
      <c r="D2563" s="2" t="s">
        <v>1994</v>
      </c>
      <c r="E2563" s="6">
        <v>46066.70476851852</v>
      </c>
      <c r="F2563" s="3" t="s">
        <v>1995</v>
      </c>
      <c r="G2563" s="2" t="s">
        <v>24</v>
      </c>
      <c r="H2563" s="2"/>
      <c r="I2563" s="2"/>
      <c r="J2563" s="2"/>
      <c r="L2563" s="2" t="s">
        <v>2810</v>
      </c>
    </row>
    <row r="2564">
      <c r="A2564" s="8" t="s">
        <v>2885</v>
      </c>
      <c r="B2564" s="8" t="s">
        <v>2885</v>
      </c>
      <c r="C2564" s="2" t="s">
        <v>2728</v>
      </c>
      <c r="D2564" s="2" t="s">
        <v>2729</v>
      </c>
      <c r="E2564" s="6">
        <v>46066.715995370374</v>
      </c>
      <c r="F2564" s="3" t="s">
        <v>2730</v>
      </c>
      <c r="G2564" s="2" t="s">
        <v>24</v>
      </c>
      <c r="H2564" s="2"/>
      <c r="I2564" s="2"/>
      <c r="J2564" s="2"/>
      <c r="L2564" s="2" t="s">
        <v>2810</v>
      </c>
    </row>
    <row r="2565">
      <c r="A2565" s="8" t="s">
        <v>2886</v>
      </c>
      <c r="B2565" s="8" t="s">
        <v>2886</v>
      </c>
      <c r="C2565" s="2" t="s">
        <v>1756</v>
      </c>
      <c r="D2565" s="2" t="s">
        <v>1757</v>
      </c>
      <c r="E2565" s="6">
        <v>46066.735659722224</v>
      </c>
      <c r="F2565" s="3" t="s">
        <v>1758</v>
      </c>
      <c r="G2565" s="2" t="s">
        <v>24</v>
      </c>
      <c r="H2565" s="2"/>
      <c r="I2565" s="2"/>
      <c r="J2565" s="2"/>
      <c r="L2565" s="2" t="s">
        <v>2810</v>
      </c>
    </row>
    <row r="2566">
      <c r="A2566" s="8" t="s">
        <v>2887</v>
      </c>
      <c r="B2566" s="8" t="s">
        <v>2887</v>
      </c>
      <c r="C2566" s="2" t="s">
        <v>1975</v>
      </c>
      <c r="D2566" s="2" t="s">
        <v>1976</v>
      </c>
      <c r="E2566" s="6">
        <v>46067.35681712963</v>
      </c>
      <c r="F2566" s="3" t="s">
        <v>1977</v>
      </c>
      <c r="G2566" s="2" t="s">
        <v>16</v>
      </c>
      <c r="H2566" s="2"/>
      <c r="I2566" s="2" t="s">
        <v>395</v>
      </c>
      <c r="J2566" s="2"/>
      <c r="L2566" s="2" t="s">
        <v>2814</v>
      </c>
    </row>
    <row r="2567">
      <c r="A2567" s="8" t="s">
        <v>2888</v>
      </c>
      <c r="B2567" s="8" t="s">
        <v>2888</v>
      </c>
      <c r="C2567" s="2" t="s">
        <v>309</v>
      </c>
      <c r="D2567" s="2" t="s">
        <v>310</v>
      </c>
      <c r="E2567" s="6">
        <v>46067.365532407406</v>
      </c>
      <c r="F2567" s="3" t="s">
        <v>311</v>
      </c>
      <c r="G2567" s="2" t="s">
        <v>16</v>
      </c>
      <c r="H2567" s="2"/>
      <c r="I2567" s="2" t="s">
        <v>395</v>
      </c>
      <c r="J2567" s="2"/>
      <c r="L2567" s="2" t="s">
        <v>2810</v>
      </c>
    </row>
    <row r="2568">
      <c r="A2568" s="8" t="s">
        <v>2889</v>
      </c>
      <c r="B2568" s="8" t="s">
        <v>2889</v>
      </c>
      <c r="C2568" s="2" t="s">
        <v>2503</v>
      </c>
      <c r="D2568" s="2" t="s">
        <v>2504</v>
      </c>
      <c r="E2568" s="6">
        <v>46067.36662037037</v>
      </c>
      <c r="F2568" s="3" t="s">
        <v>2505</v>
      </c>
      <c r="G2568" s="2" t="s">
        <v>16</v>
      </c>
      <c r="H2568" s="2"/>
      <c r="I2568" s="2" t="s">
        <v>395</v>
      </c>
      <c r="J2568" s="2"/>
      <c r="L2568" s="2" t="s">
        <v>2814</v>
      </c>
    </row>
    <row r="2569">
      <c r="A2569" s="8" t="s">
        <v>2890</v>
      </c>
      <c r="B2569" s="8" t="s">
        <v>2890</v>
      </c>
      <c r="C2569" s="2" t="s">
        <v>1993</v>
      </c>
      <c r="D2569" s="2" t="s">
        <v>1994</v>
      </c>
      <c r="E2569" s="6">
        <v>46067.38037037037</v>
      </c>
      <c r="F2569" s="3" t="s">
        <v>1995</v>
      </c>
      <c r="G2569" s="2" t="s">
        <v>16</v>
      </c>
      <c r="H2569" s="2"/>
      <c r="I2569" s="2" t="s">
        <v>17</v>
      </c>
      <c r="J2569" s="2"/>
      <c r="L2569" s="2" t="s">
        <v>2810</v>
      </c>
    </row>
    <row r="2570">
      <c r="A2570" s="8" t="s">
        <v>2891</v>
      </c>
      <c r="B2570" s="8" t="s">
        <v>2891</v>
      </c>
      <c r="C2570" s="2" t="s">
        <v>2623</v>
      </c>
      <c r="D2570" s="2" t="s">
        <v>2892</v>
      </c>
      <c r="E2570" s="6">
        <v>46067.41357638889</v>
      </c>
      <c r="F2570" s="3" t="s">
        <v>2625</v>
      </c>
      <c r="G2570" s="2" t="s">
        <v>16</v>
      </c>
      <c r="H2570" s="2"/>
      <c r="I2570" s="2" t="s">
        <v>395</v>
      </c>
      <c r="J2570" s="2"/>
      <c r="L2570" s="2" t="s">
        <v>2814</v>
      </c>
    </row>
    <row r="2571">
      <c r="A2571" s="8" t="s">
        <v>2893</v>
      </c>
      <c r="B2571" s="8" t="s">
        <v>2893</v>
      </c>
      <c r="C2571" s="2" t="s">
        <v>1084</v>
      </c>
      <c r="D2571" s="2" t="s">
        <v>1085</v>
      </c>
      <c r="E2571" s="6">
        <v>46067.4143287037</v>
      </c>
      <c r="F2571" s="3" t="s">
        <v>1086</v>
      </c>
      <c r="G2571" s="2" t="s">
        <v>16</v>
      </c>
      <c r="H2571" s="2"/>
      <c r="I2571" s="2" t="s">
        <v>17</v>
      </c>
      <c r="J2571" s="2"/>
      <c r="L2571" s="2" t="s">
        <v>2814</v>
      </c>
    </row>
    <row r="2572">
      <c r="A2572" s="8" t="s">
        <v>2894</v>
      </c>
      <c r="B2572" s="8" t="s">
        <v>2894</v>
      </c>
      <c r="C2572" s="2" t="s">
        <v>1838</v>
      </c>
      <c r="D2572" s="2" t="s">
        <v>1839</v>
      </c>
      <c r="E2572" s="6">
        <v>46067.42920138889</v>
      </c>
      <c r="F2572" s="3" t="s">
        <v>1840</v>
      </c>
      <c r="G2572" s="2" t="s">
        <v>16</v>
      </c>
      <c r="H2572" s="2"/>
      <c r="I2572" s="2" t="s">
        <v>395</v>
      </c>
      <c r="J2572" s="2"/>
      <c r="L2572" s="2" t="s">
        <v>2810</v>
      </c>
    </row>
    <row r="2573">
      <c r="A2573" s="8" t="s">
        <v>2895</v>
      </c>
      <c r="B2573" s="8" t="s">
        <v>2895</v>
      </c>
      <c r="C2573" s="2" t="s">
        <v>786</v>
      </c>
      <c r="D2573" s="2" t="s">
        <v>787</v>
      </c>
      <c r="E2573" s="6">
        <v>46067.52758101852</v>
      </c>
      <c r="F2573" s="3" t="s">
        <v>788</v>
      </c>
      <c r="G2573" s="2" t="s">
        <v>24</v>
      </c>
      <c r="H2573" s="2"/>
      <c r="I2573" s="2"/>
      <c r="J2573" s="2"/>
      <c r="L2573" s="2" t="s">
        <v>2810</v>
      </c>
    </row>
    <row r="2574">
      <c r="A2574" s="1"/>
      <c r="B2574" s="1"/>
      <c r="C2574" s="2"/>
      <c r="D2574" s="2"/>
      <c r="E2574" s="6"/>
      <c r="F2574" s="3"/>
      <c r="G2574" s="2"/>
      <c r="H2574" s="2"/>
      <c r="I2574" s="2"/>
      <c r="J2574" s="2"/>
      <c r="L2574" s="2"/>
    </row>
    <row r="2575">
      <c r="A2575" s="8" t="s">
        <v>2896</v>
      </c>
      <c r="B2575" s="8" t="s">
        <v>2896</v>
      </c>
      <c r="C2575" s="2" t="s">
        <v>2543</v>
      </c>
      <c r="D2575" s="2" t="s">
        <v>2544</v>
      </c>
      <c r="E2575" s="6">
        <v>46067.52868055556</v>
      </c>
      <c r="F2575" s="3" t="s">
        <v>2545</v>
      </c>
      <c r="G2575" s="2" t="s">
        <v>16</v>
      </c>
      <c r="H2575" s="2"/>
      <c r="I2575" s="2" t="s">
        <v>17</v>
      </c>
      <c r="J2575" s="2"/>
      <c r="L2575" s="2" t="s">
        <v>2814</v>
      </c>
    </row>
    <row r="2576">
      <c r="A2576" s="8" t="s">
        <v>2897</v>
      </c>
      <c r="B2576" s="8" t="s">
        <v>2897</v>
      </c>
      <c r="C2576" s="2" t="s">
        <v>2543</v>
      </c>
      <c r="D2576" s="2" t="s">
        <v>2544</v>
      </c>
      <c r="E2576" s="6">
        <v>46066.53392361111</v>
      </c>
      <c r="F2576" s="3" t="s">
        <v>2545</v>
      </c>
      <c r="G2576" s="2" t="s">
        <v>24</v>
      </c>
      <c r="H2576" s="2"/>
      <c r="I2576" s="2"/>
      <c r="J2576" s="2"/>
      <c r="L2576" s="2" t="s">
        <v>2810</v>
      </c>
    </row>
    <row r="2577">
      <c r="A2577" s="8" t="s">
        <v>2898</v>
      </c>
      <c r="B2577" s="8" t="s">
        <v>2898</v>
      </c>
      <c r="C2577" s="2" t="s">
        <v>1975</v>
      </c>
      <c r="D2577" s="2" t="s">
        <v>1976</v>
      </c>
      <c r="E2577" s="6">
        <v>46067.539976851855</v>
      </c>
      <c r="F2577" s="3" t="s">
        <v>1977</v>
      </c>
      <c r="G2577" s="2" t="s">
        <v>24</v>
      </c>
      <c r="H2577" s="2"/>
      <c r="I2577" s="2"/>
      <c r="J2577" s="2"/>
      <c r="L2577" s="2" t="s">
        <v>2810</v>
      </c>
    </row>
    <row r="2578">
      <c r="A2578" s="8" t="s">
        <v>2899</v>
      </c>
      <c r="B2578" s="8" t="s">
        <v>2899</v>
      </c>
      <c r="C2578" s="2" t="s">
        <v>2623</v>
      </c>
      <c r="D2578" s="2" t="s">
        <v>2892</v>
      </c>
      <c r="E2578" s="6">
        <v>46067.59230324074</v>
      </c>
      <c r="F2578" s="3" t="s">
        <v>2625</v>
      </c>
      <c r="G2578" s="2" t="s">
        <v>24</v>
      </c>
      <c r="H2578" s="2"/>
      <c r="I2578" s="2"/>
      <c r="J2578" s="2"/>
      <c r="L2578" s="2" t="s">
        <v>2810</v>
      </c>
    </row>
    <row r="2579">
      <c r="A2579" s="8" t="s">
        <v>2900</v>
      </c>
      <c r="B2579" s="8" t="s">
        <v>2900</v>
      </c>
      <c r="C2579" s="2" t="s">
        <v>2503</v>
      </c>
      <c r="D2579" s="2" t="s">
        <v>2504</v>
      </c>
      <c r="E2579" s="6">
        <v>46067.70607638889</v>
      </c>
      <c r="F2579" s="3" t="s">
        <v>2505</v>
      </c>
      <c r="G2579" s="2" t="s">
        <v>24</v>
      </c>
      <c r="H2579" s="2"/>
      <c r="I2579" s="2"/>
      <c r="J2579" s="2"/>
      <c r="L2579" s="2" t="s">
        <v>2814</v>
      </c>
    </row>
    <row r="2580">
      <c r="A2580" s="8" t="s">
        <v>2901</v>
      </c>
      <c r="B2580" s="8" t="s">
        <v>2901</v>
      </c>
      <c r="C2580" s="2" t="s">
        <v>2577</v>
      </c>
      <c r="D2580" s="2" t="s">
        <v>2578</v>
      </c>
      <c r="E2580" s="6">
        <v>46069.36896990741</v>
      </c>
      <c r="F2580" s="3" t="s">
        <v>2579</v>
      </c>
      <c r="G2580" s="2" t="s">
        <v>16</v>
      </c>
      <c r="H2580" s="2"/>
      <c r="I2580" s="2" t="s">
        <v>17</v>
      </c>
      <c r="J2580" s="2"/>
      <c r="L2580" s="2" t="s">
        <v>2814</v>
      </c>
    </row>
    <row r="2581">
      <c r="A2581" s="8" t="s">
        <v>2902</v>
      </c>
      <c r="B2581" s="8" t="s">
        <v>2902</v>
      </c>
      <c r="C2581" s="2" t="s">
        <v>812</v>
      </c>
      <c r="D2581" s="2" t="s">
        <v>813</v>
      </c>
      <c r="E2581" s="6">
        <v>46069.53575231481</v>
      </c>
      <c r="F2581" s="3" t="s">
        <v>814</v>
      </c>
      <c r="G2581" s="2" t="s">
        <v>24</v>
      </c>
      <c r="H2581" s="2"/>
      <c r="I2581" s="2"/>
      <c r="J2581" s="2"/>
      <c r="L2581" s="2" t="s">
        <v>2810</v>
      </c>
    </row>
    <row r="2582">
      <c r="A2582" s="8" t="s">
        <v>2903</v>
      </c>
      <c r="B2582" s="8" t="s">
        <v>2903</v>
      </c>
      <c r="C2582" s="2" t="s">
        <v>812</v>
      </c>
      <c r="D2582" s="2" t="s">
        <v>813</v>
      </c>
      <c r="E2582" s="6">
        <v>46069.53619212963</v>
      </c>
      <c r="F2582" s="3" t="s">
        <v>814</v>
      </c>
      <c r="G2582" s="2" t="s">
        <v>16</v>
      </c>
      <c r="H2582" s="2"/>
      <c r="I2582" s="2" t="s">
        <v>395</v>
      </c>
      <c r="J2582" s="2"/>
      <c r="L2582" s="2" t="s">
        <v>2810</v>
      </c>
    </row>
    <row r="2583">
      <c r="A2583" s="8" t="s">
        <v>2904</v>
      </c>
      <c r="B2583" s="8" t="s">
        <v>2904</v>
      </c>
      <c r="C2583" s="2" t="s">
        <v>2005</v>
      </c>
      <c r="D2583" s="2" t="s">
        <v>2006</v>
      </c>
      <c r="E2583" s="6">
        <v>46069.5390162037</v>
      </c>
      <c r="F2583" s="3" t="s">
        <v>2007</v>
      </c>
      <c r="G2583" s="2" t="s">
        <v>24</v>
      </c>
      <c r="H2583" s="2"/>
      <c r="I2583" s="2"/>
      <c r="J2583" s="2"/>
      <c r="L2583" s="2" t="s">
        <v>2810</v>
      </c>
    </row>
    <row r="2584">
      <c r="A2584" s="8" t="s">
        <v>2905</v>
      </c>
      <c r="B2584" s="8" t="s">
        <v>2905</v>
      </c>
      <c r="C2584" s="2" t="s">
        <v>2577</v>
      </c>
      <c r="D2584" s="2" t="s">
        <v>2578</v>
      </c>
      <c r="E2584" s="6">
        <v>46069.541608796295</v>
      </c>
      <c r="F2584" s="3" t="s">
        <v>2579</v>
      </c>
      <c r="G2584" s="2" t="s">
        <v>24</v>
      </c>
      <c r="H2584" s="2"/>
      <c r="I2584" s="2"/>
      <c r="J2584" s="2"/>
      <c r="L2584" s="2" t="s">
        <v>2810</v>
      </c>
    </row>
    <row r="2585">
      <c r="A2585" s="8" t="s">
        <v>2906</v>
      </c>
      <c r="B2585" s="8" t="s">
        <v>2906</v>
      </c>
      <c r="C2585" s="2" t="s">
        <v>786</v>
      </c>
      <c r="D2585" s="2" t="s">
        <v>787</v>
      </c>
      <c r="E2585" s="6">
        <v>46069.54677083333</v>
      </c>
      <c r="F2585" s="3" t="s">
        <v>788</v>
      </c>
      <c r="G2585" s="2" t="s">
        <v>16</v>
      </c>
      <c r="H2585" s="2"/>
      <c r="I2585" s="2" t="s">
        <v>17</v>
      </c>
      <c r="J2585" s="2"/>
      <c r="L2585" s="2" t="s">
        <v>2814</v>
      </c>
    </row>
    <row r="2586">
      <c r="A2586" s="8" t="s">
        <v>2907</v>
      </c>
      <c r="B2586" s="8" t="s">
        <v>2907</v>
      </c>
      <c r="C2586" s="2" t="s">
        <v>786</v>
      </c>
      <c r="D2586" s="2" t="s">
        <v>787</v>
      </c>
      <c r="E2586" s="6">
        <v>46069.671944444446</v>
      </c>
      <c r="F2586" s="3" t="s">
        <v>788</v>
      </c>
      <c r="G2586" s="2" t="s">
        <v>24</v>
      </c>
      <c r="H2586" s="2"/>
      <c r="I2586" s="2"/>
      <c r="J2586" s="2"/>
      <c r="L2586" s="2" t="s">
        <v>2810</v>
      </c>
    </row>
    <row r="2587">
      <c r="A2587" s="8" t="s">
        <v>2908</v>
      </c>
      <c r="B2587" s="8" t="s">
        <v>2908</v>
      </c>
      <c r="C2587" s="2" t="s">
        <v>2909</v>
      </c>
      <c r="D2587" s="2" t="s">
        <v>2910</v>
      </c>
      <c r="E2587" s="6">
        <v>46071.378275462965</v>
      </c>
      <c r="F2587" s="3" t="s">
        <v>2911</v>
      </c>
      <c r="G2587" s="2" t="s">
        <v>16</v>
      </c>
      <c r="H2587" s="2"/>
      <c r="I2587" s="2" t="s">
        <v>17</v>
      </c>
      <c r="J2587" s="2"/>
      <c r="L2587" s="2" t="s">
        <v>2814</v>
      </c>
    </row>
    <row r="2588">
      <c r="A2588" s="8" t="s">
        <v>2912</v>
      </c>
      <c r="B2588" s="8" t="s">
        <v>2912</v>
      </c>
      <c r="C2588" s="2" t="s">
        <v>2913</v>
      </c>
      <c r="D2588" s="2" t="s">
        <v>2914</v>
      </c>
      <c r="E2588" s="6">
        <v>46071.410844907405</v>
      </c>
      <c r="F2588" s="3" t="s">
        <v>2915</v>
      </c>
      <c r="G2588" s="2" t="s">
        <v>16</v>
      </c>
      <c r="H2588" s="2"/>
      <c r="I2588" s="2" t="s">
        <v>17</v>
      </c>
      <c r="J2588" s="2"/>
      <c r="L2588" s="2" t="s">
        <v>2814</v>
      </c>
    </row>
    <row r="2589">
      <c r="A2589" s="8" t="s">
        <v>2916</v>
      </c>
      <c r="B2589" s="8" t="s">
        <v>2916</v>
      </c>
      <c r="C2589" s="2" t="s">
        <v>1745</v>
      </c>
      <c r="D2589" s="2" t="s">
        <v>1746</v>
      </c>
      <c r="E2589" s="6">
        <v>46071.48837962963</v>
      </c>
      <c r="F2589" s="3" t="s">
        <v>1747</v>
      </c>
      <c r="G2589" s="2" t="s">
        <v>16</v>
      </c>
      <c r="H2589" s="2"/>
      <c r="I2589" s="2" t="s">
        <v>395</v>
      </c>
      <c r="J2589" s="2"/>
      <c r="L2589" s="2" t="s">
        <v>2814</v>
      </c>
    </row>
    <row r="2590">
      <c r="A2590" s="8" t="s">
        <v>2917</v>
      </c>
      <c r="B2590" s="8" t="s">
        <v>2917</v>
      </c>
      <c r="C2590" s="2" t="s">
        <v>2728</v>
      </c>
      <c r="D2590" s="2" t="s">
        <v>2729</v>
      </c>
      <c r="E2590" s="6">
        <v>46071.4975</v>
      </c>
      <c r="F2590" s="3" t="s">
        <v>2730</v>
      </c>
      <c r="G2590" s="2" t="s">
        <v>16</v>
      </c>
      <c r="H2590" s="2"/>
      <c r="I2590" s="2" t="s">
        <v>395</v>
      </c>
      <c r="J2590" s="2"/>
      <c r="L2590" s="2" t="s">
        <v>2810</v>
      </c>
    </row>
    <row r="2591">
      <c r="A2591" s="8" t="s">
        <v>2918</v>
      </c>
      <c r="B2591" s="8" t="s">
        <v>2918</v>
      </c>
      <c r="C2591" s="2" t="s">
        <v>326</v>
      </c>
      <c r="D2591" s="2" t="s">
        <v>327</v>
      </c>
      <c r="E2591" s="6">
        <v>46071.51802083333</v>
      </c>
      <c r="F2591" s="3" t="s">
        <v>328</v>
      </c>
      <c r="G2591" s="2" t="s">
        <v>24</v>
      </c>
      <c r="H2591" s="2"/>
      <c r="I2591" s="2"/>
      <c r="J2591" s="2"/>
      <c r="L2591" s="2" t="s">
        <v>2810</v>
      </c>
    </row>
    <row r="2592">
      <c r="A2592" s="8" t="s">
        <v>2919</v>
      </c>
      <c r="B2592" s="8" t="s">
        <v>2919</v>
      </c>
      <c r="C2592" s="2" t="s">
        <v>1745</v>
      </c>
      <c r="D2592" s="2" t="s">
        <v>1746</v>
      </c>
      <c r="E2592" s="6">
        <v>46071.61168981482</v>
      </c>
      <c r="F2592" s="3" t="s">
        <v>1747</v>
      </c>
      <c r="G2592" s="2" t="s">
        <v>24</v>
      </c>
      <c r="H2592" s="2"/>
      <c r="I2592" s="2"/>
      <c r="J2592" s="2"/>
      <c r="L2592" s="2" t="s">
        <v>2810</v>
      </c>
    </row>
    <row r="2593">
      <c r="A2593" s="8" t="s">
        <v>2920</v>
      </c>
      <c r="B2593" s="8" t="s">
        <v>2920</v>
      </c>
      <c r="C2593" s="2" t="s">
        <v>2623</v>
      </c>
      <c r="D2593" s="2" t="s">
        <v>2624</v>
      </c>
      <c r="E2593" s="6">
        <v>46071.61362268519</v>
      </c>
      <c r="F2593" s="3" t="s">
        <v>2625</v>
      </c>
      <c r="G2593" s="2" t="s">
        <v>16</v>
      </c>
      <c r="H2593" s="2"/>
      <c r="I2593" s="2" t="s">
        <v>17</v>
      </c>
      <c r="J2593" s="2"/>
      <c r="L2593" s="2" t="s">
        <v>2810</v>
      </c>
    </row>
    <row r="2594">
      <c r="A2594" s="8" t="s">
        <v>2921</v>
      </c>
      <c r="B2594" s="8" t="s">
        <v>2921</v>
      </c>
      <c r="C2594" s="2" t="s">
        <v>131</v>
      </c>
      <c r="D2594" s="2" t="s">
        <v>132</v>
      </c>
      <c r="E2594" s="6">
        <v>46072.3565625</v>
      </c>
      <c r="F2594" s="3" t="s">
        <v>133</v>
      </c>
      <c r="G2594" s="2" t="s">
        <v>24</v>
      </c>
      <c r="H2594" s="2"/>
      <c r="I2594" s="2"/>
      <c r="J2594" s="2"/>
      <c r="L2594" s="2" t="s">
        <v>2810</v>
      </c>
    </row>
    <row r="2595">
      <c r="A2595" s="8" t="s">
        <v>2922</v>
      </c>
      <c r="B2595" s="8" t="s">
        <v>2922</v>
      </c>
      <c r="C2595" s="2" t="s">
        <v>109</v>
      </c>
      <c r="D2595" s="2" t="s">
        <v>110</v>
      </c>
      <c r="E2595" s="6">
        <v>46072.35724537037</v>
      </c>
      <c r="F2595" s="3" t="s">
        <v>111</v>
      </c>
      <c r="G2595" s="2" t="s">
        <v>24</v>
      </c>
      <c r="H2595" s="2"/>
      <c r="I2595" s="2"/>
      <c r="J2595" s="2"/>
      <c r="L2595" s="2" t="s">
        <v>2810</v>
      </c>
    </row>
    <row r="2596">
      <c r="A2596" s="8" t="s">
        <v>2923</v>
      </c>
      <c r="B2596" s="8" t="s">
        <v>2923</v>
      </c>
      <c r="C2596" s="2" t="s">
        <v>1618</v>
      </c>
      <c r="D2596" s="2" t="s">
        <v>1619</v>
      </c>
      <c r="E2596" s="6">
        <v>46072.35755787037</v>
      </c>
      <c r="F2596" s="3" t="s">
        <v>1620</v>
      </c>
      <c r="G2596" s="2" t="s">
        <v>24</v>
      </c>
      <c r="H2596" s="2"/>
      <c r="I2596" s="2"/>
      <c r="J2596" s="2"/>
      <c r="L2596" s="2" t="s">
        <v>2810</v>
      </c>
    </row>
    <row r="2597">
      <c r="A2597" s="8" t="s">
        <v>2924</v>
      </c>
      <c r="B2597" s="8" t="s">
        <v>2924</v>
      </c>
      <c r="C2597" s="2" t="s">
        <v>2640</v>
      </c>
      <c r="D2597" s="2" t="s">
        <v>2641</v>
      </c>
      <c r="E2597" s="6">
        <v>46072.35818287037</v>
      </c>
      <c r="F2597" s="3" t="s">
        <v>2642</v>
      </c>
      <c r="G2597" s="2" t="s">
        <v>24</v>
      </c>
      <c r="H2597" s="2"/>
      <c r="I2597" s="2"/>
      <c r="J2597" s="2"/>
      <c r="L2597" s="2" t="s">
        <v>2810</v>
      </c>
    </row>
    <row r="2598">
      <c r="A2598" s="8" t="s">
        <v>2925</v>
      </c>
      <c r="B2598" s="8" t="s">
        <v>2925</v>
      </c>
      <c r="C2598" s="2" t="s">
        <v>320</v>
      </c>
      <c r="D2598" s="2" t="s">
        <v>321</v>
      </c>
      <c r="E2598" s="6">
        <v>46072.36738425926</v>
      </c>
      <c r="F2598" s="3" t="s">
        <v>322</v>
      </c>
      <c r="G2598" s="2" t="s">
        <v>16</v>
      </c>
      <c r="H2598" s="2"/>
      <c r="I2598" s="2" t="s">
        <v>17</v>
      </c>
      <c r="J2598" s="2"/>
      <c r="L2598" s="2" t="s">
        <v>2814</v>
      </c>
    </row>
    <row r="2599">
      <c r="A2599" s="8" t="s">
        <v>2926</v>
      </c>
      <c r="B2599" s="8" t="s">
        <v>2926</v>
      </c>
      <c r="C2599" s="2" t="s">
        <v>951</v>
      </c>
      <c r="D2599" s="2" t="s">
        <v>952</v>
      </c>
      <c r="E2599" s="6">
        <v>46072.367731481485</v>
      </c>
      <c r="F2599" s="3" t="s">
        <v>953</v>
      </c>
      <c r="G2599" s="2" t="s">
        <v>16</v>
      </c>
      <c r="H2599" s="2"/>
      <c r="I2599" s="2" t="s">
        <v>17</v>
      </c>
      <c r="J2599" s="2"/>
      <c r="L2599" s="2" t="s">
        <v>2814</v>
      </c>
    </row>
    <row r="2600">
      <c r="A2600" s="8" t="s">
        <v>2927</v>
      </c>
      <c r="B2600" s="8" t="s">
        <v>2927</v>
      </c>
      <c r="C2600" s="2" t="s">
        <v>786</v>
      </c>
      <c r="D2600" s="2" t="s">
        <v>787</v>
      </c>
      <c r="E2600" s="6">
        <v>46072.42556712963</v>
      </c>
      <c r="F2600" s="3" t="s">
        <v>788</v>
      </c>
      <c r="G2600" s="2" t="s">
        <v>16</v>
      </c>
      <c r="H2600" s="2"/>
      <c r="I2600" s="2" t="s">
        <v>17</v>
      </c>
      <c r="J2600" s="2"/>
      <c r="L2600" s="2" t="s">
        <v>2814</v>
      </c>
    </row>
    <row r="2601">
      <c r="A2601" s="8" t="s">
        <v>2928</v>
      </c>
      <c r="B2601" s="8" t="s">
        <v>2928</v>
      </c>
      <c r="C2601" s="2" t="s">
        <v>326</v>
      </c>
      <c r="D2601" s="2" t="s">
        <v>327</v>
      </c>
      <c r="E2601" s="6">
        <v>46072.42563657407</v>
      </c>
      <c r="F2601" s="3" t="s">
        <v>328</v>
      </c>
      <c r="G2601" s="2" t="s">
        <v>16</v>
      </c>
      <c r="H2601" s="2"/>
      <c r="I2601" s="2" t="s">
        <v>395</v>
      </c>
      <c r="J2601" s="2"/>
      <c r="L2601" s="2" t="s">
        <v>2814</v>
      </c>
    </row>
    <row r="2602">
      <c r="A2602" s="8" t="s">
        <v>2929</v>
      </c>
      <c r="B2602" s="8" t="s">
        <v>2929</v>
      </c>
      <c r="C2602" s="2" t="s">
        <v>320</v>
      </c>
      <c r="D2602" s="2" t="s">
        <v>321</v>
      </c>
      <c r="E2602" s="6">
        <v>46072.438125</v>
      </c>
      <c r="F2602" s="3" t="s">
        <v>322</v>
      </c>
      <c r="G2602" s="2" t="s">
        <v>24</v>
      </c>
      <c r="H2602" s="2"/>
      <c r="I2602" s="2"/>
      <c r="J2602" s="2"/>
      <c r="L2602" s="2" t="s">
        <v>2810</v>
      </c>
    </row>
    <row r="2603">
      <c r="A2603" s="8" t="s">
        <v>2930</v>
      </c>
      <c r="B2603" s="8" t="s">
        <v>2930</v>
      </c>
      <c r="C2603" s="2" t="s">
        <v>951</v>
      </c>
      <c r="D2603" s="2" t="s">
        <v>952</v>
      </c>
      <c r="E2603" s="6">
        <v>46072.43850694445</v>
      </c>
      <c r="F2603" s="3" t="s">
        <v>953</v>
      </c>
      <c r="G2603" s="2" t="s">
        <v>24</v>
      </c>
      <c r="H2603" s="2"/>
      <c r="I2603" s="2"/>
      <c r="J2603" s="2"/>
      <c r="L2603" s="2" t="s">
        <v>2810</v>
      </c>
    </row>
    <row r="2604">
      <c r="A2604" s="8" t="s">
        <v>2931</v>
      </c>
      <c r="B2604" s="8" t="s">
        <v>2931</v>
      </c>
      <c r="C2604" s="2" t="s">
        <v>1203</v>
      </c>
      <c r="D2604" s="2" t="s">
        <v>1204</v>
      </c>
      <c r="E2604" s="6">
        <v>46072.50965277778</v>
      </c>
      <c r="F2604" s="3" t="s">
        <v>1205</v>
      </c>
      <c r="G2604" s="2" t="s">
        <v>16</v>
      </c>
      <c r="H2604" s="2"/>
      <c r="I2604" s="2"/>
      <c r="J2604" s="2"/>
      <c r="L2604" s="2" t="s">
        <v>2810</v>
      </c>
    </row>
    <row r="2605">
      <c r="A2605" s="8" t="s">
        <v>2932</v>
      </c>
      <c r="B2605" s="8" t="s">
        <v>2932</v>
      </c>
      <c r="C2605" s="2" t="s">
        <v>2081</v>
      </c>
      <c r="D2605" s="2" t="s">
        <v>2082</v>
      </c>
      <c r="E2605" s="6">
        <v>46072.51162037037</v>
      </c>
      <c r="F2605" s="3" t="s">
        <v>2083</v>
      </c>
      <c r="G2605" s="2" t="s">
        <v>16</v>
      </c>
      <c r="H2605" s="2"/>
      <c r="I2605" s="2" t="s">
        <v>17</v>
      </c>
      <c r="J2605" s="2"/>
      <c r="L2605" s="2" t="s">
        <v>2814</v>
      </c>
    </row>
    <row r="2606">
      <c r="A2606" s="8" t="s">
        <v>2933</v>
      </c>
      <c r="B2606" s="8" t="s">
        <v>2933</v>
      </c>
      <c r="C2606" s="2" t="s">
        <v>2640</v>
      </c>
      <c r="D2606" s="2" t="s">
        <v>2641</v>
      </c>
      <c r="E2606" s="6">
        <v>46072.51174768519</v>
      </c>
      <c r="F2606" s="3" t="s">
        <v>2642</v>
      </c>
      <c r="G2606" s="2" t="s">
        <v>16</v>
      </c>
      <c r="H2606" s="2"/>
      <c r="I2606" s="2" t="s">
        <v>17</v>
      </c>
      <c r="J2606" s="2"/>
      <c r="L2606" s="2" t="s">
        <v>2814</v>
      </c>
    </row>
    <row r="2607">
      <c r="A2607" s="8" t="s">
        <v>2934</v>
      </c>
      <c r="B2607" s="8" t="s">
        <v>2934</v>
      </c>
      <c r="C2607" s="2" t="s">
        <v>320</v>
      </c>
      <c r="D2607" s="2" t="s">
        <v>321</v>
      </c>
      <c r="E2607" s="6">
        <v>46072.511828703704</v>
      </c>
      <c r="F2607" s="3" t="s">
        <v>322</v>
      </c>
      <c r="G2607" s="2" t="s">
        <v>16</v>
      </c>
      <c r="H2607" s="2"/>
      <c r="I2607" s="2" t="s">
        <v>17</v>
      </c>
      <c r="J2607" s="2"/>
      <c r="L2607" s="2" t="s">
        <v>2814</v>
      </c>
    </row>
    <row r="2608">
      <c r="A2608" s="8" t="s">
        <v>2935</v>
      </c>
      <c r="B2608" s="8" t="s">
        <v>2935</v>
      </c>
      <c r="C2608" s="2" t="s">
        <v>1203</v>
      </c>
      <c r="D2608" s="2" t="s">
        <v>1204</v>
      </c>
      <c r="E2608" s="6">
        <v>46072.57886574074</v>
      </c>
      <c r="F2608" s="3" t="s">
        <v>1205</v>
      </c>
      <c r="G2608" s="2" t="s">
        <v>24</v>
      </c>
      <c r="H2608" s="2"/>
      <c r="I2608" s="2"/>
      <c r="J2608" s="2"/>
      <c r="L2608" s="2" t="s">
        <v>2810</v>
      </c>
    </row>
    <row r="2609">
      <c r="A2609" s="8" t="s">
        <v>2936</v>
      </c>
      <c r="B2609" s="8" t="s">
        <v>2936</v>
      </c>
      <c r="C2609" s="2" t="s">
        <v>786</v>
      </c>
      <c r="D2609" s="2" t="s">
        <v>787</v>
      </c>
      <c r="E2609" s="6">
        <v>46072.628796296296</v>
      </c>
      <c r="F2609" s="3" t="s">
        <v>788</v>
      </c>
      <c r="G2609" s="2" t="s">
        <v>24</v>
      </c>
      <c r="H2609" s="2"/>
      <c r="I2609" s="2"/>
      <c r="J2609" s="2"/>
      <c r="L2609" s="2" t="s">
        <v>2810</v>
      </c>
    </row>
    <row r="2610">
      <c r="A2610" s="8" t="s">
        <v>2937</v>
      </c>
      <c r="B2610" s="8" t="s">
        <v>2937</v>
      </c>
      <c r="C2610" s="2" t="s">
        <v>326</v>
      </c>
      <c r="D2610" s="2" t="s">
        <v>327</v>
      </c>
      <c r="E2610" s="6">
        <v>46072.62962962963</v>
      </c>
      <c r="F2610" s="3" t="s">
        <v>328</v>
      </c>
      <c r="G2610" s="2" t="s">
        <v>24</v>
      </c>
      <c r="H2610" s="2"/>
      <c r="I2610" s="2"/>
      <c r="J2610" s="2"/>
      <c r="L2610" s="2" t="s">
        <v>2810</v>
      </c>
    </row>
    <row r="2611">
      <c r="A2611" s="8" t="s">
        <v>2938</v>
      </c>
      <c r="B2611" s="8" t="s">
        <v>2938</v>
      </c>
      <c r="C2611" s="2" t="s">
        <v>1776</v>
      </c>
      <c r="D2611" s="2" t="s">
        <v>1777</v>
      </c>
      <c r="E2611" s="6">
        <v>46072.65796296296</v>
      </c>
      <c r="F2611" s="3" t="s">
        <v>1778</v>
      </c>
      <c r="G2611" s="2" t="s">
        <v>16</v>
      </c>
      <c r="H2611" s="2"/>
      <c r="I2611" s="2" t="s">
        <v>17</v>
      </c>
      <c r="J2611" s="2"/>
      <c r="L2611" s="2" t="s">
        <v>2810</v>
      </c>
    </row>
    <row r="2612">
      <c r="A2612" s="8" t="s">
        <v>2939</v>
      </c>
      <c r="B2612" s="8" t="s">
        <v>2939</v>
      </c>
      <c r="C2612" s="2" t="s">
        <v>2640</v>
      </c>
      <c r="D2612" s="2" t="s">
        <v>2641</v>
      </c>
      <c r="E2612" s="6">
        <v>46072.667974537035</v>
      </c>
      <c r="F2612" s="3" t="s">
        <v>2642</v>
      </c>
      <c r="G2612" s="2" t="s">
        <v>24</v>
      </c>
      <c r="H2612" s="2"/>
      <c r="I2612" s="2"/>
      <c r="J2612" s="2"/>
      <c r="L2612" s="2" t="s">
        <v>2810</v>
      </c>
    </row>
    <row r="2613">
      <c r="A2613" s="8" t="s">
        <v>2940</v>
      </c>
      <c r="B2613" s="8" t="s">
        <v>2940</v>
      </c>
      <c r="C2613" s="2" t="s">
        <v>1776</v>
      </c>
      <c r="D2613" s="2" t="s">
        <v>1777</v>
      </c>
      <c r="E2613" s="6">
        <v>46072.675208333334</v>
      </c>
      <c r="F2613" s="3" t="s">
        <v>1778</v>
      </c>
      <c r="G2613" s="2" t="s">
        <v>24</v>
      </c>
      <c r="H2613" s="2"/>
      <c r="I2613" s="2"/>
      <c r="J2613" s="2"/>
      <c r="L2613" s="2" t="s">
        <v>2810</v>
      </c>
    </row>
    <row r="2614">
      <c r="A2614" s="8" t="s">
        <v>2941</v>
      </c>
      <c r="B2614" s="8" t="s">
        <v>2941</v>
      </c>
      <c r="C2614" s="2" t="s">
        <v>1613</v>
      </c>
      <c r="D2614" s="2" t="s">
        <v>1614</v>
      </c>
      <c r="E2614" s="6">
        <v>46073.36922453704</v>
      </c>
      <c r="F2614" s="3" t="s">
        <v>1615</v>
      </c>
      <c r="G2614" s="2" t="s">
        <v>16</v>
      </c>
      <c r="H2614" s="2"/>
      <c r="I2614" s="2" t="s">
        <v>395</v>
      </c>
      <c r="J2614" s="2"/>
      <c r="L2614" s="2" t="s">
        <v>2810</v>
      </c>
    </row>
    <row r="2615">
      <c r="A2615" s="8" t="s">
        <v>2942</v>
      </c>
      <c r="B2615" s="8" t="s">
        <v>2942</v>
      </c>
      <c r="C2615" s="2" t="s">
        <v>1613</v>
      </c>
      <c r="D2615" s="2" t="s">
        <v>1614</v>
      </c>
      <c r="E2615" s="6">
        <v>46073.419652777775</v>
      </c>
      <c r="F2615" s="3" t="s">
        <v>1615</v>
      </c>
      <c r="G2615" s="2" t="s">
        <v>24</v>
      </c>
      <c r="H2615" s="2"/>
      <c r="I2615" s="2"/>
      <c r="J2615" s="2"/>
      <c r="L2615" s="2" t="s">
        <v>2810</v>
      </c>
    </row>
    <row r="2616">
      <c r="A2616" s="8" t="s">
        <v>2943</v>
      </c>
      <c r="B2616" s="8" t="s">
        <v>2943</v>
      </c>
      <c r="C2616" s="2" t="s">
        <v>392</v>
      </c>
      <c r="D2616" s="2" t="s">
        <v>393</v>
      </c>
      <c r="E2616" s="6">
        <v>46073.41997685185</v>
      </c>
      <c r="F2616" s="3" t="s">
        <v>394</v>
      </c>
      <c r="G2616" s="2" t="s">
        <v>24</v>
      </c>
      <c r="H2616" s="2"/>
      <c r="I2616" s="2"/>
      <c r="J2616" s="2"/>
      <c r="L2616" s="2" t="s">
        <v>2810</v>
      </c>
    </row>
    <row r="2617">
      <c r="A2617" s="8" t="s">
        <v>2944</v>
      </c>
      <c r="B2617" s="8" t="s">
        <v>2944</v>
      </c>
      <c r="C2617" s="2" t="s">
        <v>1776</v>
      </c>
      <c r="D2617" s="2" t="s">
        <v>1777</v>
      </c>
      <c r="E2617" s="6">
        <v>46073.43446759259</v>
      </c>
      <c r="F2617" s="3" t="s">
        <v>1778</v>
      </c>
      <c r="G2617" s="2" t="s">
        <v>16</v>
      </c>
      <c r="H2617" s="2"/>
      <c r="I2617" s="2" t="s">
        <v>17</v>
      </c>
      <c r="J2617" s="2"/>
      <c r="L2617" s="2" t="s">
        <v>2810</v>
      </c>
    </row>
    <row r="2618">
      <c r="A2618" s="8" t="s">
        <v>2945</v>
      </c>
      <c r="B2618" s="8" t="s">
        <v>2945</v>
      </c>
      <c r="C2618" s="2" t="s">
        <v>2913</v>
      </c>
      <c r="D2618" s="2" t="s">
        <v>2914</v>
      </c>
      <c r="E2618" s="6">
        <v>46073.65456018518</v>
      </c>
      <c r="F2618" s="3" t="s">
        <v>2915</v>
      </c>
      <c r="G2618" s="2" t="s">
        <v>16</v>
      </c>
      <c r="H2618" s="2"/>
      <c r="I2618" s="2" t="s">
        <v>17</v>
      </c>
      <c r="J2618" s="2"/>
      <c r="L2618" s="2" t="s">
        <v>2814</v>
      </c>
    </row>
    <row r="2619">
      <c r="A2619" s="8" t="s">
        <v>2946</v>
      </c>
      <c r="B2619" s="8" t="s">
        <v>2946</v>
      </c>
      <c r="C2619" s="2" t="s">
        <v>2913</v>
      </c>
      <c r="D2619" s="2" t="s">
        <v>2914</v>
      </c>
      <c r="E2619" s="6">
        <v>46073.66195601852</v>
      </c>
      <c r="F2619" s="3" t="s">
        <v>2915</v>
      </c>
      <c r="G2619" s="2" t="s">
        <v>24</v>
      </c>
      <c r="H2619" s="2"/>
      <c r="I2619" s="2"/>
      <c r="J2619" s="2"/>
      <c r="L2619" s="2" t="s">
        <v>2810</v>
      </c>
    </row>
    <row r="2620">
      <c r="A2620" s="8" t="s">
        <v>2947</v>
      </c>
      <c r="B2620" s="8" t="s">
        <v>2947</v>
      </c>
      <c r="C2620" s="2" t="s">
        <v>2543</v>
      </c>
      <c r="D2620" s="2" t="s">
        <v>2544</v>
      </c>
      <c r="E2620" s="6">
        <v>46074.3471875</v>
      </c>
      <c r="F2620" s="3" t="s">
        <v>2545</v>
      </c>
      <c r="G2620" s="2" t="s">
        <v>16</v>
      </c>
      <c r="H2620" s="2"/>
      <c r="I2620" s="2" t="s">
        <v>17</v>
      </c>
      <c r="J2620" s="2"/>
      <c r="L2620" s="2" t="s">
        <v>2814</v>
      </c>
    </row>
    <row r="2621">
      <c r="A2621" s="8" t="s">
        <v>2948</v>
      </c>
      <c r="B2621" s="8" t="s">
        <v>2948</v>
      </c>
      <c r="C2621" s="2" t="s">
        <v>392</v>
      </c>
      <c r="D2621" s="2" t="s">
        <v>393</v>
      </c>
      <c r="E2621" s="6">
        <v>46074.35065972222</v>
      </c>
      <c r="F2621" s="3" t="s">
        <v>394</v>
      </c>
      <c r="G2621" s="2" t="s">
        <v>16</v>
      </c>
      <c r="H2621" s="2"/>
      <c r="I2621" s="2" t="s">
        <v>395</v>
      </c>
      <c r="J2621" s="2"/>
      <c r="L2621" s="2" t="s">
        <v>2810</v>
      </c>
    </row>
    <row r="2622">
      <c r="A2622" s="8" t="s">
        <v>2949</v>
      </c>
      <c r="B2622" s="8" t="s">
        <v>2949</v>
      </c>
      <c r="C2622" s="2" t="s">
        <v>2577</v>
      </c>
      <c r="D2622" s="2" t="s">
        <v>2578</v>
      </c>
      <c r="E2622" s="6">
        <v>46074.46244212963</v>
      </c>
      <c r="F2622" s="3" t="s">
        <v>2579</v>
      </c>
      <c r="G2622" s="2" t="s">
        <v>24</v>
      </c>
      <c r="H2622" s="2"/>
      <c r="I2622" s="2"/>
      <c r="J2622" s="2"/>
      <c r="L2622" s="2" t="s">
        <v>2810</v>
      </c>
    </row>
    <row r="2623">
      <c r="A2623" s="8" t="s">
        <v>2950</v>
      </c>
      <c r="B2623" s="8" t="s">
        <v>2950</v>
      </c>
      <c r="C2623" s="2" t="s">
        <v>2543</v>
      </c>
      <c r="D2623" s="2" t="s">
        <v>2544</v>
      </c>
      <c r="E2623" s="6">
        <v>46074.46361111111</v>
      </c>
      <c r="F2623" s="3" t="s">
        <v>2545</v>
      </c>
      <c r="G2623" s="2" t="s">
        <v>24</v>
      </c>
      <c r="H2623" s="2"/>
      <c r="I2623" s="2"/>
      <c r="J2623" s="2"/>
      <c r="L2623" s="2" t="s">
        <v>2810</v>
      </c>
    </row>
    <row r="2624">
      <c r="A2624" s="8" t="s">
        <v>2951</v>
      </c>
      <c r="B2624" s="8" t="s">
        <v>2951</v>
      </c>
      <c r="C2624" s="2" t="s">
        <v>1975</v>
      </c>
      <c r="D2624" s="2" t="s">
        <v>1976</v>
      </c>
      <c r="E2624" s="6">
        <v>46074.47605324074</v>
      </c>
      <c r="F2624" s="3" t="s">
        <v>1977</v>
      </c>
      <c r="G2624" s="2" t="s">
        <v>16</v>
      </c>
      <c r="H2624" s="2"/>
      <c r="I2624" s="2" t="s">
        <v>395</v>
      </c>
      <c r="J2624" s="2"/>
      <c r="L2624" s="2" t="s">
        <v>2814</v>
      </c>
    </row>
    <row r="2625">
      <c r="A2625" s="8" t="s">
        <v>2952</v>
      </c>
      <c r="B2625" s="8" t="s">
        <v>2952</v>
      </c>
      <c r="C2625" s="2" t="s">
        <v>320</v>
      </c>
      <c r="D2625" s="2" t="s">
        <v>321</v>
      </c>
      <c r="E2625" s="6">
        <v>46074.484305555554</v>
      </c>
      <c r="F2625" s="3" t="s">
        <v>322</v>
      </c>
      <c r="G2625" s="2" t="s">
        <v>16</v>
      </c>
      <c r="H2625" s="2"/>
      <c r="I2625" s="2" t="s">
        <v>17</v>
      </c>
      <c r="J2625" s="2"/>
      <c r="L2625" s="2" t="s">
        <v>2810</v>
      </c>
    </row>
    <row r="2626">
      <c r="A2626" s="8" t="s">
        <v>2953</v>
      </c>
      <c r="B2626" s="8" t="s">
        <v>2953</v>
      </c>
      <c r="C2626" s="2" t="s">
        <v>45</v>
      </c>
      <c r="D2626" s="2" t="s">
        <v>46</v>
      </c>
      <c r="E2626" s="6">
        <v>46074.61376157407</v>
      </c>
      <c r="F2626" s="3" t="s">
        <v>47</v>
      </c>
      <c r="G2626" s="2" t="s">
        <v>16</v>
      </c>
      <c r="H2626" s="2"/>
      <c r="I2626" s="2"/>
      <c r="J2626" s="2"/>
      <c r="L2626" s="2" t="s">
        <v>2814</v>
      </c>
    </row>
    <row r="2627">
      <c r="A2627" s="8" t="s">
        <v>2954</v>
      </c>
      <c r="B2627" s="8" t="s">
        <v>2954</v>
      </c>
      <c r="C2627" s="2" t="s">
        <v>951</v>
      </c>
      <c r="D2627" s="2" t="s">
        <v>952</v>
      </c>
      <c r="E2627" s="6">
        <v>46074.614016203705</v>
      </c>
      <c r="F2627" s="3" t="s">
        <v>953</v>
      </c>
      <c r="G2627" s="2" t="s">
        <v>16</v>
      </c>
      <c r="H2627" s="2"/>
      <c r="I2627" s="2" t="s">
        <v>17</v>
      </c>
      <c r="J2627" s="2"/>
      <c r="L2627" s="2" t="s">
        <v>2814</v>
      </c>
    </row>
    <row r="2628">
      <c r="A2628" s="8" t="s">
        <v>2955</v>
      </c>
      <c r="B2628" s="8" t="s">
        <v>2955</v>
      </c>
      <c r="C2628" s="2" t="s">
        <v>320</v>
      </c>
      <c r="D2628" s="2" t="s">
        <v>321</v>
      </c>
      <c r="E2628" s="6">
        <v>46074.62530092592</v>
      </c>
      <c r="F2628" s="3" t="s">
        <v>322</v>
      </c>
      <c r="G2628" s="2" t="s">
        <v>24</v>
      </c>
      <c r="H2628" s="2"/>
      <c r="I2628" s="2"/>
      <c r="J2628" s="2"/>
      <c r="L2628" s="2" t="s">
        <v>2810</v>
      </c>
    </row>
    <row r="2629">
      <c r="A2629" s="8" t="s">
        <v>2956</v>
      </c>
      <c r="B2629" s="8" t="s">
        <v>2956</v>
      </c>
      <c r="C2629" s="2" t="s">
        <v>1975</v>
      </c>
      <c r="D2629" s="2" t="s">
        <v>1976</v>
      </c>
      <c r="E2629" s="6">
        <v>46074.6258912037</v>
      </c>
      <c r="F2629" s="3" t="s">
        <v>1977</v>
      </c>
      <c r="G2629" s="2" t="s">
        <v>24</v>
      </c>
      <c r="H2629" s="2"/>
      <c r="I2629" s="2"/>
      <c r="J2629" s="2"/>
      <c r="L2629" s="2" t="s">
        <v>2810</v>
      </c>
    </row>
    <row r="2630">
      <c r="A2630" s="8" t="s">
        <v>2957</v>
      </c>
      <c r="B2630" s="8" t="s">
        <v>2957</v>
      </c>
      <c r="C2630" s="2" t="s">
        <v>2623</v>
      </c>
      <c r="D2630" s="2" t="s">
        <v>2624</v>
      </c>
      <c r="E2630" s="6">
        <v>46074.6408912037</v>
      </c>
      <c r="F2630" s="3" t="s">
        <v>2625</v>
      </c>
      <c r="G2630" s="2" t="s">
        <v>24</v>
      </c>
      <c r="H2630" s="2"/>
      <c r="I2630" s="2"/>
      <c r="J2630" s="2"/>
      <c r="L2630" s="2" t="s">
        <v>2810</v>
      </c>
    </row>
    <row r="2631">
      <c r="A2631" s="8" t="s">
        <v>2958</v>
      </c>
      <c r="B2631" s="8" t="s">
        <v>2958</v>
      </c>
      <c r="C2631" s="2" t="s">
        <v>1084</v>
      </c>
      <c r="D2631" s="2" t="s">
        <v>1085</v>
      </c>
      <c r="E2631" s="6">
        <v>46074.641168981485</v>
      </c>
      <c r="F2631" s="3" t="s">
        <v>1086</v>
      </c>
      <c r="G2631" s="2" t="s">
        <v>24</v>
      </c>
      <c r="H2631" s="2"/>
      <c r="I2631" s="2"/>
      <c r="J2631" s="2"/>
      <c r="L2631" s="2" t="s">
        <v>2810</v>
      </c>
    </row>
    <row r="2632">
      <c r="A2632" s="8" t="s">
        <v>2959</v>
      </c>
      <c r="B2632" s="8" t="s">
        <v>2959</v>
      </c>
      <c r="C2632" s="2" t="s">
        <v>786</v>
      </c>
      <c r="D2632" s="2" t="s">
        <v>787</v>
      </c>
      <c r="E2632" s="6">
        <v>46074.51693287037</v>
      </c>
      <c r="F2632" s="3" t="s">
        <v>788</v>
      </c>
      <c r="G2632" s="2" t="s">
        <v>24</v>
      </c>
      <c r="H2632" s="2"/>
      <c r="I2632" s="2"/>
      <c r="J2632" s="2"/>
      <c r="L2632" s="2" t="s">
        <v>2810</v>
      </c>
    </row>
    <row r="2633">
      <c r="A2633" s="8" t="s">
        <v>2960</v>
      </c>
      <c r="B2633" s="8" t="s">
        <v>2960</v>
      </c>
      <c r="C2633" s="2" t="s">
        <v>951</v>
      </c>
      <c r="D2633" s="2" t="s">
        <v>952</v>
      </c>
      <c r="E2633" s="6">
        <v>46076.350590277776</v>
      </c>
      <c r="F2633" s="3" t="s">
        <v>953</v>
      </c>
      <c r="G2633" s="2" t="s">
        <v>24</v>
      </c>
      <c r="H2633" s="2"/>
      <c r="I2633" s="2"/>
      <c r="J2633" s="2"/>
      <c r="L2633" s="2" t="s">
        <v>2810</v>
      </c>
    </row>
    <row r="2634">
      <c r="A2634" s="8" t="s">
        <v>2961</v>
      </c>
      <c r="B2634" s="8" t="s">
        <v>2961</v>
      </c>
      <c r="C2634" s="2" t="s">
        <v>131</v>
      </c>
      <c r="D2634" s="2" t="s">
        <v>132</v>
      </c>
      <c r="E2634" s="6">
        <v>46076.3765162037</v>
      </c>
      <c r="F2634" s="3" t="s">
        <v>133</v>
      </c>
      <c r="G2634" s="2" t="s">
        <v>16</v>
      </c>
      <c r="H2634" s="2"/>
      <c r="I2634" s="2" t="s">
        <v>17</v>
      </c>
      <c r="J2634" s="2"/>
      <c r="L2634" s="2" t="s">
        <v>2814</v>
      </c>
    </row>
    <row r="2635">
      <c r="A2635" s="8" t="s">
        <v>2962</v>
      </c>
      <c r="B2635" s="8" t="s">
        <v>2962</v>
      </c>
      <c r="C2635" s="2" t="s">
        <v>1618</v>
      </c>
      <c r="D2635" s="2" t="s">
        <v>1619</v>
      </c>
      <c r="E2635" s="6">
        <v>46076.381747685184</v>
      </c>
      <c r="F2635" s="3" t="s">
        <v>1620</v>
      </c>
      <c r="G2635" s="2" t="s">
        <v>16</v>
      </c>
      <c r="H2635" s="2"/>
      <c r="I2635" s="2" t="s">
        <v>17</v>
      </c>
      <c r="J2635" s="2"/>
      <c r="L2635" s="2" t="s">
        <v>2810</v>
      </c>
    </row>
    <row r="2636">
      <c r="A2636" s="8" t="s">
        <v>2963</v>
      </c>
      <c r="B2636" s="8" t="s">
        <v>2963</v>
      </c>
      <c r="C2636" s="2" t="s">
        <v>131</v>
      </c>
      <c r="D2636" s="2" t="s">
        <v>132</v>
      </c>
      <c r="E2636" s="6">
        <v>46076.404641203706</v>
      </c>
      <c r="F2636" s="3" t="s">
        <v>133</v>
      </c>
      <c r="G2636" s="2" t="s">
        <v>24</v>
      </c>
      <c r="H2636" s="2"/>
      <c r="I2636" s="2"/>
      <c r="J2636" s="2"/>
      <c r="L2636" s="2" t="s">
        <v>2810</v>
      </c>
    </row>
    <row r="2637">
      <c r="A2637" s="8" t="s">
        <v>2964</v>
      </c>
      <c r="B2637" s="8" t="s">
        <v>2964</v>
      </c>
      <c r="C2637" s="2" t="s">
        <v>885</v>
      </c>
      <c r="D2637" s="2" t="s">
        <v>886</v>
      </c>
      <c r="E2637" s="6">
        <v>46076.40516203704</v>
      </c>
      <c r="F2637" s="3" t="s">
        <v>887</v>
      </c>
      <c r="G2637" s="2" t="s">
        <v>24</v>
      </c>
      <c r="H2637" s="2"/>
      <c r="I2637" s="2"/>
      <c r="J2637" s="2"/>
      <c r="L2637" s="2" t="s">
        <v>2810</v>
      </c>
    </row>
    <row r="2638">
      <c r="A2638" s="8" t="s">
        <v>2965</v>
      </c>
      <c r="B2638" s="8" t="s">
        <v>2965</v>
      </c>
      <c r="C2638" s="2" t="s">
        <v>1618</v>
      </c>
      <c r="D2638" s="2" t="s">
        <v>1619</v>
      </c>
      <c r="E2638" s="6">
        <v>46076.45712962963</v>
      </c>
      <c r="F2638" s="3" t="s">
        <v>1620</v>
      </c>
      <c r="G2638" s="2" t="s">
        <v>24</v>
      </c>
      <c r="H2638" s="2"/>
      <c r="I2638" s="2"/>
      <c r="J2638" s="2"/>
      <c r="L2638" s="2" t="s">
        <v>2810</v>
      </c>
    </row>
    <row r="2639">
      <c r="A2639" s="8" t="s">
        <v>2966</v>
      </c>
      <c r="B2639" s="8" t="s">
        <v>2966</v>
      </c>
      <c r="C2639" s="2" t="s">
        <v>1889</v>
      </c>
      <c r="D2639" s="2" t="s">
        <v>1890</v>
      </c>
      <c r="E2639" s="6">
        <v>46076.45744212963</v>
      </c>
      <c r="F2639" s="3" t="s">
        <v>1891</v>
      </c>
      <c r="G2639" s="2" t="s">
        <v>24</v>
      </c>
      <c r="H2639" s="2"/>
      <c r="I2639" s="2"/>
      <c r="J2639" s="2"/>
      <c r="L2639" s="2" t="s">
        <v>2810</v>
      </c>
    </row>
    <row r="2640">
      <c r="A2640" s="8" t="s">
        <v>2967</v>
      </c>
      <c r="B2640" s="8" t="s">
        <v>2967</v>
      </c>
      <c r="C2640" s="2" t="s">
        <v>786</v>
      </c>
      <c r="D2640" s="2" t="s">
        <v>787</v>
      </c>
      <c r="E2640" s="6">
        <v>46076.458020833335</v>
      </c>
      <c r="F2640" s="3" t="s">
        <v>788</v>
      </c>
      <c r="G2640" s="2" t="s">
        <v>16</v>
      </c>
      <c r="H2640" s="2"/>
      <c r="I2640" s="2" t="s">
        <v>17</v>
      </c>
      <c r="J2640" s="2"/>
      <c r="L2640" s="2" t="s">
        <v>2810</v>
      </c>
    </row>
    <row r="2641">
      <c r="A2641" s="8" t="s">
        <v>2968</v>
      </c>
      <c r="B2641" s="8" t="s">
        <v>2968</v>
      </c>
      <c r="C2641" s="2" t="s">
        <v>1756</v>
      </c>
      <c r="D2641" s="2" t="s">
        <v>1757</v>
      </c>
      <c r="E2641" s="6">
        <v>46076.458333333336</v>
      </c>
      <c r="F2641" s="3" t="s">
        <v>1758</v>
      </c>
      <c r="G2641" s="2" t="s">
        <v>16</v>
      </c>
      <c r="H2641" s="2"/>
      <c r="I2641" s="2" t="s">
        <v>17</v>
      </c>
      <c r="J2641" s="2"/>
      <c r="L2641" s="2" t="s">
        <v>2810</v>
      </c>
    </row>
    <row r="2642">
      <c r="A2642" s="8" t="s">
        <v>2969</v>
      </c>
      <c r="B2642" s="8" t="s">
        <v>2969</v>
      </c>
      <c r="C2642" s="2" t="s">
        <v>1993</v>
      </c>
      <c r="D2642" s="2" t="s">
        <v>1994</v>
      </c>
      <c r="E2642" s="6">
        <v>46076.49717592593</v>
      </c>
      <c r="F2642" s="3" t="s">
        <v>1995</v>
      </c>
      <c r="G2642" s="2" t="s">
        <v>24</v>
      </c>
      <c r="H2642" s="2"/>
      <c r="I2642" s="2"/>
      <c r="J2642" s="2"/>
      <c r="L2642" s="2" t="s">
        <v>2810</v>
      </c>
    </row>
    <row r="2643">
      <c r="A2643" s="8" t="s">
        <v>2970</v>
      </c>
      <c r="B2643" s="8" t="s">
        <v>2970</v>
      </c>
      <c r="C2643" s="2" t="s">
        <v>49</v>
      </c>
      <c r="D2643" s="2" t="s">
        <v>50</v>
      </c>
      <c r="E2643" s="6">
        <v>46076.49798611111</v>
      </c>
      <c r="F2643" s="3" t="s">
        <v>51</v>
      </c>
      <c r="G2643" s="2" t="s">
        <v>24</v>
      </c>
      <c r="H2643" s="2"/>
      <c r="I2643" s="2"/>
      <c r="J2643" s="2"/>
      <c r="L2643" s="2" t="s">
        <v>2810</v>
      </c>
    </row>
    <row r="2644">
      <c r="A2644" s="8" t="s">
        <v>2971</v>
      </c>
      <c r="B2644" s="8" t="s">
        <v>2971</v>
      </c>
      <c r="C2644" s="2" t="s">
        <v>2081</v>
      </c>
      <c r="D2644" s="2" t="s">
        <v>2082</v>
      </c>
      <c r="E2644" s="6">
        <v>46076.499375</v>
      </c>
      <c r="F2644" s="3" t="s">
        <v>2083</v>
      </c>
      <c r="G2644" s="2" t="s">
        <v>16</v>
      </c>
      <c r="H2644" s="2"/>
      <c r="I2644" s="2" t="s">
        <v>17</v>
      </c>
      <c r="J2644" s="2"/>
      <c r="L2644" s="2" t="s">
        <v>2810</v>
      </c>
    </row>
    <row r="2645">
      <c r="A2645" s="8" t="s">
        <v>2972</v>
      </c>
      <c r="B2645" s="8" t="s">
        <v>2972</v>
      </c>
      <c r="C2645" s="2" t="s">
        <v>1573</v>
      </c>
      <c r="D2645" s="2" t="s">
        <v>1574</v>
      </c>
      <c r="E2645" s="6">
        <v>46076.507210648146</v>
      </c>
      <c r="F2645" s="3" t="s">
        <v>1575</v>
      </c>
      <c r="G2645" s="2" t="s">
        <v>16</v>
      </c>
      <c r="H2645" s="2"/>
      <c r="I2645" s="2" t="s">
        <v>17</v>
      </c>
      <c r="J2645" s="2"/>
      <c r="L2645" s="2" t="s">
        <v>2810</v>
      </c>
    </row>
    <row r="2646">
      <c r="A2646" s="8" t="s">
        <v>2973</v>
      </c>
      <c r="B2646" s="8" t="s">
        <v>2973</v>
      </c>
      <c r="C2646" s="2" t="s">
        <v>786</v>
      </c>
      <c r="D2646" s="2" t="s">
        <v>787</v>
      </c>
      <c r="E2646" s="6">
        <v>46076.66722222222</v>
      </c>
      <c r="F2646" s="3" t="s">
        <v>788</v>
      </c>
      <c r="G2646" s="2" t="s">
        <v>24</v>
      </c>
      <c r="H2646" s="2"/>
      <c r="I2646" s="2"/>
      <c r="J2646" s="2"/>
      <c r="L2646" s="2" t="s">
        <v>2810</v>
      </c>
    </row>
    <row r="2647">
      <c r="A2647" s="8" t="s">
        <v>2974</v>
      </c>
      <c r="B2647" s="8" t="s">
        <v>2974</v>
      </c>
      <c r="C2647" s="2" t="s">
        <v>2081</v>
      </c>
      <c r="D2647" s="2" t="s">
        <v>2082</v>
      </c>
      <c r="E2647" s="6">
        <v>46076.66753472222</v>
      </c>
      <c r="F2647" s="3" t="s">
        <v>2083</v>
      </c>
      <c r="G2647" s="2" t="s">
        <v>24</v>
      </c>
      <c r="H2647" s="2"/>
      <c r="I2647" s="2"/>
      <c r="J2647" s="2"/>
      <c r="L2647" s="2" t="s">
        <v>2810</v>
      </c>
    </row>
    <row r="2648">
      <c r="A2648" s="8" t="s">
        <v>2975</v>
      </c>
      <c r="B2648" s="8" t="s">
        <v>2975</v>
      </c>
      <c r="C2648" s="2" t="s">
        <v>1573</v>
      </c>
      <c r="D2648" s="2" t="s">
        <v>1574</v>
      </c>
      <c r="E2648" s="6">
        <v>46076.70144675926</v>
      </c>
      <c r="F2648" s="3" t="s">
        <v>1575</v>
      </c>
      <c r="G2648" s="2" t="s">
        <v>24</v>
      </c>
      <c r="H2648" s="2"/>
      <c r="I2648" s="2"/>
      <c r="J2648" s="2"/>
      <c r="L2648" s="2" t="s">
        <v>2810</v>
      </c>
    </row>
    <row r="2649">
      <c r="A2649" s="8" t="s">
        <v>2976</v>
      </c>
      <c r="B2649" s="8" t="s">
        <v>2976</v>
      </c>
      <c r="C2649" s="2" t="s">
        <v>2640</v>
      </c>
      <c r="D2649" s="2" t="s">
        <v>2641</v>
      </c>
      <c r="E2649" s="6">
        <v>46076.70214120371</v>
      </c>
      <c r="F2649" s="3" t="s">
        <v>2642</v>
      </c>
      <c r="G2649" s="2" t="s">
        <v>24</v>
      </c>
      <c r="H2649" s="2"/>
      <c r="I2649" s="2"/>
      <c r="J2649" s="2"/>
      <c r="L2649" s="2" t="s">
        <v>2810</v>
      </c>
    </row>
    <row r="2650">
      <c r="A2650" s="8" t="s">
        <v>2977</v>
      </c>
      <c r="B2650" s="8" t="s">
        <v>2977</v>
      </c>
      <c r="C2650" s="2" t="s">
        <v>904</v>
      </c>
      <c r="D2650" s="2" t="s">
        <v>905</v>
      </c>
      <c r="E2650" s="6">
        <v>46077.358298611114</v>
      </c>
      <c r="F2650" s="3" t="s">
        <v>906</v>
      </c>
      <c r="G2650" s="2" t="s">
        <v>16</v>
      </c>
      <c r="H2650" s="2"/>
      <c r="I2650" s="2" t="s">
        <v>395</v>
      </c>
      <c r="J2650" s="2"/>
      <c r="L2650" s="2" t="s">
        <v>2810</v>
      </c>
    </row>
    <row r="2651">
      <c r="A2651" s="8" t="s">
        <v>2978</v>
      </c>
      <c r="B2651" s="8" t="s">
        <v>2978</v>
      </c>
      <c r="C2651" s="2" t="s">
        <v>45</v>
      </c>
      <c r="D2651" s="2" t="s">
        <v>46</v>
      </c>
      <c r="E2651" s="6">
        <v>46077.364375</v>
      </c>
      <c r="F2651" s="3" t="s">
        <v>47</v>
      </c>
      <c r="G2651" s="2" t="s">
        <v>16</v>
      </c>
      <c r="H2651" s="2"/>
      <c r="I2651" s="2"/>
      <c r="J2651" s="2"/>
      <c r="L2651" s="2" t="s">
        <v>2814</v>
      </c>
    </row>
    <row r="2652">
      <c r="A2652" s="8" t="s">
        <v>2979</v>
      </c>
      <c r="B2652" s="8" t="s">
        <v>2979</v>
      </c>
      <c r="C2652" s="2" t="s">
        <v>2640</v>
      </c>
      <c r="D2652" s="2" t="s">
        <v>2641</v>
      </c>
      <c r="E2652" s="6">
        <v>46077.365381944444</v>
      </c>
      <c r="F2652" s="3" t="s">
        <v>2642</v>
      </c>
      <c r="G2652" s="2" t="s">
        <v>16</v>
      </c>
      <c r="H2652" s="2"/>
      <c r="I2652" s="2" t="s">
        <v>17</v>
      </c>
      <c r="J2652" s="2"/>
      <c r="L2652" s="2" t="s">
        <v>2814</v>
      </c>
    </row>
    <row r="2653">
      <c r="A2653" s="8" t="s">
        <v>2980</v>
      </c>
      <c r="B2653" s="8" t="s">
        <v>2980</v>
      </c>
      <c r="C2653" s="2" t="s">
        <v>2081</v>
      </c>
      <c r="D2653" s="2" t="s">
        <v>2082</v>
      </c>
      <c r="E2653" s="6">
        <v>46077.42931712963</v>
      </c>
      <c r="F2653" s="3" t="s">
        <v>2083</v>
      </c>
      <c r="G2653" s="2" t="s">
        <v>16</v>
      </c>
      <c r="H2653" s="2"/>
      <c r="I2653" s="2" t="s">
        <v>17</v>
      </c>
      <c r="J2653" s="2"/>
      <c r="L2653" s="2" t="s">
        <v>2810</v>
      </c>
    </row>
    <row r="2654">
      <c r="A2654" s="8" t="s">
        <v>2981</v>
      </c>
      <c r="B2654" s="8" t="s">
        <v>2981</v>
      </c>
      <c r="C2654" s="2" t="s">
        <v>1745</v>
      </c>
      <c r="D2654" s="2" t="s">
        <v>1746</v>
      </c>
      <c r="E2654" s="6">
        <v>46077.43116898148</v>
      </c>
      <c r="F2654" s="3" t="s">
        <v>1747</v>
      </c>
      <c r="G2654" s="2" t="s">
        <v>16</v>
      </c>
      <c r="H2654" s="2"/>
      <c r="I2654" s="2" t="s">
        <v>395</v>
      </c>
      <c r="J2654" s="2"/>
      <c r="L2654" s="2" t="s">
        <v>2810</v>
      </c>
    </row>
    <row r="2655">
      <c r="A2655" s="8" t="s">
        <v>2982</v>
      </c>
      <c r="B2655" s="8" t="s">
        <v>2982</v>
      </c>
      <c r="C2655" s="2" t="s">
        <v>2032</v>
      </c>
      <c r="D2655" s="2" t="s">
        <v>2033</v>
      </c>
      <c r="E2655" s="6">
        <v>46077.43273148148</v>
      </c>
      <c r="F2655" s="3" t="s">
        <v>2803</v>
      </c>
      <c r="G2655" s="2" t="s">
        <v>16</v>
      </c>
      <c r="H2655" s="2"/>
      <c r="I2655" s="2" t="s">
        <v>395</v>
      </c>
      <c r="J2655" s="2"/>
      <c r="L2655" s="2" t="s">
        <v>2810</v>
      </c>
    </row>
    <row r="2656">
      <c r="A2656" s="8" t="s">
        <v>2983</v>
      </c>
      <c r="B2656" s="8" t="s">
        <v>2983</v>
      </c>
      <c r="C2656" s="2" t="s">
        <v>2640</v>
      </c>
      <c r="D2656" s="2" t="s">
        <v>2641</v>
      </c>
      <c r="E2656" s="6">
        <v>46077.44616898148</v>
      </c>
      <c r="F2656" s="3" t="s">
        <v>2642</v>
      </c>
      <c r="G2656" s="2" t="s">
        <v>24</v>
      </c>
      <c r="H2656" s="2"/>
      <c r="I2656" s="2"/>
      <c r="J2656" s="2"/>
      <c r="L2656" s="2" t="s">
        <v>2810</v>
      </c>
    </row>
    <row r="2657">
      <c r="A2657" s="8" t="s">
        <v>2984</v>
      </c>
      <c r="B2657" s="8" t="s">
        <v>2984</v>
      </c>
      <c r="C2657" s="2" t="s">
        <v>904</v>
      </c>
      <c r="D2657" s="2" t="s">
        <v>905</v>
      </c>
      <c r="E2657" s="6">
        <v>46077.6066087963</v>
      </c>
      <c r="F2657" s="3" t="s">
        <v>906</v>
      </c>
      <c r="G2657" s="2" t="s">
        <v>24</v>
      </c>
      <c r="H2657" s="2"/>
      <c r="I2657" s="2"/>
      <c r="J2657" s="2"/>
      <c r="L2657" s="2" t="s">
        <v>2810</v>
      </c>
    </row>
    <row r="2658">
      <c r="A2658" s="8" t="s">
        <v>2985</v>
      </c>
      <c r="B2658" s="8" t="s">
        <v>2985</v>
      </c>
      <c r="C2658" s="2" t="s">
        <v>1371</v>
      </c>
      <c r="D2658" s="2" t="s">
        <v>1372</v>
      </c>
      <c r="E2658" s="6">
        <v>46077.607199074075</v>
      </c>
      <c r="F2658" s="3" t="s">
        <v>1373</v>
      </c>
      <c r="G2658" s="2" t="s">
        <v>24</v>
      </c>
      <c r="H2658" s="2"/>
      <c r="I2658" s="2"/>
      <c r="J2658" s="2"/>
      <c r="L2658" s="2" t="s">
        <v>2810</v>
      </c>
    </row>
    <row r="2659">
      <c r="A2659" s="8" t="s">
        <v>2986</v>
      </c>
      <c r="B2659" s="8" t="s">
        <v>2986</v>
      </c>
      <c r="C2659" s="2" t="s">
        <v>2032</v>
      </c>
      <c r="D2659" s="2" t="s">
        <v>2033</v>
      </c>
      <c r="E2659" s="6">
        <v>46077.60765046296</v>
      </c>
      <c r="F2659" s="3" t="s">
        <v>2803</v>
      </c>
      <c r="G2659" s="2" t="s">
        <v>24</v>
      </c>
      <c r="H2659" s="2"/>
      <c r="I2659" s="2"/>
      <c r="J2659" s="2"/>
      <c r="L2659" s="2" t="s">
        <v>2810</v>
      </c>
    </row>
    <row r="2660">
      <c r="A2660" s="8" t="s">
        <v>2987</v>
      </c>
      <c r="B2660" s="8" t="s">
        <v>2987</v>
      </c>
      <c r="C2660" s="2" t="s">
        <v>1745</v>
      </c>
      <c r="D2660" s="2" t="s">
        <v>1746</v>
      </c>
      <c r="E2660" s="6">
        <v>46077.60811342593</v>
      </c>
      <c r="F2660" s="3" t="s">
        <v>1747</v>
      </c>
      <c r="G2660" s="2" t="s">
        <v>24</v>
      </c>
      <c r="H2660" s="2"/>
      <c r="I2660" s="2"/>
      <c r="J2660" s="2"/>
      <c r="L2660" s="2" t="s">
        <v>2810</v>
      </c>
    </row>
    <row r="2661">
      <c r="A2661" s="8" t="s">
        <v>2988</v>
      </c>
      <c r="B2661" s="8" t="s">
        <v>2988</v>
      </c>
      <c r="C2661" s="2" t="s">
        <v>2913</v>
      </c>
      <c r="D2661" s="2" t="s">
        <v>2914</v>
      </c>
      <c r="E2661" s="6">
        <v>46077.608622685184</v>
      </c>
      <c r="F2661" s="3" t="s">
        <v>2915</v>
      </c>
      <c r="G2661" s="2" t="s">
        <v>24</v>
      </c>
      <c r="H2661" s="2"/>
      <c r="I2661" s="2"/>
      <c r="J2661" s="2"/>
      <c r="L2661" s="2" t="s">
        <v>2810</v>
      </c>
    </row>
    <row r="2662">
      <c r="A2662" s="8" t="s">
        <v>2989</v>
      </c>
      <c r="B2662" s="8" t="s">
        <v>2989</v>
      </c>
      <c r="C2662" s="2" t="s">
        <v>45</v>
      </c>
      <c r="D2662" s="2" t="s">
        <v>46</v>
      </c>
      <c r="E2662" s="6">
        <v>46078.34818287037</v>
      </c>
      <c r="F2662" s="3" t="s">
        <v>47</v>
      </c>
      <c r="G2662" s="2" t="s">
        <v>24</v>
      </c>
      <c r="H2662" s="2"/>
      <c r="I2662" s="2"/>
      <c r="J2662" s="2"/>
      <c r="L2662" s="2" t="s">
        <v>2810</v>
      </c>
    </row>
    <row r="2663">
      <c r="A2663" s="8" t="s">
        <v>2990</v>
      </c>
      <c r="B2663" s="8" t="s">
        <v>2990</v>
      </c>
      <c r="C2663" s="2" t="s">
        <v>320</v>
      </c>
      <c r="D2663" s="2" t="s">
        <v>321</v>
      </c>
      <c r="E2663" s="6">
        <v>46078.39969907407</v>
      </c>
      <c r="F2663" s="3" t="s">
        <v>322</v>
      </c>
      <c r="G2663" s="2" t="s">
        <v>16</v>
      </c>
      <c r="H2663" s="2"/>
      <c r="I2663" s="2" t="s">
        <v>17</v>
      </c>
      <c r="J2663" s="2"/>
      <c r="L2663" s="2" t="s">
        <v>2814</v>
      </c>
    </row>
    <row r="2664">
      <c r="A2664" s="8" t="s">
        <v>2991</v>
      </c>
      <c r="B2664" s="8" t="s">
        <v>2991</v>
      </c>
      <c r="C2664" s="2" t="s">
        <v>1993</v>
      </c>
      <c r="D2664" s="2" t="s">
        <v>1994</v>
      </c>
      <c r="E2664" s="6">
        <v>46078.41131944444</v>
      </c>
      <c r="F2664" s="3" t="s">
        <v>1995</v>
      </c>
      <c r="G2664" s="2" t="s">
        <v>16</v>
      </c>
      <c r="H2664" s="2"/>
      <c r="I2664" s="2" t="s">
        <v>17</v>
      </c>
      <c r="J2664" s="2"/>
      <c r="L2664" s="2" t="s">
        <v>2814</v>
      </c>
    </row>
    <row r="2665">
      <c r="A2665" s="8" t="s">
        <v>2992</v>
      </c>
      <c r="B2665" s="8" t="s">
        <v>2992</v>
      </c>
      <c r="C2665" s="2" t="s">
        <v>55</v>
      </c>
      <c r="D2665" s="2" t="s">
        <v>56</v>
      </c>
      <c r="E2665" s="6">
        <v>46078.46363425926</v>
      </c>
      <c r="F2665" s="3" t="s">
        <v>57</v>
      </c>
      <c r="G2665" s="2" t="s">
        <v>24</v>
      </c>
      <c r="H2665" s="2"/>
      <c r="I2665" s="2"/>
      <c r="J2665" s="2"/>
      <c r="L2665" s="2" t="s">
        <v>2810</v>
      </c>
    </row>
    <row r="2666">
      <c r="A2666" s="8" t="s">
        <v>2993</v>
      </c>
      <c r="B2666" s="8" t="s">
        <v>2993</v>
      </c>
      <c r="C2666" s="2" t="s">
        <v>109</v>
      </c>
      <c r="D2666" s="2" t="s">
        <v>110</v>
      </c>
      <c r="E2666" s="6">
        <v>46078.464594907404</v>
      </c>
      <c r="F2666" s="3" t="s">
        <v>111</v>
      </c>
      <c r="G2666" s="2" t="s">
        <v>24</v>
      </c>
      <c r="H2666" s="2"/>
      <c r="I2666" s="2"/>
      <c r="J2666" s="2"/>
      <c r="L2666" s="2" t="s">
        <v>2810</v>
      </c>
    </row>
    <row r="2667">
      <c r="A2667" s="8" t="s">
        <v>2994</v>
      </c>
      <c r="B2667" s="8" t="s">
        <v>2994</v>
      </c>
      <c r="C2667" s="2" t="s">
        <v>320</v>
      </c>
      <c r="D2667" s="2" t="s">
        <v>321</v>
      </c>
      <c r="E2667" s="6">
        <v>46078.46517361111</v>
      </c>
      <c r="F2667" s="3" t="s">
        <v>322</v>
      </c>
      <c r="G2667" s="2" t="s">
        <v>24</v>
      </c>
      <c r="H2667" s="2"/>
      <c r="I2667" s="2"/>
      <c r="J2667" s="2"/>
      <c r="L2667" s="2" t="s">
        <v>2810</v>
      </c>
    </row>
    <row r="2668">
      <c r="A2668" s="8" t="s">
        <v>2995</v>
      </c>
      <c r="B2668" s="8" t="s">
        <v>2995</v>
      </c>
      <c r="C2668" s="2" t="s">
        <v>1889</v>
      </c>
      <c r="D2668" s="2" t="s">
        <v>1890</v>
      </c>
      <c r="E2668" s="6">
        <v>46078.465578703705</v>
      </c>
      <c r="F2668" s="3" t="s">
        <v>1891</v>
      </c>
      <c r="G2668" s="2" t="s">
        <v>24</v>
      </c>
      <c r="H2668" s="2"/>
      <c r="I2668" s="2"/>
      <c r="J2668" s="2"/>
      <c r="L2668" s="2" t="s">
        <v>2810</v>
      </c>
    </row>
    <row r="2669">
      <c r="A2669" s="8" t="s">
        <v>2996</v>
      </c>
      <c r="B2669" s="8" t="s">
        <v>2996</v>
      </c>
      <c r="C2669" s="2" t="s">
        <v>2005</v>
      </c>
      <c r="D2669" s="2" t="s">
        <v>2006</v>
      </c>
      <c r="E2669" s="6">
        <v>46078.475694444445</v>
      </c>
      <c r="F2669" s="3" t="s">
        <v>2007</v>
      </c>
      <c r="G2669" s="2" t="s">
        <v>16</v>
      </c>
      <c r="H2669" s="2"/>
      <c r="I2669" s="2" t="s">
        <v>17</v>
      </c>
      <c r="J2669" s="2"/>
      <c r="L2669" s="2" t="s">
        <v>2814</v>
      </c>
    </row>
    <row r="2670">
      <c r="A2670" s="8" t="s">
        <v>2997</v>
      </c>
      <c r="B2670" s="8" t="s">
        <v>2997</v>
      </c>
      <c r="C2670" s="2" t="s">
        <v>2005</v>
      </c>
      <c r="D2670" s="2" t="s">
        <v>2006</v>
      </c>
      <c r="E2670" s="6">
        <v>46078.59746527778</v>
      </c>
      <c r="F2670" s="3" t="s">
        <v>2007</v>
      </c>
      <c r="G2670" s="2" t="s">
        <v>24</v>
      </c>
      <c r="H2670" s="2"/>
      <c r="I2670" s="2"/>
      <c r="J2670" s="2"/>
      <c r="L2670" s="2" t="s">
        <v>2810</v>
      </c>
    </row>
    <row r="2671">
      <c r="A2671" s="8" t="s">
        <v>2998</v>
      </c>
      <c r="B2671" s="8" t="s">
        <v>2998</v>
      </c>
      <c r="C2671" s="2" t="s">
        <v>2913</v>
      </c>
      <c r="D2671" s="2" t="s">
        <v>2914</v>
      </c>
      <c r="E2671" s="6">
        <v>46079.359664351854</v>
      </c>
      <c r="F2671" s="3" t="s">
        <v>2915</v>
      </c>
      <c r="G2671" s="2" t="s">
        <v>16</v>
      </c>
      <c r="H2671" s="2"/>
      <c r="I2671" s="2" t="s">
        <v>17</v>
      </c>
      <c r="J2671" s="2"/>
      <c r="L2671" s="2" t="s">
        <v>2814</v>
      </c>
    </row>
    <row r="2672">
      <c r="A2672" s="8" t="s">
        <v>2999</v>
      </c>
      <c r="B2672" s="8" t="s">
        <v>2999</v>
      </c>
      <c r="C2672" s="2" t="s">
        <v>786</v>
      </c>
      <c r="D2672" s="2" t="s">
        <v>787</v>
      </c>
      <c r="E2672" s="6">
        <v>46079.35974537037</v>
      </c>
      <c r="F2672" s="3" t="s">
        <v>788</v>
      </c>
      <c r="G2672" s="2" t="s">
        <v>16</v>
      </c>
      <c r="H2672" s="2"/>
      <c r="I2672" s="2" t="s">
        <v>17</v>
      </c>
      <c r="J2672" s="2"/>
      <c r="L2672" s="2" t="s">
        <v>2814</v>
      </c>
    </row>
    <row r="2673">
      <c r="A2673" s="8" t="s">
        <v>3000</v>
      </c>
      <c r="B2673" s="8" t="s">
        <v>3000</v>
      </c>
      <c r="C2673" s="2" t="s">
        <v>2640</v>
      </c>
      <c r="D2673" s="2" t="s">
        <v>2641</v>
      </c>
      <c r="E2673" s="6">
        <v>46079.36482638889</v>
      </c>
      <c r="F2673" s="3" t="s">
        <v>2642</v>
      </c>
      <c r="G2673" s="2" t="s">
        <v>16</v>
      </c>
      <c r="H2673" s="2"/>
      <c r="I2673" s="2" t="s">
        <v>17</v>
      </c>
      <c r="J2673" s="2"/>
      <c r="L2673" s="2" t="s">
        <v>2814</v>
      </c>
    </row>
    <row r="2674">
      <c r="A2674" s="8" t="s">
        <v>3001</v>
      </c>
      <c r="B2674" s="8" t="s">
        <v>3001</v>
      </c>
      <c r="C2674" s="2" t="s">
        <v>1705</v>
      </c>
      <c r="D2674" s="2" t="s">
        <v>1706</v>
      </c>
      <c r="E2674" s="6">
        <v>46079.39561342593</v>
      </c>
      <c r="F2674" s="3" t="s">
        <v>1707</v>
      </c>
      <c r="G2674" s="2" t="s">
        <v>16</v>
      </c>
      <c r="H2674" s="2"/>
      <c r="I2674" s="2" t="s">
        <v>17</v>
      </c>
      <c r="J2674" s="2"/>
      <c r="L2674" s="2" t="s">
        <v>2814</v>
      </c>
    </row>
    <row r="2675">
      <c r="A2675" s="8" t="s">
        <v>3002</v>
      </c>
      <c r="B2675" s="8" t="s">
        <v>3002</v>
      </c>
      <c r="C2675" s="2" t="s">
        <v>2543</v>
      </c>
      <c r="D2675" s="2" t="s">
        <v>2544</v>
      </c>
      <c r="E2675" s="6">
        <v>46079.41789351852</v>
      </c>
      <c r="F2675" s="3" t="s">
        <v>2545</v>
      </c>
      <c r="G2675" s="2" t="s">
        <v>24</v>
      </c>
      <c r="H2675" s="2"/>
      <c r="I2675" s="2"/>
      <c r="J2675" s="2"/>
      <c r="L2675" s="2" t="s">
        <v>2810</v>
      </c>
    </row>
    <row r="2676">
      <c r="A2676" s="8" t="s">
        <v>3003</v>
      </c>
      <c r="B2676" s="8" t="s">
        <v>3003</v>
      </c>
      <c r="C2676" s="2" t="s">
        <v>951</v>
      </c>
      <c r="D2676" s="2" t="s">
        <v>952</v>
      </c>
      <c r="E2676" s="6">
        <v>46079.41835648148</v>
      </c>
      <c r="F2676" s="3" t="s">
        <v>953</v>
      </c>
      <c r="G2676" s="2" t="s">
        <v>24</v>
      </c>
      <c r="H2676" s="2"/>
      <c r="I2676" s="2"/>
      <c r="J2676" s="2"/>
      <c r="L2676" s="2" t="s">
        <v>2810</v>
      </c>
    </row>
    <row r="2677">
      <c r="A2677" s="8" t="s">
        <v>3004</v>
      </c>
      <c r="B2677" s="8" t="s">
        <v>3004</v>
      </c>
      <c r="C2677" s="2" t="s">
        <v>131</v>
      </c>
      <c r="D2677" s="2" t="s">
        <v>132</v>
      </c>
      <c r="E2677" s="6">
        <v>46079.42039351852</v>
      </c>
      <c r="F2677" s="3" t="s">
        <v>133</v>
      </c>
      <c r="G2677" s="2" t="s">
        <v>24</v>
      </c>
      <c r="H2677" s="2"/>
      <c r="I2677" s="2"/>
      <c r="J2677" s="2"/>
      <c r="L2677" s="2" t="s">
        <v>2810</v>
      </c>
    </row>
    <row r="2678">
      <c r="A2678" s="8" t="s">
        <v>3005</v>
      </c>
      <c r="B2678" s="8" t="s">
        <v>3005</v>
      </c>
      <c r="C2678" s="2" t="s">
        <v>2640</v>
      </c>
      <c r="D2678" s="2" t="s">
        <v>2641</v>
      </c>
      <c r="E2678" s="6">
        <v>46079.440983796296</v>
      </c>
      <c r="F2678" s="3" t="s">
        <v>2642</v>
      </c>
      <c r="G2678" s="2" t="s">
        <v>24</v>
      </c>
      <c r="H2678" s="2"/>
      <c r="I2678" s="2"/>
      <c r="J2678" s="2"/>
      <c r="L2678" s="2" t="s">
        <v>2810</v>
      </c>
    </row>
    <row r="2679">
      <c r="A2679" s="8" t="s">
        <v>3006</v>
      </c>
      <c r="B2679" s="8" t="s">
        <v>3006</v>
      </c>
      <c r="C2679" s="2" t="s">
        <v>2913</v>
      </c>
      <c r="D2679" s="2" t="s">
        <v>2914</v>
      </c>
      <c r="E2679" s="6">
        <v>46079.441655092596</v>
      </c>
      <c r="F2679" s="3" t="s">
        <v>2915</v>
      </c>
      <c r="G2679" s="2" t="s">
        <v>24</v>
      </c>
      <c r="H2679" s="2"/>
      <c r="I2679" s="2"/>
      <c r="J2679" s="2"/>
      <c r="L2679" s="2" t="s">
        <v>2810</v>
      </c>
    </row>
    <row r="2680">
      <c r="A2680" s="8" t="s">
        <v>3007</v>
      </c>
      <c r="B2680" s="8" t="s">
        <v>3007</v>
      </c>
      <c r="C2680" s="2" t="s">
        <v>2543</v>
      </c>
      <c r="D2680" s="2" t="s">
        <v>2544</v>
      </c>
      <c r="E2680" s="6">
        <v>46079.49256944445</v>
      </c>
      <c r="F2680" s="3" t="s">
        <v>2545</v>
      </c>
      <c r="G2680" s="2" t="s">
        <v>16</v>
      </c>
      <c r="H2680" s="2"/>
      <c r="I2680" s="2" t="s">
        <v>17</v>
      </c>
      <c r="J2680" s="2"/>
      <c r="L2680" s="2" t="s">
        <v>2814</v>
      </c>
    </row>
    <row r="2681">
      <c r="A2681" s="8" t="s">
        <v>3008</v>
      </c>
      <c r="B2681" s="8" t="s">
        <v>3008</v>
      </c>
      <c r="C2681" s="2" t="s">
        <v>1838</v>
      </c>
      <c r="D2681" s="2" t="s">
        <v>1839</v>
      </c>
      <c r="E2681" s="6">
        <v>46079.51744212963</v>
      </c>
      <c r="F2681" s="3" t="s">
        <v>1840</v>
      </c>
      <c r="G2681" s="2" t="s">
        <v>24</v>
      </c>
      <c r="H2681" s="2"/>
      <c r="I2681" s="2"/>
      <c r="J2681" s="2"/>
      <c r="L2681" s="2" t="s">
        <v>2810</v>
      </c>
    </row>
    <row r="2682">
      <c r="A2682" s="8" t="s">
        <v>3009</v>
      </c>
      <c r="B2682" s="8" t="s">
        <v>3009</v>
      </c>
      <c r="C2682" s="2" t="s">
        <v>1838</v>
      </c>
      <c r="D2682" s="2" t="s">
        <v>1839</v>
      </c>
      <c r="E2682" s="6">
        <v>46079.51770833333</v>
      </c>
      <c r="F2682" s="3" t="s">
        <v>1840</v>
      </c>
      <c r="G2682" s="2" t="s">
        <v>16</v>
      </c>
      <c r="H2682" s="2"/>
      <c r="I2682" s="2" t="s">
        <v>395</v>
      </c>
      <c r="J2682" s="2"/>
      <c r="L2682" s="2" t="s">
        <v>2814</v>
      </c>
    </row>
    <row r="2683">
      <c r="A2683" s="8" t="s">
        <v>3010</v>
      </c>
      <c r="B2683" s="8" t="s">
        <v>3010</v>
      </c>
      <c r="C2683" s="2" t="s">
        <v>786</v>
      </c>
      <c r="D2683" s="2" t="s">
        <v>787</v>
      </c>
      <c r="E2683" s="6">
        <v>46079.61856481482</v>
      </c>
      <c r="F2683" s="3" t="s">
        <v>788</v>
      </c>
      <c r="G2683" s="2" t="s">
        <v>24</v>
      </c>
      <c r="H2683" s="2"/>
      <c r="I2683" s="2"/>
      <c r="J2683" s="2"/>
      <c r="L2683" s="2" t="s">
        <v>2810</v>
      </c>
    </row>
    <row r="2684">
      <c r="A2684" s="8" t="s">
        <v>3011</v>
      </c>
      <c r="B2684" s="8" t="s">
        <v>3011</v>
      </c>
      <c r="C2684" s="2" t="s">
        <v>1975</v>
      </c>
      <c r="D2684" s="2" t="s">
        <v>1976</v>
      </c>
      <c r="E2684" s="6">
        <v>46079.62079861111</v>
      </c>
      <c r="F2684" s="3" t="s">
        <v>1977</v>
      </c>
      <c r="G2684" s="2" t="s">
        <v>24</v>
      </c>
      <c r="H2684" s="2"/>
      <c r="I2684" s="2"/>
      <c r="J2684" s="2"/>
      <c r="L2684" s="2" t="s">
        <v>2810</v>
      </c>
    </row>
    <row r="2685">
      <c r="A2685" s="8" t="s">
        <v>3012</v>
      </c>
      <c r="B2685" s="8" t="s">
        <v>3012</v>
      </c>
      <c r="C2685" s="2" t="s">
        <v>1705</v>
      </c>
      <c r="D2685" s="2" t="s">
        <v>1706</v>
      </c>
      <c r="E2685" s="6">
        <v>46079.62186342593</v>
      </c>
      <c r="F2685" s="3" t="s">
        <v>1707</v>
      </c>
      <c r="G2685" s="2" t="s">
        <v>24</v>
      </c>
      <c r="H2685" s="2"/>
      <c r="I2685" s="2"/>
      <c r="J2685" s="2"/>
      <c r="L2685" s="2" t="s">
        <v>2810</v>
      </c>
    </row>
    <row r="2686">
      <c r="A2686" s="8" t="s">
        <v>3013</v>
      </c>
      <c r="B2686" s="8" t="s">
        <v>3013</v>
      </c>
      <c r="C2686" s="2" t="s">
        <v>464</v>
      </c>
      <c r="D2686" s="2" t="s">
        <v>465</v>
      </c>
      <c r="E2686" s="6">
        <v>46079.67333333333</v>
      </c>
      <c r="F2686" s="3" t="s">
        <v>466</v>
      </c>
      <c r="G2686" s="2" t="s">
        <v>24</v>
      </c>
      <c r="H2686" s="2"/>
      <c r="I2686" s="2"/>
      <c r="J2686" s="2"/>
      <c r="L2686" s="2" t="s">
        <v>2810</v>
      </c>
    </row>
    <row r="2687">
      <c r="A2687" s="8" t="s">
        <v>3014</v>
      </c>
      <c r="B2687" s="8" t="s">
        <v>3014</v>
      </c>
      <c r="C2687" s="2" t="s">
        <v>326</v>
      </c>
      <c r="D2687" s="2" t="s">
        <v>327</v>
      </c>
      <c r="E2687" s="6">
        <v>46079.674097222225</v>
      </c>
      <c r="F2687" s="3" t="s">
        <v>328</v>
      </c>
      <c r="G2687" s="2" t="s">
        <v>24</v>
      </c>
      <c r="H2687" s="2"/>
      <c r="I2687" s="2"/>
      <c r="J2687" s="2"/>
      <c r="L2687" s="2" t="s">
        <v>2810</v>
      </c>
    </row>
    <row r="2688">
      <c r="A2688" s="8" t="s">
        <v>3015</v>
      </c>
      <c r="B2688" s="8" t="s">
        <v>3015</v>
      </c>
      <c r="C2688" s="2" t="s">
        <v>320</v>
      </c>
      <c r="D2688" s="2" t="s">
        <v>321</v>
      </c>
      <c r="E2688" s="6">
        <v>46080.378287037034</v>
      </c>
      <c r="F2688" s="3" t="s">
        <v>322</v>
      </c>
      <c r="G2688" s="2" t="s">
        <v>16</v>
      </c>
      <c r="H2688" s="2"/>
      <c r="I2688" s="2" t="s">
        <v>17</v>
      </c>
      <c r="J2688" s="2"/>
      <c r="L2688" s="2" t="s">
        <v>2814</v>
      </c>
    </row>
    <row r="2689">
      <c r="A2689" s="1"/>
      <c r="B2689" s="1"/>
      <c r="C2689" s="2"/>
      <c r="D2689" s="2"/>
      <c r="E2689" s="6"/>
      <c r="F2689" s="3"/>
      <c r="G2689" s="2"/>
      <c r="H2689" s="2"/>
      <c r="I2689" s="2"/>
      <c r="J2689" s="2"/>
      <c r="L2689" s="2"/>
    </row>
    <row r="2690">
      <c r="A2690" s="8" t="s">
        <v>3016</v>
      </c>
      <c r="B2690" s="8" t="s">
        <v>3016</v>
      </c>
      <c r="C2690" s="2" t="s">
        <v>2623</v>
      </c>
      <c r="D2690" s="2" t="s">
        <v>2624</v>
      </c>
      <c r="E2690" s="6">
        <v>46080.37844907407</v>
      </c>
      <c r="F2690" s="3" t="s">
        <v>2625</v>
      </c>
      <c r="G2690" s="2" t="s">
        <v>16</v>
      </c>
      <c r="H2690" s="2"/>
      <c r="I2690" s="2" t="s">
        <v>17</v>
      </c>
      <c r="J2690" s="2"/>
      <c r="L2690" s="2" t="s">
        <v>2814</v>
      </c>
    </row>
    <row r="2691">
      <c r="A2691" s="8" t="s">
        <v>3017</v>
      </c>
      <c r="B2691" s="8" t="s">
        <v>3017</v>
      </c>
      <c r="C2691" s="2" t="s">
        <v>1228</v>
      </c>
      <c r="D2691" s="2" t="s">
        <v>1229</v>
      </c>
      <c r="E2691" s="6">
        <v>46080.38028935185</v>
      </c>
      <c r="F2691" s="3" t="s">
        <v>1230</v>
      </c>
      <c r="G2691" s="2" t="s">
        <v>16</v>
      </c>
      <c r="H2691" s="2"/>
      <c r="I2691" s="2" t="s">
        <v>17</v>
      </c>
      <c r="J2691" s="2"/>
      <c r="L2691" s="2" t="s">
        <v>2814</v>
      </c>
    </row>
    <row r="2692">
      <c r="A2692" s="8" t="s">
        <v>3018</v>
      </c>
      <c r="B2692" s="8" t="s">
        <v>3018</v>
      </c>
      <c r="C2692" s="2" t="s">
        <v>1873</v>
      </c>
      <c r="D2692" s="2" t="s">
        <v>1874</v>
      </c>
      <c r="E2692" s="6">
        <v>46080.57131944445</v>
      </c>
      <c r="F2692" s="3" t="s">
        <v>1875</v>
      </c>
      <c r="G2692" s="2" t="s">
        <v>16</v>
      </c>
      <c r="H2692" s="2"/>
      <c r="I2692" s="2" t="s">
        <v>395</v>
      </c>
      <c r="J2692" s="2"/>
      <c r="L2692" s="2" t="s">
        <v>2814</v>
      </c>
    </row>
    <row r="2693">
      <c r="A2693" s="8" t="s">
        <v>3019</v>
      </c>
      <c r="B2693" s="8" t="s">
        <v>3019</v>
      </c>
      <c r="C2693" s="2" t="s">
        <v>786</v>
      </c>
      <c r="D2693" s="2" t="s">
        <v>787</v>
      </c>
      <c r="E2693" s="6">
        <v>46080.632835648146</v>
      </c>
      <c r="F2693" s="3" t="s">
        <v>788</v>
      </c>
      <c r="G2693" s="2" t="s">
        <v>24</v>
      </c>
      <c r="H2693" s="2"/>
      <c r="I2693" s="2"/>
      <c r="J2693" s="2"/>
      <c r="L2693" s="2" t="s">
        <v>2810</v>
      </c>
    </row>
    <row r="2694">
      <c r="A2694" s="8" t="s">
        <v>3020</v>
      </c>
      <c r="B2694" s="8" t="s">
        <v>3020</v>
      </c>
      <c r="C2694" s="2" t="s">
        <v>2623</v>
      </c>
      <c r="D2694" s="2" t="s">
        <v>2624</v>
      </c>
      <c r="E2694" s="6">
        <v>46080.63392361111</v>
      </c>
      <c r="F2694" s="3" t="s">
        <v>2625</v>
      </c>
      <c r="G2694" s="2" t="s">
        <v>24</v>
      </c>
      <c r="H2694" s="2"/>
      <c r="I2694" s="2"/>
      <c r="J2694" s="2"/>
      <c r="L2694" s="2" t="s">
        <v>2810</v>
      </c>
    </row>
    <row r="2695">
      <c r="A2695" s="8" t="s">
        <v>3021</v>
      </c>
      <c r="B2695" s="8" t="s">
        <v>3021</v>
      </c>
      <c r="C2695" s="2" t="s">
        <v>1756</v>
      </c>
      <c r="D2695" s="2" t="s">
        <v>1757</v>
      </c>
      <c r="E2695" s="6">
        <v>46080.634201388886</v>
      </c>
      <c r="F2695" s="3" t="s">
        <v>1758</v>
      </c>
      <c r="G2695" s="2" t="s">
        <v>24</v>
      </c>
      <c r="H2695" s="2"/>
      <c r="I2695" s="2"/>
      <c r="J2695" s="2"/>
      <c r="L2695" s="2" t="s">
        <v>2810</v>
      </c>
    </row>
    <row r="2696">
      <c r="A2696" s="8" t="s">
        <v>3022</v>
      </c>
      <c r="B2696" s="8" t="s">
        <v>3022</v>
      </c>
      <c r="C2696" s="2" t="s">
        <v>1756</v>
      </c>
      <c r="D2696" s="2" t="s">
        <v>1757</v>
      </c>
      <c r="E2696" s="6">
        <v>46080.37835648148</v>
      </c>
      <c r="F2696" s="3" t="s">
        <v>1758</v>
      </c>
      <c r="G2696" s="2" t="s">
        <v>16</v>
      </c>
      <c r="H2696" s="2"/>
      <c r="I2696" s="2" t="s">
        <v>17</v>
      </c>
      <c r="J2696" s="2"/>
      <c r="L2696" s="2" t="s">
        <v>2814</v>
      </c>
    </row>
    <row r="2697">
      <c r="A2697" s="8" t="s">
        <v>3023</v>
      </c>
      <c r="B2697" s="8" t="s">
        <v>3023</v>
      </c>
      <c r="C2697" s="2" t="s">
        <v>2577</v>
      </c>
      <c r="D2697" s="2" t="s">
        <v>2578</v>
      </c>
      <c r="E2697" s="6">
        <v>46080.677511574075</v>
      </c>
      <c r="F2697" s="3" t="s">
        <v>2579</v>
      </c>
      <c r="G2697" s="2" t="s">
        <v>24</v>
      </c>
      <c r="H2697" s="2"/>
      <c r="I2697" s="2"/>
      <c r="J2697" s="2"/>
      <c r="L2697" s="2" t="s">
        <v>2810</v>
      </c>
    </row>
    <row r="2698">
      <c r="A2698" s="8" t="s">
        <v>3024</v>
      </c>
      <c r="B2698" s="8" t="s">
        <v>3024</v>
      </c>
      <c r="C2698" s="2" t="s">
        <v>1873</v>
      </c>
      <c r="D2698" s="2" t="s">
        <v>1874</v>
      </c>
      <c r="E2698" s="6">
        <v>46080.67851851852</v>
      </c>
      <c r="F2698" s="3" t="s">
        <v>1875</v>
      </c>
      <c r="G2698" s="2" t="s">
        <v>24</v>
      </c>
      <c r="H2698" s="2"/>
      <c r="I2698" s="2"/>
      <c r="J2698" s="2"/>
      <c r="L2698" s="2" t="s">
        <v>2810</v>
      </c>
    </row>
    <row r="2699">
      <c r="A2699" s="8" t="s">
        <v>3025</v>
      </c>
      <c r="B2699" s="8" t="s">
        <v>3025</v>
      </c>
      <c r="C2699" s="2" t="s">
        <v>1889</v>
      </c>
      <c r="D2699" s="2" t="s">
        <v>1890</v>
      </c>
      <c r="E2699" s="6">
        <v>46081.368125</v>
      </c>
      <c r="F2699" s="3" t="s">
        <v>1891</v>
      </c>
      <c r="G2699" s="2" t="s">
        <v>16</v>
      </c>
      <c r="H2699" s="2"/>
      <c r="I2699" s="2" t="s">
        <v>17</v>
      </c>
      <c r="J2699" s="2"/>
      <c r="L2699" s="2" t="s">
        <v>2814</v>
      </c>
    </row>
    <row r="2700">
      <c r="A2700" s="8" t="s">
        <v>3026</v>
      </c>
      <c r="B2700" s="8" t="s">
        <v>3026</v>
      </c>
      <c r="C2700" s="2" t="s">
        <v>786</v>
      </c>
      <c r="D2700" s="2" t="s">
        <v>787</v>
      </c>
      <c r="E2700" s="6">
        <v>46081.37037037037</v>
      </c>
      <c r="F2700" s="3" t="s">
        <v>788</v>
      </c>
      <c r="G2700" s="2" t="s">
        <v>16</v>
      </c>
      <c r="H2700" s="2"/>
      <c r="I2700" s="2" t="s">
        <v>17</v>
      </c>
      <c r="J2700" s="2"/>
      <c r="L2700" s="2" t="s">
        <v>2814</v>
      </c>
    </row>
    <row r="2701">
      <c r="A2701" s="8" t="s">
        <v>3027</v>
      </c>
      <c r="B2701" s="8" t="s">
        <v>3027</v>
      </c>
      <c r="C2701" s="2" t="s">
        <v>2913</v>
      </c>
      <c r="D2701" s="2" t="s">
        <v>2914</v>
      </c>
      <c r="E2701" s="6">
        <v>46081.37091435185</v>
      </c>
      <c r="F2701" s="3" t="s">
        <v>2915</v>
      </c>
      <c r="G2701" s="2" t="s">
        <v>16</v>
      </c>
      <c r="H2701" s="2"/>
      <c r="I2701" s="2" t="s">
        <v>17</v>
      </c>
      <c r="J2701" s="2"/>
      <c r="L2701" s="2" t="s">
        <v>2814</v>
      </c>
    </row>
    <row r="2702">
      <c r="A2702" s="8" t="s">
        <v>3028</v>
      </c>
      <c r="B2702" s="8" t="s">
        <v>3028</v>
      </c>
      <c r="C2702" s="2" t="s">
        <v>55</v>
      </c>
      <c r="D2702" s="2" t="s">
        <v>56</v>
      </c>
      <c r="E2702" s="6">
        <v>46081.416666666664</v>
      </c>
      <c r="F2702" s="3" t="s">
        <v>57</v>
      </c>
      <c r="G2702" s="2" t="s">
        <v>16</v>
      </c>
      <c r="H2702" s="2"/>
      <c r="I2702" s="2"/>
      <c r="J2702" s="2"/>
      <c r="L2702" s="2" t="s">
        <v>2814</v>
      </c>
    </row>
    <row r="2703">
      <c r="A2703" s="8" t="s">
        <v>3029</v>
      </c>
      <c r="B2703" s="8" t="s">
        <v>3029</v>
      </c>
      <c r="C2703" s="2" t="s">
        <v>2640</v>
      </c>
      <c r="D2703" s="2" t="s">
        <v>2641</v>
      </c>
      <c r="E2703" s="6">
        <v>46081.48181712963</v>
      </c>
      <c r="F2703" s="3" t="s">
        <v>2642</v>
      </c>
      <c r="G2703" s="2" t="s">
        <v>24</v>
      </c>
      <c r="H2703" s="2"/>
      <c r="I2703" s="2"/>
      <c r="J2703" s="2"/>
      <c r="L2703" s="2" t="s">
        <v>2810</v>
      </c>
    </row>
    <row r="2704">
      <c r="A2704" s="8" t="s">
        <v>3030</v>
      </c>
      <c r="B2704" s="8" t="s">
        <v>3030</v>
      </c>
      <c r="C2704" s="2" t="s">
        <v>55</v>
      </c>
      <c r="D2704" s="2" t="s">
        <v>56</v>
      </c>
      <c r="E2704" s="6">
        <v>46081.48224537037</v>
      </c>
      <c r="F2704" s="3" t="s">
        <v>57</v>
      </c>
      <c r="G2704" s="2" t="s">
        <v>24</v>
      </c>
      <c r="H2704" s="2"/>
      <c r="I2704" s="2"/>
      <c r="J2704" s="2"/>
      <c r="L2704" s="2" t="s">
        <v>2810</v>
      </c>
    </row>
    <row r="2705">
      <c r="A2705" s="8" t="s">
        <v>3031</v>
      </c>
      <c r="B2705" s="8" t="s">
        <v>3031</v>
      </c>
      <c r="C2705" s="2" t="s">
        <v>2913</v>
      </c>
      <c r="D2705" s="2" t="s">
        <v>2914</v>
      </c>
      <c r="E2705" s="6">
        <v>46081.482615740744</v>
      </c>
      <c r="F2705" s="3" t="s">
        <v>2915</v>
      </c>
      <c r="G2705" s="2" t="s">
        <v>24</v>
      </c>
      <c r="H2705" s="2"/>
      <c r="I2705" s="2"/>
      <c r="J2705" s="2"/>
      <c r="L2705" s="2" t="s">
        <v>2810</v>
      </c>
    </row>
    <row r="2706">
      <c r="A2706" s="8" t="s">
        <v>3032</v>
      </c>
      <c r="B2706" s="8" t="s">
        <v>3032</v>
      </c>
      <c r="C2706" s="2" t="s">
        <v>951</v>
      </c>
      <c r="D2706" s="2" t="s">
        <v>952</v>
      </c>
      <c r="E2706" s="6">
        <v>46081.59123842593</v>
      </c>
      <c r="F2706" s="3" t="s">
        <v>953</v>
      </c>
      <c r="G2706" s="2" t="s">
        <v>16</v>
      </c>
      <c r="H2706" s="2"/>
      <c r="I2706" s="2" t="s">
        <v>17</v>
      </c>
      <c r="J2706" s="2"/>
      <c r="L2706" s="2" t="s">
        <v>2814</v>
      </c>
    </row>
    <row r="2707">
      <c r="A2707" s="8" t="s">
        <v>3033</v>
      </c>
      <c r="B2707" s="8" t="s">
        <v>3033</v>
      </c>
      <c r="C2707" s="2" t="s">
        <v>1084</v>
      </c>
      <c r="D2707" s="2" t="s">
        <v>1085</v>
      </c>
      <c r="E2707" s="6">
        <v>46081.63217592592</v>
      </c>
      <c r="F2707" s="3" t="s">
        <v>1086</v>
      </c>
      <c r="G2707" s="2" t="s">
        <v>24</v>
      </c>
      <c r="H2707" s="2"/>
      <c r="I2707" s="2"/>
      <c r="J2707" s="2"/>
      <c r="L2707" s="2" t="s">
        <v>2810</v>
      </c>
    </row>
    <row r="2708">
      <c r="A2708" s="8" t="s">
        <v>3034</v>
      </c>
      <c r="B2708" s="8" t="s">
        <v>3034</v>
      </c>
      <c r="C2708" s="2" t="s">
        <v>786</v>
      </c>
      <c r="D2708" s="2" t="s">
        <v>787</v>
      </c>
      <c r="E2708" s="6">
        <v>46081.6328125</v>
      </c>
      <c r="F2708" s="3" t="s">
        <v>788</v>
      </c>
      <c r="G2708" s="2" t="s">
        <v>24</v>
      </c>
      <c r="H2708" s="2"/>
      <c r="I2708" s="2"/>
      <c r="J2708" s="2"/>
      <c r="L2708" s="2" t="s">
        <v>2810</v>
      </c>
    </row>
    <row r="2709">
      <c r="A2709" s="8" t="s">
        <v>3035</v>
      </c>
      <c r="B2709" s="8" t="s">
        <v>3035</v>
      </c>
      <c r="C2709" s="2" t="s">
        <v>1889</v>
      </c>
      <c r="D2709" s="2" t="s">
        <v>1890</v>
      </c>
      <c r="E2709" s="6">
        <v>46081.63319444445</v>
      </c>
      <c r="F2709" s="3" t="s">
        <v>1891</v>
      </c>
      <c r="G2709" s="2" t="s">
        <v>24</v>
      </c>
      <c r="H2709" s="2"/>
      <c r="I2709" s="2"/>
      <c r="J2709" s="2"/>
      <c r="L2709" s="2" t="s">
        <v>2810</v>
      </c>
    </row>
    <row r="2710">
      <c r="A2710" s="8" t="s">
        <v>3036</v>
      </c>
      <c r="B2710" s="8" t="s">
        <v>3036</v>
      </c>
      <c r="C2710" s="2" t="s">
        <v>951</v>
      </c>
      <c r="D2710" s="2" t="s">
        <v>952</v>
      </c>
      <c r="E2710" s="6">
        <v>46081.63350694445</v>
      </c>
      <c r="F2710" s="3" t="s">
        <v>953</v>
      </c>
      <c r="G2710" s="2" t="s">
        <v>24</v>
      </c>
      <c r="H2710" s="2"/>
      <c r="I2710" s="2"/>
      <c r="J2710" s="2"/>
      <c r="L2710" s="2" t="s">
        <v>2810</v>
      </c>
    </row>
    <row r="2711">
      <c r="A2711" s="8" t="s">
        <v>3037</v>
      </c>
      <c r="B2711" s="8" t="s">
        <v>3037</v>
      </c>
      <c r="C2711" s="2" t="s">
        <v>2005</v>
      </c>
      <c r="D2711" s="2" t="s">
        <v>2006</v>
      </c>
      <c r="E2711" s="6">
        <v>46083.355671296296</v>
      </c>
      <c r="F2711" s="3" t="s">
        <v>2007</v>
      </c>
      <c r="G2711" s="2" t="s">
        <v>16</v>
      </c>
      <c r="H2711" s="2"/>
      <c r="I2711" s="2" t="s">
        <v>17</v>
      </c>
      <c r="J2711" s="2"/>
      <c r="L2711" s="2" t="s">
        <v>2814</v>
      </c>
    </row>
    <row r="2712">
      <c r="A2712" s="8" t="s">
        <v>3038</v>
      </c>
      <c r="B2712" s="8" t="s">
        <v>3038</v>
      </c>
      <c r="C2712" s="2" t="s">
        <v>1228</v>
      </c>
      <c r="D2712" s="2" t="s">
        <v>1229</v>
      </c>
      <c r="E2712" s="6">
        <v>46083.42190972222</v>
      </c>
      <c r="F2712" s="3" t="s">
        <v>1230</v>
      </c>
      <c r="G2712" s="2" t="s">
        <v>16</v>
      </c>
      <c r="H2712" s="2"/>
      <c r="I2712" s="2" t="s">
        <v>17</v>
      </c>
      <c r="J2712" s="2"/>
      <c r="L2712" s="2" t="s">
        <v>2814</v>
      </c>
    </row>
    <row r="2713">
      <c r="A2713" s="8" t="s">
        <v>3039</v>
      </c>
      <c r="B2713" s="8" t="s">
        <v>3039</v>
      </c>
      <c r="C2713" s="2" t="s">
        <v>2005</v>
      </c>
      <c r="D2713" s="2" t="s">
        <v>2006</v>
      </c>
      <c r="E2713" s="6">
        <v>46083.49466435185</v>
      </c>
      <c r="F2713" s="3" t="s">
        <v>2007</v>
      </c>
      <c r="G2713" s="2" t="s">
        <v>24</v>
      </c>
      <c r="H2713" s="2"/>
      <c r="I2713" s="2"/>
      <c r="J2713" s="2"/>
      <c r="L2713" s="2" t="s">
        <v>2810</v>
      </c>
    </row>
    <row r="2714">
      <c r="A2714" s="8" t="s">
        <v>3040</v>
      </c>
      <c r="B2714" s="8" t="s">
        <v>3040</v>
      </c>
      <c r="C2714" s="2" t="s">
        <v>786</v>
      </c>
      <c r="D2714" s="2" t="s">
        <v>787</v>
      </c>
      <c r="E2714" s="6">
        <v>46083.55143518518</v>
      </c>
      <c r="F2714" s="3" t="s">
        <v>788</v>
      </c>
      <c r="G2714" s="2" t="s">
        <v>24</v>
      </c>
      <c r="H2714" s="2"/>
      <c r="I2714" s="2"/>
      <c r="J2714" s="2"/>
      <c r="L2714" s="2" t="s">
        <v>2810</v>
      </c>
    </row>
    <row r="2715">
      <c r="A2715" s="8" t="s">
        <v>3041</v>
      </c>
      <c r="B2715" s="8" t="s">
        <v>3041</v>
      </c>
      <c r="C2715" s="2" t="s">
        <v>2623</v>
      </c>
      <c r="D2715" s="2" t="s">
        <v>2624</v>
      </c>
      <c r="E2715" s="6">
        <v>46083.558020833334</v>
      </c>
      <c r="F2715" s="3" t="s">
        <v>2625</v>
      </c>
      <c r="G2715" s="2" t="s">
        <v>16</v>
      </c>
      <c r="H2715" s="2"/>
      <c r="I2715" s="2" t="s">
        <v>17</v>
      </c>
      <c r="J2715" s="2"/>
      <c r="L2715" s="2" t="s">
        <v>2814</v>
      </c>
    </row>
    <row r="2716">
      <c r="A2716" s="8" t="s">
        <v>3042</v>
      </c>
      <c r="B2716" s="8" t="s">
        <v>3042</v>
      </c>
      <c r="C2716" s="2" t="s">
        <v>1228</v>
      </c>
      <c r="D2716" s="2" t="s">
        <v>1229</v>
      </c>
      <c r="E2716" s="6">
        <v>46083.591944444444</v>
      </c>
      <c r="F2716" s="3" t="s">
        <v>1230</v>
      </c>
      <c r="G2716" s="2" t="s">
        <v>24</v>
      </c>
      <c r="H2716" s="2"/>
      <c r="I2716" s="2"/>
      <c r="J2716" s="2"/>
      <c r="L2716" s="2" t="s">
        <v>2810</v>
      </c>
    </row>
    <row r="2717">
      <c r="A2717" s="8" t="s">
        <v>3043</v>
      </c>
      <c r="B2717" s="8" t="s">
        <v>3043</v>
      </c>
      <c r="C2717" s="2" t="s">
        <v>213</v>
      </c>
      <c r="D2717" s="2" t="s">
        <v>214</v>
      </c>
      <c r="E2717" s="6">
        <v>46083.592523148145</v>
      </c>
      <c r="F2717" s="3" t="s">
        <v>215</v>
      </c>
      <c r="G2717" s="2" t="s">
        <v>24</v>
      </c>
      <c r="H2717" s="2"/>
      <c r="I2717" s="2"/>
      <c r="J2717" s="2"/>
      <c r="L2717" s="2" t="s">
        <v>2810</v>
      </c>
    </row>
    <row r="2718">
      <c r="A2718" s="8" t="s">
        <v>3044</v>
      </c>
      <c r="B2718" s="8" t="s">
        <v>3044</v>
      </c>
      <c r="C2718" s="2" t="s">
        <v>2131</v>
      </c>
      <c r="D2718" s="2" t="s">
        <v>2132</v>
      </c>
      <c r="E2718" s="6">
        <v>46083.59295138889</v>
      </c>
      <c r="F2718" s="3" t="s">
        <v>2133</v>
      </c>
      <c r="G2718" s="2" t="s">
        <v>24</v>
      </c>
      <c r="H2718" s="2"/>
      <c r="I2718" s="2"/>
      <c r="J2718" s="2"/>
      <c r="L2718" s="2" t="s">
        <v>2810</v>
      </c>
    </row>
    <row r="2719">
      <c r="A2719" s="8" t="s">
        <v>3045</v>
      </c>
      <c r="B2719" s="8" t="s">
        <v>3045</v>
      </c>
      <c r="C2719" s="2" t="s">
        <v>1975</v>
      </c>
      <c r="D2719" s="2" t="s">
        <v>1976</v>
      </c>
      <c r="E2719" s="6">
        <v>46083.62048611111</v>
      </c>
      <c r="F2719" s="3" t="s">
        <v>1977</v>
      </c>
      <c r="G2719" s="2" t="s">
        <v>16</v>
      </c>
      <c r="H2719" s="2"/>
      <c r="I2719" s="2" t="s">
        <v>17</v>
      </c>
      <c r="J2719" s="2"/>
      <c r="L2719" s="2" t="s">
        <v>2814</v>
      </c>
    </row>
    <row r="2720">
      <c r="A2720" s="8" t="s">
        <v>3046</v>
      </c>
      <c r="B2720" s="8" t="s">
        <v>3046</v>
      </c>
      <c r="C2720" s="2" t="s">
        <v>1975</v>
      </c>
      <c r="D2720" s="2" t="s">
        <v>1976</v>
      </c>
      <c r="E2720" s="6">
        <v>46083.700590277775</v>
      </c>
      <c r="F2720" s="3" t="s">
        <v>1977</v>
      </c>
      <c r="G2720" s="2" t="s">
        <v>24</v>
      </c>
      <c r="H2720" s="2"/>
      <c r="I2720" s="2"/>
      <c r="J2720" s="2"/>
      <c r="L2720" s="2" t="s">
        <v>2810</v>
      </c>
    </row>
    <row r="2721">
      <c r="A2721" s="8" t="s">
        <v>3047</v>
      </c>
      <c r="B2721" s="8" t="s">
        <v>3047</v>
      </c>
      <c r="C2721" s="2" t="s">
        <v>2623</v>
      </c>
      <c r="D2721" s="2" t="s">
        <v>2624</v>
      </c>
      <c r="E2721" s="6">
        <v>46083.70888888889</v>
      </c>
      <c r="F2721" s="3" t="s">
        <v>2625</v>
      </c>
      <c r="G2721" s="2" t="s">
        <v>24</v>
      </c>
      <c r="H2721" s="2"/>
      <c r="I2721" s="2"/>
      <c r="J2721" s="2"/>
      <c r="L2721" s="2" t="s">
        <v>2810</v>
      </c>
    </row>
    <row r="2722">
      <c r="A2722" s="8" t="s">
        <v>3048</v>
      </c>
      <c r="B2722" s="8" t="s">
        <v>3048</v>
      </c>
      <c r="C2722" s="2" t="s">
        <v>1993</v>
      </c>
      <c r="D2722" s="2" t="s">
        <v>1994</v>
      </c>
      <c r="E2722" s="6">
        <v>46084.35869212963</v>
      </c>
      <c r="F2722" s="3" t="s">
        <v>1995</v>
      </c>
      <c r="G2722" s="2" t="s">
        <v>16</v>
      </c>
      <c r="H2722" s="2"/>
      <c r="I2722" s="2" t="s">
        <v>17</v>
      </c>
      <c r="J2722" s="2"/>
      <c r="L2722" s="2" t="s">
        <v>2814</v>
      </c>
    </row>
    <row r="2723">
      <c r="A2723" s="8" t="s">
        <v>3049</v>
      </c>
      <c r="B2723" s="8" t="s">
        <v>3049</v>
      </c>
      <c r="C2723" s="2" t="s">
        <v>2913</v>
      </c>
      <c r="D2723" s="2" t="s">
        <v>2914</v>
      </c>
      <c r="E2723" s="6">
        <v>46084.37415509259</v>
      </c>
      <c r="F2723" s="3" t="s">
        <v>2915</v>
      </c>
      <c r="G2723" s="2" t="s">
        <v>16</v>
      </c>
      <c r="H2723" s="2"/>
      <c r="I2723" s="2" t="s">
        <v>17</v>
      </c>
      <c r="J2723" s="2"/>
      <c r="L2723" s="2" t="s">
        <v>2814</v>
      </c>
    </row>
    <row r="2724">
      <c r="A2724" s="8" t="s">
        <v>3050</v>
      </c>
      <c r="B2724" s="8" t="s">
        <v>3050</v>
      </c>
      <c r="C2724" s="2" t="s">
        <v>2543</v>
      </c>
      <c r="D2724" s="2" t="s">
        <v>2544</v>
      </c>
      <c r="E2724" s="6">
        <v>46084.374756944446</v>
      </c>
      <c r="F2724" s="3" t="s">
        <v>2545</v>
      </c>
      <c r="G2724" s="2" t="s">
        <v>16</v>
      </c>
      <c r="H2724" s="2"/>
      <c r="I2724" s="2" t="s">
        <v>17</v>
      </c>
      <c r="J2724" s="2"/>
      <c r="L2724" s="2" t="s">
        <v>2814</v>
      </c>
    </row>
    <row r="2725">
      <c r="A2725" s="8" t="s">
        <v>3051</v>
      </c>
      <c r="B2725" s="8" t="s">
        <v>3051</v>
      </c>
      <c r="C2725" s="2" t="s">
        <v>786</v>
      </c>
      <c r="D2725" s="2" t="s">
        <v>787</v>
      </c>
      <c r="E2725" s="6">
        <v>46084.38140046296</v>
      </c>
      <c r="F2725" s="3" t="s">
        <v>788</v>
      </c>
      <c r="G2725" s="2" t="s">
        <v>16</v>
      </c>
      <c r="H2725" s="2"/>
      <c r="I2725" s="2" t="s">
        <v>17</v>
      </c>
      <c r="J2725" s="2"/>
      <c r="L2725" s="2" t="s">
        <v>2814</v>
      </c>
    </row>
    <row r="2726">
      <c r="A2726" s="8" t="s">
        <v>3052</v>
      </c>
      <c r="B2726" s="8" t="s">
        <v>3052</v>
      </c>
      <c r="C2726" s="2" t="s">
        <v>2543</v>
      </c>
      <c r="D2726" s="2" t="s">
        <v>2544</v>
      </c>
      <c r="E2726" s="6">
        <v>46084.477326388886</v>
      </c>
      <c r="F2726" s="3" t="s">
        <v>2545</v>
      </c>
      <c r="G2726" s="2" t="s">
        <v>16</v>
      </c>
      <c r="H2726" s="2"/>
      <c r="I2726" s="2" t="s">
        <v>17</v>
      </c>
      <c r="J2726" s="2"/>
      <c r="L2726" s="2" t="s">
        <v>2814</v>
      </c>
    </row>
    <row r="2727">
      <c r="A2727" s="8" t="s">
        <v>3053</v>
      </c>
      <c r="B2727" s="8" t="s">
        <v>3053</v>
      </c>
      <c r="C2727" s="2" t="s">
        <v>1745</v>
      </c>
      <c r="D2727" s="2" t="s">
        <v>1746</v>
      </c>
      <c r="E2727" s="6">
        <v>46084.58086805556</v>
      </c>
      <c r="F2727" s="3" t="s">
        <v>1747</v>
      </c>
      <c r="G2727" s="2" t="s">
        <v>16</v>
      </c>
      <c r="H2727" s="2"/>
      <c r="I2727" s="2" t="s">
        <v>395</v>
      </c>
      <c r="J2727" s="2"/>
      <c r="L2727" s="2" t="s">
        <v>2814</v>
      </c>
    </row>
    <row r="2728">
      <c r="A2728" s="8" t="s">
        <v>3054</v>
      </c>
      <c r="B2728" s="8" t="s">
        <v>3054</v>
      </c>
      <c r="C2728" s="2" t="s">
        <v>1904</v>
      </c>
      <c r="D2728" s="2" t="s">
        <v>1905</v>
      </c>
      <c r="E2728" s="6">
        <v>46084.58215277778</v>
      </c>
      <c r="F2728" s="3" t="s">
        <v>1906</v>
      </c>
      <c r="G2728" s="2" t="s">
        <v>16</v>
      </c>
      <c r="H2728" s="2"/>
      <c r="I2728" s="2" t="s">
        <v>17</v>
      </c>
      <c r="J2728" s="2"/>
      <c r="L2728" s="2" t="s">
        <v>2814</v>
      </c>
    </row>
    <row r="2729">
      <c r="A2729" s="8" t="s">
        <v>3055</v>
      </c>
      <c r="B2729" s="8" t="s">
        <v>3055</v>
      </c>
      <c r="C2729" s="2" t="s">
        <v>1963</v>
      </c>
      <c r="D2729" s="2" t="s">
        <v>1964</v>
      </c>
      <c r="E2729" s="6">
        <v>46085.379594907405</v>
      </c>
      <c r="F2729" s="3" t="s">
        <v>1965</v>
      </c>
      <c r="G2729" s="2" t="s">
        <v>16</v>
      </c>
      <c r="H2729" s="2"/>
      <c r="I2729" s="2" t="s">
        <v>395</v>
      </c>
      <c r="J2729" s="2"/>
      <c r="L2729" s="2" t="s">
        <v>2814</v>
      </c>
    </row>
    <row r="2730">
      <c r="A2730" s="8" t="s">
        <v>3056</v>
      </c>
      <c r="B2730" s="8" t="s">
        <v>3056</v>
      </c>
      <c r="C2730" s="2" t="s">
        <v>2577</v>
      </c>
      <c r="D2730" s="2" t="s">
        <v>2578</v>
      </c>
      <c r="E2730" s="6">
        <v>46085.38214120371</v>
      </c>
      <c r="F2730" s="3" t="s">
        <v>2579</v>
      </c>
      <c r="G2730" s="2" t="s">
        <v>16</v>
      </c>
      <c r="H2730" s="2"/>
      <c r="I2730" s="2" t="s">
        <v>17</v>
      </c>
      <c r="J2730" s="2"/>
      <c r="L2730" s="2" t="s">
        <v>2814</v>
      </c>
    </row>
    <row r="2731">
      <c r="A2731" s="8" t="s">
        <v>3057</v>
      </c>
      <c r="B2731" s="8" t="s">
        <v>3057</v>
      </c>
      <c r="C2731" s="2" t="s">
        <v>2032</v>
      </c>
      <c r="D2731" s="2" t="s">
        <v>2033</v>
      </c>
      <c r="E2731" s="6">
        <v>46085.389016203706</v>
      </c>
      <c r="F2731" s="3" t="s">
        <v>2803</v>
      </c>
      <c r="G2731" s="2" t="s">
        <v>16</v>
      </c>
      <c r="H2731" s="2"/>
      <c r="I2731" s="2" t="s">
        <v>395</v>
      </c>
      <c r="J2731" s="2"/>
      <c r="L2731" s="2" t="s">
        <v>2814</v>
      </c>
    </row>
    <row r="2732">
      <c r="A2732" s="8" t="s">
        <v>3058</v>
      </c>
      <c r="B2732" s="8" t="s">
        <v>3058</v>
      </c>
      <c r="C2732" s="2" t="s">
        <v>45</v>
      </c>
      <c r="D2732" s="2" t="s">
        <v>46</v>
      </c>
      <c r="E2732" s="6">
        <v>46085.40555555555</v>
      </c>
      <c r="F2732" s="3" t="s">
        <v>47</v>
      </c>
      <c r="G2732" s="2" t="s">
        <v>16</v>
      </c>
      <c r="H2732" s="2"/>
      <c r="I2732" s="2"/>
      <c r="J2732" s="2"/>
      <c r="L2732" s="2" t="s">
        <v>2814</v>
      </c>
    </row>
    <row r="2733">
      <c r="A2733" s="8" t="s">
        <v>3059</v>
      </c>
      <c r="B2733" s="8" t="s">
        <v>3059</v>
      </c>
      <c r="C2733" s="2" t="s">
        <v>3060</v>
      </c>
      <c r="D2733" s="2" t="s">
        <v>3061</v>
      </c>
      <c r="E2733" s="6">
        <v>46085.414675925924</v>
      </c>
      <c r="F2733" s="3" t="s">
        <v>443</v>
      </c>
      <c r="G2733" s="2" t="s">
        <v>16</v>
      </c>
      <c r="H2733" s="2"/>
      <c r="I2733" s="2" t="s">
        <v>17</v>
      </c>
      <c r="J2733" s="2"/>
      <c r="L2733" s="2" t="s">
        <v>2814</v>
      </c>
    </row>
    <row r="2734">
      <c r="A2734" s="8" t="s">
        <v>3062</v>
      </c>
      <c r="B2734" s="8" t="s">
        <v>3062</v>
      </c>
      <c r="C2734" s="2" t="s">
        <v>2640</v>
      </c>
      <c r="D2734" s="2" t="s">
        <v>2641</v>
      </c>
      <c r="E2734" s="6">
        <v>46085.42167824074</v>
      </c>
      <c r="F2734" s="3" t="s">
        <v>2642</v>
      </c>
      <c r="G2734" s="2" t="s">
        <v>16</v>
      </c>
      <c r="H2734" s="2"/>
      <c r="I2734" s="2" t="s">
        <v>17</v>
      </c>
      <c r="J2734" s="2"/>
      <c r="L2734" s="2" t="s">
        <v>2814</v>
      </c>
    </row>
    <row r="2735">
      <c r="A2735" s="8" t="s">
        <v>3063</v>
      </c>
      <c r="B2735" s="8" t="s">
        <v>3063</v>
      </c>
      <c r="C2735" s="2" t="s">
        <v>1904</v>
      </c>
      <c r="D2735" s="2" t="s">
        <v>1905</v>
      </c>
      <c r="E2735" s="6">
        <v>46085.53488425926</v>
      </c>
      <c r="F2735" s="3" t="s">
        <v>1906</v>
      </c>
      <c r="G2735" s="2" t="s">
        <v>16</v>
      </c>
      <c r="H2735" s="2"/>
      <c r="I2735" s="2" t="s">
        <v>17</v>
      </c>
      <c r="J2735" s="2"/>
      <c r="L2735" s="2" t="s">
        <v>2814</v>
      </c>
    </row>
    <row r="2736">
      <c r="A2736" s="8" t="s">
        <v>3064</v>
      </c>
      <c r="B2736" s="8" t="s">
        <v>3064</v>
      </c>
      <c r="C2736" s="2" t="s">
        <v>1993</v>
      </c>
      <c r="D2736" s="2" t="s">
        <v>1994</v>
      </c>
      <c r="E2736" s="6">
        <v>46085.58221064815</v>
      </c>
      <c r="F2736" s="3" t="s">
        <v>1995</v>
      </c>
      <c r="G2736" s="2" t="s">
        <v>16</v>
      </c>
      <c r="H2736" s="2"/>
      <c r="I2736" s="2" t="s">
        <v>17</v>
      </c>
      <c r="J2736" s="2"/>
      <c r="L2736" s="2" t="s">
        <v>2814</v>
      </c>
    </row>
    <row r="2737">
      <c r="A2737" s="8" t="s">
        <v>3065</v>
      </c>
      <c r="B2737" s="8" t="s">
        <v>3065</v>
      </c>
      <c r="C2737" s="2" t="s">
        <v>786</v>
      </c>
      <c r="D2737" s="2" t="s">
        <v>787</v>
      </c>
      <c r="E2737" s="6">
        <v>46086.35990740741</v>
      </c>
      <c r="F2737" s="3" t="s">
        <v>788</v>
      </c>
      <c r="G2737" s="2" t="s">
        <v>16</v>
      </c>
      <c r="H2737" s="2"/>
      <c r="I2737" s="2" t="s">
        <v>17</v>
      </c>
      <c r="J2737" s="2"/>
      <c r="L2737" s="2" t="s">
        <v>2814</v>
      </c>
    </row>
    <row r="2738">
      <c r="A2738" s="8" t="s">
        <v>3066</v>
      </c>
      <c r="B2738" s="8" t="s">
        <v>3066</v>
      </c>
      <c r="C2738" s="2" t="s">
        <v>1745</v>
      </c>
      <c r="D2738" s="2" t="s">
        <v>1746</v>
      </c>
      <c r="E2738" s="6">
        <v>46084.3647337963</v>
      </c>
      <c r="F2738" s="3" t="s">
        <v>1747</v>
      </c>
      <c r="G2738" s="2" t="s">
        <v>24</v>
      </c>
      <c r="H2738" s="2"/>
      <c r="I2738" s="2"/>
      <c r="J2738" s="2"/>
      <c r="L2738" s="2" t="s">
        <v>2810</v>
      </c>
    </row>
    <row r="2739">
      <c r="A2739" s="8" t="s">
        <v>3067</v>
      </c>
      <c r="B2739" s="8" t="s">
        <v>3067</v>
      </c>
      <c r="C2739" s="2" t="s">
        <v>951</v>
      </c>
      <c r="D2739" s="2" t="s">
        <v>952</v>
      </c>
      <c r="E2739" s="6">
        <v>46084.365798611114</v>
      </c>
      <c r="F2739" s="3" t="s">
        <v>953</v>
      </c>
      <c r="G2739" s="2" t="s">
        <v>24</v>
      </c>
      <c r="H2739" s="2"/>
      <c r="I2739" s="2"/>
      <c r="J2739" s="2"/>
      <c r="L2739" s="2" t="s">
        <v>2810</v>
      </c>
    </row>
    <row r="2740">
      <c r="A2740" s="8" t="s">
        <v>3068</v>
      </c>
      <c r="B2740" s="8" t="s">
        <v>3068</v>
      </c>
      <c r="C2740" s="2" t="s">
        <v>2913</v>
      </c>
      <c r="D2740" s="2" t="s">
        <v>2914</v>
      </c>
      <c r="E2740" s="6">
        <v>46084.36623842592</v>
      </c>
      <c r="F2740" s="3" t="s">
        <v>2915</v>
      </c>
      <c r="G2740" s="2" t="s">
        <v>24</v>
      </c>
      <c r="H2740" s="2"/>
      <c r="I2740" s="2"/>
      <c r="J2740" s="2"/>
      <c r="L2740" s="2" t="s">
        <v>2810</v>
      </c>
    </row>
    <row r="2741">
      <c r="A2741" s="8" t="s">
        <v>3069</v>
      </c>
      <c r="B2741" s="8" t="s">
        <v>3069</v>
      </c>
      <c r="C2741" s="2" t="s">
        <v>2543</v>
      </c>
      <c r="D2741" s="2" t="s">
        <v>2544</v>
      </c>
      <c r="E2741" s="6">
        <v>46084.366956018515</v>
      </c>
      <c r="F2741" s="3" t="s">
        <v>2545</v>
      </c>
      <c r="G2741" s="2" t="s">
        <v>24</v>
      </c>
      <c r="H2741" s="2"/>
      <c r="I2741" s="2"/>
      <c r="J2741" s="2"/>
      <c r="L2741" s="2" t="s">
        <v>2810</v>
      </c>
    </row>
    <row r="2742">
      <c r="A2742" s="1"/>
      <c r="B2742" s="1"/>
      <c r="C2742" s="2"/>
      <c r="D2742" s="2"/>
      <c r="E2742" s="6"/>
      <c r="F2742" s="3"/>
      <c r="G2742" s="2"/>
      <c r="H2742" s="2"/>
      <c r="I2742" s="2"/>
      <c r="J2742" s="2"/>
      <c r="L2742" s="2"/>
    </row>
    <row r="2743">
      <c r="A2743" s="8" t="s">
        <v>3070</v>
      </c>
      <c r="B2743" s="8" t="s">
        <v>3070</v>
      </c>
      <c r="C2743" s="2" t="s">
        <v>786</v>
      </c>
      <c r="D2743" s="2" t="s">
        <v>787</v>
      </c>
      <c r="E2743" s="6">
        <v>46084.36818287037</v>
      </c>
      <c r="F2743" s="3" t="s">
        <v>788</v>
      </c>
      <c r="G2743" s="2" t="s">
        <v>24</v>
      </c>
      <c r="H2743" s="2"/>
      <c r="I2743" s="2"/>
      <c r="J2743" s="2"/>
      <c r="L2743" s="2" t="s">
        <v>2810</v>
      </c>
    </row>
    <row r="2744">
      <c r="A2744" s="8" t="s">
        <v>3071</v>
      </c>
      <c r="B2744" s="8" t="s">
        <v>3071</v>
      </c>
      <c r="C2744" s="2" t="s">
        <v>1993</v>
      </c>
      <c r="D2744" s="2" t="s">
        <v>1994</v>
      </c>
      <c r="E2744" s="6">
        <v>46084.37099537037</v>
      </c>
      <c r="F2744" s="3" t="s">
        <v>1995</v>
      </c>
      <c r="G2744" s="2" t="s">
        <v>24</v>
      </c>
      <c r="H2744" s="2"/>
      <c r="I2744" s="2"/>
      <c r="J2744" s="2"/>
      <c r="L2744" s="2" t="s">
        <v>2810</v>
      </c>
    </row>
    <row r="2745">
      <c r="A2745" s="8" t="s">
        <v>3072</v>
      </c>
      <c r="B2745" s="8" t="s">
        <v>3072</v>
      </c>
      <c r="C2745" s="2" t="s">
        <v>1564</v>
      </c>
      <c r="D2745" s="2" t="s">
        <v>3073</v>
      </c>
      <c r="E2745" s="6">
        <v>46085.37152777778</v>
      </c>
      <c r="F2745" s="3" t="s">
        <v>3074</v>
      </c>
      <c r="G2745" s="2" t="s">
        <v>24</v>
      </c>
      <c r="H2745" s="2"/>
      <c r="I2745" s="2"/>
      <c r="J2745" s="2"/>
      <c r="L2745" s="2" t="s">
        <v>2810</v>
      </c>
    </row>
    <row r="2746">
      <c r="A2746" s="8" t="s">
        <v>3075</v>
      </c>
      <c r="B2746" s="8" t="s">
        <v>3075</v>
      </c>
      <c r="C2746" s="2" t="s">
        <v>2640</v>
      </c>
      <c r="D2746" s="2" t="s">
        <v>2641</v>
      </c>
      <c r="E2746" s="6">
        <v>46085.371886574074</v>
      </c>
      <c r="F2746" s="3" t="s">
        <v>2642</v>
      </c>
      <c r="G2746" s="2" t="s">
        <v>24</v>
      </c>
      <c r="H2746" s="2"/>
      <c r="I2746" s="2"/>
      <c r="J2746" s="2"/>
      <c r="L2746" s="2" t="s">
        <v>2810</v>
      </c>
    </row>
    <row r="2747">
      <c r="A2747" s="8" t="s">
        <v>3076</v>
      </c>
      <c r="B2747" s="8" t="s">
        <v>3076</v>
      </c>
      <c r="C2747" s="2" t="s">
        <v>2577</v>
      </c>
      <c r="D2747" s="2" t="s">
        <v>2578</v>
      </c>
      <c r="E2747" s="6">
        <v>46085.37275462963</v>
      </c>
      <c r="F2747" s="3" t="s">
        <v>2579</v>
      </c>
      <c r="G2747" s="2" t="s">
        <v>24</v>
      </c>
      <c r="H2747" s="2"/>
      <c r="I2747" s="2"/>
      <c r="J2747" s="2"/>
      <c r="L2747" s="2" t="s">
        <v>2810</v>
      </c>
    </row>
    <row r="2748">
      <c r="A2748" s="8" t="s">
        <v>3077</v>
      </c>
      <c r="B2748" s="8" t="s">
        <v>3077</v>
      </c>
      <c r="C2748" s="2" t="s">
        <v>2032</v>
      </c>
      <c r="D2748" s="2" t="s">
        <v>2033</v>
      </c>
      <c r="E2748" s="6">
        <v>46085.37355324074</v>
      </c>
      <c r="F2748" s="3" t="s">
        <v>2803</v>
      </c>
      <c r="G2748" s="2" t="s">
        <v>24</v>
      </c>
      <c r="H2748" s="2"/>
      <c r="I2748" s="2"/>
      <c r="J2748" s="2"/>
      <c r="L2748" s="2" t="s">
        <v>2810</v>
      </c>
    </row>
    <row r="2749">
      <c r="A2749" s="8" t="s">
        <v>3078</v>
      </c>
      <c r="B2749" s="8" t="s">
        <v>3078</v>
      </c>
      <c r="C2749" s="2" t="s">
        <v>1963</v>
      </c>
      <c r="D2749" s="2" t="s">
        <v>1964</v>
      </c>
      <c r="E2749" s="6">
        <v>46085.37384259259</v>
      </c>
      <c r="F2749" s="3" t="s">
        <v>1965</v>
      </c>
      <c r="G2749" s="2" t="s">
        <v>24</v>
      </c>
      <c r="H2749" s="2"/>
      <c r="I2749" s="2"/>
      <c r="J2749" s="2"/>
      <c r="L2749" s="2" t="s">
        <v>2810</v>
      </c>
    </row>
    <row r="2750">
      <c r="A2750" s="8" t="s">
        <v>3079</v>
      </c>
      <c r="B2750" s="8" t="s">
        <v>3079</v>
      </c>
      <c r="C2750" s="2" t="s">
        <v>2005</v>
      </c>
      <c r="D2750" s="2" t="s">
        <v>2006</v>
      </c>
      <c r="E2750" s="6">
        <v>46086.37599537037</v>
      </c>
      <c r="F2750" s="3" t="s">
        <v>2007</v>
      </c>
      <c r="G2750" s="2" t="s">
        <v>16</v>
      </c>
      <c r="H2750" s="2"/>
      <c r="I2750" s="2" t="s">
        <v>17</v>
      </c>
      <c r="J2750" s="2"/>
      <c r="L2750" s="2" t="s">
        <v>2814</v>
      </c>
    </row>
    <row r="2751">
      <c r="A2751" s="8" t="s">
        <v>3080</v>
      </c>
      <c r="B2751" s="8" t="s">
        <v>3080</v>
      </c>
      <c r="C2751" s="2" t="s">
        <v>2005</v>
      </c>
      <c r="D2751" s="2" t="s">
        <v>2006</v>
      </c>
      <c r="E2751" s="6">
        <v>46086.50802083333</v>
      </c>
      <c r="F2751" s="3" t="s">
        <v>2007</v>
      </c>
      <c r="G2751" s="2" t="s">
        <v>24</v>
      </c>
      <c r="H2751" s="2"/>
      <c r="I2751" s="2"/>
      <c r="J2751" s="2"/>
      <c r="L2751" s="2" t="s">
        <v>2810</v>
      </c>
    </row>
    <row r="2752">
      <c r="A2752" s="8" t="s">
        <v>3081</v>
      </c>
      <c r="B2752" s="8" t="s">
        <v>3081</v>
      </c>
      <c r="C2752" s="2" t="s">
        <v>2913</v>
      </c>
      <c r="D2752" s="2" t="s">
        <v>2914</v>
      </c>
      <c r="E2752" s="6">
        <v>46086.50896990741</v>
      </c>
      <c r="F2752" s="3" t="s">
        <v>2915</v>
      </c>
      <c r="G2752" s="2" t="s">
        <v>24</v>
      </c>
      <c r="H2752" s="2"/>
      <c r="I2752" s="2"/>
      <c r="J2752" s="2"/>
      <c r="L2752" s="2" t="s">
        <v>2810</v>
      </c>
    </row>
    <row r="2753">
      <c r="A2753" s="8" t="s">
        <v>3082</v>
      </c>
      <c r="B2753" s="8" t="s">
        <v>3082</v>
      </c>
      <c r="C2753" s="2" t="s">
        <v>1993</v>
      </c>
      <c r="D2753" s="2" t="s">
        <v>1994</v>
      </c>
      <c r="E2753" s="6">
        <v>46086.50954861111</v>
      </c>
      <c r="F2753" s="3" t="s">
        <v>1995</v>
      </c>
      <c r="G2753" s="2" t="s">
        <v>24</v>
      </c>
      <c r="H2753" s="2"/>
      <c r="I2753" s="2"/>
      <c r="J2753" s="2"/>
      <c r="L2753" s="2" t="s">
        <v>2810</v>
      </c>
    </row>
    <row r="2754">
      <c r="A2754" s="8" t="s">
        <v>3083</v>
      </c>
      <c r="B2754" s="8" t="s">
        <v>3083</v>
      </c>
      <c r="C2754" s="2" t="s">
        <v>1618</v>
      </c>
      <c r="D2754" s="2" t="s">
        <v>1619</v>
      </c>
      <c r="E2754" s="6">
        <v>46086.510659722226</v>
      </c>
      <c r="F2754" s="3" t="s">
        <v>1620</v>
      </c>
      <c r="G2754" s="2" t="s">
        <v>24</v>
      </c>
      <c r="H2754" s="2"/>
      <c r="I2754" s="2"/>
      <c r="J2754" s="2"/>
      <c r="L2754" s="2" t="s">
        <v>2810</v>
      </c>
    </row>
    <row r="2755">
      <c r="A2755" s="8" t="s">
        <v>3084</v>
      </c>
      <c r="B2755" s="8" t="s">
        <v>3084</v>
      </c>
      <c r="C2755" s="2" t="s">
        <v>2913</v>
      </c>
      <c r="D2755" s="2" t="s">
        <v>2914</v>
      </c>
      <c r="E2755" s="6">
        <v>46086.563252314816</v>
      </c>
      <c r="F2755" s="3" t="s">
        <v>2915</v>
      </c>
      <c r="G2755" s="2" t="s">
        <v>16</v>
      </c>
      <c r="H2755" s="2"/>
      <c r="I2755" s="2" t="s">
        <v>17</v>
      </c>
      <c r="J2755" s="2"/>
      <c r="L2755" s="2" t="s">
        <v>2814</v>
      </c>
    </row>
    <row r="2756">
      <c r="A2756" s="8" t="s">
        <v>3085</v>
      </c>
      <c r="B2756" s="8" t="s">
        <v>3085</v>
      </c>
      <c r="C2756" s="2" t="s">
        <v>2081</v>
      </c>
      <c r="D2756" s="2" t="s">
        <v>2082</v>
      </c>
      <c r="E2756" s="6">
        <v>46086.568553240744</v>
      </c>
      <c r="F2756" s="3" t="s">
        <v>2083</v>
      </c>
      <c r="G2756" s="2" t="s">
        <v>24</v>
      </c>
      <c r="H2756" s="2"/>
      <c r="I2756" s="2"/>
      <c r="J2756" s="2"/>
      <c r="L2756" s="2" t="s">
        <v>2810</v>
      </c>
    </row>
    <row r="2757">
      <c r="A2757" s="8" t="s">
        <v>3086</v>
      </c>
      <c r="B2757" s="8" t="s">
        <v>3086</v>
      </c>
      <c r="C2757" s="2" t="s">
        <v>786</v>
      </c>
      <c r="D2757" s="2" t="s">
        <v>787</v>
      </c>
      <c r="E2757" s="6">
        <v>46086.568877314814</v>
      </c>
      <c r="F2757" s="3" t="s">
        <v>788</v>
      </c>
      <c r="G2757" s="2" t="s">
        <v>24</v>
      </c>
      <c r="H2757" s="2"/>
      <c r="I2757" s="2"/>
      <c r="J2757" s="2"/>
      <c r="L2757" s="2" t="s">
        <v>2810</v>
      </c>
    </row>
    <row r="2758">
      <c r="A2758" s="8" t="s">
        <v>3087</v>
      </c>
      <c r="B2758" s="8" t="s">
        <v>3087</v>
      </c>
      <c r="C2758" s="2" t="s">
        <v>2543</v>
      </c>
      <c r="D2758" s="2" t="s">
        <v>2544</v>
      </c>
      <c r="E2758" s="6">
        <v>46086.614212962966</v>
      </c>
      <c r="F2758" s="3" t="s">
        <v>2545</v>
      </c>
      <c r="G2758" s="2" t="s">
        <v>24</v>
      </c>
      <c r="H2758" s="2"/>
      <c r="I2758" s="2"/>
      <c r="J2758" s="2"/>
      <c r="L2758" s="2" t="s">
        <v>2810</v>
      </c>
    </row>
    <row r="2759">
      <c r="A2759" s="8" t="s">
        <v>3088</v>
      </c>
      <c r="B2759" s="8" t="s">
        <v>3088</v>
      </c>
      <c r="C2759" s="2" t="s">
        <v>320</v>
      </c>
      <c r="D2759" s="2" t="s">
        <v>321</v>
      </c>
      <c r="E2759" s="6">
        <v>46086.61456018518</v>
      </c>
      <c r="F2759" s="3" t="s">
        <v>322</v>
      </c>
      <c r="G2759" s="2" t="s">
        <v>24</v>
      </c>
      <c r="H2759" s="2"/>
      <c r="I2759" s="2"/>
      <c r="J2759" s="2"/>
      <c r="L2759" s="2" t="s">
        <v>2810</v>
      </c>
    </row>
    <row r="2760">
      <c r="A2760" s="8" t="s">
        <v>3089</v>
      </c>
      <c r="B2760" s="8" t="s">
        <v>3089</v>
      </c>
      <c r="C2760" s="2" t="s">
        <v>131</v>
      </c>
      <c r="D2760" s="2" t="s">
        <v>132</v>
      </c>
      <c r="E2760" s="6">
        <v>46086.61493055556</v>
      </c>
      <c r="F2760" s="3" t="s">
        <v>133</v>
      </c>
      <c r="G2760" s="2" t="s">
        <v>24</v>
      </c>
      <c r="H2760" s="2"/>
      <c r="I2760" s="2"/>
      <c r="J2760" s="2"/>
      <c r="L2760" s="2" t="s">
        <v>2810</v>
      </c>
    </row>
    <row r="2761">
      <c r="A2761" s="8" t="s">
        <v>3090</v>
      </c>
      <c r="B2761" s="8" t="s">
        <v>3090</v>
      </c>
      <c r="C2761" s="2" t="s">
        <v>1993</v>
      </c>
      <c r="D2761" s="2" t="s">
        <v>1994</v>
      </c>
      <c r="E2761" s="6">
        <v>46086.63920138889</v>
      </c>
      <c r="F2761" s="3" t="s">
        <v>1995</v>
      </c>
      <c r="G2761" s="2" t="s">
        <v>16</v>
      </c>
      <c r="H2761" s="2"/>
      <c r="I2761" s="2" t="s">
        <v>17</v>
      </c>
      <c r="J2761" s="2"/>
      <c r="L2761" s="2" t="s">
        <v>2814</v>
      </c>
    </row>
    <row r="2762">
      <c r="A2762" s="1"/>
      <c r="B2762" s="1"/>
      <c r="C2762" s="2"/>
      <c r="D2762" s="2"/>
      <c r="E2762" s="6"/>
      <c r="F2762" s="3"/>
      <c r="G2762" s="2"/>
      <c r="H2762" s="2"/>
      <c r="I2762" s="2"/>
      <c r="J2762" s="2"/>
      <c r="L2762" s="2"/>
    </row>
    <row r="2763">
      <c r="A2763" s="8" t="s">
        <v>3091</v>
      </c>
      <c r="B2763" s="8" t="s">
        <v>3091</v>
      </c>
      <c r="C2763" s="2" t="s">
        <v>1904</v>
      </c>
      <c r="D2763" s="2" t="s">
        <v>1905</v>
      </c>
      <c r="E2763" s="6">
        <v>46087.357152777775</v>
      </c>
      <c r="F2763" s="3" t="s">
        <v>1906</v>
      </c>
      <c r="G2763" s="2" t="s">
        <v>16</v>
      </c>
      <c r="H2763" s="2"/>
      <c r="I2763" s="2" t="s">
        <v>395</v>
      </c>
      <c r="J2763" s="2"/>
      <c r="L2763" s="2" t="s">
        <v>2814</v>
      </c>
    </row>
    <row r="2764">
      <c r="A2764" s="8" t="s">
        <v>3092</v>
      </c>
      <c r="B2764" s="8" t="s">
        <v>3092</v>
      </c>
      <c r="C2764" s="2" t="s">
        <v>464</v>
      </c>
      <c r="D2764" s="2" t="s">
        <v>465</v>
      </c>
      <c r="E2764" s="6">
        <v>46087.39318287037</v>
      </c>
      <c r="F2764" s="3" t="s">
        <v>466</v>
      </c>
      <c r="G2764" s="2" t="s">
        <v>16</v>
      </c>
      <c r="H2764" s="2"/>
      <c r="I2764" s="2" t="s">
        <v>17</v>
      </c>
      <c r="J2764" s="2"/>
      <c r="L2764" s="2" t="s">
        <v>2814</v>
      </c>
    </row>
    <row r="2765">
      <c r="A2765" s="8" t="s">
        <v>3093</v>
      </c>
      <c r="B2765" s="8" t="s">
        <v>3093</v>
      </c>
      <c r="C2765" s="2" t="s">
        <v>2131</v>
      </c>
      <c r="D2765" s="2" t="s">
        <v>2132</v>
      </c>
      <c r="E2765" s="6">
        <v>46087.41871527778</v>
      </c>
      <c r="F2765" s="3" t="s">
        <v>2133</v>
      </c>
      <c r="G2765" s="2" t="s">
        <v>159</v>
      </c>
      <c r="H2765" s="2"/>
      <c r="I2765" s="2"/>
      <c r="J2765" s="2"/>
      <c r="L2765" s="2" t="s">
        <v>2814</v>
      </c>
    </row>
    <row r="2766">
      <c r="A2766" s="8" t="s">
        <v>3094</v>
      </c>
      <c r="B2766" s="8" t="s">
        <v>3094</v>
      </c>
      <c r="C2766" s="2" t="s">
        <v>1904</v>
      </c>
      <c r="D2766" s="2" t="s">
        <v>1905</v>
      </c>
      <c r="E2766" s="6">
        <v>46087.42591435185</v>
      </c>
      <c r="F2766" s="3" t="s">
        <v>1906</v>
      </c>
      <c r="G2766" s="2" t="s">
        <v>16</v>
      </c>
      <c r="H2766" s="2"/>
      <c r="I2766" s="2" t="s">
        <v>17</v>
      </c>
      <c r="J2766" s="2"/>
      <c r="L2766" s="2" t="s">
        <v>2814</v>
      </c>
    </row>
    <row r="2767">
      <c r="A2767" s="8" t="s">
        <v>3095</v>
      </c>
      <c r="B2767" s="8" t="s">
        <v>3095</v>
      </c>
      <c r="C2767" s="2" t="s">
        <v>786</v>
      </c>
      <c r="D2767" s="2" t="s">
        <v>787</v>
      </c>
      <c r="E2767" s="6">
        <v>46087.46199074074</v>
      </c>
      <c r="F2767" s="3" t="s">
        <v>788</v>
      </c>
      <c r="G2767" s="2" t="s">
        <v>24</v>
      </c>
      <c r="H2767" s="2"/>
      <c r="I2767" s="2"/>
      <c r="J2767" s="2"/>
      <c r="L2767" s="2" t="s">
        <v>2810</v>
      </c>
    </row>
    <row r="2768">
      <c r="A2768" s="8" t="s">
        <v>3096</v>
      </c>
      <c r="B2768" s="8" t="s">
        <v>3096</v>
      </c>
      <c r="C2768" s="2" t="s">
        <v>1993</v>
      </c>
      <c r="D2768" s="2" t="s">
        <v>1994</v>
      </c>
      <c r="E2768" s="6">
        <v>46087.484456018516</v>
      </c>
      <c r="F2768" s="3" t="s">
        <v>1995</v>
      </c>
      <c r="G2768" s="2" t="s">
        <v>16</v>
      </c>
      <c r="H2768" s="2"/>
      <c r="I2768" s="2" t="s">
        <v>17</v>
      </c>
      <c r="J2768" s="2"/>
      <c r="L2768" s="2" t="s">
        <v>2814</v>
      </c>
    </row>
    <row r="2769">
      <c r="A2769" s="8" t="s">
        <v>3097</v>
      </c>
      <c r="B2769" s="8" t="s">
        <v>3097</v>
      </c>
      <c r="C2769" s="2" t="s">
        <v>2543</v>
      </c>
      <c r="D2769" s="2" t="s">
        <v>2544</v>
      </c>
      <c r="E2769" s="6">
        <v>46087.485914351855</v>
      </c>
      <c r="F2769" s="3" t="s">
        <v>2545</v>
      </c>
      <c r="G2769" s="2" t="s">
        <v>16</v>
      </c>
      <c r="H2769" s="2"/>
      <c r="I2769" s="2" t="s">
        <v>17</v>
      </c>
      <c r="J2769" s="2"/>
      <c r="L2769" s="2" t="s">
        <v>2814</v>
      </c>
    </row>
    <row r="2770">
      <c r="A2770" s="8" t="s">
        <v>3098</v>
      </c>
      <c r="B2770" s="8" t="s">
        <v>3098</v>
      </c>
      <c r="C2770" s="2" t="s">
        <v>1904</v>
      </c>
      <c r="D2770" s="2" t="s">
        <v>1905</v>
      </c>
      <c r="E2770" s="6">
        <v>46087.52228009259</v>
      </c>
      <c r="F2770" s="3" t="s">
        <v>1906</v>
      </c>
      <c r="G2770" s="2" t="s">
        <v>24</v>
      </c>
      <c r="H2770" s="2"/>
      <c r="I2770" s="2"/>
      <c r="J2770" s="2"/>
      <c r="L2770" s="2" t="s">
        <v>2810</v>
      </c>
    </row>
    <row r="2771">
      <c r="A2771" s="8" t="s">
        <v>3099</v>
      </c>
      <c r="B2771" s="8" t="s">
        <v>3099</v>
      </c>
      <c r="C2771" s="2" t="s">
        <v>2543</v>
      </c>
      <c r="D2771" s="2" t="s">
        <v>2544</v>
      </c>
      <c r="E2771" s="6">
        <v>46087.64550925926</v>
      </c>
      <c r="F2771" s="3" t="s">
        <v>2545</v>
      </c>
      <c r="G2771" s="2" t="s">
        <v>24</v>
      </c>
      <c r="H2771" s="2"/>
      <c r="I2771" s="2"/>
      <c r="J2771" s="2"/>
      <c r="L2771" s="2" t="s">
        <v>2810</v>
      </c>
    </row>
    <row r="2772">
      <c r="A2772" s="8" t="s">
        <v>3100</v>
      </c>
      <c r="B2772" s="8" t="s">
        <v>3100</v>
      </c>
      <c r="C2772" s="2" t="s">
        <v>2005</v>
      </c>
      <c r="D2772" s="2" t="s">
        <v>2006</v>
      </c>
      <c r="E2772" s="6">
        <v>46087.64591435185</v>
      </c>
      <c r="F2772" s="3" t="s">
        <v>2007</v>
      </c>
      <c r="G2772" s="2" t="s">
        <v>24</v>
      </c>
      <c r="H2772" s="2"/>
      <c r="I2772" s="2"/>
      <c r="J2772" s="2"/>
      <c r="L2772" s="2" t="s">
        <v>2810</v>
      </c>
    </row>
    <row r="2773">
      <c r="A2773" s="8" t="s">
        <v>3101</v>
      </c>
      <c r="B2773" s="8" t="s">
        <v>3101</v>
      </c>
      <c r="C2773" s="2" t="s">
        <v>1993</v>
      </c>
      <c r="D2773" s="2" t="s">
        <v>1994</v>
      </c>
      <c r="E2773" s="6">
        <v>46087.64699074074</v>
      </c>
      <c r="F2773" s="3" t="s">
        <v>1995</v>
      </c>
      <c r="G2773" s="2" t="s">
        <v>24</v>
      </c>
      <c r="H2773" s="2"/>
      <c r="I2773" s="2"/>
      <c r="J2773" s="2"/>
      <c r="L2773" s="2" t="s">
        <v>2810</v>
      </c>
    </row>
    <row r="2774">
      <c r="A2774" s="8" t="s">
        <v>3102</v>
      </c>
      <c r="B2774" s="8" t="s">
        <v>3102</v>
      </c>
      <c r="C2774" s="2" t="s">
        <v>464</v>
      </c>
      <c r="D2774" s="2" t="s">
        <v>465</v>
      </c>
      <c r="E2774" s="6">
        <v>46087.65759259259</v>
      </c>
      <c r="F2774" s="3" t="s">
        <v>466</v>
      </c>
      <c r="G2774" s="2" t="s">
        <v>24</v>
      </c>
      <c r="H2774" s="2"/>
      <c r="I2774" s="2"/>
      <c r="J2774" s="2"/>
      <c r="L2774" s="2" t="s">
        <v>2810</v>
      </c>
    </row>
    <row r="2775">
      <c r="A2775" s="8" t="s">
        <v>3103</v>
      </c>
      <c r="B2775" s="8" t="s">
        <v>3103</v>
      </c>
      <c r="C2775" s="2" t="s">
        <v>326</v>
      </c>
      <c r="D2775" s="2" t="s">
        <v>327</v>
      </c>
      <c r="E2775" s="6">
        <v>46087.658009259256</v>
      </c>
      <c r="F2775" s="3" t="s">
        <v>328</v>
      </c>
      <c r="G2775" s="2" t="s">
        <v>24</v>
      </c>
      <c r="H2775" s="2"/>
      <c r="I2775" s="2"/>
      <c r="J2775" s="2"/>
      <c r="L2775" s="2" t="s">
        <v>2810</v>
      </c>
    </row>
    <row r="2776">
      <c r="A2776" s="8" t="s">
        <v>3104</v>
      </c>
      <c r="B2776" s="8" t="s">
        <v>3104</v>
      </c>
      <c r="C2776" s="2" t="s">
        <v>2623</v>
      </c>
      <c r="D2776" s="2" t="s">
        <v>2624</v>
      </c>
      <c r="E2776" s="6">
        <v>46088.350486111114</v>
      </c>
      <c r="F2776" s="3" t="s">
        <v>2625</v>
      </c>
      <c r="G2776" s="2" t="s">
        <v>16</v>
      </c>
      <c r="H2776" s="2"/>
      <c r="I2776" s="2" t="s">
        <v>17</v>
      </c>
      <c r="J2776" s="2"/>
      <c r="L2776" s="2" t="s">
        <v>2814</v>
      </c>
    </row>
    <row r="2777">
      <c r="A2777" s="8" t="s">
        <v>3105</v>
      </c>
      <c r="B2777" s="8" t="s">
        <v>3105</v>
      </c>
      <c r="C2777" s="2" t="s">
        <v>786</v>
      </c>
      <c r="D2777" s="2" t="s">
        <v>787</v>
      </c>
      <c r="E2777" s="6">
        <v>46088.35086805555</v>
      </c>
      <c r="F2777" s="3" t="s">
        <v>788</v>
      </c>
      <c r="G2777" s="2" t="s">
        <v>16</v>
      </c>
      <c r="H2777" s="2"/>
      <c r="I2777" s="2" t="s">
        <v>17</v>
      </c>
      <c r="J2777" s="2"/>
      <c r="L2777" s="2" t="s">
        <v>2814</v>
      </c>
    </row>
    <row r="2778">
      <c r="A2778" s="8" t="s">
        <v>3106</v>
      </c>
      <c r="B2778" s="8" t="s">
        <v>3106</v>
      </c>
      <c r="C2778" s="2" t="s">
        <v>2913</v>
      </c>
      <c r="D2778" s="2" t="s">
        <v>2914</v>
      </c>
      <c r="E2778" s="6">
        <v>46088.39173611111</v>
      </c>
      <c r="F2778" s="3" t="s">
        <v>2915</v>
      </c>
      <c r="G2778" s="2" t="s">
        <v>16</v>
      </c>
      <c r="H2778" s="2"/>
      <c r="I2778" s="2" t="s">
        <v>17</v>
      </c>
      <c r="J2778" s="2"/>
      <c r="L2778" s="2" t="s">
        <v>2814</v>
      </c>
    </row>
    <row r="2779">
      <c r="A2779" s="8" t="s">
        <v>3107</v>
      </c>
      <c r="B2779" s="8" t="s">
        <v>3107</v>
      </c>
      <c r="C2779" s="2" t="s">
        <v>131</v>
      </c>
      <c r="D2779" s="2" t="s">
        <v>132</v>
      </c>
      <c r="E2779" s="6">
        <v>46088.392013888886</v>
      </c>
      <c r="F2779" s="3" t="s">
        <v>133</v>
      </c>
      <c r="G2779" s="2" t="s">
        <v>16</v>
      </c>
      <c r="H2779" s="2"/>
      <c r="I2779" s="2" t="s">
        <v>17</v>
      </c>
      <c r="J2779" s="2"/>
      <c r="L2779" s="2" t="s">
        <v>2814</v>
      </c>
    </row>
    <row r="2780">
      <c r="A2780" s="8" t="s">
        <v>3108</v>
      </c>
      <c r="B2780" s="8" t="s">
        <v>3108</v>
      </c>
      <c r="C2780" s="2" t="s">
        <v>2774</v>
      </c>
      <c r="D2780" s="2" t="s">
        <v>2775</v>
      </c>
      <c r="E2780" s="6">
        <v>46088.40530092592</v>
      </c>
      <c r="F2780" s="3" t="s">
        <v>2776</v>
      </c>
      <c r="G2780" s="2" t="s">
        <v>16</v>
      </c>
      <c r="H2780" s="2"/>
      <c r="I2780" s="2" t="s">
        <v>395</v>
      </c>
      <c r="J2780" s="2"/>
      <c r="L2780" s="2" t="s">
        <v>2814</v>
      </c>
    </row>
    <row r="2781">
      <c r="A2781" s="8" t="s">
        <v>3109</v>
      </c>
      <c r="B2781" s="8" t="s">
        <v>3109</v>
      </c>
      <c r="C2781" s="2" t="s">
        <v>1476</v>
      </c>
      <c r="D2781" s="2" t="s">
        <v>1477</v>
      </c>
      <c r="E2781" s="6">
        <v>46088.42587962963</v>
      </c>
      <c r="F2781" s="3" t="s">
        <v>1478</v>
      </c>
      <c r="G2781" s="2" t="s">
        <v>16</v>
      </c>
      <c r="H2781" s="2"/>
      <c r="I2781" s="2" t="s">
        <v>395</v>
      </c>
      <c r="J2781" s="2"/>
      <c r="L2781" s="2" t="s">
        <v>2814</v>
      </c>
    </row>
    <row r="2782">
      <c r="A2782" s="8" t="s">
        <v>3110</v>
      </c>
      <c r="B2782" s="8" t="s">
        <v>3110</v>
      </c>
      <c r="C2782" s="2" t="s">
        <v>1776</v>
      </c>
      <c r="D2782" s="2" t="s">
        <v>1777</v>
      </c>
      <c r="E2782" s="6">
        <v>46088.429502314815</v>
      </c>
      <c r="F2782" s="3" t="s">
        <v>1778</v>
      </c>
      <c r="G2782" s="2" t="s">
        <v>24</v>
      </c>
      <c r="H2782" s="2"/>
      <c r="I2782" s="2"/>
      <c r="J2782" s="2"/>
      <c r="L2782" s="2" t="s">
        <v>2814</v>
      </c>
    </row>
    <row r="2783">
      <c r="A2783" s="8" t="s">
        <v>3111</v>
      </c>
      <c r="B2783" s="8" t="s">
        <v>3111</v>
      </c>
      <c r="C2783" s="2" t="s">
        <v>131</v>
      </c>
      <c r="D2783" s="2" t="s">
        <v>132</v>
      </c>
      <c r="E2783" s="6">
        <v>46088.44525462963</v>
      </c>
      <c r="F2783" s="3" t="s">
        <v>133</v>
      </c>
      <c r="G2783" s="2" t="s">
        <v>24</v>
      </c>
      <c r="H2783" s="2"/>
      <c r="I2783" s="2"/>
      <c r="J2783" s="2"/>
      <c r="L2783" s="2" t="s">
        <v>2810</v>
      </c>
    </row>
    <row r="2784">
      <c r="A2784" s="8" t="s">
        <v>3112</v>
      </c>
      <c r="B2784" s="8" t="s">
        <v>3112</v>
      </c>
      <c r="C2784" s="2" t="s">
        <v>2913</v>
      </c>
      <c r="D2784" s="2" t="s">
        <v>2914</v>
      </c>
      <c r="E2784" s="6">
        <v>46088.44587962963</v>
      </c>
      <c r="F2784" s="3" t="s">
        <v>2915</v>
      </c>
      <c r="G2784" s="2" t="s">
        <v>24</v>
      </c>
      <c r="H2784" s="2"/>
      <c r="I2784" s="2"/>
      <c r="J2784" s="2"/>
      <c r="L2784" s="2" t="s">
        <v>2810</v>
      </c>
    </row>
    <row r="2785">
      <c r="A2785" s="8" t="s">
        <v>3113</v>
      </c>
      <c r="B2785" s="8" t="s">
        <v>3113</v>
      </c>
      <c r="C2785" s="2" t="s">
        <v>786</v>
      </c>
      <c r="D2785" s="2" t="s">
        <v>787</v>
      </c>
      <c r="E2785" s="6">
        <v>46088.60706018518</v>
      </c>
      <c r="F2785" s="3" t="s">
        <v>788</v>
      </c>
      <c r="G2785" s="2" t="s">
        <v>24</v>
      </c>
      <c r="H2785" s="2"/>
      <c r="I2785" s="2"/>
      <c r="J2785" s="2"/>
      <c r="L2785" s="2" t="s">
        <v>2810</v>
      </c>
    </row>
    <row r="2786">
      <c r="A2786" s="8" t="s">
        <v>3114</v>
      </c>
      <c r="B2786" s="8" t="s">
        <v>3114</v>
      </c>
      <c r="C2786" s="2" t="s">
        <v>1975</v>
      </c>
      <c r="D2786" s="2" t="s">
        <v>1976</v>
      </c>
      <c r="E2786" s="6">
        <v>46088.607453703706</v>
      </c>
      <c r="F2786" s="3" t="s">
        <v>1977</v>
      </c>
      <c r="G2786" s="2" t="s">
        <v>24</v>
      </c>
      <c r="H2786" s="2"/>
      <c r="I2786" s="2"/>
      <c r="J2786" s="2"/>
      <c r="L2786" s="2" t="s">
        <v>2810</v>
      </c>
    </row>
    <row r="2787">
      <c r="A2787" s="8" t="s">
        <v>3115</v>
      </c>
      <c r="B2787" s="8" t="s">
        <v>3115</v>
      </c>
      <c r="C2787" s="2" t="s">
        <v>2623</v>
      </c>
      <c r="D2787" s="2" t="s">
        <v>2624</v>
      </c>
      <c r="E2787" s="6">
        <v>46088.60885416667</v>
      </c>
      <c r="F2787" s="3" t="s">
        <v>2625</v>
      </c>
      <c r="G2787" s="2" t="s">
        <v>24</v>
      </c>
      <c r="H2787" s="2"/>
      <c r="I2787" s="2"/>
      <c r="J2787" s="2"/>
      <c r="L2787" s="2" t="s">
        <v>2810</v>
      </c>
    </row>
    <row r="2788">
      <c r="A2788" s="8" t="s">
        <v>3116</v>
      </c>
      <c r="B2788" s="8" t="s">
        <v>3116</v>
      </c>
      <c r="C2788" s="2" t="s">
        <v>1084</v>
      </c>
      <c r="D2788" s="2" t="s">
        <v>1085</v>
      </c>
      <c r="E2788" s="6">
        <v>46088.609560185185</v>
      </c>
      <c r="F2788" s="3" t="s">
        <v>1086</v>
      </c>
      <c r="G2788" s="2" t="s">
        <v>16</v>
      </c>
      <c r="H2788" s="2"/>
      <c r="I2788" s="2"/>
      <c r="J2788" s="2"/>
      <c r="L2788" s="2" t="s">
        <v>2814</v>
      </c>
    </row>
    <row r="2789">
      <c r="A2789" s="8" t="s">
        <v>3117</v>
      </c>
      <c r="B2789" s="8" t="s">
        <v>3117</v>
      </c>
      <c r="C2789" s="2" t="s">
        <v>1993</v>
      </c>
      <c r="D2789" s="2" t="s">
        <v>1994</v>
      </c>
      <c r="E2789" s="6">
        <v>46088.642280092594</v>
      </c>
      <c r="F2789" s="3" t="s">
        <v>1995</v>
      </c>
      <c r="G2789" s="2" t="s">
        <v>16</v>
      </c>
      <c r="H2789" s="2"/>
      <c r="I2789" s="2" t="s">
        <v>17</v>
      </c>
      <c r="J2789" s="2"/>
      <c r="L2789" s="2" t="s">
        <v>2814</v>
      </c>
    </row>
    <row r="2790">
      <c r="A2790" s="8" t="s">
        <v>3118</v>
      </c>
      <c r="B2790" s="8" t="s">
        <v>3118</v>
      </c>
      <c r="C2790" s="2" t="s">
        <v>1993</v>
      </c>
      <c r="D2790" s="2" t="s">
        <v>1994</v>
      </c>
      <c r="E2790" s="6">
        <v>46088.638391203705</v>
      </c>
      <c r="F2790" s="3" t="s">
        <v>1995</v>
      </c>
      <c r="G2790" s="2" t="s">
        <v>24</v>
      </c>
      <c r="H2790" s="2"/>
      <c r="I2790" s="2"/>
      <c r="J2790" s="2"/>
      <c r="L2790" s="2" t="s">
        <v>2810</v>
      </c>
    </row>
    <row r="2791">
      <c r="A2791" s="8" t="s">
        <v>3119</v>
      </c>
      <c r="B2791" s="8" t="s">
        <v>3119</v>
      </c>
      <c r="C2791" s="2" t="s">
        <v>2774</v>
      </c>
      <c r="D2791" s="2" t="s">
        <v>2775</v>
      </c>
      <c r="E2791" s="6">
        <v>46088.63960648148</v>
      </c>
      <c r="F2791" s="3" t="s">
        <v>2776</v>
      </c>
      <c r="G2791" s="2" t="s">
        <v>24</v>
      </c>
      <c r="H2791" s="2"/>
      <c r="I2791" s="2"/>
      <c r="J2791" s="2"/>
      <c r="L2791" s="2" t="s">
        <v>2810</v>
      </c>
    </row>
    <row r="2792">
      <c r="A2792" s="8" t="s">
        <v>3120</v>
      </c>
      <c r="B2792" s="8" t="s">
        <v>3120</v>
      </c>
      <c r="C2792" s="2" t="s">
        <v>1476</v>
      </c>
      <c r="D2792" s="2" t="s">
        <v>1477</v>
      </c>
      <c r="E2792" s="6">
        <v>46088.640081018515</v>
      </c>
      <c r="F2792" s="3" t="s">
        <v>1478</v>
      </c>
      <c r="G2792" s="2" t="s">
        <v>24</v>
      </c>
      <c r="H2792" s="2"/>
      <c r="I2792" s="2"/>
      <c r="J2792" s="2"/>
      <c r="L2792" s="2" t="s">
        <v>2810</v>
      </c>
    </row>
    <row r="2793">
      <c r="A2793" s="8" t="s">
        <v>3121</v>
      </c>
      <c r="B2793" s="8" t="s">
        <v>3121</v>
      </c>
      <c r="C2793" s="10" t="s">
        <v>3122</v>
      </c>
      <c r="D2793" s="2" t="s">
        <v>3123</v>
      </c>
      <c r="E2793" s="6">
        <v>46088.64165509259</v>
      </c>
      <c r="F2793" s="3" t="s">
        <v>3124</v>
      </c>
      <c r="G2793" s="2" t="s">
        <v>16</v>
      </c>
      <c r="H2793" s="2"/>
      <c r="I2793" s="2" t="s">
        <v>395</v>
      </c>
      <c r="J2793" s="2"/>
      <c r="L2793" s="2" t="s">
        <v>2814</v>
      </c>
    </row>
    <row r="2794">
      <c r="A2794" s="8" t="s">
        <v>3125</v>
      </c>
      <c r="B2794" s="8" t="s">
        <v>3125</v>
      </c>
      <c r="C2794" s="2" t="s">
        <v>1084</v>
      </c>
      <c r="D2794" s="2" t="s">
        <v>1085</v>
      </c>
      <c r="E2794" s="6">
        <v>46088.66840277778</v>
      </c>
      <c r="F2794" s="3" t="s">
        <v>1086</v>
      </c>
      <c r="G2794" s="2" t="s">
        <v>24</v>
      </c>
      <c r="H2794" s="2"/>
      <c r="I2794" s="2"/>
      <c r="J2794" s="2"/>
      <c r="L2794" s="2" t="s">
        <v>2810</v>
      </c>
    </row>
    <row r="2795">
      <c r="A2795" s="8" t="s">
        <v>3126</v>
      </c>
      <c r="B2795" s="8" t="s">
        <v>3126</v>
      </c>
      <c r="C2795" s="2" t="s">
        <v>904</v>
      </c>
      <c r="D2795" s="2" t="s">
        <v>905</v>
      </c>
      <c r="E2795" s="6">
        <v>46090.36945601852</v>
      </c>
      <c r="F2795" s="3" t="s">
        <v>906</v>
      </c>
      <c r="G2795" s="2" t="s">
        <v>16</v>
      </c>
      <c r="H2795" s="2"/>
      <c r="I2795" s="2" t="s">
        <v>395</v>
      </c>
      <c r="J2795" s="2"/>
      <c r="L2795" s="2" t="s">
        <v>2814</v>
      </c>
    </row>
    <row r="2796">
      <c r="A2796" s="8" t="s">
        <v>3127</v>
      </c>
      <c r="B2796" s="8" t="s">
        <v>3127</v>
      </c>
      <c r="C2796" s="2" t="s">
        <v>2131</v>
      </c>
      <c r="D2796" s="2" t="s">
        <v>2132</v>
      </c>
      <c r="E2796" s="6">
        <v>46090.36987268519</v>
      </c>
      <c r="F2796" s="3" t="s">
        <v>2133</v>
      </c>
      <c r="G2796" s="2" t="s">
        <v>16</v>
      </c>
      <c r="H2796" s="2"/>
      <c r="I2796" s="2"/>
      <c r="J2796" s="2"/>
      <c r="L2796" s="2" t="s">
        <v>2814</v>
      </c>
    </row>
    <row r="2797">
      <c r="A2797" s="8" t="s">
        <v>3128</v>
      </c>
      <c r="B2797" s="8" t="s">
        <v>3128</v>
      </c>
      <c r="C2797" s="2" t="s">
        <v>1889</v>
      </c>
      <c r="D2797" s="2" t="s">
        <v>1890</v>
      </c>
      <c r="E2797" s="6">
        <v>46090.40020833333</v>
      </c>
      <c r="F2797" s="3" t="s">
        <v>1891</v>
      </c>
      <c r="G2797" s="2" t="s">
        <v>16</v>
      </c>
      <c r="H2797" s="2"/>
      <c r="I2797" s="2" t="s">
        <v>17</v>
      </c>
      <c r="J2797" s="2"/>
      <c r="L2797" s="2" t="s">
        <v>2814</v>
      </c>
    </row>
    <row r="2798">
      <c r="A2798" s="8" t="s">
        <v>3129</v>
      </c>
      <c r="B2798" s="8" t="s">
        <v>3129</v>
      </c>
      <c r="C2798" s="2" t="s">
        <v>1889</v>
      </c>
      <c r="D2798" s="2" t="s">
        <v>1890</v>
      </c>
      <c r="E2798" s="6">
        <v>46090.401400462964</v>
      </c>
      <c r="F2798" s="3" t="s">
        <v>1891</v>
      </c>
      <c r="G2798" s="2" t="s">
        <v>16</v>
      </c>
      <c r="H2798" s="2"/>
      <c r="I2798" s="2" t="s">
        <v>395</v>
      </c>
      <c r="J2798" s="2"/>
      <c r="L2798" s="2" t="s">
        <v>2814</v>
      </c>
    </row>
    <row r="2799">
      <c r="A2799" s="8" t="s">
        <v>3130</v>
      </c>
      <c r="B2799" s="8" t="s">
        <v>3130</v>
      </c>
      <c r="C2799" s="2" t="s">
        <v>1889</v>
      </c>
      <c r="D2799" s="2" t="s">
        <v>1890</v>
      </c>
      <c r="E2799" s="6">
        <v>46090.40185185185</v>
      </c>
      <c r="F2799" s="3" t="s">
        <v>1891</v>
      </c>
      <c r="G2799" s="2" t="s">
        <v>16</v>
      </c>
      <c r="H2799" s="2"/>
      <c r="I2799" s="2" t="s">
        <v>395</v>
      </c>
      <c r="J2799" s="2"/>
      <c r="L2799" s="2" t="s">
        <v>2814</v>
      </c>
    </row>
    <row r="2800">
      <c r="A2800" s="8" t="s">
        <v>3131</v>
      </c>
      <c r="B2800" s="8" t="s">
        <v>3131</v>
      </c>
      <c r="C2800" s="2" t="s">
        <v>2623</v>
      </c>
      <c r="D2800" s="2" t="s">
        <v>2624</v>
      </c>
      <c r="E2800" s="6">
        <v>46090.42612268519</v>
      </c>
      <c r="F2800" s="3" t="s">
        <v>2625</v>
      </c>
      <c r="G2800" s="2" t="s">
        <v>16</v>
      </c>
      <c r="H2800" s="2"/>
      <c r="I2800" s="2" t="s">
        <v>17</v>
      </c>
      <c r="J2800" s="2"/>
      <c r="L2800" s="2" t="s">
        <v>2814</v>
      </c>
    </row>
    <row r="2801">
      <c r="A2801" s="8" t="s">
        <v>3132</v>
      </c>
      <c r="B2801" s="8" t="s">
        <v>3132</v>
      </c>
      <c r="C2801" s="2" t="s">
        <v>2131</v>
      </c>
      <c r="D2801" s="2" t="s">
        <v>2132</v>
      </c>
      <c r="E2801" s="6">
        <v>46090.470509259256</v>
      </c>
      <c r="F2801" s="3" t="s">
        <v>2133</v>
      </c>
      <c r="G2801" s="2" t="s">
        <v>24</v>
      </c>
      <c r="H2801" s="2"/>
      <c r="I2801" s="2"/>
      <c r="J2801" s="2"/>
      <c r="L2801" s="2" t="s">
        <v>2810</v>
      </c>
    </row>
    <row r="2802">
      <c r="A2802" s="8" t="s">
        <v>3133</v>
      </c>
      <c r="B2802" s="8" t="s">
        <v>3133</v>
      </c>
      <c r="C2802" s="2" t="s">
        <v>904</v>
      </c>
      <c r="D2802" s="2" t="s">
        <v>905</v>
      </c>
      <c r="E2802" s="6">
        <v>46090.47122685185</v>
      </c>
      <c r="F2802" s="3" t="s">
        <v>906</v>
      </c>
      <c r="G2802" s="2" t="s">
        <v>24</v>
      </c>
      <c r="H2802" s="2"/>
      <c r="I2802" s="2"/>
      <c r="J2802" s="2"/>
      <c r="L2802" s="2" t="s">
        <v>2810</v>
      </c>
    </row>
    <row r="2803">
      <c r="A2803" s="8" t="s">
        <v>3134</v>
      </c>
      <c r="B2803" s="8" t="s">
        <v>3134</v>
      </c>
      <c r="C2803" s="2" t="s">
        <v>1889</v>
      </c>
      <c r="D2803" s="2" t="s">
        <v>1890</v>
      </c>
      <c r="E2803" s="6">
        <v>46090.502071759256</v>
      </c>
      <c r="F2803" s="3" t="s">
        <v>1891</v>
      </c>
      <c r="G2803" s="2" t="s">
        <v>24</v>
      </c>
      <c r="H2803" s="2"/>
      <c r="I2803" s="2"/>
      <c r="J2803" s="2"/>
      <c r="L2803" s="2" t="s">
        <v>2810</v>
      </c>
    </row>
    <row r="2804">
      <c r="A2804" s="8" t="s">
        <v>3135</v>
      </c>
      <c r="B2804" s="8" t="s">
        <v>3135</v>
      </c>
      <c r="C2804" s="2" t="s">
        <v>1745</v>
      </c>
      <c r="D2804" s="2" t="s">
        <v>1746</v>
      </c>
      <c r="E2804" s="6">
        <v>46090.51435185185</v>
      </c>
      <c r="F2804" s="3" t="s">
        <v>1747</v>
      </c>
      <c r="G2804" s="2" t="s">
        <v>16</v>
      </c>
      <c r="H2804" s="2"/>
      <c r="I2804" s="2" t="s">
        <v>17</v>
      </c>
      <c r="J2804" s="2"/>
      <c r="L2804" s="2" t="s">
        <v>2814</v>
      </c>
    </row>
    <row r="2805">
      <c r="A2805" s="8" t="s">
        <v>3136</v>
      </c>
      <c r="B2805" s="8" t="s">
        <v>3136</v>
      </c>
      <c r="C2805" s="2" t="s">
        <v>2543</v>
      </c>
      <c r="D2805" s="2" t="s">
        <v>2544</v>
      </c>
      <c r="E2805" s="6">
        <v>46090.658368055556</v>
      </c>
      <c r="F2805" s="3" t="s">
        <v>2545</v>
      </c>
      <c r="G2805" s="2" t="s">
        <v>24</v>
      </c>
      <c r="H2805" s="2"/>
      <c r="I2805" s="2"/>
      <c r="J2805" s="2"/>
      <c r="L2805" s="2" t="s">
        <v>2810</v>
      </c>
    </row>
    <row r="2806">
      <c r="A2806" s="8" t="s">
        <v>3137</v>
      </c>
      <c r="B2806" s="8" t="s">
        <v>3137</v>
      </c>
      <c r="C2806" s="2" t="s">
        <v>2005</v>
      </c>
      <c r="D2806" s="2" t="s">
        <v>2006</v>
      </c>
      <c r="E2806" s="6">
        <v>46090.65888888889</v>
      </c>
      <c r="F2806" s="3" t="s">
        <v>2007</v>
      </c>
      <c r="G2806" s="2" t="s">
        <v>24</v>
      </c>
      <c r="H2806" s="2"/>
      <c r="I2806" s="2"/>
      <c r="J2806" s="2"/>
      <c r="L2806" s="2" t="s">
        <v>2810</v>
      </c>
    </row>
    <row r="2807">
      <c r="A2807" s="8" t="s">
        <v>3138</v>
      </c>
      <c r="B2807" s="8" t="s">
        <v>3138</v>
      </c>
      <c r="C2807" s="2" t="s">
        <v>2623</v>
      </c>
      <c r="D2807" s="2" t="s">
        <v>2624</v>
      </c>
      <c r="E2807" s="6">
        <v>46090.680185185185</v>
      </c>
      <c r="F2807" s="3" t="s">
        <v>2625</v>
      </c>
      <c r="G2807" s="2" t="s">
        <v>24</v>
      </c>
      <c r="H2807" s="2"/>
      <c r="I2807" s="2"/>
      <c r="J2807" s="2"/>
      <c r="L2807" s="2" t="s">
        <v>2810</v>
      </c>
    </row>
    <row r="2808">
      <c r="A2808" s="8" t="s">
        <v>3139</v>
      </c>
      <c r="B2808" s="8" t="s">
        <v>3139</v>
      </c>
      <c r="C2808" s="2" t="s">
        <v>1993</v>
      </c>
      <c r="D2808" s="2" t="s">
        <v>1994</v>
      </c>
      <c r="E2808" s="6">
        <v>46091.34033564815</v>
      </c>
      <c r="F2808" s="3" t="s">
        <v>1995</v>
      </c>
      <c r="G2808" s="2" t="s">
        <v>16</v>
      </c>
      <c r="H2808" s="2"/>
      <c r="I2808" s="2" t="s">
        <v>17</v>
      </c>
      <c r="J2808" s="2"/>
      <c r="L2808" s="2" t="s">
        <v>2814</v>
      </c>
    </row>
    <row r="2809">
      <c r="A2809" s="8" t="s">
        <v>3140</v>
      </c>
      <c r="B2809" s="8" t="s">
        <v>3140</v>
      </c>
      <c r="C2809" s="2" t="s">
        <v>2270</v>
      </c>
      <c r="D2809" s="2" t="s">
        <v>2271</v>
      </c>
      <c r="E2809" s="6">
        <v>46091.34085648148</v>
      </c>
      <c r="F2809" s="3" t="s">
        <v>2272</v>
      </c>
      <c r="G2809" s="2" t="s">
        <v>16</v>
      </c>
      <c r="H2809" s="2"/>
      <c r="I2809" s="2" t="s">
        <v>395</v>
      </c>
      <c r="J2809" s="2"/>
      <c r="L2809" s="2" t="s">
        <v>2814</v>
      </c>
    </row>
    <row r="2810">
      <c r="A2810" s="8" t="s">
        <v>3141</v>
      </c>
      <c r="B2810" s="8" t="s">
        <v>3141</v>
      </c>
      <c r="C2810" s="2" t="s">
        <v>786</v>
      </c>
      <c r="D2810" s="2" t="s">
        <v>787</v>
      </c>
      <c r="E2810" s="6">
        <v>46091.34050925926</v>
      </c>
      <c r="F2810" s="3" t="s">
        <v>788</v>
      </c>
      <c r="G2810" s="2" t="s">
        <v>16</v>
      </c>
      <c r="H2810" s="2"/>
      <c r="I2810" s="2" t="s">
        <v>17</v>
      </c>
      <c r="J2810" s="2"/>
      <c r="L2810" s="2" t="s">
        <v>2814</v>
      </c>
    </row>
    <row r="2811">
      <c r="A2811" s="8" t="s">
        <v>3142</v>
      </c>
      <c r="B2811" s="8" t="s">
        <v>3142</v>
      </c>
      <c r="C2811" s="2" t="s">
        <v>2640</v>
      </c>
      <c r="D2811" s="2" t="s">
        <v>2641</v>
      </c>
      <c r="E2811" s="6">
        <v>46091.37516203704</v>
      </c>
      <c r="F2811" s="3" t="s">
        <v>2642</v>
      </c>
      <c r="G2811" s="2" t="s">
        <v>16</v>
      </c>
      <c r="H2811" s="2"/>
      <c r="I2811" s="2" t="s">
        <v>395</v>
      </c>
      <c r="J2811" s="2"/>
      <c r="L2811" s="2" t="s">
        <v>2814</v>
      </c>
    </row>
    <row r="2812">
      <c r="A2812" s="8" t="s">
        <v>3143</v>
      </c>
      <c r="B2812" s="8" t="s">
        <v>3143</v>
      </c>
      <c r="C2812" s="2" t="s">
        <v>1756</v>
      </c>
      <c r="D2812" s="2" t="s">
        <v>1757</v>
      </c>
      <c r="E2812" s="6">
        <v>46091.398935185185</v>
      </c>
      <c r="F2812" s="3" t="s">
        <v>1758</v>
      </c>
      <c r="G2812" s="2" t="s">
        <v>16</v>
      </c>
      <c r="H2812" s="2"/>
      <c r="I2812" s="2" t="s">
        <v>17</v>
      </c>
      <c r="J2812" s="2"/>
      <c r="L2812" s="2" t="s">
        <v>2814</v>
      </c>
    </row>
    <row r="2813">
      <c r="A2813" s="8" t="s">
        <v>3144</v>
      </c>
      <c r="B2813" s="8" t="s">
        <v>3144</v>
      </c>
      <c r="C2813" s="2" t="s">
        <v>2640</v>
      </c>
      <c r="D2813" s="2" t="s">
        <v>2641</v>
      </c>
      <c r="E2813" s="6">
        <v>46066.603321759256</v>
      </c>
      <c r="F2813" s="3" t="s">
        <v>2642</v>
      </c>
      <c r="G2813" s="2" t="s">
        <v>24</v>
      </c>
      <c r="H2813" s="2"/>
      <c r="I2813" s="2"/>
      <c r="J2813" s="2"/>
      <c r="L2813" s="2" t="s">
        <v>2810</v>
      </c>
    </row>
    <row r="2814">
      <c r="A2814" s="8" t="s">
        <v>3145</v>
      </c>
      <c r="B2814" s="8" t="s">
        <v>3145</v>
      </c>
      <c r="C2814" s="2" t="s">
        <v>1993</v>
      </c>
      <c r="D2814" s="2" t="s">
        <v>1994</v>
      </c>
      <c r="E2814" s="6">
        <v>46091.450636574074</v>
      </c>
      <c r="F2814" s="3" t="s">
        <v>1995</v>
      </c>
      <c r="G2814" s="2" t="s">
        <v>24</v>
      </c>
      <c r="H2814" s="2"/>
      <c r="I2814" s="2"/>
      <c r="J2814" s="2"/>
      <c r="L2814" s="2" t="s">
        <v>2810</v>
      </c>
    </row>
    <row r="2815">
      <c r="A2815" s="8" t="s">
        <v>3146</v>
      </c>
      <c r="B2815" s="8" t="s">
        <v>3146</v>
      </c>
      <c r="C2815" s="2" t="s">
        <v>2913</v>
      </c>
      <c r="D2815" s="2" t="s">
        <v>2914</v>
      </c>
      <c r="E2815" s="6">
        <v>46091.451886574076</v>
      </c>
      <c r="F2815" s="3" t="s">
        <v>2915</v>
      </c>
      <c r="G2815" s="2" t="s">
        <v>24</v>
      </c>
      <c r="H2815" s="2"/>
      <c r="I2815" s="2"/>
      <c r="J2815" s="2"/>
      <c r="L2815" s="2" t="s">
        <v>2810</v>
      </c>
    </row>
    <row r="2816">
      <c r="A2816" s="8" t="s">
        <v>3147</v>
      </c>
      <c r="B2816" s="8" t="s">
        <v>3147</v>
      </c>
      <c r="C2816" s="2" t="s">
        <v>1756</v>
      </c>
      <c r="D2816" s="2" t="s">
        <v>1757</v>
      </c>
      <c r="E2816" s="6">
        <v>46091.60041666667</v>
      </c>
      <c r="F2816" s="3" t="s">
        <v>1758</v>
      </c>
      <c r="G2816" s="2" t="s">
        <v>24</v>
      </c>
      <c r="H2816" s="2"/>
      <c r="I2816" s="2"/>
      <c r="J2816" s="2"/>
      <c r="L2816" s="2" t="s">
        <v>2810</v>
      </c>
    </row>
    <row r="2817">
      <c r="A2817" s="8" t="s">
        <v>3148</v>
      </c>
      <c r="B2817" s="8" t="s">
        <v>3148</v>
      </c>
      <c r="C2817" s="2" t="s">
        <v>2270</v>
      </c>
      <c r="D2817" s="2" t="s">
        <v>2271</v>
      </c>
      <c r="E2817" s="6">
        <v>46091.60173611111</v>
      </c>
      <c r="F2817" s="3" t="s">
        <v>2272</v>
      </c>
      <c r="G2817" s="2" t="s">
        <v>24</v>
      </c>
      <c r="H2817" s="2"/>
      <c r="I2817" s="2"/>
      <c r="J2817" s="2"/>
      <c r="L2817" s="2" t="s">
        <v>2810</v>
      </c>
    </row>
    <row r="2818">
      <c r="A2818" s="8" t="s">
        <v>3149</v>
      </c>
      <c r="B2818" s="8" t="s">
        <v>3149</v>
      </c>
      <c r="C2818" s="2" t="s">
        <v>786</v>
      </c>
      <c r="D2818" s="2" t="s">
        <v>787</v>
      </c>
      <c r="E2818" s="6">
        <v>46091.602638888886</v>
      </c>
      <c r="F2818" s="3" t="s">
        <v>788</v>
      </c>
      <c r="G2818" s="2" t="s">
        <v>24</v>
      </c>
      <c r="H2818" s="2"/>
      <c r="I2818" s="2"/>
      <c r="J2818" s="2"/>
      <c r="L2818" s="2" t="s">
        <v>2810</v>
      </c>
    </row>
    <row r="2819">
      <c r="A2819" s="8" t="s">
        <v>3150</v>
      </c>
      <c r="B2819" s="8" t="s">
        <v>3150</v>
      </c>
      <c r="C2819" s="2" t="s">
        <v>2640</v>
      </c>
      <c r="D2819" s="2" t="s">
        <v>2641</v>
      </c>
      <c r="E2819" s="6">
        <v>46091.603414351855</v>
      </c>
      <c r="F2819" s="3" t="s">
        <v>2642</v>
      </c>
      <c r="G2819" s="2" t="s">
        <v>24</v>
      </c>
      <c r="H2819" s="2"/>
      <c r="I2819" s="2"/>
      <c r="J2819" s="2"/>
      <c r="L2819" s="2" t="s">
        <v>2810</v>
      </c>
    </row>
    <row r="2820">
      <c r="A2820" s="8" t="s">
        <v>3151</v>
      </c>
      <c r="B2820" s="8" t="s">
        <v>3151</v>
      </c>
      <c r="C2820" s="2" t="s">
        <v>1904</v>
      </c>
      <c r="D2820" s="2" t="s">
        <v>1905</v>
      </c>
      <c r="E2820" s="6">
        <v>46091.6340162037</v>
      </c>
      <c r="F2820" s="3" t="s">
        <v>1906</v>
      </c>
      <c r="G2820" s="2" t="s">
        <v>24</v>
      </c>
      <c r="H2820" s="2"/>
      <c r="I2820" s="2"/>
      <c r="J2820" s="2"/>
      <c r="L2820" s="2" t="s">
        <v>2810</v>
      </c>
    </row>
    <row r="2821">
      <c r="A2821" s="8" t="s">
        <v>3152</v>
      </c>
      <c r="B2821" s="8" t="s">
        <v>3152</v>
      </c>
      <c r="C2821" s="2" t="s">
        <v>49</v>
      </c>
      <c r="D2821" s="2" t="s">
        <v>50</v>
      </c>
      <c r="E2821" s="6">
        <v>46091.63506944444</v>
      </c>
      <c r="F2821" s="3" t="s">
        <v>51</v>
      </c>
      <c r="G2821" s="2" t="s">
        <v>24</v>
      </c>
      <c r="H2821" s="2"/>
      <c r="I2821" s="2"/>
      <c r="J2821" s="2"/>
      <c r="L2821" s="2" t="s">
        <v>2810</v>
      </c>
    </row>
    <row r="2822">
      <c r="A2822" s="8" t="s">
        <v>3153</v>
      </c>
      <c r="B2822" s="8" t="s">
        <v>3153</v>
      </c>
      <c r="C2822" s="2" t="s">
        <v>1228</v>
      </c>
      <c r="D2822" s="2" t="s">
        <v>1229</v>
      </c>
      <c r="E2822" s="6">
        <v>46092.3809375</v>
      </c>
      <c r="F2822" s="3" t="s">
        <v>1230</v>
      </c>
      <c r="G2822" s="2" t="s">
        <v>16</v>
      </c>
      <c r="H2822" s="2"/>
      <c r="I2822" s="2" t="s">
        <v>17</v>
      </c>
      <c r="J2822" s="2"/>
      <c r="L2822" s="2" t="s">
        <v>2814</v>
      </c>
    </row>
    <row r="2823">
      <c r="A2823" s="8" t="s">
        <v>3154</v>
      </c>
      <c r="B2823" s="8" t="s">
        <v>3154</v>
      </c>
      <c r="C2823" s="2" t="s">
        <v>1975</v>
      </c>
      <c r="D2823" s="2" t="s">
        <v>1976</v>
      </c>
      <c r="E2823" s="6">
        <v>46092.40855324074</v>
      </c>
      <c r="F2823" s="3" t="s">
        <v>1977</v>
      </c>
      <c r="G2823" s="2" t="s">
        <v>16</v>
      </c>
      <c r="H2823" s="2"/>
      <c r="I2823" s="2" t="s">
        <v>395</v>
      </c>
      <c r="J2823" s="2"/>
      <c r="L2823" s="2" t="s">
        <v>2814</v>
      </c>
    </row>
    <row r="2824">
      <c r="A2824" s="8" t="s">
        <v>3155</v>
      </c>
      <c r="B2824" s="8" t="s">
        <v>3155</v>
      </c>
      <c r="C2824" s="2" t="s">
        <v>1975</v>
      </c>
      <c r="D2824" s="2" t="s">
        <v>1976</v>
      </c>
      <c r="E2824" s="6">
        <v>46092.5621875</v>
      </c>
      <c r="F2824" s="3" t="s">
        <v>1977</v>
      </c>
      <c r="G2824" s="2" t="s">
        <v>24</v>
      </c>
      <c r="H2824" s="2"/>
      <c r="I2824" s="2"/>
      <c r="J2824" s="2"/>
      <c r="L2824" s="2"/>
    </row>
    <row r="2825">
      <c r="A2825" s="8" t="s">
        <v>3156</v>
      </c>
      <c r="B2825" s="8" t="s">
        <v>3156</v>
      </c>
      <c r="C2825" s="2" t="s">
        <v>1084</v>
      </c>
      <c r="D2825" s="2" t="s">
        <v>1085</v>
      </c>
      <c r="E2825" s="6">
        <v>46092.632372685184</v>
      </c>
      <c r="F2825" s="3" t="s">
        <v>1086</v>
      </c>
      <c r="G2825" s="2" t="s">
        <v>16</v>
      </c>
      <c r="H2825" s="2"/>
      <c r="I2825" s="2"/>
      <c r="J2825" s="2"/>
      <c r="L2825" s="2" t="s">
        <v>2814</v>
      </c>
    </row>
    <row r="2826">
      <c r="A2826" s="8" t="s">
        <v>3157</v>
      </c>
      <c r="B2826" s="8" t="s">
        <v>3157</v>
      </c>
      <c r="C2826" s="2" t="s">
        <v>1371</v>
      </c>
      <c r="D2826" s="2" t="s">
        <v>1372</v>
      </c>
      <c r="E2826" s="6">
        <v>46092.62332175926</v>
      </c>
      <c r="F2826" s="3" t="s">
        <v>1373</v>
      </c>
      <c r="G2826" s="2" t="s">
        <v>24</v>
      </c>
      <c r="H2826" s="2"/>
      <c r="I2826" s="2"/>
      <c r="J2826" s="2"/>
      <c r="L2826" s="2" t="s">
        <v>2810</v>
      </c>
    </row>
    <row r="2827">
      <c r="A2827" s="8" t="s">
        <v>3158</v>
      </c>
      <c r="B2827" s="8" t="s">
        <v>3158</v>
      </c>
      <c r="C2827" s="2" t="s">
        <v>326</v>
      </c>
      <c r="D2827" s="2" t="s">
        <v>327</v>
      </c>
      <c r="E2827" s="6">
        <v>46092.623773148145</v>
      </c>
      <c r="F2827" s="3" t="s">
        <v>328</v>
      </c>
      <c r="G2827" s="2" t="s">
        <v>24</v>
      </c>
      <c r="H2827" s="2"/>
      <c r="I2827" s="2"/>
      <c r="J2827" s="2"/>
      <c r="L2827" s="2" t="s">
        <v>2810</v>
      </c>
    </row>
    <row r="2828">
      <c r="A2828" s="1"/>
      <c r="B2828" s="1"/>
      <c r="C2828" s="2"/>
      <c r="D2828" s="2"/>
      <c r="E2828" s="6"/>
      <c r="F2828" s="3"/>
      <c r="G2828" s="2"/>
      <c r="H2828" s="2"/>
      <c r="I2828" s="2"/>
      <c r="J2828" s="2"/>
      <c r="L2828" s="2"/>
    </row>
    <row r="2829">
      <c r="A2829" s="8" t="s">
        <v>3159</v>
      </c>
      <c r="B2829" s="8" t="s">
        <v>3159</v>
      </c>
      <c r="C2829" s="10" t="s">
        <v>3122</v>
      </c>
      <c r="D2829" s="2" t="s">
        <v>3123</v>
      </c>
      <c r="E2829" s="6">
        <v>46092.63710648148</v>
      </c>
      <c r="F2829" s="3" t="s">
        <v>3124</v>
      </c>
      <c r="G2829" s="2" t="s">
        <v>16</v>
      </c>
      <c r="H2829" s="2"/>
      <c r="I2829" s="2" t="s">
        <v>395</v>
      </c>
      <c r="J2829" s="2"/>
      <c r="L2829" s="2" t="s">
        <v>2814</v>
      </c>
    </row>
    <row r="2830">
      <c r="A2830" s="8" t="s">
        <v>3160</v>
      </c>
      <c r="B2830" s="8" t="s">
        <v>3160</v>
      </c>
      <c r="C2830" s="2" t="s">
        <v>320</v>
      </c>
      <c r="D2830" s="2" t="s">
        <v>321</v>
      </c>
      <c r="E2830" s="6">
        <v>46092.65185185185</v>
      </c>
      <c r="F2830" s="3" t="s">
        <v>322</v>
      </c>
      <c r="G2830" s="2" t="s">
        <v>24</v>
      </c>
      <c r="H2830" s="2"/>
      <c r="I2830" s="2"/>
      <c r="J2830" s="2"/>
      <c r="L2830" s="2" t="s">
        <v>2810</v>
      </c>
    </row>
    <row r="2831">
      <c r="A2831" s="8" t="s">
        <v>3161</v>
      </c>
      <c r="B2831" s="8" t="s">
        <v>3161</v>
      </c>
      <c r="C2831" s="2" t="s">
        <v>109</v>
      </c>
      <c r="D2831" s="2" t="s">
        <v>110</v>
      </c>
      <c r="E2831" s="6">
        <v>46092.6574537037</v>
      </c>
      <c r="F2831" s="3" t="s">
        <v>111</v>
      </c>
      <c r="G2831" s="2" t="s">
        <v>24</v>
      </c>
      <c r="H2831" s="2"/>
      <c r="I2831" s="2"/>
      <c r="J2831" s="2"/>
      <c r="L2831" s="2" t="s">
        <v>2810</v>
      </c>
    </row>
    <row r="2832">
      <c r="A2832" s="8" t="s">
        <v>3162</v>
      </c>
      <c r="B2832" s="8" t="s">
        <v>3163</v>
      </c>
      <c r="C2832" s="2" t="s">
        <v>1228</v>
      </c>
      <c r="D2832" s="2" t="s">
        <v>1229</v>
      </c>
      <c r="E2832" s="6">
        <v>46092.623078703706</v>
      </c>
      <c r="F2832" s="3" t="s">
        <v>1230</v>
      </c>
      <c r="G2832" s="2" t="s">
        <v>24</v>
      </c>
      <c r="H2832" s="2"/>
      <c r="I2832" s="2"/>
      <c r="J2832" s="2"/>
      <c r="L2832" s="2" t="s">
        <v>2810</v>
      </c>
    </row>
    <row r="2833">
      <c r="A2833" s="8" t="s">
        <v>3164</v>
      </c>
      <c r="B2833" s="8" t="s">
        <v>3164</v>
      </c>
      <c r="C2833" s="10" t="s">
        <v>3122</v>
      </c>
      <c r="D2833" s="2" t="s">
        <v>3123</v>
      </c>
      <c r="E2833" s="6">
        <v>46092.61908564815</v>
      </c>
      <c r="F2833" s="3" t="s">
        <v>3124</v>
      </c>
      <c r="G2833" s="2" t="s">
        <v>24</v>
      </c>
      <c r="H2833" s="2"/>
      <c r="I2833" s="2"/>
      <c r="J2833" s="2"/>
      <c r="L2833" s="2" t="s">
        <v>2810</v>
      </c>
    </row>
    <row r="2834">
      <c r="A2834" s="8" t="s">
        <v>3165</v>
      </c>
      <c r="B2834" s="8" t="s">
        <v>3165</v>
      </c>
      <c r="C2834" s="2" t="s">
        <v>2623</v>
      </c>
      <c r="D2834" s="2" t="s">
        <v>2624</v>
      </c>
      <c r="E2834" s="6">
        <v>46093.340891203705</v>
      </c>
      <c r="F2834" s="3" t="s">
        <v>2625</v>
      </c>
      <c r="G2834" s="2" t="s">
        <v>16</v>
      </c>
      <c r="H2834" s="2"/>
      <c r="I2834" s="2" t="s">
        <v>17</v>
      </c>
      <c r="J2834" s="2"/>
      <c r="L2834" s="2" t="s">
        <v>2814</v>
      </c>
    </row>
    <row r="2835">
      <c r="A2835" s="8" t="s">
        <v>3166</v>
      </c>
      <c r="B2835" s="8" t="s">
        <v>3166</v>
      </c>
      <c r="C2835" s="2" t="s">
        <v>1084</v>
      </c>
      <c r="D2835" s="2" t="s">
        <v>1085</v>
      </c>
      <c r="E2835" s="6">
        <v>46092.68716435185</v>
      </c>
      <c r="F2835" s="3" t="s">
        <v>1086</v>
      </c>
      <c r="G2835" s="2" t="s">
        <v>24</v>
      </c>
      <c r="H2835" s="2"/>
      <c r="I2835" s="2"/>
      <c r="J2835" s="2"/>
      <c r="L2835" s="2" t="s">
        <v>2810</v>
      </c>
    </row>
    <row r="2836">
      <c r="A2836" s="8" t="s">
        <v>3167</v>
      </c>
      <c r="B2836" s="8" t="s">
        <v>3167</v>
      </c>
      <c r="C2836" s="2" t="s">
        <v>3168</v>
      </c>
      <c r="D2836" s="2" t="s">
        <v>3169</v>
      </c>
      <c r="E2836" s="6">
        <v>46093.69027777778</v>
      </c>
      <c r="F2836" s="3" t="s">
        <v>3170</v>
      </c>
      <c r="G2836" s="2" t="s">
        <v>159</v>
      </c>
      <c r="H2836" s="2"/>
      <c r="I2836" s="2"/>
      <c r="J2836" s="2"/>
      <c r="L2836" s="2" t="s">
        <v>2814</v>
      </c>
    </row>
    <row r="2837">
      <c r="A2837" s="8" t="s">
        <v>3171</v>
      </c>
      <c r="B2837" s="8" t="s">
        <v>3171</v>
      </c>
      <c r="C2837" s="2" t="s">
        <v>1993</v>
      </c>
      <c r="D2837" s="2" t="s">
        <v>1994</v>
      </c>
      <c r="E2837" s="6">
        <v>46093.35859953704</v>
      </c>
      <c r="F2837" s="3" t="s">
        <v>1995</v>
      </c>
      <c r="G2837" s="2" t="s">
        <v>16</v>
      </c>
      <c r="H2837" s="2"/>
      <c r="I2837" s="2" t="s">
        <v>17</v>
      </c>
      <c r="J2837" s="2"/>
      <c r="L2837" s="2" t="s">
        <v>2814</v>
      </c>
    </row>
    <row r="2838">
      <c r="A2838" s="8" t="s">
        <v>3172</v>
      </c>
      <c r="B2838" s="8" t="s">
        <v>3172</v>
      </c>
      <c r="C2838" s="2" t="s">
        <v>55</v>
      </c>
      <c r="D2838" s="2" t="s">
        <v>56</v>
      </c>
      <c r="E2838" s="6">
        <v>46093.49789351852</v>
      </c>
      <c r="F2838" s="3" t="s">
        <v>57</v>
      </c>
      <c r="G2838" s="2" t="s">
        <v>24</v>
      </c>
      <c r="H2838" s="2"/>
      <c r="I2838" s="2"/>
      <c r="J2838" s="2"/>
      <c r="L2838" s="2" t="s">
        <v>2810</v>
      </c>
    </row>
    <row r="2839">
      <c r="A2839" s="8" t="s">
        <v>3173</v>
      </c>
      <c r="B2839" s="8" t="s">
        <v>3173</v>
      </c>
      <c r="C2839" s="2" t="s">
        <v>1993</v>
      </c>
      <c r="D2839" s="2" t="s">
        <v>1994</v>
      </c>
      <c r="E2839" s="6">
        <v>46093.50048611111</v>
      </c>
      <c r="F2839" s="3" t="s">
        <v>1995</v>
      </c>
      <c r="G2839" s="2" t="s">
        <v>24</v>
      </c>
      <c r="H2839" s="2"/>
      <c r="I2839" s="2"/>
      <c r="J2839" s="2"/>
      <c r="L2839" s="2" t="s">
        <v>2810</v>
      </c>
    </row>
    <row r="2840">
      <c r="A2840" s="8" t="s">
        <v>3174</v>
      </c>
      <c r="B2840" s="8" t="s">
        <v>3174</v>
      </c>
      <c r="C2840" s="2" t="s">
        <v>2640</v>
      </c>
      <c r="D2840" s="2" t="s">
        <v>2641</v>
      </c>
      <c r="E2840" s="6">
        <v>46093.50234953704</v>
      </c>
      <c r="F2840" s="3" t="s">
        <v>2642</v>
      </c>
      <c r="G2840" s="2" t="s">
        <v>24</v>
      </c>
      <c r="H2840" s="2"/>
      <c r="I2840" s="2"/>
      <c r="J2840" s="2"/>
      <c r="L2840" s="2" t="s">
        <v>2810</v>
      </c>
    </row>
    <row r="2841">
      <c r="A2841" s="8" t="s">
        <v>3175</v>
      </c>
      <c r="B2841" s="8" t="s">
        <v>3175</v>
      </c>
      <c r="C2841" s="2" t="s">
        <v>320</v>
      </c>
      <c r="D2841" s="2" t="s">
        <v>321</v>
      </c>
      <c r="E2841" s="6">
        <v>46093.50443287037</v>
      </c>
      <c r="F2841" s="3" t="s">
        <v>322</v>
      </c>
      <c r="G2841" s="2" t="s">
        <v>16</v>
      </c>
      <c r="H2841" s="2"/>
      <c r="I2841" s="2" t="s">
        <v>17</v>
      </c>
      <c r="J2841" s="2"/>
      <c r="L2841" s="2" t="s">
        <v>2814</v>
      </c>
    </row>
    <row r="2842">
      <c r="A2842" s="8" t="s">
        <v>3176</v>
      </c>
      <c r="B2842" s="8" t="s">
        <v>3176</v>
      </c>
      <c r="C2842" s="2" t="s">
        <v>2623</v>
      </c>
      <c r="D2842" s="2" t="s">
        <v>2624</v>
      </c>
      <c r="E2842" s="6">
        <v>46093.54340277778</v>
      </c>
      <c r="F2842" s="3" t="s">
        <v>2625</v>
      </c>
      <c r="G2842" s="2" t="s">
        <v>24</v>
      </c>
      <c r="H2842" s="2"/>
      <c r="I2842" s="2"/>
      <c r="J2842" s="2"/>
      <c r="L2842" s="2" t="s">
        <v>2810</v>
      </c>
    </row>
    <row r="2843">
      <c r="A2843" s="8" t="s">
        <v>3177</v>
      </c>
      <c r="B2843" s="8" t="s">
        <v>3177</v>
      </c>
      <c r="C2843" s="2" t="s">
        <v>786</v>
      </c>
      <c r="D2843" s="2" t="s">
        <v>787</v>
      </c>
      <c r="E2843" s="6">
        <v>46093.54789351852</v>
      </c>
      <c r="F2843" s="3" t="s">
        <v>788</v>
      </c>
      <c r="G2843" s="2" t="s">
        <v>24</v>
      </c>
      <c r="H2843" s="2"/>
      <c r="I2843" s="2"/>
      <c r="J2843" s="2"/>
      <c r="L2843" s="2" t="s">
        <v>2810</v>
      </c>
    </row>
    <row r="2844">
      <c r="A2844" s="8" t="s">
        <v>3178</v>
      </c>
      <c r="B2844" s="8" t="s">
        <v>3178</v>
      </c>
      <c r="C2844" s="2" t="s">
        <v>326</v>
      </c>
      <c r="D2844" s="2" t="s">
        <v>327</v>
      </c>
      <c r="E2844" s="6">
        <v>46093.55886574074</v>
      </c>
      <c r="F2844" s="3" t="s">
        <v>328</v>
      </c>
      <c r="G2844" s="2" t="s">
        <v>16</v>
      </c>
      <c r="H2844" s="2"/>
      <c r="I2844" s="2" t="s">
        <v>395</v>
      </c>
      <c r="J2844" s="2"/>
      <c r="L2844" s="2" t="s">
        <v>2814</v>
      </c>
    </row>
    <row r="2845">
      <c r="A2845" s="8" t="s">
        <v>3179</v>
      </c>
      <c r="B2845" s="8" t="s">
        <v>3179</v>
      </c>
      <c r="C2845" s="2" t="s">
        <v>2005</v>
      </c>
      <c r="D2845" s="2" t="s">
        <v>2006</v>
      </c>
      <c r="E2845" s="6">
        <v>46093.560648148145</v>
      </c>
      <c r="F2845" s="3" t="s">
        <v>2007</v>
      </c>
      <c r="G2845" s="2" t="s">
        <v>16</v>
      </c>
      <c r="H2845" s="2"/>
      <c r="I2845" s="2" t="s">
        <v>17</v>
      </c>
      <c r="J2845" s="2"/>
      <c r="L2845" s="2" t="s">
        <v>2814</v>
      </c>
    </row>
    <row r="2846">
      <c r="A2846" s="8" t="s">
        <v>3180</v>
      </c>
      <c r="B2846" s="8" t="s">
        <v>3180</v>
      </c>
      <c r="C2846" s="2" t="s">
        <v>131</v>
      </c>
      <c r="D2846" s="2" t="s">
        <v>132</v>
      </c>
      <c r="E2846" s="6">
        <v>46093.65510416667</v>
      </c>
      <c r="F2846" s="3" t="s">
        <v>133</v>
      </c>
      <c r="G2846" s="2" t="s">
        <v>24</v>
      </c>
      <c r="H2846" s="2"/>
      <c r="I2846" s="2"/>
      <c r="J2846" s="2"/>
      <c r="L2846" s="2" t="s">
        <v>2810</v>
      </c>
    </row>
    <row r="2847">
      <c r="A2847" s="8" t="s">
        <v>3181</v>
      </c>
      <c r="B2847" s="8" t="s">
        <v>3181</v>
      </c>
      <c r="C2847" s="2" t="s">
        <v>2005</v>
      </c>
      <c r="D2847" s="2" t="s">
        <v>2006</v>
      </c>
      <c r="E2847" s="6">
        <v>46093.65545138889</v>
      </c>
      <c r="F2847" s="3" t="s">
        <v>2007</v>
      </c>
      <c r="G2847" s="2" t="s">
        <v>24</v>
      </c>
      <c r="H2847" s="2"/>
      <c r="I2847" s="2"/>
      <c r="J2847" s="2"/>
      <c r="L2847" s="2" t="s">
        <v>2810</v>
      </c>
    </row>
    <row r="2848">
      <c r="A2848" s="8" t="s">
        <v>3182</v>
      </c>
      <c r="B2848" s="8" t="s">
        <v>3182</v>
      </c>
      <c r="C2848" s="2" t="s">
        <v>2774</v>
      </c>
      <c r="D2848" s="2" t="s">
        <v>2775</v>
      </c>
      <c r="E2848" s="6">
        <v>46094.34043981481</v>
      </c>
      <c r="F2848" s="3" t="s">
        <v>2776</v>
      </c>
      <c r="G2848" s="2" t="s">
        <v>16</v>
      </c>
      <c r="H2848" s="2"/>
      <c r="I2848" s="2" t="s">
        <v>395</v>
      </c>
      <c r="J2848" s="2"/>
      <c r="L2848" s="2" t="s">
        <v>2814</v>
      </c>
    </row>
    <row r="2849">
      <c r="A2849" s="8" t="s">
        <v>3183</v>
      </c>
      <c r="B2849" s="8" t="s">
        <v>3183</v>
      </c>
      <c r="C2849" s="2" t="s">
        <v>2913</v>
      </c>
      <c r="D2849" s="2" t="s">
        <v>2914</v>
      </c>
      <c r="E2849" s="6">
        <v>46094.57302083333</v>
      </c>
      <c r="F2849" s="3" t="s">
        <v>2915</v>
      </c>
      <c r="G2849" s="2" t="s">
        <v>16</v>
      </c>
      <c r="H2849" s="2"/>
      <c r="I2849" s="2" t="s">
        <v>17</v>
      </c>
      <c r="J2849" s="2"/>
      <c r="L2849" s="2" t="s">
        <v>2814</v>
      </c>
    </row>
    <row r="2850">
      <c r="A2850" s="8" t="s">
        <v>3184</v>
      </c>
      <c r="B2850" s="8" t="s">
        <v>3184</v>
      </c>
      <c r="C2850" s="2" t="s">
        <v>2774</v>
      </c>
      <c r="D2850" s="2" t="s">
        <v>2775</v>
      </c>
      <c r="E2850" s="6">
        <v>46094.57670138889</v>
      </c>
      <c r="F2850" s="3" t="s">
        <v>2776</v>
      </c>
      <c r="G2850" s="2" t="s">
        <v>24</v>
      </c>
      <c r="H2850" s="2"/>
      <c r="I2850" s="2"/>
      <c r="J2850" s="2"/>
      <c r="L2850" s="2" t="s">
        <v>2814</v>
      </c>
    </row>
    <row r="2851">
      <c r="A2851" s="8" t="s">
        <v>3185</v>
      </c>
      <c r="B2851" s="8" t="s">
        <v>3185</v>
      </c>
      <c r="C2851" s="2" t="s">
        <v>1756</v>
      </c>
      <c r="D2851" s="2" t="s">
        <v>1757</v>
      </c>
      <c r="E2851" s="6">
        <v>46094.577199074076</v>
      </c>
      <c r="F2851" s="3" t="s">
        <v>1758</v>
      </c>
      <c r="G2851" s="2" t="s">
        <v>24</v>
      </c>
      <c r="H2851" s="2"/>
      <c r="I2851" s="2"/>
      <c r="J2851" s="2"/>
      <c r="L2851" s="2" t="s">
        <v>2814</v>
      </c>
    </row>
    <row r="2852">
      <c r="A2852" s="8" t="s">
        <v>3186</v>
      </c>
      <c r="B2852" s="8" t="s">
        <v>3186</v>
      </c>
      <c r="C2852" s="2" t="s">
        <v>2543</v>
      </c>
      <c r="D2852" s="2" t="s">
        <v>2544</v>
      </c>
      <c r="E2852" s="6">
        <v>46094.5787037037</v>
      </c>
      <c r="F2852" s="3" t="s">
        <v>2545</v>
      </c>
      <c r="G2852" s="2" t="s">
        <v>16</v>
      </c>
      <c r="H2852" s="2"/>
      <c r="I2852" s="2" t="s">
        <v>17</v>
      </c>
      <c r="J2852" s="2"/>
      <c r="L2852" s="2" t="s">
        <v>2814</v>
      </c>
    </row>
    <row r="2853">
      <c r="A2853" s="8" t="s">
        <v>3187</v>
      </c>
      <c r="B2853" s="8" t="s">
        <v>3187</v>
      </c>
      <c r="C2853" s="2" t="s">
        <v>2623</v>
      </c>
      <c r="D2853" s="2" t="s">
        <v>2624</v>
      </c>
      <c r="E2853" s="6">
        <v>46094.58085648148</v>
      </c>
      <c r="F2853" s="3" t="s">
        <v>2625</v>
      </c>
      <c r="G2853" s="2" t="s">
        <v>16</v>
      </c>
      <c r="H2853" s="2"/>
      <c r="I2853" s="2" t="s">
        <v>17</v>
      </c>
      <c r="J2853" s="2"/>
      <c r="L2853" s="2" t="s">
        <v>2814</v>
      </c>
    </row>
    <row r="2854">
      <c r="A2854" s="8" t="s">
        <v>3188</v>
      </c>
      <c r="B2854" s="8" t="s">
        <v>3188</v>
      </c>
      <c r="C2854" s="2" t="s">
        <v>2623</v>
      </c>
      <c r="D2854" s="2" t="s">
        <v>2624</v>
      </c>
      <c r="E2854" s="6">
        <v>46094.58181712963</v>
      </c>
      <c r="F2854" s="3" t="s">
        <v>2625</v>
      </c>
      <c r="G2854" s="2" t="s">
        <v>159</v>
      </c>
      <c r="H2854" s="2"/>
      <c r="I2854" s="2"/>
      <c r="J2854" s="2"/>
      <c r="L2854" s="2" t="s">
        <v>2814</v>
      </c>
    </row>
    <row r="2855">
      <c r="A2855" s="8" t="s">
        <v>3189</v>
      </c>
      <c r="B2855" s="8" t="s">
        <v>3189</v>
      </c>
      <c r="C2855" s="2" t="s">
        <v>1756</v>
      </c>
      <c r="D2855" s="2" t="s">
        <v>1757</v>
      </c>
      <c r="E2855" s="6">
        <v>46094.420011574075</v>
      </c>
      <c r="F2855" s="3" t="s">
        <v>1758</v>
      </c>
      <c r="G2855" s="2" t="s">
        <v>16</v>
      </c>
      <c r="H2855" s="2"/>
      <c r="I2855" s="2" t="s">
        <v>17</v>
      </c>
      <c r="J2855" s="2"/>
      <c r="L2855" s="2" t="s">
        <v>2810</v>
      </c>
    </row>
    <row r="2856">
      <c r="A2856" s="8" t="s">
        <v>3190</v>
      </c>
      <c r="B2856" s="8" t="s">
        <v>3190</v>
      </c>
      <c r="C2856" s="2" t="s">
        <v>464</v>
      </c>
      <c r="D2856" s="2" t="s">
        <v>465</v>
      </c>
      <c r="E2856" s="6">
        <v>46094.66028935185</v>
      </c>
      <c r="F2856" s="3" t="s">
        <v>466</v>
      </c>
      <c r="G2856" s="2" t="s">
        <v>24</v>
      </c>
      <c r="H2856" s="2"/>
      <c r="I2856" s="2"/>
      <c r="J2856" s="2"/>
      <c r="L2856" s="2" t="s">
        <v>2814</v>
      </c>
    </row>
    <row r="2857">
      <c r="A2857" s="8" t="s">
        <v>3191</v>
      </c>
      <c r="B2857" s="8" t="s">
        <v>3191</v>
      </c>
      <c r="C2857" s="2" t="s">
        <v>1228</v>
      </c>
      <c r="D2857" s="2" t="s">
        <v>1229</v>
      </c>
      <c r="E2857" s="6">
        <v>46094.66090277778</v>
      </c>
      <c r="F2857" s="3" t="s">
        <v>1230</v>
      </c>
      <c r="G2857" s="2" t="s">
        <v>24</v>
      </c>
      <c r="H2857" s="2"/>
      <c r="I2857" s="2"/>
      <c r="J2857" s="2"/>
      <c r="L2857" s="2" t="s">
        <v>2814</v>
      </c>
    </row>
    <row r="2858">
      <c r="A2858" s="8" t="s">
        <v>3192</v>
      </c>
      <c r="B2858" s="8" t="s">
        <v>3192</v>
      </c>
      <c r="C2858" s="2" t="s">
        <v>2913</v>
      </c>
      <c r="D2858" s="2" t="s">
        <v>2914</v>
      </c>
      <c r="E2858" s="6">
        <v>46094.66605324074</v>
      </c>
      <c r="F2858" s="3" t="s">
        <v>2915</v>
      </c>
      <c r="G2858" s="2" t="s">
        <v>24</v>
      </c>
      <c r="H2858" s="2"/>
      <c r="I2858" s="2"/>
      <c r="J2858" s="2"/>
      <c r="L2858" s="2" t="s">
        <v>2814</v>
      </c>
    </row>
    <row r="2859">
      <c r="A2859" s="8" t="s">
        <v>3193</v>
      </c>
      <c r="B2859" s="8" t="s">
        <v>3193</v>
      </c>
      <c r="C2859" s="2" t="s">
        <v>2543</v>
      </c>
      <c r="D2859" s="2" t="s">
        <v>2544</v>
      </c>
      <c r="E2859" s="6">
        <v>46094.6665625</v>
      </c>
      <c r="F2859" s="3" t="s">
        <v>2545</v>
      </c>
      <c r="G2859" s="2" t="s">
        <v>24</v>
      </c>
      <c r="H2859" s="2"/>
      <c r="I2859" s="2"/>
      <c r="J2859" s="2"/>
      <c r="L2859" s="2" t="s">
        <v>2814</v>
      </c>
    </row>
    <row r="2860">
      <c r="A2860" s="8" t="s">
        <v>3194</v>
      </c>
      <c r="B2860" s="8" t="s">
        <v>3194</v>
      </c>
      <c r="C2860" s="2" t="s">
        <v>1993</v>
      </c>
      <c r="D2860" s="2" t="s">
        <v>1994</v>
      </c>
      <c r="E2860" s="6">
        <v>46095.39371527778</v>
      </c>
      <c r="F2860" s="3" t="s">
        <v>1995</v>
      </c>
      <c r="G2860" s="2" t="s">
        <v>16</v>
      </c>
      <c r="H2860" s="2"/>
      <c r="I2860" s="2" t="s">
        <v>17</v>
      </c>
      <c r="J2860" s="2"/>
      <c r="L2860" s="2" t="s">
        <v>2814</v>
      </c>
    </row>
    <row r="2861">
      <c r="A2861" s="8" t="s">
        <v>3195</v>
      </c>
      <c r="B2861" s="8" t="s">
        <v>3195</v>
      </c>
      <c r="C2861" s="2" t="s">
        <v>951</v>
      </c>
      <c r="D2861" s="2" t="s">
        <v>952</v>
      </c>
      <c r="E2861" s="6">
        <v>46095.39873842592</v>
      </c>
      <c r="F2861" s="3" t="s">
        <v>953</v>
      </c>
      <c r="G2861" s="2" t="s">
        <v>16</v>
      </c>
      <c r="H2861" s="2"/>
      <c r="I2861" s="2" t="s">
        <v>17</v>
      </c>
      <c r="J2861" s="2"/>
      <c r="L2861" s="2" t="s">
        <v>2814</v>
      </c>
    </row>
    <row r="2862">
      <c r="A2862" s="8" t="s">
        <v>3196</v>
      </c>
      <c r="B2862" s="8" t="s">
        <v>3196</v>
      </c>
      <c r="C2862" s="2" t="s">
        <v>885</v>
      </c>
      <c r="D2862" s="2" t="s">
        <v>886</v>
      </c>
      <c r="E2862" s="6">
        <v>46095.4587962963</v>
      </c>
      <c r="F2862" s="3" t="s">
        <v>887</v>
      </c>
      <c r="G2862" s="2" t="s">
        <v>16</v>
      </c>
      <c r="H2862" s="2"/>
      <c r="I2862" s="2" t="s">
        <v>17</v>
      </c>
      <c r="J2862" s="2"/>
      <c r="L2862" s="2" t="s">
        <v>2814</v>
      </c>
    </row>
    <row r="2863">
      <c r="A2863" s="8" t="s">
        <v>3197</v>
      </c>
      <c r="B2863" s="8" t="s">
        <v>3197</v>
      </c>
      <c r="C2863" s="2" t="s">
        <v>1993</v>
      </c>
      <c r="D2863" s="2" t="s">
        <v>1994</v>
      </c>
      <c r="E2863" s="6">
        <v>46095.47052083333</v>
      </c>
      <c r="F2863" s="3" t="s">
        <v>1995</v>
      </c>
      <c r="G2863" s="2" t="s">
        <v>24</v>
      </c>
      <c r="H2863" s="2"/>
      <c r="I2863" s="2"/>
      <c r="J2863" s="2"/>
      <c r="L2863" s="2" t="s">
        <v>2814</v>
      </c>
    </row>
    <row r="2864">
      <c r="A2864" s="8" t="s">
        <v>3198</v>
      </c>
      <c r="B2864" s="8" t="s">
        <v>3198</v>
      </c>
      <c r="C2864" s="2" t="s">
        <v>951</v>
      </c>
      <c r="D2864" s="2" t="s">
        <v>952</v>
      </c>
      <c r="E2864" s="6">
        <v>46095.47164351852</v>
      </c>
      <c r="F2864" s="3" t="s">
        <v>953</v>
      </c>
      <c r="G2864" s="2" t="s">
        <v>24</v>
      </c>
      <c r="H2864" s="2"/>
      <c r="I2864" s="2"/>
      <c r="J2864" s="2"/>
      <c r="L2864" s="2" t="s">
        <v>2814</v>
      </c>
    </row>
    <row r="2865">
      <c r="A2865" s="8" t="s">
        <v>3199</v>
      </c>
      <c r="B2865" s="8" t="s">
        <v>3199</v>
      </c>
      <c r="C2865" s="2" t="s">
        <v>1993</v>
      </c>
      <c r="D2865" s="2" t="s">
        <v>1994</v>
      </c>
      <c r="E2865" s="6">
        <v>46095.61319444444</v>
      </c>
      <c r="F2865" s="3" t="s">
        <v>1995</v>
      </c>
      <c r="G2865" s="2" t="s">
        <v>16</v>
      </c>
      <c r="H2865" s="2"/>
      <c r="I2865" s="2" t="s">
        <v>17</v>
      </c>
      <c r="J2865" s="2"/>
      <c r="L2865" s="2" t="s">
        <v>2814</v>
      </c>
    </row>
    <row r="2866">
      <c r="A2866" s="8" t="s">
        <v>3200</v>
      </c>
      <c r="B2866" s="8" t="s">
        <v>3200</v>
      </c>
      <c r="C2866" s="2" t="s">
        <v>1975</v>
      </c>
      <c r="D2866" s="2" t="s">
        <v>1976</v>
      </c>
      <c r="E2866" s="6">
        <v>46095.61451388889</v>
      </c>
      <c r="F2866" s="3" t="s">
        <v>1977</v>
      </c>
      <c r="G2866" s="2" t="s">
        <v>24</v>
      </c>
      <c r="H2866" s="2"/>
      <c r="I2866" s="2"/>
      <c r="J2866" s="2"/>
      <c r="L2866" s="2" t="s">
        <v>2814</v>
      </c>
    </row>
    <row r="2867">
      <c r="A2867" s="8" t="s">
        <v>3201</v>
      </c>
      <c r="B2867" s="8" t="s">
        <v>3201</v>
      </c>
      <c r="C2867" s="2" t="s">
        <v>786</v>
      </c>
      <c r="D2867" s="2" t="s">
        <v>787</v>
      </c>
      <c r="E2867" s="6">
        <v>46095.61503472222</v>
      </c>
      <c r="F2867" s="3" t="s">
        <v>788</v>
      </c>
      <c r="G2867" s="2" t="s">
        <v>24</v>
      </c>
      <c r="H2867" s="2"/>
      <c r="I2867" s="2"/>
      <c r="J2867" s="2"/>
      <c r="L2867" s="2" t="s">
        <v>2814</v>
      </c>
    </row>
    <row r="2868">
      <c r="A2868" s="8" t="s">
        <v>3202</v>
      </c>
      <c r="B2868" s="8" t="s">
        <v>3202</v>
      </c>
      <c r="C2868" s="2" t="s">
        <v>786</v>
      </c>
      <c r="D2868" s="2" t="s">
        <v>787</v>
      </c>
      <c r="E2868" s="6">
        <v>46097.36738425926</v>
      </c>
      <c r="F2868" s="3" t="s">
        <v>788</v>
      </c>
      <c r="G2868" s="2" t="s">
        <v>16</v>
      </c>
      <c r="H2868" s="2"/>
      <c r="I2868" s="2" t="s">
        <v>17</v>
      </c>
      <c r="J2868" s="2"/>
      <c r="L2868" s="2" t="s">
        <v>2810</v>
      </c>
    </row>
    <row r="2869">
      <c r="A2869" s="8" t="s">
        <v>3203</v>
      </c>
      <c r="B2869" s="8" t="s">
        <v>3203</v>
      </c>
      <c r="C2869" s="2" t="s">
        <v>1613</v>
      </c>
      <c r="D2869" s="2" t="s">
        <v>1614</v>
      </c>
      <c r="E2869" s="6">
        <v>46097.59061342593</v>
      </c>
      <c r="F2869" s="3" t="s">
        <v>1615</v>
      </c>
      <c r="G2869" s="2" t="s">
        <v>24</v>
      </c>
      <c r="H2869" s="2"/>
      <c r="I2869" s="2"/>
      <c r="J2869" s="2"/>
      <c r="L2869" s="2" t="s">
        <v>2814</v>
      </c>
    </row>
    <row r="2870">
      <c r="A2870" s="8" t="s">
        <v>3204</v>
      </c>
      <c r="B2870" s="8" t="s">
        <v>3204</v>
      </c>
      <c r="C2870" s="2" t="s">
        <v>1993</v>
      </c>
      <c r="D2870" s="2" t="s">
        <v>1994</v>
      </c>
      <c r="E2870" s="6">
        <v>46097.591261574074</v>
      </c>
      <c r="F2870" s="3" t="s">
        <v>1995</v>
      </c>
      <c r="G2870" s="2" t="s">
        <v>24</v>
      </c>
      <c r="H2870" s="2"/>
      <c r="I2870" s="2"/>
      <c r="J2870" s="2"/>
      <c r="L2870" s="2" t="s">
        <v>2814</v>
      </c>
    </row>
    <row r="2871">
      <c r="A2871" s="8" t="s">
        <v>3205</v>
      </c>
      <c r="B2871" s="8" t="s">
        <v>3205</v>
      </c>
      <c r="C2871" s="2" t="s">
        <v>2640</v>
      </c>
      <c r="D2871" s="2" t="s">
        <v>2641</v>
      </c>
      <c r="E2871" s="6">
        <v>46097.59332175926</v>
      </c>
      <c r="F2871" s="3" t="s">
        <v>2642</v>
      </c>
      <c r="G2871" s="2" t="s">
        <v>24</v>
      </c>
      <c r="H2871" s="2"/>
      <c r="I2871" s="2"/>
      <c r="J2871" s="2"/>
      <c r="L2871" s="2" t="s">
        <v>2814</v>
      </c>
    </row>
    <row r="2872">
      <c r="A2872" s="8" t="s">
        <v>3206</v>
      </c>
      <c r="B2872" s="8" t="s">
        <v>3206</v>
      </c>
      <c r="C2872" s="2" t="s">
        <v>904</v>
      </c>
      <c r="D2872" s="2" t="s">
        <v>905</v>
      </c>
      <c r="E2872" s="6">
        <v>46097.59369212963</v>
      </c>
      <c r="F2872" s="3" t="s">
        <v>906</v>
      </c>
      <c r="G2872" s="2" t="s">
        <v>24</v>
      </c>
      <c r="H2872" s="2"/>
      <c r="I2872" s="2"/>
      <c r="J2872" s="2"/>
      <c r="L2872" s="2" t="s">
        <v>2814</v>
      </c>
    </row>
    <row r="2873">
      <c r="A2873" s="8" t="s">
        <v>3207</v>
      </c>
      <c r="B2873" s="8" t="s">
        <v>3207</v>
      </c>
      <c r="C2873" s="2" t="s">
        <v>786</v>
      </c>
      <c r="D2873" s="2" t="s">
        <v>787</v>
      </c>
      <c r="E2873" s="6">
        <v>46097.62126157407</v>
      </c>
      <c r="F2873" s="3" t="s">
        <v>788</v>
      </c>
      <c r="G2873" s="2" t="s">
        <v>24</v>
      </c>
      <c r="H2873" s="2"/>
      <c r="I2873" s="2"/>
      <c r="J2873" s="2"/>
      <c r="L2873" s="2" t="s">
        <v>2814</v>
      </c>
    </row>
    <row r="2874">
      <c r="A2874" s="8" t="s">
        <v>3208</v>
      </c>
      <c r="B2874" s="8" t="s">
        <v>3208</v>
      </c>
      <c r="C2874" s="2" t="s">
        <v>1084</v>
      </c>
      <c r="D2874" s="2" t="s">
        <v>1085</v>
      </c>
      <c r="E2874" s="6">
        <v>46097.622094907405</v>
      </c>
      <c r="F2874" s="3" t="s">
        <v>1086</v>
      </c>
      <c r="G2874" s="2" t="s">
        <v>24</v>
      </c>
      <c r="H2874" s="2"/>
      <c r="I2874" s="2"/>
      <c r="J2874" s="2"/>
      <c r="L2874" s="2" t="s">
        <v>2814</v>
      </c>
    </row>
    <row r="2875">
      <c r="A2875" s="8" t="s">
        <v>3209</v>
      </c>
      <c r="B2875" s="8" t="s">
        <v>3209</v>
      </c>
      <c r="C2875" s="2" t="s">
        <v>885</v>
      </c>
      <c r="D2875" s="2" t="s">
        <v>886</v>
      </c>
      <c r="E2875" s="6">
        <v>46097.644780092596</v>
      </c>
      <c r="F2875" s="3" t="s">
        <v>887</v>
      </c>
      <c r="G2875" s="2" t="s">
        <v>16</v>
      </c>
      <c r="H2875" s="2"/>
      <c r="I2875" s="2" t="s">
        <v>17</v>
      </c>
      <c r="J2875" s="2"/>
      <c r="L2875" s="2" t="s">
        <v>2814</v>
      </c>
    </row>
    <row r="2876">
      <c r="A2876" s="8" t="s">
        <v>3210</v>
      </c>
      <c r="B2876" s="8" t="s">
        <v>3210</v>
      </c>
      <c r="C2876" s="2" t="s">
        <v>1963</v>
      </c>
      <c r="D2876" s="2" t="s">
        <v>1964</v>
      </c>
      <c r="E2876" s="6">
        <v>46097.66392361111</v>
      </c>
      <c r="F2876" s="3" t="s">
        <v>1965</v>
      </c>
      <c r="G2876" s="2" t="s">
        <v>24</v>
      </c>
      <c r="H2876" s="2"/>
      <c r="I2876" s="2"/>
      <c r="J2876" s="2"/>
      <c r="L2876" s="2" t="s">
        <v>2814</v>
      </c>
    </row>
    <row r="2877">
      <c r="A2877" s="8" t="s">
        <v>3211</v>
      </c>
      <c r="B2877" s="8" t="s">
        <v>3211</v>
      </c>
      <c r="C2877" s="2" t="s">
        <v>2005</v>
      </c>
      <c r="D2877" s="2" t="s">
        <v>2006</v>
      </c>
      <c r="E2877" s="6">
        <v>46097.66541666666</v>
      </c>
      <c r="F2877" s="3" t="s">
        <v>2007</v>
      </c>
      <c r="G2877" s="2" t="s">
        <v>24</v>
      </c>
      <c r="H2877" s="2"/>
      <c r="I2877" s="2"/>
      <c r="J2877" s="2"/>
      <c r="L2877" s="2" t="s">
        <v>2814</v>
      </c>
    </row>
    <row r="2878">
      <c r="A2878" s="8" t="s">
        <v>3212</v>
      </c>
      <c r="B2878" s="8" t="s">
        <v>3212</v>
      </c>
      <c r="C2878" s="2" t="s">
        <v>1993</v>
      </c>
      <c r="D2878" s="2" t="s">
        <v>1994</v>
      </c>
      <c r="E2878" s="6">
        <v>46098.36174768519</v>
      </c>
      <c r="F2878" s="3" t="s">
        <v>1995</v>
      </c>
      <c r="G2878" s="2" t="s">
        <v>16</v>
      </c>
      <c r="H2878" s="2"/>
      <c r="I2878" s="2" t="s">
        <v>17</v>
      </c>
      <c r="J2878" s="2"/>
      <c r="L2878" s="2" t="s">
        <v>2814</v>
      </c>
    </row>
    <row r="2879">
      <c r="A2879" s="8" t="s">
        <v>3213</v>
      </c>
      <c r="B2879" s="8" t="s">
        <v>3213</v>
      </c>
      <c r="C2879" s="2" t="s">
        <v>2005</v>
      </c>
      <c r="D2879" s="2" t="s">
        <v>2006</v>
      </c>
      <c r="E2879" s="6">
        <v>46098.36609953704</v>
      </c>
      <c r="F2879" s="3" t="s">
        <v>2007</v>
      </c>
      <c r="G2879" s="2" t="s">
        <v>16</v>
      </c>
      <c r="H2879" s="2"/>
      <c r="I2879" s="2" t="s">
        <v>17</v>
      </c>
      <c r="J2879" s="2"/>
      <c r="L2879" s="2" t="s">
        <v>2814</v>
      </c>
    </row>
    <row r="2880">
      <c r="A2880" s="8" t="s">
        <v>3214</v>
      </c>
      <c r="B2880" s="8" t="s">
        <v>3214</v>
      </c>
      <c r="C2880" s="2" t="s">
        <v>1371</v>
      </c>
      <c r="D2880" s="2" t="s">
        <v>1372</v>
      </c>
      <c r="E2880" s="6">
        <v>46098.50178240741</v>
      </c>
      <c r="F2880" s="3" t="s">
        <v>1373</v>
      </c>
      <c r="G2880" s="2" t="s">
        <v>24</v>
      </c>
      <c r="H2880" s="2"/>
      <c r="I2880" s="2"/>
      <c r="J2880" s="2"/>
      <c r="L2880" s="2" t="s">
        <v>2814</v>
      </c>
    </row>
    <row r="2881">
      <c r="A2881" s="8" t="s">
        <v>3215</v>
      </c>
      <c r="B2881" s="8" t="s">
        <v>3215</v>
      </c>
      <c r="C2881" s="2" t="s">
        <v>2913</v>
      </c>
      <c r="D2881" s="2" t="s">
        <v>2914</v>
      </c>
      <c r="E2881" s="6">
        <v>46098.504594907405</v>
      </c>
      <c r="F2881" s="3" t="s">
        <v>2915</v>
      </c>
      <c r="G2881" s="2" t="s">
        <v>24</v>
      </c>
      <c r="H2881" s="2"/>
      <c r="I2881" s="2"/>
      <c r="J2881" s="2"/>
      <c r="L2881" s="2" t="s">
        <v>2814</v>
      </c>
    </row>
    <row r="2882">
      <c r="A2882" s="8" t="s">
        <v>3216</v>
      </c>
      <c r="B2882" s="8" t="s">
        <v>3216</v>
      </c>
      <c r="C2882" s="2" t="s">
        <v>45</v>
      </c>
      <c r="D2882" s="2" t="s">
        <v>46</v>
      </c>
      <c r="E2882" s="6">
        <v>46098.50540509259</v>
      </c>
      <c r="F2882" s="3" t="s">
        <v>47</v>
      </c>
      <c r="G2882" s="2" t="s">
        <v>24</v>
      </c>
      <c r="H2882" s="2"/>
      <c r="I2882" s="2"/>
      <c r="J2882" s="2"/>
      <c r="L2882" s="2" t="s">
        <v>2814</v>
      </c>
    </row>
    <row r="2883">
      <c r="A2883" s="8" t="s">
        <v>3217</v>
      </c>
      <c r="B2883" s="8" t="s">
        <v>3217</v>
      </c>
      <c r="C2883" s="2" t="s">
        <v>1904</v>
      </c>
      <c r="D2883" s="2" t="s">
        <v>1905</v>
      </c>
      <c r="E2883" s="6">
        <v>46098.660150462965</v>
      </c>
      <c r="F2883" s="3" t="s">
        <v>1906</v>
      </c>
      <c r="G2883" s="2" t="s">
        <v>24</v>
      </c>
      <c r="H2883" s="2"/>
      <c r="I2883" s="2"/>
      <c r="J2883" s="2"/>
      <c r="L2883" s="2" t="s">
        <v>2814</v>
      </c>
    </row>
    <row r="2884">
      <c r="A2884" s="8" t="s">
        <v>3218</v>
      </c>
      <c r="B2884" s="8" t="s">
        <v>3218</v>
      </c>
      <c r="C2884" s="2" t="s">
        <v>2005</v>
      </c>
      <c r="D2884" s="2" t="s">
        <v>2006</v>
      </c>
      <c r="E2884" s="6">
        <v>46098.66239583334</v>
      </c>
      <c r="F2884" s="3" t="s">
        <v>2007</v>
      </c>
      <c r="G2884" s="2" t="s">
        <v>24</v>
      </c>
      <c r="H2884" s="2"/>
      <c r="I2884" s="2"/>
      <c r="J2884" s="2"/>
      <c r="L2884" s="2" t="s">
        <v>2814</v>
      </c>
    </row>
    <row r="2885">
      <c r="A2885" s="8" t="s">
        <v>3219</v>
      </c>
      <c r="B2885" s="8" t="s">
        <v>3219</v>
      </c>
      <c r="C2885" s="2" t="s">
        <v>1993</v>
      </c>
      <c r="D2885" s="2" t="s">
        <v>1994</v>
      </c>
      <c r="E2885" s="6">
        <v>46098.662824074076</v>
      </c>
      <c r="F2885" s="3" t="s">
        <v>1995</v>
      </c>
      <c r="G2885" s="2" t="s">
        <v>24</v>
      </c>
      <c r="H2885" s="2"/>
      <c r="I2885" s="2"/>
      <c r="J2885" s="2"/>
      <c r="L2885" s="2" t="s">
        <v>2814</v>
      </c>
    </row>
    <row r="2886">
      <c r="A2886" s="8" t="s">
        <v>3220</v>
      </c>
      <c r="B2886" s="8" t="s">
        <v>3220</v>
      </c>
      <c r="C2886" s="2" t="s">
        <v>2577</v>
      </c>
      <c r="D2886" s="2" t="s">
        <v>2578</v>
      </c>
      <c r="E2886" s="6">
        <v>46098.66372685185</v>
      </c>
      <c r="F2886" s="3" t="s">
        <v>2579</v>
      </c>
      <c r="G2886" s="2" t="s">
        <v>24</v>
      </c>
      <c r="H2886" s="2"/>
      <c r="I2886" s="2"/>
      <c r="J2886" s="2"/>
      <c r="L2886" s="2" t="s">
        <v>2814</v>
      </c>
    </row>
    <row r="2887">
      <c r="A2887" s="8" t="s">
        <v>3221</v>
      </c>
      <c r="B2887" s="8" t="s">
        <v>3221</v>
      </c>
      <c r="C2887" s="2" t="s">
        <v>2835</v>
      </c>
      <c r="D2887" s="2" t="s">
        <v>2836</v>
      </c>
      <c r="E2887" s="6">
        <v>46098.66737268519</v>
      </c>
      <c r="F2887" s="3" t="s">
        <v>2837</v>
      </c>
      <c r="G2887" s="2" t="s">
        <v>24</v>
      </c>
      <c r="H2887" s="2"/>
      <c r="I2887" s="2"/>
      <c r="J2887" s="2"/>
      <c r="L2887" s="2" t="s">
        <v>2814</v>
      </c>
    </row>
    <row r="2888">
      <c r="A2888" s="8" t="s">
        <v>3222</v>
      </c>
      <c r="B2888" s="8" t="s">
        <v>3222</v>
      </c>
      <c r="C2888" s="2" t="s">
        <v>1889</v>
      </c>
      <c r="D2888" s="2" t="s">
        <v>1890</v>
      </c>
      <c r="E2888" s="6">
        <v>46098.66774305556</v>
      </c>
      <c r="F2888" s="3" t="s">
        <v>1891</v>
      </c>
      <c r="G2888" s="2" t="s">
        <v>24</v>
      </c>
      <c r="H2888" s="2"/>
      <c r="I2888" s="2"/>
      <c r="J2888" s="2"/>
      <c r="L2888" s="2" t="s">
        <v>2814</v>
      </c>
    </row>
    <row r="2889">
      <c r="A2889" s="8" t="s">
        <v>3223</v>
      </c>
      <c r="B2889" s="8" t="s">
        <v>3223</v>
      </c>
      <c r="C2889" s="2" t="s">
        <v>1889</v>
      </c>
      <c r="D2889" s="2" t="s">
        <v>1890</v>
      </c>
      <c r="E2889" s="6">
        <v>46098.6700462963</v>
      </c>
      <c r="F2889" s="3" t="s">
        <v>1891</v>
      </c>
      <c r="G2889" s="2" t="s">
        <v>24</v>
      </c>
      <c r="H2889" s="2"/>
      <c r="I2889" s="2"/>
      <c r="J2889" s="2"/>
      <c r="L2889" s="2" t="s">
        <v>2814</v>
      </c>
    </row>
    <row r="2890">
      <c r="A2890" s="8" t="s">
        <v>3224</v>
      </c>
      <c r="B2890" s="8" t="s">
        <v>3224</v>
      </c>
      <c r="C2890" s="2" t="s">
        <v>2032</v>
      </c>
      <c r="D2890" s="2" t="s">
        <v>2033</v>
      </c>
      <c r="E2890" s="6">
        <v>46098.671805555554</v>
      </c>
      <c r="F2890" s="3" t="s">
        <v>2803</v>
      </c>
      <c r="G2890" s="2" t="s">
        <v>24</v>
      </c>
      <c r="H2890" s="2"/>
      <c r="I2890" s="2"/>
      <c r="J2890" s="2"/>
      <c r="L2890" s="2" t="s">
        <v>2814</v>
      </c>
    </row>
    <row r="2891">
      <c r="A2891" s="8" t="s">
        <v>3225</v>
      </c>
      <c r="B2891" s="8" t="s">
        <v>3225</v>
      </c>
      <c r="C2891" s="2" t="s">
        <v>1889</v>
      </c>
      <c r="D2891" s="2" t="s">
        <v>1890</v>
      </c>
      <c r="E2891" s="6">
        <v>46098.67219907408</v>
      </c>
      <c r="F2891" s="3" t="s">
        <v>1891</v>
      </c>
      <c r="G2891" s="2" t="s">
        <v>24</v>
      </c>
      <c r="H2891" s="2"/>
      <c r="I2891" s="2"/>
      <c r="J2891" s="2"/>
      <c r="L2891" s="2" t="s">
        <v>2814</v>
      </c>
    </row>
    <row r="2892">
      <c r="A2892" s="8" t="s">
        <v>3226</v>
      </c>
      <c r="B2892" s="8" t="s">
        <v>3226</v>
      </c>
      <c r="C2892" s="2" t="s">
        <v>1975</v>
      </c>
      <c r="D2892" s="2" t="s">
        <v>1976</v>
      </c>
      <c r="E2892" s="6">
        <v>46106.35170138889</v>
      </c>
      <c r="F2892" s="3" t="s">
        <v>1977</v>
      </c>
      <c r="G2892" s="2" t="s">
        <v>16</v>
      </c>
      <c r="H2892" s="2"/>
      <c r="I2892" s="2" t="s">
        <v>395</v>
      </c>
      <c r="J2892" s="2"/>
      <c r="L2892" s="2" t="s">
        <v>2814</v>
      </c>
    </row>
    <row r="2893">
      <c r="A2893" s="8" t="s">
        <v>3227</v>
      </c>
      <c r="B2893" s="8" t="s">
        <v>3227</v>
      </c>
      <c r="C2893" s="2" t="s">
        <v>1084</v>
      </c>
      <c r="D2893" s="2" t="s">
        <v>1085</v>
      </c>
      <c r="E2893" s="6">
        <v>46106.42643518518</v>
      </c>
      <c r="F2893" s="3" t="s">
        <v>1086</v>
      </c>
      <c r="G2893" s="2" t="s">
        <v>16</v>
      </c>
      <c r="H2893" s="2"/>
      <c r="I2893" s="2"/>
      <c r="J2893" s="2"/>
      <c r="L2893" s="2" t="s">
        <v>2814</v>
      </c>
    </row>
    <row r="2894">
      <c r="A2894" s="8" t="s">
        <v>3228</v>
      </c>
      <c r="B2894" s="8" t="s">
        <v>3228</v>
      </c>
      <c r="C2894" s="2" t="s">
        <v>1975</v>
      </c>
      <c r="D2894" s="2" t="s">
        <v>1976</v>
      </c>
      <c r="E2894" s="6">
        <v>46106.45930555555</v>
      </c>
      <c r="F2894" s="3" t="s">
        <v>1977</v>
      </c>
      <c r="G2894" s="2" t="s">
        <v>24</v>
      </c>
      <c r="H2894" s="2"/>
      <c r="I2894" s="2"/>
      <c r="J2894" s="2"/>
      <c r="L2894" s="2" t="s">
        <v>2814</v>
      </c>
    </row>
    <row r="2895">
      <c r="A2895" s="8" t="s">
        <v>3229</v>
      </c>
      <c r="B2895" s="8" t="s">
        <v>3229</v>
      </c>
      <c r="C2895" s="2" t="s">
        <v>1084</v>
      </c>
      <c r="D2895" s="2" t="s">
        <v>1085</v>
      </c>
      <c r="E2895" s="6">
        <v>46106.55297453704</v>
      </c>
      <c r="F2895" s="3" t="s">
        <v>1086</v>
      </c>
      <c r="G2895" s="2" t="s">
        <v>24</v>
      </c>
      <c r="H2895" s="2"/>
      <c r="I2895" s="2"/>
      <c r="J2895" s="2"/>
      <c r="L2895" s="2" t="s">
        <v>2814</v>
      </c>
    </row>
    <row r="2896">
      <c r="A2896" s="8" t="s">
        <v>3230</v>
      </c>
      <c r="B2896" s="8" t="s">
        <v>3230</v>
      </c>
      <c r="C2896" s="2" t="s">
        <v>786</v>
      </c>
      <c r="D2896" s="2" t="s">
        <v>787</v>
      </c>
      <c r="E2896" s="6">
        <v>46107.39672453704</v>
      </c>
      <c r="F2896" s="3" t="s">
        <v>788</v>
      </c>
      <c r="G2896" s="2" t="s">
        <v>16</v>
      </c>
      <c r="H2896" s="2"/>
      <c r="I2896" s="2" t="s">
        <v>17</v>
      </c>
      <c r="J2896" s="2"/>
      <c r="L2896" s="2" t="s">
        <v>2814</v>
      </c>
    </row>
    <row r="2897">
      <c r="A2897" s="8" t="s">
        <v>3231</v>
      </c>
      <c r="B2897" s="8" t="s">
        <v>3231</v>
      </c>
      <c r="C2897" s="2" t="s">
        <v>2543</v>
      </c>
      <c r="D2897" s="2" t="s">
        <v>2544</v>
      </c>
      <c r="E2897" s="6">
        <v>46107.49055555555</v>
      </c>
      <c r="F2897" s="3" t="s">
        <v>2545</v>
      </c>
      <c r="G2897" s="2" t="s">
        <v>24</v>
      </c>
      <c r="H2897" s="2"/>
      <c r="I2897" s="2"/>
      <c r="J2897" s="2"/>
      <c r="L2897" s="2" t="s">
        <v>2814</v>
      </c>
    </row>
    <row r="2898">
      <c r="A2898" s="8" t="s">
        <v>3232</v>
      </c>
      <c r="B2898" s="8" t="s">
        <v>3232</v>
      </c>
      <c r="C2898" s="2" t="s">
        <v>1745</v>
      </c>
      <c r="D2898" s="2" t="s">
        <v>1746</v>
      </c>
      <c r="E2898" s="6">
        <v>46107.49103009259</v>
      </c>
      <c r="F2898" s="3" t="s">
        <v>1747</v>
      </c>
      <c r="G2898" s="2" t="s">
        <v>24</v>
      </c>
      <c r="H2898" s="2"/>
      <c r="I2898" s="2"/>
      <c r="J2898" s="2"/>
      <c r="L2898" s="2" t="s">
        <v>2814</v>
      </c>
    </row>
    <row r="2899">
      <c r="A2899" s="8" t="s">
        <v>3233</v>
      </c>
      <c r="B2899" s="8" t="s">
        <v>3233</v>
      </c>
      <c r="C2899" s="2" t="s">
        <v>2005</v>
      </c>
      <c r="D2899" s="2" t="s">
        <v>2006</v>
      </c>
      <c r="E2899" s="6">
        <v>46107.49145833333</v>
      </c>
      <c r="F2899" s="3" t="s">
        <v>2007</v>
      </c>
      <c r="G2899" s="2" t="s">
        <v>24</v>
      </c>
      <c r="H2899" s="2"/>
      <c r="I2899" s="2"/>
      <c r="J2899" s="2"/>
      <c r="L2899" s="2" t="s">
        <v>2814</v>
      </c>
    </row>
    <row r="2900">
      <c r="A2900" s="8" t="s">
        <v>3234</v>
      </c>
      <c r="B2900" s="8" t="s">
        <v>3234</v>
      </c>
      <c r="C2900" s="2" t="s">
        <v>786</v>
      </c>
      <c r="D2900" s="2" t="s">
        <v>787</v>
      </c>
      <c r="E2900" s="6">
        <v>46107.53871527778</v>
      </c>
      <c r="F2900" s="3" t="s">
        <v>788</v>
      </c>
      <c r="G2900" s="2" t="s">
        <v>24</v>
      </c>
      <c r="H2900" s="2"/>
      <c r="I2900" s="2"/>
      <c r="J2900" s="2"/>
      <c r="L2900" s="2" t="s">
        <v>2814</v>
      </c>
    </row>
    <row r="2901">
      <c r="A2901" s="8" t="s">
        <v>3235</v>
      </c>
      <c r="B2901" s="8" t="s">
        <v>3235</v>
      </c>
      <c r="C2901" s="2" t="s">
        <v>2623</v>
      </c>
      <c r="D2901" s="2" t="s">
        <v>2624</v>
      </c>
      <c r="E2901" s="6">
        <v>46107.53983796296</v>
      </c>
      <c r="F2901" s="3" t="s">
        <v>2625</v>
      </c>
      <c r="G2901" s="2" t="s">
        <v>24</v>
      </c>
      <c r="H2901" s="2"/>
      <c r="I2901" s="2"/>
      <c r="J2901" s="2"/>
      <c r="L2901" s="2" t="s">
        <v>2814</v>
      </c>
    </row>
    <row r="2902">
      <c r="A2902" s="8" t="s">
        <v>3236</v>
      </c>
      <c r="B2902" s="8" t="s">
        <v>3236</v>
      </c>
      <c r="C2902" s="2" t="s">
        <v>904</v>
      </c>
      <c r="D2902" s="2" t="s">
        <v>905</v>
      </c>
      <c r="E2902" s="6">
        <v>46108.375555555554</v>
      </c>
      <c r="F2902" s="3" t="s">
        <v>906</v>
      </c>
      <c r="G2902" s="2" t="s">
        <v>159</v>
      </c>
      <c r="H2902" s="2"/>
      <c r="I2902" s="2"/>
      <c r="J2902" s="2"/>
      <c r="L2902" s="2" t="s">
        <v>2814</v>
      </c>
    </row>
    <row r="2903">
      <c r="A2903" s="8" t="s">
        <v>3237</v>
      </c>
      <c r="B2903" s="8" t="s">
        <v>3237</v>
      </c>
      <c r="C2903" s="2" t="s">
        <v>904</v>
      </c>
      <c r="D2903" s="2" t="s">
        <v>905</v>
      </c>
      <c r="E2903" s="6">
        <v>46108.37758101852</v>
      </c>
      <c r="F2903" s="3" t="s">
        <v>906</v>
      </c>
      <c r="G2903" s="2" t="s">
        <v>16</v>
      </c>
      <c r="H2903" s="2"/>
      <c r="I2903" s="2" t="s">
        <v>395</v>
      </c>
      <c r="J2903" s="2"/>
      <c r="L2903" s="2" t="s">
        <v>2814</v>
      </c>
    </row>
    <row r="2904">
      <c r="A2904" s="8" t="s">
        <v>3238</v>
      </c>
      <c r="B2904" s="8" t="s">
        <v>3238</v>
      </c>
      <c r="C2904" s="2" t="s">
        <v>1228</v>
      </c>
      <c r="D2904" s="2" t="s">
        <v>1229</v>
      </c>
      <c r="E2904" s="6">
        <v>46108.38024305556</v>
      </c>
      <c r="F2904" s="3" t="s">
        <v>1230</v>
      </c>
      <c r="G2904" s="2" t="s">
        <v>16</v>
      </c>
      <c r="H2904" s="2"/>
      <c r="I2904" s="2"/>
      <c r="J2904" s="2"/>
      <c r="L2904" s="2" t="s">
        <v>2814</v>
      </c>
    </row>
    <row r="2905">
      <c r="A2905" s="8" t="s">
        <v>3239</v>
      </c>
      <c r="B2905" s="8" t="s">
        <v>3239</v>
      </c>
      <c r="C2905" s="2" t="s">
        <v>49</v>
      </c>
      <c r="D2905" s="2" t="s">
        <v>50</v>
      </c>
      <c r="E2905" s="6">
        <v>46108.39732638889</v>
      </c>
      <c r="F2905" s="3" t="s">
        <v>51</v>
      </c>
      <c r="G2905" s="2" t="s">
        <v>16</v>
      </c>
      <c r="H2905" s="2"/>
      <c r="I2905" s="2" t="s">
        <v>395</v>
      </c>
      <c r="J2905" s="2"/>
      <c r="L2905" s="2" t="s">
        <v>2814</v>
      </c>
    </row>
    <row r="2906">
      <c r="A2906" s="8" t="s">
        <v>3240</v>
      </c>
      <c r="B2906" s="8" t="s">
        <v>3240</v>
      </c>
      <c r="C2906" s="2" t="s">
        <v>131</v>
      </c>
      <c r="D2906" s="2" t="s">
        <v>132</v>
      </c>
      <c r="E2906" s="6">
        <v>46108.552395833336</v>
      </c>
      <c r="F2906" s="3" t="s">
        <v>133</v>
      </c>
      <c r="G2906" s="2" t="s">
        <v>16</v>
      </c>
      <c r="H2906" s="2"/>
      <c r="I2906" s="2" t="s">
        <v>17</v>
      </c>
      <c r="J2906" s="2"/>
      <c r="L2906" s="2" t="s">
        <v>2814</v>
      </c>
    </row>
    <row r="2907">
      <c r="A2907" s="8" t="s">
        <v>3241</v>
      </c>
      <c r="B2907" s="8" t="s">
        <v>3241</v>
      </c>
      <c r="C2907" s="2" t="s">
        <v>1228</v>
      </c>
      <c r="D2907" s="2" t="s">
        <v>1229</v>
      </c>
      <c r="E2907" s="6">
        <v>46108.59112268518</v>
      </c>
      <c r="F2907" s="3" t="s">
        <v>1230</v>
      </c>
      <c r="G2907" s="2" t="s">
        <v>24</v>
      </c>
      <c r="H2907" s="2"/>
      <c r="I2907" s="2"/>
      <c r="J2907" s="2"/>
      <c r="L2907" s="2" t="s">
        <v>2814</v>
      </c>
    </row>
    <row r="2908">
      <c r="A2908" s="8" t="s">
        <v>3242</v>
      </c>
      <c r="B2908" s="8" t="s">
        <v>3242</v>
      </c>
      <c r="C2908" s="2" t="s">
        <v>131</v>
      </c>
      <c r="D2908" s="2" t="s">
        <v>132</v>
      </c>
      <c r="E2908" s="6">
        <v>46108.59438657408</v>
      </c>
      <c r="F2908" s="3" t="s">
        <v>133</v>
      </c>
      <c r="G2908" s="2" t="s">
        <v>24</v>
      </c>
      <c r="H2908" s="2"/>
      <c r="I2908" s="2"/>
      <c r="J2908" s="2"/>
      <c r="L2908" s="2" t="s">
        <v>2814</v>
      </c>
    </row>
    <row r="2909">
      <c r="A2909" s="8" t="s">
        <v>3243</v>
      </c>
      <c r="B2909" s="8" t="s">
        <v>3243</v>
      </c>
      <c r="C2909" s="2" t="s">
        <v>1993</v>
      </c>
      <c r="D2909" s="2" t="s">
        <v>1994</v>
      </c>
      <c r="E2909" s="6">
        <v>46109.68798611111</v>
      </c>
      <c r="F2909" s="3" t="s">
        <v>1995</v>
      </c>
      <c r="G2909" s="2" t="s">
        <v>16</v>
      </c>
      <c r="H2909" s="2"/>
      <c r="I2909" s="2"/>
      <c r="J2909" s="2"/>
      <c r="L2909" s="2" t="s">
        <v>2814</v>
      </c>
    </row>
    <row r="2910">
      <c r="A2910" s="8" t="s">
        <v>3244</v>
      </c>
      <c r="B2910" s="8" t="s">
        <v>3244</v>
      </c>
      <c r="C2910" s="2" t="s">
        <v>786</v>
      </c>
      <c r="D2910" s="2" t="s">
        <v>787</v>
      </c>
      <c r="E2910" s="6">
        <v>46111.38398148148</v>
      </c>
      <c r="F2910" s="3" t="s">
        <v>788</v>
      </c>
      <c r="G2910" s="2" t="s">
        <v>16</v>
      </c>
      <c r="H2910" s="2"/>
      <c r="I2910" s="2" t="s">
        <v>17</v>
      </c>
      <c r="J2910" s="2"/>
      <c r="L2910" s="2" t="s">
        <v>2814</v>
      </c>
    </row>
    <row r="2911">
      <c r="A2911" s="8" t="s">
        <v>3245</v>
      </c>
      <c r="B2911" s="8" t="s">
        <v>3245</v>
      </c>
      <c r="C2911" s="2" t="s">
        <v>1993</v>
      </c>
      <c r="D2911" s="2" t="s">
        <v>1994</v>
      </c>
      <c r="E2911" s="6">
        <v>46111.47010416666</v>
      </c>
      <c r="F2911" s="3" t="s">
        <v>1995</v>
      </c>
      <c r="G2911" s="2" t="s">
        <v>16</v>
      </c>
      <c r="H2911" s="2"/>
      <c r="I2911" s="2"/>
      <c r="J2911" s="2"/>
      <c r="L2911" s="2" t="s">
        <v>2814</v>
      </c>
    </row>
    <row r="2912">
      <c r="A2912" s="8" t="s">
        <v>3246</v>
      </c>
      <c r="B2912" s="8" t="s">
        <v>3246</v>
      </c>
      <c r="C2912" s="2" t="s">
        <v>2913</v>
      </c>
      <c r="D2912" s="2" t="s">
        <v>2914</v>
      </c>
      <c r="E2912" s="6">
        <v>46111.59710648148</v>
      </c>
      <c r="F2912" s="3" t="s">
        <v>2915</v>
      </c>
      <c r="G2912" s="2" t="s">
        <v>16</v>
      </c>
      <c r="H2912" s="2"/>
      <c r="I2912" s="2" t="s">
        <v>395</v>
      </c>
      <c r="J2912" s="2"/>
      <c r="L2912" s="2" t="s">
        <v>2814</v>
      </c>
    </row>
    <row r="2913">
      <c r="A2913" s="8" t="s">
        <v>3247</v>
      </c>
      <c r="B2913" s="8" t="s">
        <v>3247</v>
      </c>
      <c r="C2913" s="2" t="s">
        <v>55</v>
      </c>
      <c r="D2913" s="2" t="s">
        <v>56</v>
      </c>
      <c r="E2913" s="6">
        <v>46111.60050925926</v>
      </c>
      <c r="F2913" s="3" t="s">
        <v>57</v>
      </c>
      <c r="G2913" s="2" t="s">
        <v>16</v>
      </c>
      <c r="H2913" s="2"/>
      <c r="I2913" s="2"/>
      <c r="J2913" s="2"/>
      <c r="L2913" s="2" t="s">
        <v>2814</v>
      </c>
    </row>
    <row r="2914">
      <c r="A2914" s="8" t="s">
        <v>3248</v>
      </c>
      <c r="B2914" s="8" t="s">
        <v>3248</v>
      </c>
      <c r="C2914" s="2" t="s">
        <v>1993</v>
      </c>
      <c r="D2914" s="2" t="s">
        <v>1994</v>
      </c>
      <c r="E2914" s="6">
        <v>46111.64917824074</v>
      </c>
      <c r="F2914" s="3" t="s">
        <v>1995</v>
      </c>
      <c r="G2914" s="2" t="s">
        <v>24</v>
      </c>
      <c r="H2914" s="2"/>
      <c r="I2914" s="2"/>
      <c r="J2914" s="2"/>
      <c r="L2914" s="2" t="s">
        <v>2814</v>
      </c>
    </row>
    <row r="2915">
      <c r="A2915" s="8" t="s">
        <v>3249</v>
      </c>
      <c r="B2915" s="8" t="s">
        <v>3249</v>
      </c>
      <c r="C2915" s="2" t="s">
        <v>3250</v>
      </c>
      <c r="D2915" s="2" t="s">
        <v>3251</v>
      </c>
      <c r="E2915" s="6">
        <v>46111.649664351855</v>
      </c>
      <c r="F2915" s="3" t="s">
        <v>617</v>
      </c>
      <c r="G2915" s="2" t="s">
        <v>24</v>
      </c>
      <c r="H2915" s="2"/>
      <c r="I2915" s="2"/>
      <c r="J2915" s="2"/>
      <c r="L2915" s="2" t="s">
        <v>2814</v>
      </c>
    </row>
    <row r="2916">
      <c r="A2916" s="8" t="s">
        <v>3252</v>
      </c>
      <c r="B2916" s="8" t="s">
        <v>3252</v>
      </c>
      <c r="C2916" s="2" t="s">
        <v>786</v>
      </c>
      <c r="D2916" s="2" t="s">
        <v>787</v>
      </c>
      <c r="E2916" s="6">
        <v>46111.67664351852</v>
      </c>
      <c r="F2916" s="3" t="s">
        <v>788</v>
      </c>
      <c r="G2916" s="2" t="s">
        <v>24</v>
      </c>
      <c r="H2916" s="2"/>
      <c r="I2916" s="2"/>
      <c r="J2916" s="2"/>
      <c r="L2916" s="2" t="s">
        <v>2814</v>
      </c>
    </row>
    <row r="2917">
      <c r="A2917" s="8" t="s">
        <v>3253</v>
      </c>
      <c r="B2917" s="8" t="s">
        <v>3253</v>
      </c>
      <c r="C2917" s="2" t="s">
        <v>55</v>
      </c>
      <c r="D2917" s="2" t="s">
        <v>56</v>
      </c>
      <c r="E2917" s="6">
        <v>46111.67706018518</v>
      </c>
      <c r="F2917" s="3" t="s">
        <v>57</v>
      </c>
      <c r="G2917" s="2" t="s">
        <v>24</v>
      </c>
      <c r="H2917" s="2"/>
      <c r="I2917" s="2"/>
      <c r="J2917" s="2"/>
      <c r="L2917" s="2" t="s">
        <v>2814</v>
      </c>
    </row>
    <row r="2918">
      <c r="A2918" s="8" t="s">
        <v>3254</v>
      </c>
      <c r="B2918" s="8" t="s">
        <v>3254</v>
      </c>
      <c r="C2918" s="2" t="s">
        <v>1993</v>
      </c>
      <c r="D2918" s="2" t="s">
        <v>1994</v>
      </c>
      <c r="E2918" s="6">
        <v>46111.67736111111</v>
      </c>
      <c r="F2918" s="3" t="s">
        <v>1995</v>
      </c>
      <c r="G2918" s="2" t="s">
        <v>24</v>
      </c>
      <c r="H2918" s="2"/>
      <c r="I2918" s="2"/>
      <c r="J2918" s="2"/>
      <c r="L2918" s="2" t="s">
        <v>2814</v>
      </c>
    </row>
    <row r="2919">
      <c r="A2919" s="8" t="s">
        <v>3255</v>
      </c>
      <c r="B2919" s="8" t="s">
        <v>3255</v>
      </c>
      <c r="C2919" s="2" t="s">
        <v>49</v>
      </c>
      <c r="D2919" s="2" t="s">
        <v>50</v>
      </c>
      <c r="E2919" s="6">
        <v>46111.6824537037</v>
      </c>
      <c r="F2919" s="3" t="s">
        <v>51</v>
      </c>
      <c r="G2919" s="2" t="s">
        <v>24</v>
      </c>
      <c r="H2919" s="2"/>
      <c r="I2919" s="2"/>
      <c r="J2919" s="2"/>
      <c r="L2919" s="2" t="s">
        <v>2814</v>
      </c>
    </row>
    <row r="2920">
      <c r="A2920" s="8" t="s">
        <v>3256</v>
      </c>
      <c r="B2920" s="8" t="s">
        <v>3256</v>
      </c>
      <c r="C2920" s="2" t="s">
        <v>1371</v>
      </c>
      <c r="D2920" s="2" t="s">
        <v>1372</v>
      </c>
      <c r="E2920" s="6">
        <v>46112.363275462965</v>
      </c>
      <c r="F2920" s="3" t="s">
        <v>1373</v>
      </c>
      <c r="G2920" s="2" t="s">
        <v>159</v>
      </c>
      <c r="H2920" s="2"/>
      <c r="I2920" s="2"/>
      <c r="J2920" s="2"/>
      <c r="L2920" s="2" t="s">
        <v>2814</v>
      </c>
    </row>
    <row r="2921">
      <c r="A2921" s="8" t="s">
        <v>3257</v>
      </c>
      <c r="B2921" s="8" t="s">
        <v>3257</v>
      </c>
      <c r="C2921" s="2" t="s">
        <v>213</v>
      </c>
      <c r="D2921" s="2" t="s">
        <v>214</v>
      </c>
      <c r="E2921" s="6">
        <v>46112.366261574076</v>
      </c>
      <c r="F2921" s="3" t="s">
        <v>215</v>
      </c>
      <c r="G2921" s="2" t="s">
        <v>16</v>
      </c>
      <c r="H2921" s="2"/>
      <c r="I2921" s="2" t="s">
        <v>17</v>
      </c>
      <c r="J2921" s="2"/>
      <c r="L2921" s="2" t="s">
        <v>2814</v>
      </c>
    </row>
    <row r="2922">
      <c r="A2922" s="8" t="s">
        <v>3258</v>
      </c>
      <c r="B2922" s="8" t="s">
        <v>3258</v>
      </c>
      <c r="C2922" s="2" t="s">
        <v>1889</v>
      </c>
      <c r="D2922" s="2" t="s">
        <v>1890</v>
      </c>
      <c r="E2922" s="6">
        <v>46112.36883101852</v>
      </c>
      <c r="F2922" s="3" t="s">
        <v>1891</v>
      </c>
      <c r="G2922" s="2" t="s">
        <v>16</v>
      </c>
      <c r="H2922" s="2"/>
      <c r="I2922" s="2" t="s">
        <v>17</v>
      </c>
      <c r="J2922" s="2"/>
      <c r="L2922" s="2" t="s">
        <v>2814</v>
      </c>
    </row>
    <row r="2923">
      <c r="A2923" s="8" t="s">
        <v>3259</v>
      </c>
      <c r="B2923" s="8" t="s">
        <v>3259</v>
      </c>
      <c r="C2923" s="2" t="s">
        <v>1889</v>
      </c>
      <c r="D2923" s="2" t="s">
        <v>1890</v>
      </c>
      <c r="E2923" s="6">
        <v>46112.36938657407</v>
      </c>
      <c r="F2923" s="3" t="s">
        <v>1891</v>
      </c>
      <c r="G2923" s="2" t="s">
        <v>159</v>
      </c>
      <c r="H2923" s="2"/>
      <c r="I2923" s="2"/>
      <c r="J2923" s="2"/>
      <c r="L2923" s="2" t="s">
        <v>2814</v>
      </c>
    </row>
    <row r="2924">
      <c r="A2924" s="1"/>
      <c r="B2924" s="1"/>
      <c r="C2924" s="2"/>
      <c r="D2924" s="2"/>
      <c r="E2924" s="6"/>
      <c r="F2924" s="3"/>
      <c r="G2924" s="2"/>
      <c r="H2924" s="2"/>
      <c r="I2924" s="2"/>
      <c r="J2924" s="2"/>
      <c r="L2924" s="2"/>
    </row>
    <row r="2925">
      <c r="A2925" s="8" t="s">
        <v>3260</v>
      </c>
      <c r="B2925" s="8" t="s">
        <v>3260</v>
      </c>
      <c r="C2925" s="2" t="s">
        <v>1889</v>
      </c>
      <c r="D2925" s="2" t="s">
        <v>1890</v>
      </c>
      <c r="E2925" s="6">
        <v>46112.37233796297</v>
      </c>
      <c r="F2925" s="3" t="s">
        <v>1891</v>
      </c>
      <c r="G2925" s="2" t="s">
        <v>159</v>
      </c>
      <c r="H2925" s="2"/>
      <c r="I2925" s="2"/>
      <c r="J2925" s="2"/>
      <c r="L2925" s="2" t="s">
        <v>2814</v>
      </c>
    </row>
    <row r="2926">
      <c r="A2926" s="8" t="s">
        <v>3261</v>
      </c>
      <c r="B2926" s="8" t="s">
        <v>3261</v>
      </c>
      <c r="C2926" s="2" t="s">
        <v>1756</v>
      </c>
      <c r="D2926" s="2" t="s">
        <v>1757</v>
      </c>
      <c r="E2926" s="6">
        <v>46112.37297453704</v>
      </c>
      <c r="F2926" s="3" t="s">
        <v>1758</v>
      </c>
      <c r="G2926" s="2" t="s">
        <v>16</v>
      </c>
      <c r="H2926" s="2"/>
      <c r="I2926" s="2"/>
      <c r="J2926" s="2"/>
      <c r="L2926" s="2" t="s">
        <v>2814</v>
      </c>
    </row>
    <row r="2927">
      <c r="A2927" s="8" t="s">
        <v>3262</v>
      </c>
      <c r="B2927" s="8" t="s">
        <v>3262</v>
      </c>
      <c r="C2927" s="2" t="s">
        <v>1084</v>
      </c>
      <c r="D2927" s="2" t="s">
        <v>1085</v>
      </c>
      <c r="E2927" s="6">
        <v>46112.37771990741</v>
      </c>
      <c r="F2927" s="3" t="s">
        <v>1086</v>
      </c>
      <c r="G2927" s="2" t="s">
        <v>159</v>
      </c>
      <c r="H2927" s="2"/>
      <c r="I2927" s="2"/>
      <c r="J2927" s="2"/>
      <c r="L2927" s="2" t="s">
        <v>2814</v>
      </c>
    </row>
    <row r="2928">
      <c r="A2928" s="8" t="s">
        <v>3263</v>
      </c>
      <c r="B2928" s="8" t="s">
        <v>3263</v>
      </c>
      <c r="C2928" s="2" t="s">
        <v>1993</v>
      </c>
      <c r="D2928" s="2" t="s">
        <v>1994</v>
      </c>
      <c r="E2928" s="6">
        <v>46112.38122685185</v>
      </c>
      <c r="F2928" s="3" t="s">
        <v>1995</v>
      </c>
      <c r="G2928" s="2" t="s">
        <v>16</v>
      </c>
      <c r="H2928" s="2"/>
      <c r="I2928" s="2"/>
      <c r="J2928" s="2"/>
      <c r="L2928" s="2" t="s">
        <v>2814</v>
      </c>
    </row>
    <row r="2929">
      <c r="A2929" s="8" t="s">
        <v>3264</v>
      </c>
      <c r="B2929" s="8" t="s">
        <v>3264</v>
      </c>
      <c r="C2929" s="2" t="s">
        <v>1993</v>
      </c>
      <c r="D2929" s="2" t="s">
        <v>1994</v>
      </c>
      <c r="E2929" s="6">
        <v>46112.56579861111</v>
      </c>
      <c r="F2929" s="3" t="s">
        <v>1995</v>
      </c>
      <c r="G2929" s="2" t="s">
        <v>24</v>
      </c>
      <c r="H2929" s="2"/>
      <c r="I2929" s="2"/>
      <c r="J2929" s="2"/>
      <c r="L2929" s="2" t="s">
        <v>2814</v>
      </c>
    </row>
    <row r="2930">
      <c r="A2930" s="8" t="s">
        <v>3265</v>
      </c>
      <c r="B2930" s="8" t="s">
        <v>3265</v>
      </c>
      <c r="C2930" s="2" t="s">
        <v>2728</v>
      </c>
      <c r="D2930" s="2" t="s">
        <v>2729</v>
      </c>
      <c r="E2930" s="6">
        <v>46112.567881944444</v>
      </c>
      <c r="F2930" s="3" t="s">
        <v>2730</v>
      </c>
      <c r="G2930" s="2" t="s">
        <v>16</v>
      </c>
      <c r="H2930" s="2"/>
      <c r="I2930" s="2" t="s">
        <v>17</v>
      </c>
      <c r="J2930" s="2"/>
      <c r="L2930" s="2" t="s">
        <v>2814</v>
      </c>
    </row>
    <row r="2931">
      <c r="A2931" s="8" t="s">
        <v>3266</v>
      </c>
      <c r="B2931" s="8" t="s">
        <v>3266</v>
      </c>
      <c r="C2931" s="2" t="s">
        <v>2728</v>
      </c>
      <c r="D2931" s="2" t="s">
        <v>2729</v>
      </c>
      <c r="E2931" s="6">
        <v>46112.569710648146</v>
      </c>
      <c r="F2931" s="3" t="s">
        <v>2730</v>
      </c>
      <c r="G2931" s="2" t="s">
        <v>16</v>
      </c>
      <c r="H2931" s="2"/>
      <c r="I2931" s="2" t="s">
        <v>395</v>
      </c>
      <c r="J2931" s="2"/>
      <c r="L2931" s="2" t="s">
        <v>2814</v>
      </c>
    </row>
    <row r="2932">
      <c r="A2932" s="8" t="s">
        <v>3267</v>
      </c>
      <c r="B2932" s="8" t="s">
        <v>3267</v>
      </c>
      <c r="C2932" s="2" t="s">
        <v>812</v>
      </c>
      <c r="D2932" s="2" t="s">
        <v>813</v>
      </c>
      <c r="E2932" s="6">
        <v>46112.57611111111</v>
      </c>
      <c r="F2932" s="3" t="s">
        <v>814</v>
      </c>
      <c r="G2932" s="2" t="s">
        <v>24</v>
      </c>
      <c r="H2932" s="2"/>
      <c r="I2932" s="2"/>
      <c r="J2932" s="2"/>
      <c r="L2932" s="2" t="s">
        <v>2814</v>
      </c>
    </row>
    <row r="2933">
      <c r="A2933" s="8" t="s">
        <v>3268</v>
      </c>
      <c r="B2933" s="8" t="s">
        <v>3268</v>
      </c>
      <c r="C2933" s="2" t="s">
        <v>2728</v>
      </c>
      <c r="D2933" s="2" t="s">
        <v>2729</v>
      </c>
      <c r="E2933" s="6">
        <v>46112.57649305555</v>
      </c>
      <c r="F2933" s="3" t="s">
        <v>2730</v>
      </c>
      <c r="G2933" s="2" t="s">
        <v>24</v>
      </c>
      <c r="H2933" s="2"/>
      <c r="I2933" s="2"/>
      <c r="J2933" s="2"/>
      <c r="L2933" s="2" t="s">
        <v>2814</v>
      </c>
    </row>
    <row r="2934">
      <c r="A2934" s="8" t="s">
        <v>3269</v>
      </c>
      <c r="B2934" s="8" t="s">
        <v>3269</v>
      </c>
      <c r="C2934" s="2" t="s">
        <v>812</v>
      </c>
      <c r="D2934" s="2" t="s">
        <v>813</v>
      </c>
      <c r="E2934" s="6">
        <v>46112.5783912037</v>
      </c>
      <c r="F2934" s="3" t="s">
        <v>814</v>
      </c>
      <c r="G2934" s="2" t="s">
        <v>16</v>
      </c>
      <c r="H2934" s="2"/>
      <c r="I2934" s="2" t="s">
        <v>395</v>
      </c>
      <c r="J2934" s="2"/>
      <c r="L2934" s="2" t="s">
        <v>2814</v>
      </c>
    </row>
    <row r="2935">
      <c r="A2935" s="8" t="s">
        <v>3270</v>
      </c>
      <c r="B2935" s="8" t="s">
        <v>3270</v>
      </c>
      <c r="C2935" s="2" t="s">
        <v>309</v>
      </c>
      <c r="D2935" s="2" t="s">
        <v>310</v>
      </c>
      <c r="E2935" s="6">
        <v>46112.57881944445</v>
      </c>
      <c r="F2935" s="3" t="s">
        <v>311</v>
      </c>
      <c r="G2935" s="2" t="s">
        <v>16</v>
      </c>
      <c r="H2935" s="2"/>
      <c r="I2935" s="2" t="s">
        <v>395</v>
      </c>
      <c r="J2935" s="2"/>
      <c r="L2935" s="2" t="s">
        <v>2814</v>
      </c>
    </row>
    <row r="2936">
      <c r="A2936" s="8" t="s">
        <v>3271</v>
      </c>
      <c r="B2936" s="8" t="s">
        <v>3271</v>
      </c>
      <c r="C2936" s="2" t="s">
        <v>1745</v>
      </c>
      <c r="D2936" s="2" t="s">
        <v>1746</v>
      </c>
      <c r="E2936" s="6">
        <v>46112.58336805556</v>
      </c>
      <c r="F2936" s="3" t="s">
        <v>1747</v>
      </c>
      <c r="G2936" s="2" t="s">
        <v>16</v>
      </c>
      <c r="H2936" s="2"/>
      <c r="I2936" s="2" t="s">
        <v>395</v>
      </c>
      <c r="J2936" s="2"/>
      <c r="L2936" s="2" t="s">
        <v>2814</v>
      </c>
    </row>
    <row r="2937">
      <c r="A2937" s="8" t="s">
        <v>3272</v>
      </c>
      <c r="B2937" s="8" t="s">
        <v>3272</v>
      </c>
      <c r="C2937" s="2" t="s">
        <v>1745</v>
      </c>
      <c r="D2937" s="2" t="s">
        <v>1746</v>
      </c>
      <c r="E2937" s="6">
        <v>46113.36069444445</v>
      </c>
      <c r="F2937" s="3" t="s">
        <v>1747</v>
      </c>
      <c r="G2937" s="2" t="s">
        <v>24</v>
      </c>
      <c r="H2937" s="2"/>
      <c r="I2937" s="2"/>
      <c r="J2937" s="2"/>
      <c r="L2937" s="2" t="s">
        <v>2814</v>
      </c>
    </row>
    <row r="2938">
      <c r="A2938" s="8" t="s">
        <v>3273</v>
      </c>
      <c r="B2938" s="8" t="s">
        <v>3273</v>
      </c>
      <c r="C2938" s="2" t="s">
        <v>1084</v>
      </c>
      <c r="D2938" s="2" t="s">
        <v>1085</v>
      </c>
      <c r="E2938" s="6">
        <v>46113.36104166666</v>
      </c>
      <c r="F2938" s="3" t="s">
        <v>1086</v>
      </c>
      <c r="G2938" s="2" t="s">
        <v>24</v>
      </c>
      <c r="H2938" s="2"/>
      <c r="I2938" s="2"/>
      <c r="J2938" s="2"/>
      <c r="L2938" s="2" t="s">
        <v>2814</v>
      </c>
    </row>
    <row r="2939">
      <c r="A2939" s="8" t="s">
        <v>3274</v>
      </c>
      <c r="B2939" s="8" t="s">
        <v>3274</v>
      </c>
      <c r="C2939" s="2" t="s">
        <v>1904</v>
      </c>
      <c r="D2939" s="2" t="s">
        <v>1905</v>
      </c>
      <c r="E2939" s="6">
        <v>46113.36163194444</v>
      </c>
      <c r="F2939" s="3" t="s">
        <v>1906</v>
      </c>
      <c r="G2939" s="2" t="s">
        <v>24</v>
      </c>
      <c r="H2939" s="2"/>
      <c r="I2939" s="2"/>
      <c r="J2939" s="2"/>
      <c r="L2939" s="2" t="s">
        <v>2814</v>
      </c>
    </row>
    <row r="2940">
      <c r="A2940" s="8" t="s">
        <v>3275</v>
      </c>
      <c r="B2940" s="8" t="s">
        <v>3275</v>
      </c>
      <c r="C2940" s="2" t="s">
        <v>2913</v>
      </c>
      <c r="D2940" s="2" t="s">
        <v>2914</v>
      </c>
      <c r="E2940" s="6">
        <v>46113.363391203704</v>
      </c>
      <c r="F2940" s="3" t="s">
        <v>2915</v>
      </c>
      <c r="G2940" s="2" t="s">
        <v>16</v>
      </c>
      <c r="H2940" s="2"/>
      <c r="I2940" s="2" t="s">
        <v>17</v>
      </c>
      <c r="J2940" s="2"/>
      <c r="L2940" s="2" t="s">
        <v>2814</v>
      </c>
    </row>
    <row r="2941">
      <c r="A2941" s="8" t="s">
        <v>3276</v>
      </c>
      <c r="B2941" s="8" t="s">
        <v>3276</v>
      </c>
      <c r="C2941" s="2" t="s">
        <v>786</v>
      </c>
      <c r="D2941" s="2" t="s">
        <v>787</v>
      </c>
      <c r="E2941" s="6">
        <v>46113.36502314815</v>
      </c>
      <c r="F2941" s="3" t="s">
        <v>788</v>
      </c>
      <c r="G2941" s="2" t="s">
        <v>24</v>
      </c>
      <c r="H2941" s="2"/>
      <c r="I2941" s="2"/>
      <c r="J2941" s="2"/>
      <c r="L2941" s="2" t="s">
        <v>2814</v>
      </c>
    </row>
    <row r="2942">
      <c r="A2942" s="8" t="s">
        <v>3277</v>
      </c>
      <c r="B2942" s="8" t="s">
        <v>3277</v>
      </c>
      <c r="C2942" s="2" t="s">
        <v>2623</v>
      </c>
      <c r="D2942" s="2" t="s">
        <v>2624</v>
      </c>
      <c r="E2942" s="6">
        <v>46113.366319444445</v>
      </c>
      <c r="F2942" s="3" t="s">
        <v>2625</v>
      </c>
      <c r="G2942" s="2" t="s">
        <v>24</v>
      </c>
      <c r="H2942" s="2"/>
      <c r="I2942" s="2"/>
      <c r="J2942" s="2"/>
      <c r="L2942" s="2" t="s">
        <v>2814</v>
      </c>
    </row>
    <row r="2943">
      <c r="A2943" s="8" t="s">
        <v>3278</v>
      </c>
      <c r="B2943" s="8" t="s">
        <v>3278</v>
      </c>
      <c r="C2943" s="2" t="s">
        <v>2081</v>
      </c>
      <c r="D2943" s="2" t="s">
        <v>2082</v>
      </c>
      <c r="E2943" s="6">
        <v>46113.366643518515</v>
      </c>
      <c r="F2943" s="3" t="s">
        <v>2083</v>
      </c>
      <c r="G2943" s="2" t="s">
        <v>24</v>
      </c>
      <c r="H2943" s="2"/>
      <c r="I2943" s="2"/>
      <c r="J2943" s="2"/>
      <c r="L2943" s="2" t="s">
        <v>2814</v>
      </c>
    </row>
    <row r="2944">
      <c r="A2944" s="8" t="s">
        <v>3279</v>
      </c>
      <c r="B2944" s="8" t="s">
        <v>3279</v>
      </c>
      <c r="C2944" s="2" t="s">
        <v>1975</v>
      </c>
      <c r="D2944" s="2" t="s">
        <v>1976</v>
      </c>
      <c r="E2944" s="6">
        <v>46113.36697916667</v>
      </c>
      <c r="F2944" s="3" t="s">
        <v>1977</v>
      </c>
      <c r="G2944" s="2" t="s">
        <v>24</v>
      </c>
      <c r="H2944" s="2"/>
      <c r="I2944" s="2"/>
      <c r="J2944" s="2"/>
      <c r="L2944" s="2" t="s">
        <v>2814</v>
      </c>
    </row>
    <row r="2945">
      <c r="A2945" s="8" t="s">
        <v>3280</v>
      </c>
      <c r="B2945" s="8" t="s">
        <v>3280</v>
      </c>
      <c r="C2945" s="2" t="s">
        <v>1756</v>
      </c>
      <c r="D2945" s="2" t="s">
        <v>1757</v>
      </c>
      <c r="E2945" s="6">
        <v>46113.3674537037</v>
      </c>
      <c r="F2945" s="3" t="s">
        <v>1758</v>
      </c>
      <c r="G2945" s="2" t="s">
        <v>24</v>
      </c>
      <c r="H2945" s="2"/>
      <c r="I2945" s="2"/>
      <c r="J2945" s="2"/>
      <c r="L2945" s="2" t="s">
        <v>2814</v>
      </c>
    </row>
    <row r="2946">
      <c r="A2946" s="8" t="s">
        <v>3281</v>
      </c>
      <c r="B2946" s="8" t="s">
        <v>3281</v>
      </c>
      <c r="C2946" s="2" t="s">
        <v>2005</v>
      </c>
      <c r="D2946" s="2" t="s">
        <v>2006</v>
      </c>
      <c r="E2946" s="6">
        <v>46113.369780092595</v>
      </c>
      <c r="F2946" s="3" t="s">
        <v>2007</v>
      </c>
      <c r="G2946" s="2" t="s">
        <v>16</v>
      </c>
      <c r="H2946" s="2"/>
      <c r="I2946" s="2" t="s">
        <v>17</v>
      </c>
      <c r="J2946" s="2"/>
      <c r="L2946" s="2" t="s">
        <v>2814</v>
      </c>
    </row>
    <row r="2947">
      <c r="A2947" s="8" t="s">
        <v>3282</v>
      </c>
      <c r="B2947" s="8" t="s">
        <v>3282</v>
      </c>
      <c r="C2947" s="2" t="s">
        <v>2081</v>
      </c>
      <c r="D2947" s="2" t="s">
        <v>2082</v>
      </c>
      <c r="E2947" s="6">
        <v>46113.44144675926</v>
      </c>
      <c r="F2947" s="3" t="s">
        <v>2083</v>
      </c>
      <c r="G2947" s="2" t="s">
        <v>16</v>
      </c>
      <c r="H2947" s="2"/>
      <c r="I2947" s="2"/>
      <c r="J2947" s="2"/>
      <c r="L2947" s="2" t="s">
        <v>2814</v>
      </c>
    </row>
    <row r="2948">
      <c r="A2948" s="8" t="s">
        <v>3283</v>
      </c>
      <c r="B2948" s="8" t="s">
        <v>3283</v>
      </c>
      <c r="C2948" s="2" t="s">
        <v>2543</v>
      </c>
      <c r="D2948" s="2" t="s">
        <v>2544</v>
      </c>
      <c r="E2948" s="6">
        <v>46113.44327546296</v>
      </c>
      <c r="F2948" s="3" t="s">
        <v>2545</v>
      </c>
      <c r="G2948" s="2" t="s">
        <v>24</v>
      </c>
      <c r="H2948" s="2"/>
      <c r="I2948" s="2"/>
      <c r="J2948" s="2"/>
      <c r="L2948" s="2" t="s">
        <v>2814</v>
      </c>
    </row>
    <row r="2949">
      <c r="A2949" s="8" t="s">
        <v>3284</v>
      </c>
      <c r="B2949" s="8" t="s">
        <v>3284</v>
      </c>
      <c r="C2949" s="2" t="s">
        <v>45</v>
      </c>
      <c r="D2949" s="2" t="s">
        <v>46</v>
      </c>
      <c r="E2949" s="6">
        <v>46113.44699074074</v>
      </c>
      <c r="F2949" s="3" t="s">
        <v>47</v>
      </c>
      <c r="G2949" s="2" t="s">
        <v>16</v>
      </c>
      <c r="H2949" s="2"/>
      <c r="I2949" s="2"/>
      <c r="J2949" s="2"/>
      <c r="L2949" s="2" t="s">
        <v>2814</v>
      </c>
    </row>
    <row r="2950">
      <c r="A2950" s="8" t="s">
        <v>3285</v>
      </c>
      <c r="B2950" s="8" t="s">
        <v>3285</v>
      </c>
      <c r="C2950" s="2" t="s">
        <v>2913</v>
      </c>
      <c r="D2950" s="2" t="s">
        <v>2914</v>
      </c>
      <c r="E2950" s="6">
        <v>46113.46842592592</v>
      </c>
      <c r="F2950" s="3" t="s">
        <v>2915</v>
      </c>
      <c r="G2950" s="2" t="s">
        <v>24</v>
      </c>
      <c r="H2950" s="2"/>
      <c r="I2950" s="2"/>
      <c r="J2950" s="2"/>
      <c r="L2950" s="2" t="s">
        <v>2814</v>
      </c>
    </row>
    <row r="2951">
      <c r="A2951" s="8" t="s">
        <v>3286</v>
      </c>
      <c r="B2951" s="8" t="s">
        <v>3286</v>
      </c>
      <c r="C2951" s="2" t="s">
        <v>951</v>
      </c>
      <c r="D2951" s="2" t="s">
        <v>952</v>
      </c>
      <c r="E2951" s="6">
        <v>46113.597546296296</v>
      </c>
      <c r="F2951" s="3" t="s">
        <v>953</v>
      </c>
      <c r="G2951" s="2" t="s">
        <v>16</v>
      </c>
      <c r="H2951" s="2"/>
      <c r="I2951" s="2"/>
      <c r="J2951" s="2"/>
      <c r="L2951" s="2" t="s">
        <v>2814</v>
      </c>
    </row>
    <row r="2952">
      <c r="A2952" s="8" t="s">
        <v>3287</v>
      </c>
      <c r="B2952" s="8" t="s">
        <v>3287</v>
      </c>
      <c r="C2952" s="2" t="s">
        <v>3288</v>
      </c>
      <c r="D2952" s="2" t="s">
        <v>3289</v>
      </c>
      <c r="E2952" s="6">
        <v>46113.60078703704</v>
      </c>
      <c r="F2952" s="3" t="s">
        <v>3290</v>
      </c>
      <c r="G2952" s="2" t="s">
        <v>16</v>
      </c>
      <c r="H2952" s="2"/>
      <c r="I2952" s="2"/>
      <c r="J2952" s="2"/>
      <c r="L2952" s="2" t="s">
        <v>2814</v>
      </c>
    </row>
    <row r="2953">
      <c r="A2953" s="8" t="s">
        <v>3291</v>
      </c>
      <c r="B2953" s="8" t="s">
        <v>3291</v>
      </c>
      <c r="C2953" s="2" t="s">
        <v>2081</v>
      </c>
      <c r="D2953" s="2" t="s">
        <v>2082</v>
      </c>
      <c r="E2953" s="6">
        <v>46113.60644675926</v>
      </c>
      <c r="F2953" s="3" t="s">
        <v>2083</v>
      </c>
      <c r="G2953" s="2" t="s">
        <v>24</v>
      </c>
      <c r="H2953" s="2"/>
      <c r="I2953" s="2"/>
      <c r="J2953" s="2"/>
      <c r="L2953" s="2" t="s">
        <v>2814</v>
      </c>
    </row>
    <row r="2954">
      <c r="A2954" s="8" t="s">
        <v>3292</v>
      </c>
      <c r="B2954" s="8" t="s">
        <v>3292</v>
      </c>
      <c r="C2954" s="2" t="s">
        <v>951</v>
      </c>
      <c r="D2954" s="2" t="s">
        <v>952</v>
      </c>
      <c r="E2954" s="6">
        <v>46113.68041666667</v>
      </c>
      <c r="F2954" s="3" t="s">
        <v>953</v>
      </c>
      <c r="G2954" s="2" t="s">
        <v>24</v>
      </c>
      <c r="H2954" s="2"/>
      <c r="I2954" s="2"/>
      <c r="J2954" s="2"/>
      <c r="L2954" s="2" t="s">
        <v>2814</v>
      </c>
    </row>
    <row r="2955">
      <c r="A2955" s="8" t="s">
        <v>3293</v>
      </c>
      <c r="B2955" s="8" t="s">
        <v>3293</v>
      </c>
      <c r="C2955" s="2" t="s">
        <v>464</v>
      </c>
      <c r="D2955" s="2" t="s">
        <v>465</v>
      </c>
      <c r="E2955" s="6">
        <v>46114.36078703704</v>
      </c>
      <c r="F2955" s="3" t="s">
        <v>466</v>
      </c>
      <c r="G2955" s="2" t="s">
        <v>16</v>
      </c>
      <c r="H2955" s="2"/>
      <c r="I2955" s="2" t="s">
        <v>17</v>
      </c>
      <c r="J2955" s="2"/>
      <c r="L2955" s="2" t="s">
        <v>2814</v>
      </c>
    </row>
    <row r="2956">
      <c r="A2956" s="8" t="s">
        <v>3294</v>
      </c>
      <c r="B2956" s="8" t="s">
        <v>3294</v>
      </c>
      <c r="C2956" s="2" t="s">
        <v>786</v>
      </c>
      <c r="D2956" s="2" t="s">
        <v>787</v>
      </c>
      <c r="E2956" s="6">
        <v>46114.36107638889</v>
      </c>
      <c r="F2956" s="3" t="s">
        <v>788</v>
      </c>
      <c r="G2956" s="2" t="s">
        <v>16</v>
      </c>
      <c r="H2956" s="2"/>
      <c r="I2956" s="2" t="s">
        <v>17</v>
      </c>
      <c r="J2956" s="2"/>
      <c r="L2956" s="2" t="s">
        <v>2814</v>
      </c>
    </row>
    <row r="2957">
      <c r="A2957" s="8" t="s">
        <v>3295</v>
      </c>
      <c r="B2957" s="8" t="s">
        <v>3295</v>
      </c>
      <c r="C2957" s="2" t="s">
        <v>1993</v>
      </c>
      <c r="D2957" s="2" t="s">
        <v>1994</v>
      </c>
      <c r="E2957" s="6">
        <v>46114.364212962966</v>
      </c>
      <c r="F2957" s="3" t="s">
        <v>1995</v>
      </c>
      <c r="G2957" s="2" t="s">
        <v>16</v>
      </c>
      <c r="H2957" s="2"/>
      <c r="I2957" s="2"/>
      <c r="J2957" s="2"/>
      <c r="L2957" s="2" t="s">
        <v>2814</v>
      </c>
    </row>
    <row r="2958">
      <c r="A2958" s="8" t="s">
        <v>3296</v>
      </c>
      <c r="B2958" s="8" t="s">
        <v>3296</v>
      </c>
      <c r="C2958" s="2" t="s">
        <v>2774</v>
      </c>
      <c r="D2958" s="2" t="s">
        <v>2775</v>
      </c>
      <c r="E2958" s="6">
        <v>46114.36548611111</v>
      </c>
      <c r="F2958" s="3" t="s">
        <v>2776</v>
      </c>
      <c r="G2958" s="2" t="s">
        <v>16</v>
      </c>
      <c r="H2958" s="2"/>
      <c r="I2958" s="2" t="s">
        <v>395</v>
      </c>
      <c r="J2958" s="2"/>
      <c r="L2958" s="2" t="s">
        <v>2814</v>
      </c>
    </row>
    <row r="2959">
      <c r="A2959" s="8" t="s">
        <v>3297</v>
      </c>
      <c r="B2959" s="8" t="s">
        <v>3297</v>
      </c>
      <c r="C2959" s="2" t="s">
        <v>3298</v>
      </c>
      <c r="D2959" s="2" t="s">
        <v>3299</v>
      </c>
      <c r="E2959" s="6">
        <v>46114.36640046296</v>
      </c>
      <c r="F2959" s="3" t="s">
        <v>3300</v>
      </c>
      <c r="G2959" s="2" t="s">
        <v>16</v>
      </c>
      <c r="H2959" s="2"/>
      <c r="I2959" s="2" t="s">
        <v>395</v>
      </c>
      <c r="J2959" s="2"/>
      <c r="L2959" s="2" t="s">
        <v>2814</v>
      </c>
    </row>
    <row r="2960">
      <c r="A2960" s="8" t="s">
        <v>3301</v>
      </c>
      <c r="B2960" s="8" t="s">
        <v>3301</v>
      </c>
      <c r="C2960" s="2" t="s">
        <v>1993</v>
      </c>
      <c r="D2960" s="2" t="s">
        <v>1994</v>
      </c>
      <c r="E2960" s="6">
        <v>46114.59622685185</v>
      </c>
      <c r="F2960" s="3" t="s">
        <v>1995</v>
      </c>
      <c r="G2960" s="2" t="s">
        <v>24</v>
      </c>
      <c r="H2960" s="2"/>
      <c r="I2960" s="2"/>
      <c r="J2960" s="2"/>
      <c r="L2960" s="2" t="s">
        <v>2814</v>
      </c>
    </row>
    <row r="2961">
      <c r="A2961" s="8" t="s">
        <v>3302</v>
      </c>
      <c r="B2961" s="8" t="s">
        <v>3302</v>
      </c>
      <c r="C2961" s="2" t="s">
        <v>464</v>
      </c>
      <c r="D2961" s="2" t="s">
        <v>465</v>
      </c>
      <c r="E2961" s="6">
        <v>46114.59712962963</v>
      </c>
      <c r="F2961" s="3" t="s">
        <v>466</v>
      </c>
      <c r="G2961" s="2" t="s">
        <v>24</v>
      </c>
      <c r="H2961" s="2"/>
      <c r="I2961" s="2"/>
      <c r="J2961" s="2"/>
      <c r="L2961" s="2" t="s">
        <v>2814</v>
      </c>
    </row>
    <row r="2962">
      <c r="A2962" s="8" t="s">
        <v>3303</v>
      </c>
      <c r="B2962" s="8" t="s">
        <v>3303</v>
      </c>
      <c r="C2962" s="2" t="s">
        <v>326</v>
      </c>
      <c r="D2962" s="2" t="s">
        <v>327</v>
      </c>
      <c r="E2962" s="6">
        <v>46114.59746527778</v>
      </c>
      <c r="F2962" s="3" t="s">
        <v>328</v>
      </c>
      <c r="G2962" s="2" t="s">
        <v>24</v>
      </c>
      <c r="H2962" s="2"/>
      <c r="I2962" s="2"/>
      <c r="J2962" s="2"/>
      <c r="L2962" s="2" t="s">
        <v>2814</v>
      </c>
    </row>
    <row r="2963">
      <c r="A2963" s="8" t="s">
        <v>3304</v>
      </c>
      <c r="B2963" s="8" t="s">
        <v>3304</v>
      </c>
      <c r="C2963" s="2" t="s">
        <v>2640</v>
      </c>
      <c r="D2963" s="2" t="s">
        <v>2641</v>
      </c>
      <c r="E2963" s="6">
        <v>46114.61283564815</v>
      </c>
      <c r="F2963" s="3" t="s">
        <v>2642</v>
      </c>
      <c r="G2963" s="2" t="s">
        <v>16</v>
      </c>
      <c r="H2963" s="2"/>
      <c r="I2963" s="2"/>
      <c r="J2963" s="2"/>
      <c r="L2963" s="2" t="s">
        <v>2814</v>
      </c>
    </row>
    <row r="2964">
      <c r="A2964" s="8" t="s">
        <v>3305</v>
      </c>
      <c r="B2964" s="8" t="s">
        <v>3305</v>
      </c>
      <c r="C2964" s="2" t="s">
        <v>2577</v>
      </c>
      <c r="D2964" s="2" t="s">
        <v>2578</v>
      </c>
      <c r="E2964" s="6">
        <v>46114.61329861111</v>
      </c>
      <c r="F2964" s="3" t="s">
        <v>2579</v>
      </c>
      <c r="G2964" s="2" t="s">
        <v>24</v>
      </c>
      <c r="H2964" s="2"/>
      <c r="I2964" s="2"/>
      <c r="J2964" s="2"/>
      <c r="L2964" s="2" t="s">
        <v>2814</v>
      </c>
    </row>
    <row r="2965">
      <c r="A2965" s="8" t="s">
        <v>3306</v>
      </c>
      <c r="B2965" s="8" t="s">
        <v>3306</v>
      </c>
      <c r="C2965" s="2" t="s">
        <v>786</v>
      </c>
      <c r="D2965" s="2" t="s">
        <v>787</v>
      </c>
      <c r="E2965" s="6">
        <v>46114.61380787037</v>
      </c>
      <c r="F2965" s="3" t="s">
        <v>788</v>
      </c>
      <c r="G2965" s="2" t="s">
        <v>24</v>
      </c>
      <c r="H2965" s="2"/>
      <c r="I2965" s="2"/>
      <c r="J2965" s="2"/>
      <c r="L2965" s="2" t="s">
        <v>2814</v>
      </c>
    </row>
    <row r="2966">
      <c r="A2966" s="8" t="s">
        <v>3307</v>
      </c>
      <c r="B2966" s="8" t="s">
        <v>3307</v>
      </c>
      <c r="C2966" s="2" t="s">
        <v>2774</v>
      </c>
      <c r="D2966" s="2" t="s">
        <v>2775</v>
      </c>
      <c r="E2966" s="6">
        <v>46114.61483796296</v>
      </c>
      <c r="F2966" s="3" t="s">
        <v>2776</v>
      </c>
      <c r="G2966" s="2" t="s">
        <v>24</v>
      </c>
      <c r="H2966" s="2"/>
      <c r="I2966" s="2"/>
      <c r="J2966" s="2"/>
      <c r="L2966" s="2" t="s">
        <v>2814</v>
      </c>
    </row>
    <row r="2967">
      <c r="A2967" s="8" t="s">
        <v>3308</v>
      </c>
      <c r="B2967" s="8" t="s">
        <v>3308</v>
      </c>
      <c r="C2967" s="2" t="s">
        <v>2640</v>
      </c>
      <c r="D2967" s="2" t="s">
        <v>2641</v>
      </c>
      <c r="E2967" s="6">
        <v>46114.667037037034</v>
      </c>
      <c r="F2967" s="3" t="s">
        <v>2642</v>
      </c>
      <c r="G2967" s="2" t="s">
        <v>24</v>
      </c>
      <c r="H2967" s="2"/>
      <c r="I2967" s="2"/>
      <c r="J2967" s="2"/>
      <c r="L2967" s="2" t="s">
        <v>2814</v>
      </c>
    </row>
    <row r="2968">
      <c r="A2968" s="8" t="s">
        <v>3309</v>
      </c>
      <c r="B2968" s="8" t="s">
        <v>3309</v>
      </c>
      <c r="C2968" s="2" t="s">
        <v>1776</v>
      </c>
      <c r="D2968" s="2" t="s">
        <v>1777</v>
      </c>
      <c r="E2968" s="6">
        <v>46115.352164351854</v>
      </c>
      <c r="F2968" s="3" t="s">
        <v>1778</v>
      </c>
      <c r="G2968" s="2" t="s">
        <v>16</v>
      </c>
      <c r="H2968" s="2"/>
      <c r="I2968" s="2" t="s">
        <v>17</v>
      </c>
      <c r="J2968" s="2"/>
      <c r="L2968" s="2" t="s">
        <v>2814</v>
      </c>
    </row>
    <row r="2969">
      <c r="A2969" s="8" t="s">
        <v>3310</v>
      </c>
      <c r="B2969" s="8" t="s">
        <v>3310</v>
      </c>
      <c r="C2969" s="2" t="s">
        <v>1776</v>
      </c>
      <c r="D2969" s="2" t="s">
        <v>1777</v>
      </c>
      <c r="E2969" s="6">
        <v>46116.35313657407</v>
      </c>
      <c r="F2969" s="3" t="s">
        <v>1778</v>
      </c>
      <c r="G2969" s="2" t="s">
        <v>16</v>
      </c>
      <c r="H2969" s="2"/>
      <c r="I2969" s="2" t="s">
        <v>17</v>
      </c>
      <c r="J2969" s="2"/>
      <c r="L2969" s="2" t="s">
        <v>2814</v>
      </c>
    </row>
    <row r="2970">
      <c r="A2970" s="8" t="s">
        <v>3311</v>
      </c>
      <c r="B2970" s="8" t="s">
        <v>3311</v>
      </c>
      <c r="C2970" s="2" t="s">
        <v>320</v>
      </c>
      <c r="D2970" s="2" t="s">
        <v>321</v>
      </c>
      <c r="E2970" s="6">
        <v>46116.35361111111</v>
      </c>
      <c r="F2970" s="3" t="s">
        <v>322</v>
      </c>
      <c r="G2970" s="2" t="s">
        <v>16</v>
      </c>
      <c r="H2970" s="2"/>
      <c r="I2970" s="2" t="s">
        <v>17</v>
      </c>
      <c r="J2970" s="2"/>
      <c r="L2970" s="2" t="s">
        <v>2814</v>
      </c>
    </row>
    <row r="2971">
      <c r="A2971" s="8" t="s">
        <v>3312</v>
      </c>
      <c r="B2971" s="8" t="s">
        <v>3312</v>
      </c>
      <c r="C2971" s="2" t="s">
        <v>3313</v>
      </c>
      <c r="D2971" s="2" t="s">
        <v>3314</v>
      </c>
      <c r="E2971" s="6">
        <v>46116.359305555554</v>
      </c>
      <c r="F2971" s="3" t="s">
        <v>3315</v>
      </c>
      <c r="G2971" s="2" t="s">
        <v>16</v>
      </c>
      <c r="H2971" s="2"/>
      <c r="I2971" s="2" t="s">
        <v>395</v>
      </c>
      <c r="J2971" s="2"/>
      <c r="L2971" s="2" t="s">
        <v>2814</v>
      </c>
    </row>
    <row r="2972">
      <c r="A2972" s="8" t="s">
        <v>3316</v>
      </c>
      <c r="B2972" s="8" t="s">
        <v>3316</v>
      </c>
      <c r="C2972" s="2" t="s">
        <v>1963</v>
      </c>
      <c r="D2972" s="2" t="s">
        <v>1964</v>
      </c>
      <c r="E2972" s="6">
        <v>46116.362175925926</v>
      </c>
      <c r="F2972" s="3" t="s">
        <v>1965</v>
      </c>
      <c r="G2972" s="2" t="s">
        <v>159</v>
      </c>
      <c r="H2972" s="2"/>
      <c r="I2972" s="2"/>
      <c r="J2972" s="2"/>
      <c r="L2972" s="2" t="s">
        <v>2814</v>
      </c>
    </row>
    <row r="2973">
      <c r="A2973" s="8" t="s">
        <v>3317</v>
      </c>
      <c r="B2973" s="8" t="s">
        <v>3317</v>
      </c>
      <c r="C2973" s="2" t="s">
        <v>464</v>
      </c>
      <c r="D2973" s="2" t="s">
        <v>465</v>
      </c>
      <c r="E2973" s="6">
        <v>46116.36268518519</v>
      </c>
      <c r="F2973" s="3" t="s">
        <v>466</v>
      </c>
      <c r="G2973" s="2" t="s">
        <v>16</v>
      </c>
      <c r="H2973" s="2"/>
      <c r="I2973" s="2" t="s">
        <v>17</v>
      </c>
      <c r="J2973" s="2"/>
      <c r="L2973" s="2" t="s">
        <v>2814</v>
      </c>
    </row>
    <row r="2974">
      <c r="A2974" s="8" t="s">
        <v>3318</v>
      </c>
      <c r="B2974" s="8" t="s">
        <v>3318</v>
      </c>
      <c r="C2974" s="2" t="s">
        <v>1776</v>
      </c>
      <c r="D2974" s="2" t="s">
        <v>1777</v>
      </c>
      <c r="E2974" s="6">
        <v>46116.36486111111</v>
      </c>
      <c r="F2974" s="3" t="s">
        <v>1778</v>
      </c>
      <c r="G2974" s="2" t="s">
        <v>24</v>
      </c>
      <c r="H2974" s="2"/>
      <c r="I2974" s="2"/>
      <c r="J2974" s="2"/>
      <c r="L2974" s="2" t="s">
        <v>2814</v>
      </c>
    </row>
    <row r="2975">
      <c r="A2975" s="8" t="s">
        <v>3319</v>
      </c>
      <c r="B2975" s="8" t="s">
        <v>3319</v>
      </c>
      <c r="C2975" s="2" t="s">
        <v>943</v>
      </c>
      <c r="D2975" s="2" t="s">
        <v>944</v>
      </c>
      <c r="E2975" s="6">
        <v>46116.36982638889</v>
      </c>
      <c r="F2975" s="3" t="s">
        <v>945</v>
      </c>
      <c r="G2975" s="2" t="s">
        <v>16</v>
      </c>
      <c r="H2975" s="2"/>
      <c r="I2975" s="2" t="s">
        <v>395</v>
      </c>
      <c r="J2975" s="2"/>
      <c r="L2975" s="2" t="s">
        <v>2814</v>
      </c>
    </row>
    <row r="2976">
      <c r="A2976" s="8" t="s">
        <v>3320</v>
      </c>
      <c r="B2976" s="8" t="s">
        <v>3320</v>
      </c>
      <c r="C2976" s="2" t="s">
        <v>786</v>
      </c>
      <c r="D2976" s="2" t="s">
        <v>787</v>
      </c>
      <c r="E2976" s="6">
        <v>46116.37260416667</v>
      </c>
      <c r="F2976" s="3" t="s">
        <v>788</v>
      </c>
      <c r="G2976" s="2" t="s">
        <v>16</v>
      </c>
      <c r="H2976" s="2"/>
      <c r="I2976" s="2" t="s">
        <v>17</v>
      </c>
      <c r="J2976" s="2"/>
      <c r="L2976" s="2" t="s">
        <v>2814</v>
      </c>
    </row>
    <row r="2977">
      <c r="A2977" s="8" t="s">
        <v>3321</v>
      </c>
      <c r="B2977" s="8" t="s">
        <v>3321</v>
      </c>
      <c r="C2977" s="2" t="s">
        <v>2686</v>
      </c>
      <c r="D2977" s="2" t="s">
        <v>2687</v>
      </c>
      <c r="E2977" s="6">
        <v>46116.4200462963</v>
      </c>
      <c r="F2977" s="3" t="s">
        <v>2688</v>
      </c>
      <c r="G2977" s="2" t="s">
        <v>16</v>
      </c>
      <c r="H2977" s="2"/>
      <c r="I2977" s="2"/>
      <c r="J2977" s="2"/>
      <c r="L2977" s="2" t="s">
        <v>2814</v>
      </c>
    </row>
    <row r="2978">
      <c r="A2978" s="8" t="s">
        <v>3322</v>
      </c>
      <c r="B2978" s="8" t="s">
        <v>3322</v>
      </c>
      <c r="C2978" s="2" t="s">
        <v>2543</v>
      </c>
      <c r="D2978" s="2" t="s">
        <v>2544</v>
      </c>
      <c r="E2978" s="6">
        <v>46116.43392361111</v>
      </c>
      <c r="F2978" s="3" t="s">
        <v>2545</v>
      </c>
      <c r="G2978" s="2" t="s">
        <v>24</v>
      </c>
      <c r="H2978" s="2"/>
      <c r="I2978" s="2"/>
      <c r="J2978" s="2"/>
      <c r="L2978" s="2" t="s">
        <v>2814</v>
      </c>
    </row>
    <row r="2979">
      <c r="A2979" s="8" t="s">
        <v>3323</v>
      </c>
      <c r="B2979" s="8" t="s">
        <v>3323</v>
      </c>
      <c r="C2979" s="2" t="s">
        <v>320</v>
      </c>
      <c r="D2979" s="2" t="s">
        <v>321</v>
      </c>
      <c r="E2979" s="6">
        <v>46116.43436342593</v>
      </c>
      <c r="F2979" s="3" t="s">
        <v>322</v>
      </c>
      <c r="G2979" s="2" t="s">
        <v>24</v>
      </c>
      <c r="H2979" s="2"/>
      <c r="I2979" s="2"/>
      <c r="J2979" s="2"/>
      <c r="L2979" s="2" t="s">
        <v>2814</v>
      </c>
    </row>
    <row r="2980">
      <c r="A2980" s="8" t="s">
        <v>3324</v>
      </c>
      <c r="B2980" s="8" t="s">
        <v>3324</v>
      </c>
      <c r="C2980" s="2" t="s">
        <v>943</v>
      </c>
      <c r="D2980" s="2" t="s">
        <v>944</v>
      </c>
      <c r="E2980" s="6">
        <v>46116.55902777778</v>
      </c>
      <c r="F2980" s="3" t="s">
        <v>945</v>
      </c>
      <c r="G2980" s="2" t="s">
        <v>24</v>
      </c>
      <c r="H2980" s="2"/>
      <c r="I2980" s="2"/>
      <c r="J2980" s="2"/>
      <c r="L2980" s="2" t="s">
        <v>2814</v>
      </c>
    </row>
    <row r="2981">
      <c r="A2981" s="8" t="s">
        <v>3325</v>
      </c>
      <c r="B2981" s="8" t="s">
        <v>3325</v>
      </c>
      <c r="C2981" s="2" t="s">
        <v>2131</v>
      </c>
      <c r="D2981" s="2" t="s">
        <v>2132</v>
      </c>
      <c r="E2981" s="6">
        <v>46116.55978009259</v>
      </c>
      <c r="F2981" s="3" t="s">
        <v>2133</v>
      </c>
      <c r="G2981" s="2" t="s">
        <v>24</v>
      </c>
      <c r="H2981" s="2"/>
      <c r="I2981" s="2"/>
      <c r="J2981" s="2"/>
      <c r="L2981" s="2" t="s">
        <v>2814</v>
      </c>
    </row>
    <row r="2982">
      <c r="A2982" s="8" t="s">
        <v>3326</v>
      </c>
      <c r="B2982" s="8" t="s">
        <v>3326</v>
      </c>
      <c r="C2982" s="2" t="s">
        <v>1993</v>
      </c>
      <c r="D2982" s="2" t="s">
        <v>1994</v>
      </c>
      <c r="E2982" s="6">
        <v>46116.58357638889</v>
      </c>
      <c r="F2982" s="3" t="s">
        <v>1995</v>
      </c>
      <c r="G2982" s="2" t="s">
        <v>16</v>
      </c>
      <c r="H2982" s="2"/>
      <c r="I2982" s="2"/>
      <c r="J2982" s="2"/>
      <c r="L2982" s="2" t="s">
        <v>2814</v>
      </c>
    </row>
    <row r="2983">
      <c r="A2983" s="8" t="s">
        <v>3327</v>
      </c>
      <c r="B2983" s="8" t="s">
        <v>3327</v>
      </c>
      <c r="C2983" s="2" t="s">
        <v>1889</v>
      </c>
      <c r="D2983" s="2" t="s">
        <v>1890</v>
      </c>
      <c r="E2983" s="6">
        <v>46116.60350694445</v>
      </c>
      <c r="F2983" s="3" t="s">
        <v>1891</v>
      </c>
      <c r="G2983" s="2" t="s">
        <v>16</v>
      </c>
      <c r="H2983" s="2"/>
      <c r="I2983" s="2" t="s">
        <v>395</v>
      </c>
      <c r="J2983" s="2"/>
      <c r="L2983" s="2" t="s">
        <v>2814</v>
      </c>
    </row>
    <row r="2984">
      <c r="A2984" s="8" t="s">
        <v>3328</v>
      </c>
      <c r="B2984" s="8" t="s">
        <v>3328</v>
      </c>
      <c r="C2984" s="2" t="s">
        <v>786</v>
      </c>
      <c r="D2984" s="2" t="s">
        <v>787</v>
      </c>
      <c r="E2984" s="6">
        <v>46116.61188657407</v>
      </c>
      <c r="F2984" s="3" t="s">
        <v>788</v>
      </c>
      <c r="G2984" s="2" t="s">
        <v>24</v>
      </c>
      <c r="H2984" s="2"/>
      <c r="I2984" s="2"/>
      <c r="J2984" s="2"/>
      <c r="L2984" s="2" t="s">
        <v>2814</v>
      </c>
    </row>
    <row r="2985">
      <c r="A2985" s="8" t="s">
        <v>3329</v>
      </c>
      <c r="B2985" s="8" t="s">
        <v>3329</v>
      </c>
      <c r="C2985" s="2" t="s">
        <v>49</v>
      </c>
      <c r="D2985" s="2" t="s">
        <v>50</v>
      </c>
      <c r="E2985" s="6">
        <v>46116.61284722222</v>
      </c>
      <c r="F2985" s="3" t="s">
        <v>51</v>
      </c>
      <c r="G2985" s="2" t="s">
        <v>24</v>
      </c>
      <c r="H2985" s="2"/>
      <c r="I2985" s="2"/>
      <c r="J2985" s="2"/>
      <c r="L2985" s="2" t="s">
        <v>2814</v>
      </c>
    </row>
    <row r="2986">
      <c r="A2986" s="8" t="s">
        <v>3330</v>
      </c>
      <c r="B2986" s="8" t="s">
        <v>3330</v>
      </c>
      <c r="C2986" s="2" t="s">
        <v>2686</v>
      </c>
      <c r="D2986" s="2" t="s">
        <v>2687</v>
      </c>
      <c r="E2986" s="6">
        <v>46116.613078703704</v>
      </c>
      <c r="F2986" s="3" t="s">
        <v>2688</v>
      </c>
      <c r="G2986" s="2" t="s">
        <v>24</v>
      </c>
      <c r="H2986" s="2"/>
      <c r="I2986" s="2"/>
      <c r="J2986" s="2"/>
      <c r="L2986" s="2" t="s">
        <v>2814</v>
      </c>
    </row>
    <row r="2987">
      <c r="A2987" s="8" t="s">
        <v>3331</v>
      </c>
      <c r="B2987" s="8" t="s">
        <v>3331</v>
      </c>
      <c r="C2987" s="2" t="s">
        <v>1838</v>
      </c>
      <c r="D2987" s="2" t="s">
        <v>1839</v>
      </c>
      <c r="E2987" s="6">
        <v>46116.61503472222</v>
      </c>
      <c r="F2987" s="3" t="s">
        <v>1840</v>
      </c>
      <c r="G2987" s="2" t="s">
        <v>16</v>
      </c>
      <c r="H2987" s="2"/>
      <c r="I2987" s="2" t="s">
        <v>395</v>
      </c>
      <c r="J2987" s="2"/>
      <c r="L2987" s="2" t="s">
        <v>2814</v>
      </c>
    </row>
    <row r="2988">
      <c r="A2988" s="8" t="s">
        <v>3332</v>
      </c>
      <c r="B2988" s="8" t="s">
        <v>3332</v>
      </c>
      <c r="C2988" s="2" t="s">
        <v>1889</v>
      </c>
      <c r="D2988" s="2" t="s">
        <v>1890</v>
      </c>
      <c r="E2988" s="6">
        <v>46118.352951388886</v>
      </c>
      <c r="F2988" s="3" t="s">
        <v>1891</v>
      </c>
      <c r="G2988" s="2" t="s">
        <v>16</v>
      </c>
      <c r="H2988" s="2"/>
      <c r="I2988" s="2" t="s">
        <v>17</v>
      </c>
      <c r="J2988" s="2"/>
      <c r="L2988" s="2" t="s">
        <v>2814</v>
      </c>
    </row>
    <row r="2989">
      <c r="A2989" s="8" t="s">
        <v>3333</v>
      </c>
      <c r="B2989" s="8" t="s">
        <v>3333</v>
      </c>
      <c r="C2989" s="2" t="s">
        <v>1756</v>
      </c>
      <c r="D2989" s="2" t="s">
        <v>1757</v>
      </c>
      <c r="E2989" s="6">
        <v>46118.35349537037</v>
      </c>
      <c r="F2989" s="3" t="s">
        <v>1758</v>
      </c>
      <c r="G2989" s="2" t="s">
        <v>16</v>
      </c>
      <c r="H2989" s="2"/>
      <c r="I2989" s="2"/>
      <c r="J2989" s="2"/>
      <c r="L2989" s="2" t="s">
        <v>2814</v>
      </c>
    </row>
    <row r="2990">
      <c r="A2990" s="8" t="s">
        <v>3334</v>
      </c>
      <c r="B2990" s="8" t="s">
        <v>3334</v>
      </c>
      <c r="C2990" s="2" t="s">
        <v>3335</v>
      </c>
      <c r="D2990" s="2" t="s">
        <v>3336</v>
      </c>
      <c r="E2990" s="6">
        <v>46118.36659722222</v>
      </c>
      <c r="F2990" s="3" t="s">
        <v>3337</v>
      </c>
      <c r="G2990" s="2" t="s">
        <v>16</v>
      </c>
      <c r="H2990" s="2"/>
      <c r="I2990" s="2" t="s">
        <v>395</v>
      </c>
      <c r="J2990" s="2"/>
      <c r="L2990" s="2" t="s">
        <v>2814</v>
      </c>
    </row>
    <row r="2991">
      <c r="A2991" s="8" t="s">
        <v>3338</v>
      </c>
      <c r="B2991" s="8" t="s">
        <v>3338</v>
      </c>
      <c r="C2991" s="2" t="s">
        <v>55</v>
      </c>
      <c r="D2991" s="2" t="s">
        <v>56</v>
      </c>
      <c r="E2991" s="6">
        <v>46118.37795138889</v>
      </c>
      <c r="F2991" s="3" t="s">
        <v>57</v>
      </c>
      <c r="G2991" s="2" t="s">
        <v>16</v>
      </c>
      <c r="H2991" s="2"/>
      <c r="I2991" s="2"/>
      <c r="J2991" s="2"/>
      <c r="L2991" s="2" t="s">
        <v>2814</v>
      </c>
    </row>
    <row r="2992">
      <c r="A2992" s="8" t="s">
        <v>3339</v>
      </c>
      <c r="B2992" s="8" t="s">
        <v>3339</v>
      </c>
      <c r="C2992" s="2" t="s">
        <v>812</v>
      </c>
      <c r="D2992" s="2" t="s">
        <v>813</v>
      </c>
      <c r="E2992" s="6">
        <v>46118.56576388889</v>
      </c>
      <c r="F2992" s="3" t="s">
        <v>814</v>
      </c>
      <c r="G2992" s="2" t="s">
        <v>16</v>
      </c>
      <c r="H2992" s="2"/>
      <c r="I2992" s="2" t="s">
        <v>395</v>
      </c>
      <c r="J2992" s="2"/>
      <c r="L2992" s="2" t="s">
        <v>2814</v>
      </c>
    </row>
    <row r="2993">
      <c r="A2993" s="8" t="s">
        <v>3340</v>
      </c>
      <c r="B2993" s="8" t="s">
        <v>3340</v>
      </c>
      <c r="C2993" s="2" t="s">
        <v>1776</v>
      </c>
      <c r="D2993" s="2" t="s">
        <v>1777</v>
      </c>
      <c r="E2993" s="6">
        <v>46119.35533564815</v>
      </c>
      <c r="F2993" s="3" t="s">
        <v>1778</v>
      </c>
      <c r="G2993" s="2" t="s">
        <v>24</v>
      </c>
      <c r="H2993" s="2"/>
      <c r="I2993" s="2"/>
      <c r="J2993" s="2"/>
      <c r="L2993" s="2" t="s">
        <v>2814</v>
      </c>
    </row>
    <row r="2994">
      <c r="A2994" s="8" t="s">
        <v>3341</v>
      </c>
      <c r="B2994" s="8" t="s">
        <v>3341</v>
      </c>
      <c r="C2994" s="2" t="s">
        <v>2913</v>
      </c>
      <c r="D2994" s="2" t="s">
        <v>2914</v>
      </c>
      <c r="E2994" s="6">
        <v>46119.355844907404</v>
      </c>
      <c r="F2994" s="3" t="s">
        <v>2915</v>
      </c>
      <c r="G2994" s="2" t="s">
        <v>24</v>
      </c>
      <c r="H2994" s="2"/>
      <c r="I2994" s="2"/>
      <c r="J2994" s="2"/>
      <c r="L2994" s="2" t="s">
        <v>2814</v>
      </c>
    </row>
    <row r="2995">
      <c r="A2995" s="8" t="s">
        <v>3342</v>
      </c>
      <c r="B2995" s="8" t="s">
        <v>3342</v>
      </c>
      <c r="C2995" s="2" t="s">
        <v>1993</v>
      </c>
      <c r="D2995" s="2" t="s">
        <v>1994</v>
      </c>
      <c r="E2995" s="6">
        <v>46119.35659722222</v>
      </c>
      <c r="F2995" s="3" t="s">
        <v>1995</v>
      </c>
      <c r="G2995" s="2" t="s">
        <v>24</v>
      </c>
      <c r="H2995" s="2"/>
      <c r="I2995" s="2"/>
      <c r="J2995" s="2"/>
      <c r="L2995" s="2" t="s">
        <v>2814</v>
      </c>
    </row>
    <row r="2996">
      <c r="A2996" s="8" t="s">
        <v>3343</v>
      </c>
      <c r="B2996" s="8" t="s">
        <v>3343</v>
      </c>
      <c r="C2996" s="2" t="s">
        <v>812</v>
      </c>
      <c r="D2996" s="2" t="s">
        <v>813</v>
      </c>
      <c r="E2996" s="6">
        <v>46118.44106481481</v>
      </c>
      <c r="F2996" s="3" t="s">
        <v>814</v>
      </c>
      <c r="G2996" s="2" t="s">
        <v>24</v>
      </c>
      <c r="H2996" s="2"/>
      <c r="I2996" s="2"/>
      <c r="J2996" s="2"/>
      <c r="L2996" s="2" t="s">
        <v>2814</v>
      </c>
    </row>
    <row r="2997">
      <c r="A2997" s="8" t="s">
        <v>3344</v>
      </c>
      <c r="B2997" s="8" t="s">
        <v>3344</v>
      </c>
      <c r="C2997" s="2" t="s">
        <v>786</v>
      </c>
      <c r="D2997" s="2" t="s">
        <v>787</v>
      </c>
      <c r="E2997" s="6">
        <v>46119.358298611114</v>
      </c>
      <c r="F2997" s="3" t="s">
        <v>788</v>
      </c>
      <c r="G2997" s="2" t="s">
        <v>24</v>
      </c>
      <c r="H2997" s="2"/>
      <c r="I2997" s="2"/>
      <c r="J2997" s="2"/>
      <c r="L2997" s="2" t="s">
        <v>2814</v>
      </c>
    </row>
    <row r="2998">
      <c r="A2998" s="8" t="s">
        <v>3345</v>
      </c>
      <c r="B2998" s="8" t="s">
        <v>3345</v>
      </c>
      <c r="C2998" s="2" t="s">
        <v>2913</v>
      </c>
      <c r="D2998" s="2" t="s">
        <v>2914</v>
      </c>
      <c r="E2998" s="6">
        <v>46119.360127314816</v>
      </c>
      <c r="F2998" s="3" t="s">
        <v>2915</v>
      </c>
      <c r="G2998" s="2" t="s">
        <v>16</v>
      </c>
      <c r="H2998" s="2"/>
      <c r="I2998" s="2" t="s">
        <v>395</v>
      </c>
      <c r="J2998" s="2"/>
      <c r="L2998" s="2" t="s">
        <v>2814</v>
      </c>
    </row>
    <row r="2999">
      <c r="A2999" s="8" t="s">
        <v>3346</v>
      </c>
      <c r="B2999" s="8" t="s">
        <v>3346</v>
      </c>
      <c r="C2999" s="2" t="s">
        <v>1889</v>
      </c>
      <c r="D2999" s="2" t="s">
        <v>1890</v>
      </c>
      <c r="E2999" s="6">
        <v>46119.360613425924</v>
      </c>
      <c r="F2999" s="3" t="s">
        <v>1891</v>
      </c>
      <c r="G2999" s="2" t="s">
        <v>24</v>
      </c>
      <c r="H2999" s="2"/>
      <c r="I2999" s="2"/>
      <c r="J2999" s="2"/>
      <c r="L2999" s="2" t="s">
        <v>2814</v>
      </c>
    </row>
    <row r="3000">
      <c r="A3000" s="8" t="s">
        <v>3347</v>
      </c>
      <c r="B3000" s="8" t="s">
        <v>3347</v>
      </c>
      <c r="C3000" s="2" t="s">
        <v>1889</v>
      </c>
      <c r="D3000" s="2" t="s">
        <v>1890</v>
      </c>
      <c r="E3000" s="6">
        <v>46119.36104166666</v>
      </c>
      <c r="F3000" s="3" t="s">
        <v>1891</v>
      </c>
      <c r="G3000" s="2" t="s">
        <v>24</v>
      </c>
      <c r="H3000" s="2"/>
      <c r="I3000" s="2"/>
      <c r="J3000" s="2"/>
      <c r="L3000" s="2" t="s">
        <v>2814</v>
      </c>
    </row>
    <row r="3001">
      <c r="A3001" s="8" t="s">
        <v>3348</v>
      </c>
      <c r="B3001" s="8" t="s">
        <v>3349</v>
      </c>
      <c r="C3001" s="2" t="s">
        <v>55</v>
      </c>
      <c r="D3001" s="2" t="s">
        <v>56</v>
      </c>
      <c r="E3001" s="6">
        <v>46119.361354166664</v>
      </c>
      <c r="F3001" s="3" t="s">
        <v>57</v>
      </c>
      <c r="G3001" s="2" t="s">
        <v>24</v>
      </c>
      <c r="H3001" s="2"/>
      <c r="I3001" s="2"/>
      <c r="J3001" s="2"/>
      <c r="L3001" s="2" t="s">
        <v>2814</v>
      </c>
    </row>
    <row r="3002">
      <c r="A3002" s="8" t="s">
        <v>3350</v>
      </c>
      <c r="B3002" s="8" t="s">
        <v>3350</v>
      </c>
      <c r="C3002" s="2" t="s">
        <v>1756</v>
      </c>
      <c r="D3002" s="2" t="s">
        <v>1757</v>
      </c>
      <c r="E3002" s="6">
        <v>46119.362916666665</v>
      </c>
      <c r="F3002" s="3" t="s">
        <v>1758</v>
      </c>
      <c r="G3002" s="2" t="s">
        <v>24</v>
      </c>
      <c r="H3002" s="2"/>
      <c r="I3002" s="2"/>
      <c r="J3002" s="2"/>
      <c r="L3002" s="2" t="s">
        <v>2814</v>
      </c>
    </row>
    <row r="3003">
      <c r="A3003" s="8" t="s">
        <v>3351</v>
      </c>
      <c r="B3003" s="8" t="s">
        <v>3351</v>
      </c>
      <c r="C3003" s="2" t="s">
        <v>786</v>
      </c>
      <c r="D3003" s="2" t="s">
        <v>787</v>
      </c>
      <c r="E3003" s="6">
        <v>46119.36620370371</v>
      </c>
      <c r="F3003" s="3" t="s">
        <v>788</v>
      </c>
      <c r="G3003" s="2" t="s">
        <v>16</v>
      </c>
      <c r="H3003" s="2"/>
      <c r="I3003" s="2" t="s">
        <v>17</v>
      </c>
      <c r="J3003" s="2"/>
      <c r="L3003" s="2" t="s">
        <v>2814</v>
      </c>
    </row>
    <row r="3004">
      <c r="A3004" s="8" t="s">
        <v>3352</v>
      </c>
      <c r="B3004" s="8" t="s">
        <v>3352</v>
      </c>
      <c r="C3004" s="2" t="s">
        <v>2686</v>
      </c>
      <c r="D3004" s="2" t="s">
        <v>2687</v>
      </c>
      <c r="E3004" s="6">
        <v>46119.367372685185</v>
      </c>
      <c r="F3004" s="3" t="s">
        <v>2688</v>
      </c>
      <c r="G3004" s="2" t="s">
        <v>16</v>
      </c>
      <c r="H3004" s="2"/>
      <c r="I3004" s="2"/>
      <c r="J3004" s="2"/>
      <c r="L3004" s="2" t="s">
        <v>2814</v>
      </c>
    </row>
    <row r="3005">
      <c r="A3005" s="8" t="s">
        <v>3353</v>
      </c>
      <c r="B3005" s="8" t="s">
        <v>3353</v>
      </c>
      <c r="C3005" s="2" t="s">
        <v>1975</v>
      </c>
      <c r="D3005" s="2" t="s">
        <v>1976</v>
      </c>
      <c r="E3005" s="6">
        <v>46119.39098379629</v>
      </c>
      <c r="F3005" s="3" t="s">
        <v>1977</v>
      </c>
      <c r="G3005" s="2" t="s">
        <v>16</v>
      </c>
      <c r="H3005" s="2"/>
      <c r="I3005" s="2"/>
      <c r="J3005" s="2"/>
      <c r="L3005" s="2" t="s">
        <v>2814</v>
      </c>
    </row>
    <row r="3006">
      <c r="A3006" s="8" t="s">
        <v>3354</v>
      </c>
      <c r="B3006" s="8" t="s">
        <v>3354</v>
      </c>
      <c r="C3006" s="2" t="s">
        <v>951</v>
      </c>
      <c r="D3006" s="2" t="s">
        <v>952</v>
      </c>
      <c r="E3006" s="6">
        <v>46119.39189814815</v>
      </c>
      <c r="F3006" s="3" t="s">
        <v>953</v>
      </c>
      <c r="G3006" s="2" t="s">
        <v>16</v>
      </c>
      <c r="H3006" s="2"/>
      <c r="I3006" s="2"/>
      <c r="J3006" s="2"/>
      <c r="L3006" s="2" t="s">
        <v>2814</v>
      </c>
    </row>
    <row r="3007">
      <c r="A3007" s="8" t="s">
        <v>3355</v>
      </c>
      <c r="B3007" s="8" t="s">
        <v>3355</v>
      </c>
      <c r="C3007" s="2" t="s">
        <v>326</v>
      </c>
      <c r="D3007" s="2" t="s">
        <v>327</v>
      </c>
      <c r="E3007" s="6">
        <v>46119.52309027778</v>
      </c>
      <c r="F3007" s="3" t="s">
        <v>328</v>
      </c>
      <c r="G3007" s="2" t="s">
        <v>16</v>
      </c>
      <c r="H3007" s="2"/>
      <c r="I3007" s="2" t="s">
        <v>395</v>
      </c>
      <c r="J3007" s="2"/>
      <c r="L3007" s="2" t="s">
        <v>2814</v>
      </c>
    </row>
    <row r="3008">
      <c r="A3008" s="8" t="s">
        <v>3356</v>
      </c>
      <c r="B3008" s="8" t="s">
        <v>3356</v>
      </c>
      <c r="C3008" s="2" t="s">
        <v>1975</v>
      </c>
      <c r="D3008" s="2" t="s">
        <v>1976</v>
      </c>
      <c r="E3008" s="6">
        <v>46119.560949074075</v>
      </c>
      <c r="F3008" s="3" t="s">
        <v>1977</v>
      </c>
      <c r="G3008" s="2" t="s">
        <v>24</v>
      </c>
      <c r="H3008" s="2"/>
      <c r="I3008" s="2"/>
      <c r="J3008" s="2"/>
      <c r="L3008" s="2" t="s">
        <v>2814</v>
      </c>
    </row>
    <row r="3009">
      <c r="A3009" s="8" t="s">
        <v>3357</v>
      </c>
      <c r="B3009" s="8" t="s">
        <v>3357</v>
      </c>
      <c r="C3009" s="2" t="s">
        <v>1084</v>
      </c>
      <c r="D3009" s="2" t="s">
        <v>1085</v>
      </c>
      <c r="E3009" s="6">
        <v>46119.5624537037</v>
      </c>
      <c r="F3009" s="3" t="s">
        <v>1086</v>
      </c>
      <c r="G3009" s="2" t="s">
        <v>24</v>
      </c>
      <c r="H3009" s="2"/>
      <c r="I3009" s="2"/>
      <c r="J3009" s="2"/>
      <c r="L3009" s="2" t="s">
        <v>2814</v>
      </c>
    </row>
    <row r="3010">
      <c r="A3010" s="8" t="s">
        <v>3358</v>
      </c>
      <c r="B3010" s="8" t="s">
        <v>3358</v>
      </c>
      <c r="C3010" s="2" t="s">
        <v>951</v>
      </c>
      <c r="D3010" s="2" t="s">
        <v>952</v>
      </c>
      <c r="E3010" s="6">
        <v>46119.56344907408</v>
      </c>
      <c r="F3010" s="3" t="s">
        <v>953</v>
      </c>
      <c r="G3010" s="2" t="s">
        <v>24</v>
      </c>
      <c r="H3010" s="2"/>
      <c r="I3010" s="2"/>
      <c r="J3010" s="2"/>
      <c r="L3010" s="2" t="s">
        <v>2814</v>
      </c>
    </row>
    <row r="3011">
      <c r="A3011" s="8" t="s">
        <v>3359</v>
      </c>
      <c r="B3011" s="8" t="s">
        <v>3359</v>
      </c>
      <c r="C3011" s="2" t="s">
        <v>2686</v>
      </c>
      <c r="D3011" s="2" t="s">
        <v>2687</v>
      </c>
      <c r="E3011" s="6">
        <v>46119.56412037037</v>
      </c>
      <c r="F3011" s="3" t="s">
        <v>2688</v>
      </c>
      <c r="G3011" s="2" t="s">
        <v>24</v>
      </c>
      <c r="H3011" s="2"/>
      <c r="I3011" s="2"/>
      <c r="J3011" s="2"/>
      <c r="L3011" s="2" t="s">
        <v>2814</v>
      </c>
    </row>
    <row r="3012">
      <c r="A3012" s="8" t="s">
        <v>3360</v>
      </c>
      <c r="B3012" s="8" t="s">
        <v>3360</v>
      </c>
      <c r="C3012" s="2" t="s">
        <v>2577</v>
      </c>
      <c r="D3012" s="2" t="s">
        <v>2578</v>
      </c>
      <c r="E3012" s="6">
        <v>46119.60967592592</v>
      </c>
      <c r="F3012" s="3" t="s">
        <v>2579</v>
      </c>
      <c r="G3012" s="2" t="s">
        <v>24</v>
      </c>
      <c r="H3012" s="2"/>
      <c r="I3012" s="2"/>
      <c r="J3012" s="2"/>
      <c r="L3012" s="2" t="s">
        <v>2814</v>
      </c>
    </row>
    <row r="3013">
      <c r="A3013" s="8" t="s">
        <v>3361</v>
      </c>
      <c r="B3013" s="8" t="s">
        <v>3361</v>
      </c>
      <c r="C3013" s="2" t="s">
        <v>786</v>
      </c>
      <c r="D3013" s="2" t="s">
        <v>787</v>
      </c>
      <c r="E3013" s="6">
        <v>46119.61032407408</v>
      </c>
      <c r="F3013" s="3" t="s">
        <v>788</v>
      </c>
      <c r="G3013" s="2" t="s">
        <v>24</v>
      </c>
      <c r="H3013" s="2"/>
      <c r="I3013" s="2"/>
      <c r="J3013" s="2"/>
      <c r="L3013" s="2" t="s">
        <v>2814</v>
      </c>
    </row>
    <row r="3014">
      <c r="A3014" s="8" t="s">
        <v>3362</v>
      </c>
      <c r="B3014" s="8" t="s">
        <v>3362</v>
      </c>
      <c r="C3014" s="2" t="s">
        <v>326</v>
      </c>
      <c r="D3014" s="2" t="s">
        <v>327</v>
      </c>
      <c r="E3014" s="6">
        <v>46119.67454861111</v>
      </c>
      <c r="F3014" s="3" t="s">
        <v>328</v>
      </c>
      <c r="G3014" s="2" t="s">
        <v>24</v>
      </c>
      <c r="H3014" s="2"/>
      <c r="I3014" s="2"/>
      <c r="J3014" s="2"/>
      <c r="L3014" s="2" t="s">
        <v>2814</v>
      </c>
    </row>
    <row r="3015">
      <c r="A3015" s="8" t="s">
        <v>3363</v>
      </c>
      <c r="B3015" s="8" t="s">
        <v>3363</v>
      </c>
      <c r="C3015" s="2" t="s">
        <v>1993</v>
      </c>
      <c r="D3015" s="2" t="s">
        <v>1994</v>
      </c>
      <c r="E3015" s="6">
        <v>46119.67502314815</v>
      </c>
      <c r="F3015" s="3" t="s">
        <v>1995</v>
      </c>
      <c r="G3015" s="2" t="s">
        <v>24</v>
      </c>
      <c r="H3015" s="2"/>
      <c r="I3015" s="2"/>
      <c r="J3015" s="2"/>
      <c r="L3015" s="2" t="s">
        <v>2814</v>
      </c>
    </row>
    <row r="3016">
      <c r="A3016" s="8" t="s">
        <v>3364</v>
      </c>
      <c r="B3016" s="8" t="s">
        <v>3364</v>
      </c>
      <c r="C3016" s="2" t="s">
        <v>2543</v>
      </c>
      <c r="D3016" s="2" t="s">
        <v>2544</v>
      </c>
      <c r="E3016" s="6">
        <v>46120.351064814815</v>
      </c>
      <c r="F3016" s="3" t="s">
        <v>2545</v>
      </c>
      <c r="G3016" s="2" t="s">
        <v>16</v>
      </c>
      <c r="H3016" s="2"/>
      <c r="I3016" s="2" t="s">
        <v>17</v>
      </c>
      <c r="J3016" s="2"/>
      <c r="L3016" s="2" t="s">
        <v>2814</v>
      </c>
    </row>
    <row r="3017">
      <c r="A3017" s="8" t="s">
        <v>3365</v>
      </c>
      <c r="B3017" s="8" t="s">
        <v>3365</v>
      </c>
      <c r="C3017" s="2" t="s">
        <v>786</v>
      </c>
      <c r="D3017" s="2" t="s">
        <v>787</v>
      </c>
      <c r="E3017" s="6">
        <v>46120.35475694444</v>
      </c>
      <c r="F3017" s="3" t="s">
        <v>788</v>
      </c>
      <c r="G3017" s="2" t="s">
        <v>16</v>
      </c>
      <c r="H3017" s="2"/>
      <c r="I3017" s="2" t="s">
        <v>17</v>
      </c>
      <c r="J3017" s="2"/>
      <c r="L3017" s="2" t="s">
        <v>2814</v>
      </c>
    </row>
    <row r="3018">
      <c r="A3018" s="8" t="s">
        <v>3366</v>
      </c>
      <c r="B3018" s="8" t="s">
        <v>3366</v>
      </c>
      <c r="C3018" s="2" t="s">
        <v>1963</v>
      </c>
      <c r="D3018" s="2" t="s">
        <v>1964</v>
      </c>
      <c r="E3018" s="6">
        <v>46120.358136574076</v>
      </c>
      <c r="F3018" s="3" t="s">
        <v>1965</v>
      </c>
      <c r="G3018" s="2" t="s">
        <v>16</v>
      </c>
      <c r="H3018" s="2"/>
      <c r="I3018" s="2" t="s">
        <v>395</v>
      </c>
      <c r="J3018" s="2"/>
      <c r="L3018" s="2" t="s">
        <v>2814</v>
      </c>
    </row>
    <row r="3019">
      <c r="A3019" s="8" t="s">
        <v>3367</v>
      </c>
      <c r="B3019" s="8" t="s">
        <v>3367</v>
      </c>
      <c r="C3019" s="2" t="s">
        <v>2081</v>
      </c>
      <c r="D3019" s="2" t="s">
        <v>2082</v>
      </c>
      <c r="E3019" s="6">
        <v>46120.361608796295</v>
      </c>
      <c r="F3019" s="3" t="s">
        <v>2083</v>
      </c>
      <c r="G3019" s="2" t="s">
        <v>16</v>
      </c>
      <c r="H3019" s="2"/>
      <c r="I3019" s="2"/>
      <c r="J3019" s="2"/>
      <c r="L3019" s="2" t="s">
        <v>2814</v>
      </c>
    </row>
    <row r="3020">
      <c r="A3020" s="8" t="s">
        <v>3368</v>
      </c>
      <c r="B3020" s="8" t="s">
        <v>3368</v>
      </c>
      <c r="C3020" s="2" t="s">
        <v>943</v>
      </c>
      <c r="D3020" s="2" t="s">
        <v>944</v>
      </c>
      <c r="E3020" s="6">
        <v>46120.361979166664</v>
      </c>
      <c r="F3020" s="3" t="s">
        <v>945</v>
      </c>
      <c r="G3020" s="2" t="s">
        <v>16</v>
      </c>
      <c r="H3020" s="2"/>
      <c r="I3020" s="2" t="s">
        <v>395</v>
      </c>
      <c r="J3020" s="2"/>
      <c r="L3020" s="2" t="s">
        <v>2814</v>
      </c>
    </row>
    <row r="3021">
      <c r="A3021" s="8" t="s">
        <v>3369</v>
      </c>
      <c r="B3021" s="8" t="s">
        <v>3369</v>
      </c>
      <c r="C3021" s="2" t="s">
        <v>1993</v>
      </c>
      <c r="D3021" s="2" t="s">
        <v>1994</v>
      </c>
      <c r="E3021" s="6">
        <v>46120.36988425926</v>
      </c>
      <c r="F3021" s="3" t="s">
        <v>1995</v>
      </c>
      <c r="G3021" s="2" t="s">
        <v>16</v>
      </c>
      <c r="H3021" s="2"/>
      <c r="I3021" s="2"/>
      <c r="J3021" s="2"/>
      <c r="L3021" s="2" t="s">
        <v>2814</v>
      </c>
    </row>
    <row r="3022">
      <c r="A3022" s="8" t="s">
        <v>3370</v>
      </c>
      <c r="B3022" s="8" t="s">
        <v>3370</v>
      </c>
      <c r="C3022" s="2" t="s">
        <v>1618</v>
      </c>
      <c r="D3022" s="2" t="s">
        <v>1619</v>
      </c>
      <c r="E3022" s="6">
        <v>46120.4969212963</v>
      </c>
      <c r="F3022" s="3" t="s">
        <v>1620</v>
      </c>
      <c r="G3022" s="2" t="s">
        <v>16</v>
      </c>
      <c r="H3022" s="2"/>
      <c r="I3022" s="2"/>
      <c r="J3022" s="2"/>
      <c r="L3022" s="2" t="s">
        <v>2814</v>
      </c>
    </row>
    <row r="3023">
      <c r="A3023" s="8" t="s">
        <v>3371</v>
      </c>
      <c r="B3023" s="8" t="s">
        <v>3371</v>
      </c>
      <c r="C3023" s="2" t="s">
        <v>786</v>
      </c>
      <c r="D3023" s="2" t="s">
        <v>787</v>
      </c>
      <c r="E3023" s="6">
        <v>46120.49753472222</v>
      </c>
      <c r="F3023" s="3" t="s">
        <v>788</v>
      </c>
      <c r="G3023" s="2" t="s">
        <v>24</v>
      </c>
      <c r="H3023" s="2"/>
      <c r="I3023" s="2"/>
      <c r="J3023" s="2"/>
      <c r="L3023" s="2" t="s">
        <v>2814</v>
      </c>
    </row>
    <row r="3024">
      <c r="A3024" s="8" t="s">
        <v>3372</v>
      </c>
      <c r="B3024" s="8" t="s">
        <v>3372</v>
      </c>
      <c r="C3024" s="2" t="s">
        <v>2543</v>
      </c>
      <c r="D3024" s="2" t="s">
        <v>2544</v>
      </c>
      <c r="E3024" s="6">
        <v>46120.498344907406</v>
      </c>
      <c r="F3024" s="3" t="s">
        <v>2545</v>
      </c>
      <c r="G3024" s="2" t="s">
        <v>24</v>
      </c>
      <c r="H3024" s="2"/>
      <c r="I3024" s="2"/>
      <c r="J3024" s="2"/>
      <c r="L3024" s="2" t="s">
        <v>2814</v>
      </c>
    </row>
    <row r="3025">
      <c r="A3025" s="8" t="s">
        <v>3373</v>
      </c>
      <c r="B3025" s="8" t="s">
        <v>3373</v>
      </c>
      <c r="C3025" s="2" t="s">
        <v>885</v>
      </c>
      <c r="D3025" s="2" t="s">
        <v>886</v>
      </c>
      <c r="E3025" s="6">
        <v>46120.49905092592</v>
      </c>
      <c r="F3025" s="3" t="s">
        <v>887</v>
      </c>
      <c r="G3025" s="2" t="s">
        <v>16</v>
      </c>
      <c r="H3025" s="2"/>
      <c r="I3025" s="2" t="s">
        <v>17</v>
      </c>
      <c r="J3025" s="2"/>
      <c r="L3025" s="2" t="s">
        <v>2814</v>
      </c>
    </row>
    <row r="3026">
      <c r="A3026" s="8" t="s">
        <v>3374</v>
      </c>
      <c r="B3026" s="8" t="s">
        <v>3374</v>
      </c>
      <c r="C3026" s="2" t="s">
        <v>943</v>
      </c>
      <c r="D3026" s="2" t="s">
        <v>944</v>
      </c>
      <c r="E3026" s="6">
        <v>46120.62568287037</v>
      </c>
      <c r="F3026" s="3" t="s">
        <v>945</v>
      </c>
      <c r="G3026" s="2" t="s">
        <v>24</v>
      </c>
      <c r="H3026" s="2"/>
      <c r="I3026" s="2"/>
      <c r="J3026" s="2"/>
      <c r="L3026" s="2" t="s">
        <v>2814</v>
      </c>
    </row>
    <row r="3027">
      <c r="A3027" s="8" t="s">
        <v>3375</v>
      </c>
      <c r="B3027" s="8" t="s">
        <v>3375</v>
      </c>
      <c r="C3027" s="2" t="s">
        <v>2081</v>
      </c>
      <c r="D3027" s="2" t="s">
        <v>2082</v>
      </c>
      <c r="E3027" s="6">
        <v>46120.62604166667</v>
      </c>
      <c r="F3027" s="3" t="s">
        <v>2083</v>
      </c>
      <c r="G3027" s="2" t="s">
        <v>24</v>
      </c>
      <c r="H3027" s="2"/>
      <c r="I3027" s="2"/>
      <c r="J3027" s="2"/>
      <c r="L3027" s="2" t="s">
        <v>2814</v>
      </c>
    </row>
    <row r="3028">
      <c r="A3028" s="8" t="s">
        <v>3376</v>
      </c>
      <c r="B3028" s="8" t="s">
        <v>3376</v>
      </c>
      <c r="C3028" s="2" t="s">
        <v>1228</v>
      </c>
      <c r="D3028" s="2" t="s">
        <v>1229</v>
      </c>
      <c r="E3028" s="6">
        <v>46120.62633101852</v>
      </c>
      <c r="F3028" s="3" t="s">
        <v>1230</v>
      </c>
      <c r="G3028" s="2" t="s">
        <v>24</v>
      </c>
      <c r="H3028" s="2"/>
      <c r="I3028" s="2"/>
      <c r="J3028" s="2"/>
      <c r="L3028" s="2" t="s">
        <v>2814</v>
      </c>
    </row>
    <row r="3029">
      <c r="A3029" s="8" t="s">
        <v>3377</v>
      </c>
      <c r="B3029" s="8" t="s">
        <v>3377</v>
      </c>
      <c r="C3029" s="2" t="s">
        <v>2640</v>
      </c>
      <c r="D3029" s="2" t="s">
        <v>2641</v>
      </c>
      <c r="E3029" s="6">
        <v>46120.62761574074</v>
      </c>
      <c r="F3029" s="3" t="s">
        <v>2642</v>
      </c>
      <c r="G3029" s="2" t="s">
        <v>24</v>
      </c>
      <c r="H3029" s="2"/>
      <c r="I3029" s="2"/>
      <c r="J3029" s="2"/>
      <c r="L3029" s="2" t="s">
        <v>2814</v>
      </c>
    </row>
    <row r="3030">
      <c r="A3030" s="8" t="s">
        <v>3378</v>
      </c>
      <c r="B3030" s="8" t="s">
        <v>3378</v>
      </c>
      <c r="C3030" s="2" t="s">
        <v>2503</v>
      </c>
      <c r="D3030" s="2" t="s">
        <v>2504</v>
      </c>
      <c r="E3030" s="6">
        <v>46120.64890046296</v>
      </c>
      <c r="F3030" s="3" t="s">
        <v>2505</v>
      </c>
      <c r="G3030" s="2" t="s">
        <v>24</v>
      </c>
      <c r="H3030" s="2"/>
      <c r="I3030" s="2"/>
      <c r="J3030" s="2"/>
      <c r="L3030" s="2" t="s">
        <v>2814</v>
      </c>
    </row>
    <row r="3031">
      <c r="A3031" s="8" t="s">
        <v>3379</v>
      </c>
      <c r="B3031" s="8" t="s">
        <v>3379</v>
      </c>
      <c r="C3031" s="2" t="s">
        <v>885</v>
      </c>
      <c r="D3031" s="2" t="s">
        <v>886</v>
      </c>
      <c r="E3031" s="6">
        <v>46120.668854166666</v>
      </c>
      <c r="F3031" s="3" t="s">
        <v>887</v>
      </c>
      <c r="G3031" s="2" t="s">
        <v>24</v>
      </c>
      <c r="H3031" s="2"/>
      <c r="I3031" s="2"/>
      <c r="J3031" s="2"/>
      <c r="L3031" s="2" t="s">
        <v>2814</v>
      </c>
    </row>
    <row r="3032">
      <c r="A3032" s="8" t="s">
        <v>3380</v>
      </c>
      <c r="B3032" s="8" t="s">
        <v>3380</v>
      </c>
      <c r="C3032" s="2" t="s">
        <v>320</v>
      </c>
      <c r="D3032" s="2" t="s">
        <v>321</v>
      </c>
      <c r="E3032" s="6">
        <v>46120.66931712963</v>
      </c>
      <c r="F3032" s="3" t="s">
        <v>322</v>
      </c>
      <c r="G3032" s="2" t="s">
        <v>24</v>
      </c>
      <c r="H3032" s="2"/>
      <c r="I3032" s="2"/>
      <c r="J3032" s="2"/>
      <c r="L3032" s="2" t="s">
        <v>2814</v>
      </c>
    </row>
    <row r="3033">
      <c r="A3033" s="8" t="s">
        <v>3381</v>
      </c>
      <c r="B3033" s="8" t="s">
        <v>3381</v>
      </c>
      <c r="C3033" s="2" t="s">
        <v>1618</v>
      </c>
      <c r="D3033" s="2" t="s">
        <v>1619</v>
      </c>
      <c r="E3033" s="6">
        <v>46120.66972222222</v>
      </c>
      <c r="F3033" s="3" t="s">
        <v>1620</v>
      </c>
      <c r="G3033" s="2" t="s">
        <v>24</v>
      </c>
      <c r="H3033" s="2"/>
      <c r="I3033" s="2"/>
      <c r="J3033" s="2"/>
      <c r="L3033" s="2" t="s">
        <v>2814</v>
      </c>
    </row>
    <row r="3034">
      <c r="A3034" s="8" t="s">
        <v>3382</v>
      </c>
      <c r="B3034" s="8" t="s">
        <v>3382</v>
      </c>
      <c r="C3034" s="2" t="s">
        <v>131</v>
      </c>
      <c r="D3034" s="2" t="s">
        <v>132</v>
      </c>
      <c r="E3034" s="6">
        <v>46120.67042824074</v>
      </c>
      <c r="F3034" s="3" t="s">
        <v>133</v>
      </c>
      <c r="G3034" s="2" t="s">
        <v>24</v>
      </c>
      <c r="H3034" s="2"/>
      <c r="I3034" s="2"/>
      <c r="J3034" s="2"/>
      <c r="L3034" s="2" t="s">
        <v>2814</v>
      </c>
    </row>
    <row r="3035">
      <c r="A3035" s="8" t="s">
        <v>3383</v>
      </c>
      <c r="B3035" s="8" t="s">
        <v>3383</v>
      </c>
      <c r="C3035" s="2" t="s">
        <v>320</v>
      </c>
      <c r="D3035" s="2" t="s">
        <v>321</v>
      </c>
      <c r="E3035" s="6">
        <v>46121.36016203704</v>
      </c>
      <c r="F3035" s="3" t="s">
        <v>322</v>
      </c>
      <c r="G3035" s="2" t="s">
        <v>16</v>
      </c>
      <c r="H3035" s="2"/>
      <c r="I3035" s="2" t="s">
        <v>17</v>
      </c>
      <c r="J3035" s="2"/>
      <c r="L3035" s="2" t="s">
        <v>2814</v>
      </c>
    </row>
    <row r="3036">
      <c r="A3036" s="8" t="s">
        <v>3384</v>
      </c>
      <c r="B3036" s="8" t="s">
        <v>3384</v>
      </c>
      <c r="C3036" s="2" t="s">
        <v>2081</v>
      </c>
      <c r="D3036" s="2" t="s">
        <v>2082</v>
      </c>
      <c r="E3036" s="6">
        <v>46121.38113425926</v>
      </c>
      <c r="F3036" s="3" t="s">
        <v>2083</v>
      </c>
      <c r="G3036" s="2" t="s">
        <v>16</v>
      </c>
      <c r="H3036" s="2"/>
      <c r="I3036" s="2"/>
      <c r="J3036" s="2"/>
      <c r="L3036" s="2" t="s">
        <v>2814</v>
      </c>
    </row>
    <row r="3037">
      <c r="A3037" s="8" t="s">
        <v>3385</v>
      </c>
      <c r="B3037" s="8" t="s">
        <v>3385</v>
      </c>
      <c r="C3037" s="2" t="s">
        <v>1084</v>
      </c>
      <c r="D3037" s="2" t="s">
        <v>1085</v>
      </c>
      <c r="E3037" s="6">
        <v>46121.38958333333</v>
      </c>
      <c r="F3037" s="3" t="s">
        <v>1086</v>
      </c>
      <c r="G3037" s="2" t="s">
        <v>16</v>
      </c>
      <c r="H3037" s="2"/>
      <c r="I3037" s="2"/>
      <c r="J3037" s="2"/>
      <c r="L3037" s="2" t="s">
        <v>2814</v>
      </c>
    </row>
    <row r="3038">
      <c r="A3038" s="8" t="s">
        <v>3386</v>
      </c>
      <c r="B3038" s="8" t="s">
        <v>3386</v>
      </c>
      <c r="C3038" s="2" t="s">
        <v>2005</v>
      </c>
      <c r="D3038" s="2" t="s">
        <v>2006</v>
      </c>
      <c r="E3038" s="6">
        <v>46121.39466435185</v>
      </c>
      <c r="F3038" s="3" t="s">
        <v>2007</v>
      </c>
      <c r="G3038" s="2" t="s">
        <v>16</v>
      </c>
      <c r="H3038" s="2"/>
      <c r="I3038" s="2" t="s">
        <v>17</v>
      </c>
      <c r="J3038" s="2"/>
      <c r="L3038" s="2" t="s">
        <v>2814</v>
      </c>
    </row>
    <row r="3039">
      <c r="A3039" s="8" t="s">
        <v>3387</v>
      </c>
      <c r="B3039" s="8" t="s">
        <v>3387</v>
      </c>
      <c r="C3039" s="2" t="s">
        <v>2005</v>
      </c>
      <c r="D3039" s="2" t="s">
        <v>2006</v>
      </c>
      <c r="E3039" s="6">
        <v>46121.5628125</v>
      </c>
      <c r="F3039" s="3" t="s">
        <v>2007</v>
      </c>
      <c r="G3039" s="2" t="s">
        <v>24</v>
      </c>
      <c r="H3039" s="2"/>
      <c r="I3039" s="2"/>
      <c r="J3039" s="2"/>
      <c r="L3039" s="2" t="s">
        <v>2814</v>
      </c>
    </row>
    <row r="3040">
      <c r="A3040" s="8" t="s">
        <v>3388</v>
      </c>
      <c r="B3040" s="8" t="s">
        <v>3388</v>
      </c>
      <c r="C3040" s="2" t="s">
        <v>2913</v>
      </c>
      <c r="D3040" s="2" t="s">
        <v>2914</v>
      </c>
      <c r="E3040" s="6">
        <v>46121.5646875</v>
      </c>
      <c r="F3040" s="3" t="s">
        <v>2915</v>
      </c>
      <c r="G3040" s="2" t="s">
        <v>24</v>
      </c>
      <c r="H3040" s="2"/>
      <c r="I3040" s="2"/>
      <c r="J3040" s="2"/>
      <c r="L3040" s="2" t="s">
        <v>2814</v>
      </c>
    </row>
    <row r="3041">
      <c r="A3041" s="8" t="s">
        <v>3389</v>
      </c>
      <c r="B3041" s="8" t="s">
        <v>3389</v>
      </c>
      <c r="C3041" s="2" t="s">
        <v>1084</v>
      </c>
      <c r="D3041" s="2" t="s">
        <v>1085</v>
      </c>
      <c r="E3041" s="6">
        <v>46121.56539351852</v>
      </c>
      <c r="F3041" s="3" t="s">
        <v>1086</v>
      </c>
      <c r="G3041" s="2" t="s">
        <v>24</v>
      </c>
      <c r="H3041" s="2"/>
      <c r="I3041" s="2"/>
      <c r="J3041" s="2"/>
      <c r="L3041" s="2" t="s">
        <v>2814</v>
      </c>
    </row>
    <row r="3042">
      <c r="A3042" s="8" t="s">
        <v>3390</v>
      </c>
      <c r="B3042" s="8" t="s">
        <v>3390</v>
      </c>
      <c r="C3042" s="2" t="s">
        <v>2543</v>
      </c>
      <c r="D3042" s="2" t="s">
        <v>2544</v>
      </c>
      <c r="E3042" s="6">
        <v>46121.5700462963</v>
      </c>
      <c r="F3042" s="3" t="s">
        <v>2545</v>
      </c>
      <c r="G3042" s="2" t="s">
        <v>16</v>
      </c>
      <c r="H3042" s="2"/>
      <c r="I3042" s="2"/>
      <c r="J3042" s="2"/>
      <c r="L3042" s="2" t="s">
        <v>2814</v>
      </c>
    </row>
    <row r="3043">
      <c r="A3043" s="8" t="s">
        <v>3391</v>
      </c>
      <c r="B3043" s="8" t="s">
        <v>3391</v>
      </c>
      <c r="C3043" s="2" t="s">
        <v>2543</v>
      </c>
      <c r="D3043" s="2" t="s">
        <v>2544</v>
      </c>
      <c r="E3043" s="6">
        <v>46122.35650462963</v>
      </c>
      <c r="F3043" s="3" t="s">
        <v>2545</v>
      </c>
      <c r="G3043" s="2" t="s">
        <v>24</v>
      </c>
      <c r="H3043" s="2"/>
      <c r="I3043" s="2"/>
      <c r="J3043" s="2"/>
      <c r="L3043" s="2" t="s">
        <v>2814</v>
      </c>
    </row>
    <row r="3044">
      <c r="A3044" s="8" t="s">
        <v>3392</v>
      </c>
      <c r="B3044" s="8" t="s">
        <v>3392</v>
      </c>
      <c r="C3044" s="2" t="s">
        <v>786</v>
      </c>
      <c r="D3044" s="2" t="s">
        <v>787</v>
      </c>
      <c r="E3044" s="6">
        <v>46122.364224537036</v>
      </c>
      <c r="F3044" s="3" t="s">
        <v>788</v>
      </c>
      <c r="G3044" s="2" t="s">
        <v>16</v>
      </c>
      <c r="H3044" s="2"/>
      <c r="I3044" s="2" t="s">
        <v>17</v>
      </c>
      <c r="J3044" s="2"/>
      <c r="L3044" s="2" t="s">
        <v>2814</v>
      </c>
    </row>
    <row r="3045">
      <c r="A3045" s="8" t="s">
        <v>3393</v>
      </c>
      <c r="B3045" s="8" t="s">
        <v>3393</v>
      </c>
      <c r="C3045" s="2" t="s">
        <v>1228</v>
      </c>
      <c r="D3045" s="2" t="s">
        <v>1229</v>
      </c>
      <c r="E3045" s="6">
        <v>46122.54613425926</v>
      </c>
      <c r="F3045" s="3" t="s">
        <v>1230</v>
      </c>
      <c r="G3045" s="2" t="s">
        <v>16</v>
      </c>
      <c r="H3045" s="2"/>
      <c r="I3045" s="2"/>
      <c r="J3045" s="2"/>
      <c r="L3045" s="2" t="s">
        <v>2814</v>
      </c>
    </row>
    <row r="3046">
      <c r="A3046" s="8" t="s">
        <v>3394</v>
      </c>
      <c r="B3046" s="8" t="s">
        <v>3394</v>
      </c>
      <c r="C3046" s="2" t="s">
        <v>786</v>
      </c>
      <c r="D3046" s="2" t="s">
        <v>787</v>
      </c>
      <c r="E3046" s="6">
        <v>46122.58615740741</v>
      </c>
      <c r="F3046" s="3" t="s">
        <v>788</v>
      </c>
      <c r="G3046" s="2" t="s">
        <v>24</v>
      </c>
      <c r="H3046" s="2"/>
      <c r="I3046" s="2"/>
      <c r="J3046" s="2"/>
      <c r="L3046" s="2" t="s">
        <v>2814</v>
      </c>
    </row>
    <row r="3047">
      <c r="A3047" s="8" t="s">
        <v>3395</v>
      </c>
      <c r="B3047" s="8" t="s">
        <v>3395</v>
      </c>
      <c r="C3047" s="2" t="s">
        <v>786</v>
      </c>
      <c r="D3047" s="2" t="s">
        <v>787</v>
      </c>
      <c r="E3047" s="6">
        <v>46123.37553240741</v>
      </c>
      <c r="F3047" s="3" t="s">
        <v>788</v>
      </c>
      <c r="G3047" s="2" t="s">
        <v>16</v>
      </c>
      <c r="H3047" s="2"/>
      <c r="I3047" s="2" t="s">
        <v>17</v>
      </c>
      <c r="J3047" s="2"/>
      <c r="L3047" s="2" t="s">
        <v>2814</v>
      </c>
    </row>
    <row r="3048">
      <c r="A3048" s="8" t="s">
        <v>3396</v>
      </c>
      <c r="B3048" s="8" t="s">
        <v>3396</v>
      </c>
      <c r="C3048" s="2" t="s">
        <v>1993</v>
      </c>
      <c r="D3048" s="2" t="s">
        <v>1994</v>
      </c>
      <c r="E3048" s="6">
        <v>46123.39258101852</v>
      </c>
      <c r="F3048" s="3" t="s">
        <v>1995</v>
      </c>
      <c r="G3048" s="2" t="s">
        <v>16</v>
      </c>
      <c r="H3048" s="2"/>
      <c r="I3048" s="2"/>
      <c r="J3048" s="2"/>
      <c r="L3048" s="2" t="s">
        <v>2814</v>
      </c>
    </row>
    <row r="3049">
      <c r="A3049" s="8" t="s">
        <v>3397</v>
      </c>
      <c r="B3049" s="8" t="s">
        <v>3397</v>
      </c>
      <c r="C3049" s="2" t="s">
        <v>131</v>
      </c>
      <c r="D3049" s="2" t="s">
        <v>132</v>
      </c>
      <c r="E3049" s="6">
        <v>46123.55792824074</v>
      </c>
      <c r="F3049" s="3" t="s">
        <v>133</v>
      </c>
      <c r="G3049" s="2" t="s">
        <v>16</v>
      </c>
      <c r="H3049" s="2"/>
      <c r="I3049" s="2" t="s">
        <v>17</v>
      </c>
      <c r="J3049" s="2"/>
      <c r="L3049" s="2" t="s">
        <v>2814</v>
      </c>
    </row>
    <row r="3050">
      <c r="A3050" s="8" t="s">
        <v>3398</v>
      </c>
      <c r="B3050" s="8" t="s">
        <v>3398</v>
      </c>
      <c r="C3050" s="2" t="s">
        <v>786</v>
      </c>
      <c r="D3050" s="2" t="s">
        <v>787</v>
      </c>
      <c r="E3050" s="6">
        <v>46123.55924768518</v>
      </c>
      <c r="F3050" s="3" t="s">
        <v>788</v>
      </c>
      <c r="G3050" s="2" t="s">
        <v>24</v>
      </c>
      <c r="H3050" s="2"/>
      <c r="I3050" s="2"/>
      <c r="J3050" s="2"/>
      <c r="L3050" s="2" t="s">
        <v>2814</v>
      </c>
    </row>
    <row r="3051">
      <c r="A3051" s="8" t="s">
        <v>3399</v>
      </c>
      <c r="B3051" s="8" t="s">
        <v>3399</v>
      </c>
      <c r="C3051" s="2" t="s">
        <v>1975</v>
      </c>
      <c r="D3051" s="2" t="s">
        <v>1976</v>
      </c>
      <c r="E3051" s="6">
        <v>46123.56076388889</v>
      </c>
      <c r="F3051" s="3" t="s">
        <v>1977</v>
      </c>
      <c r="G3051" s="2" t="s">
        <v>24</v>
      </c>
      <c r="H3051" s="2"/>
      <c r="I3051" s="2"/>
      <c r="J3051" s="2"/>
      <c r="L3051" s="2" t="s">
        <v>2814</v>
      </c>
    </row>
    <row r="3052">
      <c r="A3052" s="8" t="s">
        <v>3400</v>
      </c>
      <c r="B3052" s="8" t="s">
        <v>3400</v>
      </c>
      <c r="C3052" s="2" t="s">
        <v>131</v>
      </c>
      <c r="D3052" s="2" t="s">
        <v>132</v>
      </c>
      <c r="E3052" s="6">
        <v>46123.5624537037</v>
      </c>
      <c r="F3052" s="3" t="s">
        <v>133</v>
      </c>
      <c r="G3052" s="2" t="s">
        <v>24</v>
      </c>
      <c r="H3052" s="2"/>
      <c r="I3052" s="2"/>
      <c r="J3052" s="2"/>
      <c r="L3052" s="2" t="s">
        <v>2814</v>
      </c>
    </row>
    <row r="3053">
      <c r="A3053" s="8" t="s">
        <v>3401</v>
      </c>
      <c r="B3053" s="8" t="s">
        <v>3401</v>
      </c>
      <c r="C3053" s="2" t="s">
        <v>1993</v>
      </c>
      <c r="D3053" s="2" t="s">
        <v>1994</v>
      </c>
      <c r="E3053" s="6">
        <v>46123.56820601852</v>
      </c>
      <c r="F3053" s="3" t="s">
        <v>1995</v>
      </c>
      <c r="G3053" s="2" t="s">
        <v>24</v>
      </c>
      <c r="H3053" s="2"/>
      <c r="I3053" s="2"/>
      <c r="J3053" s="2"/>
      <c r="L3053" s="2" t="s">
        <v>2814</v>
      </c>
    </row>
    <row r="3054">
      <c r="A3054" s="8" t="s">
        <v>3402</v>
      </c>
      <c r="B3054" s="8" t="s">
        <v>3402</v>
      </c>
      <c r="C3054" s="2" t="s">
        <v>2913</v>
      </c>
      <c r="D3054" s="2" t="s">
        <v>2914</v>
      </c>
      <c r="E3054" s="6">
        <v>46123.570706018516</v>
      </c>
      <c r="F3054" s="3" t="s">
        <v>2915</v>
      </c>
      <c r="G3054" s="2" t="s">
        <v>24</v>
      </c>
      <c r="H3054" s="2"/>
      <c r="I3054" s="2"/>
      <c r="J3054" s="2"/>
      <c r="L3054" s="2" t="s">
        <v>2814</v>
      </c>
    </row>
    <row r="3055">
      <c r="A3055" s="8" t="s">
        <v>3403</v>
      </c>
      <c r="B3055" s="8" t="s">
        <v>3403</v>
      </c>
      <c r="C3055" s="2" t="s">
        <v>2005</v>
      </c>
      <c r="D3055" s="2" t="s">
        <v>2006</v>
      </c>
      <c r="E3055" s="6">
        <v>46123.57103009259</v>
      </c>
      <c r="F3055" s="3" t="s">
        <v>2007</v>
      </c>
      <c r="G3055" s="2" t="s">
        <v>24</v>
      </c>
      <c r="H3055" s="2"/>
      <c r="I3055" s="2"/>
      <c r="J3055" s="2"/>
      <c r="L3055" s="2" t="s">
        <v>2814</v>
      </c>
    </row>
    <row r="3056">
      <c r="A3056" s="8" t="s">
        <v>3404</v>
      </c>
      <c r="B3056" s="8" t="s">
        <v>3404</v>
      </c>
      <c r="C3056" s="2" t="s">
        <v>951</v>
      </c>
      <c r="D3056" s="2" t="s">
        <v>952</v>
      </c>
      <c r="E3056" s="6">
        <v>46123.571388888886</v>
      </c>
      <c r="F3056" s="3" t="s">
        <v>953</v>
      </c>
      <c r="G3056" s="2" t="s">
        <v>24</v>
      </c>
      <c r="H3056" s="2"/>
      <c r="I3056" s="2"/>
      <c r="J3056" s="2"/>
      <c r="L3056" s="2" t="s">
        <v>2814</v>
      </c>
    </row>
    <row r="3057">
      <c r="A3057" s="8" t="s">
        <v>3405</v>
      </c>
      <c r="B3057" s="8" t="s">
        <v>3405</v>
      </c>
      <c r="C3057" s="2" t="s">
        <v>786</v>
      </c>
      <c r="D3057" s="2" t="s">
        <v>787</v>
      </c>
      <c r="E3057" s="6">
        <v>46125.35922453704</v>
      </c>
      <c r="F3057" s="3" t="s">
        <v>788</v>
      </c>
      <c r="G3057" s="2" t="s">
        <v>16</v>
      </c>
      <c r="H3057" s="2"/>
      <c r="I3057" s="2" t="s">
        <v>17</v>
      </c>
      <c r="J3057" s="2"/>
      <c r="L3057" s="2" t="s">
        <v>2814</v>
      </c>
    </row>
    <row r="3058">
      <c r="A3058" s="8" t="s">
        <v>3406</v>
      </c>
      <c r="B3058" s="8" t="s">
        <v>3406</v>
      </c>
      <c r="C3058" s="2" t="s">
        <v>2913</v>
      </c>
      <c r="D3058" s="2" t="s">
        <v>2914</v>
      </c>
      <c r="E3058" s="6">
        <v>46125.360034722224</v>
      </c>
      <c r="F3058" s="3" t="s">
        <v>2915</v>
      </c>
      <c r="G3058" s="2" t="s">
        <v>16</v>
      </c>
      <c r="H3058" s="2"/>
      <c r="I3058" s="2" t="s">
        <v>17</v>
      </c>
      <c r="J3058" s="2"/>
      <c r="L3058" s="2" t="s">
        <v>2814</v>
      </c>
    </row>
    <row r="3059">
      <c r="A3059" s="8" t="s">
        <v>3407</v>
      </c>
      <c r="B3059" s="8" t="s">
        <v>3407</v>
      </c>
      <c r="C3059" s="2" t="s">
        <v>1975</v>
      </c>
      <c r="D3059" s="2" t="s">
        <v>1976</v>
      </c>
      <c r="E3059" s="6">
        <v>46125.36314814815</v>
      </c>
      <c r="F3059" s="3" t="s">
        <v>1977</v>
      </c>
      <c r="G3059" s="2" t="s">
        <v>16</v>
      </c>
      <c r="H3059" s="2"/>
      <c r="I3059" s="2"/>
      <c r="J3059" s="2"/>
      <c r="L3059" s="2" t="s">
        <v>2814</v>
      </c>
    </row>
    <row r="3060">
      <c r="A3060" s="8" t="s">
        <v>3408</v>
      </c>
      <c r="B3060" s="8" t="s">
        <v>3408</v>
      </c>
      <c r="C3060" s="2" t="s">
        <v>1963</v>
      </c>
      <c r="D3060" s="2" t="s">
        <v>1964</v>
      </c>
      <c r="E3060" s="6">
        <v>46125.36599537037</v>
      </c>
      <c r="F3060" s="3" t="s">
        <v>1965</v>
      </c>
      <c r="G3060" s="2" t="s">
        <v>16</v>
      </c>
      <c r="H3060" s="2"/>
      <c r="I3060" s="2" t="s">
        <v>395</v>
      </c>
      <c r="J3060" s="2"/>
      <c r="L3060" s="2" t="s">
        <v>2814</v>
      </c>
    </row>
    <row r="3061">
      <c r="A3061" s="8" t="s">
        <v>3409</v>
      </c>
      <c r="B3061" s="8" t="s">
        <v>3409</v>
      </c>
      <c r="C3061" s="2" t="s">
        <v>3298</v>
      </c>
      <c r="D3061" s="2" t="s">
        <v>3299</v>
      </c>
      <c r="E3061" s="6">
        <v>46125.4134375</v>
      </c>
      <c r="F3061" s="3" t="s">
        <v>3300</v>
      </c>
      <c r="G3061" s="2" t="s">
        <v>16</v>
      </c>
      <c r="H3061" s="2"/>
      <c r="I3061" s="2" t="s">
        <v>395</v>
      </c>
      <c r="J3061" s="2"/>
      <c r="L3061" s="2" t="s">
        <v>2814</v>
      </c>
    </row>
    <row r="3062">
      <c r="A3062" s="8" t="s">
        <v>3410</v>
      </c>
      <c r="B3062" s="8" t="s">
        <v>3410</v>
      </c>
      <c r="C3062" s="2" t="s">
        <v>2913</v>
      </c>
      <c r="D3062" s="2" t="s">
        <v>2914</v>
      </c>
      <c r="E3062" s="6">
        <v>46125.42545138889</v>
      </c>
      <c r="F3062" s="3" t="s">
        <v>2915</v>
      </c>
      <c r="G3062" s="2" t="s">
        <v>24</v>
      </c>
      <c r="H3062" s="2"/>
      <c r="I3062" s="2"/>
      <c r="J3062" s="2"/>
      <c r="L3062" s="2" t="s">
        <v>2814</v>
      </c>
    </row>
    <row r="3063">
      <c r="A3063" s="8" t="s">
        <v>3411</v>
      </c>
      <c r="B3063" s="8" t="s">
        <v>3411</v>
      </c>
      <c r="C3063" s="2" t="s">
        <v>3298</v>
      </c>
      <c r="D3063" s="2" t="s">
        <v>3299</v>
      </c>
      <c r="E3063" s="6">
        <v>46125.52912037037</v>
      </c>
      <c r="F3063" s="3" t="s">
        <v>3300</v>
      </c>
      <c r="G3063" s="2" t="s">
        <v>24</v>
      </c>
      <c r="H3063" s="2"/>
      <c r="I3063" s="2"/>
      <c r="J3063" s="2"/>
      <c r="L3063" s="2" t="s">
        <v>2814</v>
      </c>
    </row>
    <row r="3064">
      <c r="A3064" s="8" t="s">
        <v>3412</v>
      </c>
      <c r="B3064" s="8" t="s">
        <v>3412</v>
      </c>
      <c r="C3064" s="2" t="s">
        <v>1993</v>
      </c>
      <c r="D3064" s="2" t="s">
        <v>1994</v>
      </c>
      <c r="E3064" s="6">
        <v>46125.52958333334</v>
      </c>
      <c r="F3064" s="3" t="s">
        <v>1995</v>
      </c>
      <c r="G3064" s="2" t="s">
        <v>24</v>
      </c>
      <c r="H3064" s="2"/>
      <c r="I3064" s="2"/>
      <c r="J3064" s="2"/>
      <c r="L3064" s="2" t="s">
        <v>2814</v>
      </c>
    </row>
    <row r="3065">
      <c r="A3065" s="8" t="s">
        <v>3413</v>
      </c>
      <c r="B3065" s="8" t="s">
        <v>3413</v>
      </c>
      <c r="C3065" s="2" t="s">
        <v>786</v>
      </c>
      <c r="D3065" s="2" t="s">
        <v>787</v>
      </c>
      <c r="E3065" s="6">
        <v>46125.531909722224</v>
      </c>
      <c r="F3065" s="3" t="s">
        <v>788</v>
      </c>
      <c r="G3065" s="2" t="s">
        <v>24</v>
      </c>
      <c r="H3065" s="2"/>
      <c r="I3065" s="2"/>
      <c r="J3065" s="2"/>
      <c r="L3065" s="2" t="s">
        <v>2814</v>
      </c>
    </row>
    <row r="3066">
      <c r="A3066" s="8" t="s">
        <v>3414</v>
      </c>
      <c r="B3066" s="8" t="s">
        <v>3414</v>
      </c>
      <c r="C3066" s="2" t="s">
        <v>1975</v>
      </c>
      <c r="D3066" s="2" t="s">
        <v>1976</v>
      </c>
      <c r="E3066" s="6">
        <v>46125.53266203704</v>
      </c>
      <c r="F3066" s="3" t="s">
        <v>1977</v>
      </c>
      <c r="G3066" s="2" t="s">
        <v>24</v>
      </c>
      <c r="H3066" s="2"/>
      <c r="I3066" s="2"/>
      <c r="J3066" s="2"/>
      <c r="L3066" s="2" t="s">
        <v>2814</v>
      </c>
    </row>
    <row r="3067">
      <c r="A3067" s="8" t="s">
        <v>3415</v>
      </c>
      <c r="B3067" s="8" t="s">
        <v>3415</v>
      </c>
      <c r="C3067" s="2" t="s">
        <v>326</v>
      </c>
      <c r="D3067" s="2" t="s">
        <v>327</v>
      </c>
      <c r="E3067" s="6">
        <v>46125.53293981482</v>
      </c>
      <c r="F3067" s="3" t="s">
        <v>328</v>
      </c>
      <c r="G3067" s="2" t="s">
        <v>24</v>
      </c>
      <c r="H3067" s="2"/>
      <c r="I3067" s="2"/>
      <c r="J3067" s="2"/>
      <c r="L3067" s="2" t="s">
        <v>2814</v>
      </c>
    </row>
    <row r="3068">
      <c r="A3068" s="8" t="s">
        <v>3416</v>
      </c>
      <c r="B3068" s="8" t="s">
        <v>3416</v>
      </c>
      <c r="C3068" s="2" t="s">
        <v>2032</v>
      </c>
      <c r="D3068" s="2" t="s">
        <v>2033</v>
      </c>
      <c r="E3068" s="6">
        <v>46125.55100694444</v>
      </c>
      <c r="F3068" s="3" t="s">
        <v>2803</v>
      </c>
      <c r="G3068" s="2" t="s">
        <v>16</v>
      </c>
      <c r="H3068" s="2"/>
      <c r="I3068" s="2" t="s">
        <v>395</v>
      </c>
      <c r="J3068" s="2"/>
      <c r="L3068" s="2" t="s">
        <v>2814</v>
      </c>
    </row>
    <row r="3069">
      <c r="A3069" s="8" t="s">
        <v>3417</v>
      </c>
      <c r="B3069" s="8" t="s">
        <v>3417</v>
      </c>
      <c r="C3069" s="2" t="s">
        <v>1519</v>
      </c>
      <c r="D3069" s="2" t="s">
        <v>1520</v>
      </c>
      <c r="E3069" s="6">
        <v>46125.62530092592</v>
      </c>
      <c r="F3069" s="3" t="s">
        <v>1521</v>
      </c>
      <c r="G3069" s="2" t="s">
        <v>16</v>
      </c>
      <c r="H3069" s="2"/>
      <c r="I3069" s="2" t="s">
        <v>395</v>
      </c>
      <c r="J3069" s="2"/>
      <c r="L3069" s="2" t="s">
        <v>2814</v>
      </c>
    </row>
    <row r="3070">
      <c r="A3070" s="8" t="s">
        <v>3418</v>
      </c>
      <c r="B3070" s="8" t="s">
        <v>3418</v>
      </c>
      <c r="C3070" s="2" t="s">
        <v>1519</v>
      </c>
      <c r="D3070" s="2" t="s">
        <v>1520</v>
      </c>
      <c r="E3070" s="6">
        <v>46125.65087962963</v>
      </c>
      <c r="F3070" s="3" t="s">
        <v>1521</v>
      </c>
      <c r="G3070" s="2" t="s">
        <v>24</v>
      </c>
      <c r="H3070" s="2"/>
      <c r="I3070" s="2"/>
      <c r="J3070" s="2"/>
      <c r="L3070" s="2" t="s">
        <v>2814</v>
      </c>
    </row>
    <row r="3071">
      <c r="A3071" s="8" t="s">
        <v>3419</v>
      </c>
      <c r="B3071" s="8" t="s">
        <v>3419</v>
      </c>
      <c r="C3071" s="2" t="s">
        <v>1776</v>
      </c>
      <c r="D3071" s="2" t="s">
        <v>1777</v>
      </c>
      <c r="E3071" s="6">
        <v>46126.35537037037</v>
      </c>
      <c r="F3071" s="3" t="s">
        <v>1778</v>
      </c>
      <c r="G3071" s="2" t="s">
        <v>16</v>
      </c>
      <c r="H3071" s="2"/>
      <c r="I3071" s="2" t="s">
        <v>17</v>
      </c>
      <c r="J3071" s="2"/>
      <c r="L3071" s="2" t="s">
        <v>2814</v>
      </c>
    </row>
    <row r="3072">
      <c r="A3072" s="8" t="s">
        <v>3420</v>
      </c>
      <c r="B3072" s="8" t="s">
        <v>3420</v>
      </c>
      <c r="C3072" s="2" t="s">
        <v>3421</v>
      </c>
      <c r="D3072" s="2" t="s">
        <v>3422</v>
      </c>
      <c r="E3072" s="6">
        <v>46126.36181712963</v>
      </c>
      <c r="F3072" s="3" t="s">
        <v>3423</v>
      </c>
      <c r="G3072" s="2" t="s">
        <v>16</v>
      </c>
      <c r="H3072" s="2"/>
      <c r="I3072" s="2" t="s">
        <v>17</v>
      </c>
      <c r="J3072" s="2"/>
      <c r="L3072" s="2" t="s">
        <v>2814</v>
      </c>
    </row>
    <row r="3073">
      <c r="A3073" s="8" t="s">
        <v>3424</v>
      </c>
      <c r="B3073" s="8" t="s">
        <v>3424</v>
      </c>
      <c r="C3073" s="2" t="s">
        <v>1993</v>
      </c>
      <c r="D3073" s="2" t="s">
        <v>1994</v>
      </c>
      <c r="E3073" s="6">
        <v>46126.37909722222</v>
      </c>
      <c r="F3073" s="3" t="s">
        <v>1995</v>
      </c>
      <c r="G3073" s="2" t="s">
        <v>16</v>
      </c>
      <c r="H3073" s="2"/>
      <c r="I3073" s="2"/>
      <c r="J3073" s="2"/>
      <c r="L3073" s="2" t="s">
        <v>2814</v>
      </c>
    </row>
    <row r="3074">
      <c r="A3074" s="8" t="s">
        <v>3425</v>
      </c>
      <c r="B3074" s="8" t="s">
        <v>3425</v>
      </c>
      <c r="C3074" s="2" t="s">
        <v>2577</v>
      </c>
      <c r="D3074" s="2" t="s">
        <v>2578</v>
      </c>
      <c r="E3074" s="6">
        <v>46126.3822337963</v>
      </c>
      <c r="F3074" s="3" t="s">
        <v>2579</v>
      </c>
      <c r="G3074" s="2" t="s">
        <v>16</v>
      </c>
      <c r="H3074" s="2"/>
      <c r="I3074" s="2"/>
      <c r="J3074" s="2"/>
      <c r="L3074" s="2" t="s">
        <v>2814</v>
      </c>
    </row>
    <row r="3075">
      <c r="A3075" s="8" t="s">
        <v>3426</v>
      </c>
      <c r="B3075" s="8" t="s">
        <v>3426</v>
      </c>
      <c r="C3075" s="2" t="s">
        <v>3427</v>
      </c>
      <c r="D3075" s="2" t="s">
        <v>3428</v>
      </c>
      <c r="E3075" s="6">
        <v>46126.4128125</v>
      </c>
      <c r="F3075" s="3" t="s">
        <v>3429</v>
      </c>
      <c r="G3075" s="2" t="s">
        <v>16</v>
      </c>
      <c r="H3075" s="2"/>
      <c r="I3075" s="2" t="s">
        <v>395</v>
      </c>
      <c r="J3075" s="2"/>
      <c r="L3075" s="2" t="s">
        <v>2814</v>
      </c>
    </row>
    <row r="3076">
      <c r="A3076" s="8" t="s">
        <v>3430</v>
      </c>
      <c r="B3076" s="8" t="s">
        <v>3430</v>
      </c>
      <c r="C3076" s="2" t="s">
        <v>904</v>
      </c>
      <c r="D3076" s="2" t="s">
        <v>905</v>
      </c>
      <c r="E3076" s="6">
        <v>46126.45863425926</v>
      </c>
      <c r="F3076" s="3" t="s">
        <v>906</v>
      </c>
      <c r="G3076" s="2" t="s">
        <v>16</v>
      </c>
      <c r="H3076" s="2"/>
      <c r="I3076" s="2" t="s">
        <v>17</v>
      </c>
      <c r="J3076" s="2"/>
      <c r="L3076" s="2" t="s">
        <v>2814</v>
      </c>
    </row>
    <row r="3077">
      <c r="A3077" s="8" t="s">
        <v>3431</v>
      </c>
      <c r="B3077" s="8" t="s">
        <v>3431</v>
      </c>
      <c r="C3077" s="2" t="s">
        <v>464</v>
      </c>
      <c r="D3077" s="2" t="s">
        <v>465</v>
      </c>
      <c r="E3077" s="6">
        <v>46126.45951388889</v>
      </c>
      <c r="F3077" s="3" t="s">
        <v>466</v>
      </c>
      <c r="G3077" s="2" t="s">
        <v>16</v>
      </c>
      <c r="H3077" s="2"/>
      <c r="I3077" s="2" t="s">
        <v>17</v>
      </c>
      <c r="J3077" s="2"/>
      <c r="L3077" s="2" t="s">
        <v>2814</v>
      </c>
    </row>
    <row r="3078">
      <c r="A3078" s="8" t="s">
        <v>3432</v>
      </c>
      <c r="B3078" s="8" t="s">
        <v>3432</v>
      </c>
      <c r="C3078" s="2" t="s">
        <v>3421</v>
      </c>
      <c r="D3078" s="2" t="s">
        <v>3422</v>
      </c>
      <c r="E3078" s="6">
        <v>46126.4659375</v>
      </c>
      <c r="F3078" s="3" t="s">
        <v>3423</v>
      </c>
      <c r="G3078" s="2" t="s">
        <v>24</v>
      </c>
      <c r="H3078" s="2"/>
      <c r="I3078" s="2"/>
      <c r="J3078" s="2"/>
      <c r="L3078" s="2" t="s">
        <v>2814</v>
      </c>
    </row>
    <row r="3079">
      <c r="A3079" s="8" t="s">
        <v>3433</v>
      </c>
      <c r="B3079" s="8" t="s">
        <v>3433</v>
      </c>
      <c r="C3079" s="2" t="s">
        <v>951</v>
      </c>
      <c r="D3079" s="2" t="s">
        <v>952</v>
      </c>
      <c r="E3079" s="6">
        <v>46126.47209490741</v>
      </c>
      <c r="F3079" s="3" t="s">
        <v>953</v>
      </c>
      <c r="G3079" s="2" t="s">
        <v>16</v>
      </c>
      <c r="H3079" s="2"/>
      <c r="I3079" s="2"/>
      <c r="J3079" s="2"/>
      <c r="L3079" s="2" t="s">
        <v>2814</v>
      </c>
    </row>
    <row r="3080">
      <c r="A3080" s="8" t="s">
        <v>3434</v>
      </c>
      <c r="B3080" s="8" t="s">
        <v>3434</v>
      </c>
      <c r="C3080" s="2" t="s">
        <v>1993</v>
      </c>
      <c r="D3080" s="2" t="s">
        <v>1994</v>
      </c>
      <c r="E3080" s="6">
        <v>46126.473287037035</v>
      </c>
      <c r="F3080" s="3" t="s">
        <v>1995</v>
      </c>
      <c r="G3080" s="2" t="s">
        <v>24</v>
      </c>
      <c r="H3080" s="2"/>
      <c r="I3080" s="2"/>
      <c r="J3080" s="2"/>
      <c r="L3080" s="2" t="s">
        <v>2814</v>
      </c>
    </row>
    <row r="3081">
      <c r="A3081" s="8" t="s">
        <v>3435</v>
      </c>
      <c r="B3081" s="8" t="s">
        <v>3435</v>
      </c>
      <c r="C3081" s="2" t="s">
        <v>1776</v>
      </c>
      <c r="D3081" s="2" t="s">
        <v>1777</v>
      </c>
      <c r="E3081" s="6">
        <v>46126.47398148148</v>
      </c>
      <c r="F3081" s="3" t="s">
        <v>1778</v>
      </c>
      <c r="G3081" s="2" t="s">
        <v>24</v>
      </c>
      <c r="H3081" s="2"/>
      <c r="I3081" s="2"/>
      <c r="J3081" s="2"/>
      <c r="L3081" s="2" t="s">
        <v>2814</v>
      </c>
    </row>
    <row r="3082">
      <c r="A3082" s="8" t="s">
        <v>3436</v>
      </c>
      <c r="B3082" s="8" t="s">
        <v>3436</v>
      </c>
      <c r="C3082" s="2" t="s">
        <v>3427</v>
      </c>
      <c r="D3082" s="2" t="s">
        <v>3428</v>
      </c>
      <c r="E3082" s="6">
        <v>46126.474699074075</v>
      </c>
      <c r="F3082" s="3" t="s">
        <v>3429</v>
      </c>
      <c r="G3082" s="2" t="s">
        <v>24</v>
      </c>
      <c r="H3082" s="2"/>
      <c r="I3082" s="2"/>
      <c r="J3082" s="2"/>
      <c r="L3082" s="2" t="s">
        <v>2814</v>
      </c>
    </row>
    <row r="3083">
      <c r="A3083" s="8" t="s">
        <v>3437</v>
      </c>
      <c r="B3083" s="8" t="s">
        <v>3437</v>
      </c>
      <c r="C3083" s="2" t="s">
        <v>2577</v>
      </c>
      <c r="D3083" s="2" t="s">
        <v>2578</v>
      </c>
      <c r="E3083" s="6">
        <v>46126.55189814815</v>
      </c>
      <c r="F3083" s="3" t="s">
        <v>2579</v>
      </c>
      <c r="G3083" s="2" t="s">
        <v>24</v>
      </c>
      <c r="H3083" s="2"/>
      <c r="I3083" s="2"/>
      <c r="J3083" s="2"/>
      <c r="L3083" s="2" t="s">
        <v>2814</v>
      </c>
    </row>
    <row r="3084">
      <c r="A3084" s="8" t="s">
        <v>3438</v>
      </c>
      <c r="B3084" s="8" t="s">
        <v>3438</v>
      </c>
      <c r="C3084" s="2" t="s">
        <v>904</v>
      </c>
      <c r="D3084" s="2" t="s">
        <v>905</v>
      </c>
      <c r="E3084" s="6">
        <v>46126.64498842593</v>
      </c>
      <c r="F3084" s="3" t="s">
        <v>906</v>
      </c>
      <c r="G3084" s="2" t="s">
        <v>24</v>
      </c>
      <c r="H3084" s="2"/>
      <c r="I3084" s="2"/>
      <c r="J3084" s="2"/>
      <c r="L3084" s="2" t="s">
        <v>2814</v>
      </c>
    </row>
    <row r="3085">
      <c r="A3085" s="8" t="s">
        <v>3439</v>
      </c>
      <c r="B3085" s="8" t="s">
        <v>3439</v>
      </c>
      <c r="C3085" s="2" t="s">
        <v>951</v>
      </c>
      <c r="D3085" s="2" t="s">
        <v>3440</v>
      </c>
      <c r="E3085" s="6">
        <v>46126.645949074074</v>
      </c>
      <c r="F3085" s="3" t="s">
        <v>953</v>
      </c>
      <c r="G3085" s="2" t="s">
        <v>24</v>
      </c>
      <c r="H3085" s="2"/>
      <c r="I3085" s="2"/>
      <c r="J3085" s="2"/>
      <c r="L3085" s="2" t="s">
        <v>2814</v>
      </c>
    </row>
    <row r="3086">
      <c r="A3086" s="8" t="s">
        <v>3441</v>
      </c>
      <c r="B3086" s="8" t="s">
        <v>3441</v>
      </c>
      <c r="C3086" s="2" t="s">
        <v>1756</v>
      </c>
      <c r="D3086" s="2" t="s">
        <v>1757</v>
      </c>
      <c r="E3086" s="6">
        <v>46126.64641203704</v>
      </c>
      <c r="F3086" s="3" t="s">
        <v>1758</v>
      </c>
      <c r="G3086" s="2" t="s">
        <v>24</v>
      </c>
      <c r="H3086" s="2"/>
      <c r="I3086" s="2"/>
      <c r="J3086" s="2"/>
      <c r="L3086" s="2" t="s">
        <v>2814</v>
      </c>
    </row>
    <row r="3087">
      <c r="A3087" s="8" t="s">
        <v>3442</v>
      </c>
      <c r="B3087" s="8" t="s">
        <v>3442</v>
      </c>
      <c r="C3087" s="2" t="s">
        <v>464</v>
      </c>
      <c r="D3087" s="2" t="s">
        <v>465</v>
      </c>
      <c r="E3087" s="6">
        <v>46126.64672453704</v>
      </c>
      <c r="F3087" s="3" t="s">
        <v>466</v>
      </c>
      <c r="G3087" s="2" t="s">
        <v>24</v>
      </c>
      <c r="H3087" s="2"/>
      <c r="I3087" s="2"/>
      <c r="J3087" s="2"/>
      <c r="L3087" s="2" t="s">
        <v>2814</v>
      </c>
    </row>
    <row r="3088">
      <c r="A3088" s="8" t="s">
        <v>3443</v>
      </c>
      <c r="B3088" s="8" t="s">
        <v>3443</v>
      </c>
      <c r="C3088" s="2" t="s">
        <v>786</v>
      </c>
      <c r="D3088" s="2" t="s">
        <v>787</v>
      </c>
      <c r="E3088" s="6">
        <v>46127.36693287037</v>
      </c>
      <c r="F3088" s="3" t="s">
        <v>788</v>
      </c>
      <c r="G3088" s="2" t="s">
        <v>16</v>
      </c>
      <c r="H3088" s="2"/>
      <c r="I3088" s="2"/>
      <c r="J3088" s="2"/>
      <c r="L3088" s="2" t="s">
        <v>2814</v>
      </c>
    </row>
    <row r="3089">
      <c r="A3089" s="8" t="s">
        <v>3444</v>
      </c>
      <c r="B3089" s="8" t="s">
        <v>3444</v>
      </c>
      <c r="C3089" s="2" t="s">
        <v>1705</v>
      </c>
      <c r="D3089" s="2" t="s">
        <v>1706</v>
      </c>
      <c r="E3089" s="6">
        <v>46127.367731481485</v>
      </c>
      <c r="F3089" s="3" t="s">
        <v>1707</v>
      </c>
      <c r="G3089" s="2" t="s">
        <v>16</v>
      </c>
      <c r="H3089" s="2"/>
      <c r="I3089" s="2"/>
      <c r="J3089" s="2"/>
      <c r="L3089" s="2" t="s">
        <v>2814</v>
      </c>
    </row>
    <row r="3090">
      <c r="A3090" s="8" t="s">
        <v>3445</v>
      </c>
      <c r="B3090" s="8" t="s">
        <v>3445</v>
      </c>
      <c r="C3090" s="2" t="s">
        <v>2913</v>
      </c>
      <c r="D3090" s="2" t="s">
        <v>2914</v>
      </c>
      <c r="E3090" s="6">
        <v>46127.608506944445</v>
      </c>
      <c r="F3090" s="3" t="s">
        <v>2915</v>
      </c>
      <c r="G3090" s="2" t="s">
        <v>24</v>
      </c>
      <c r="H3090" s="2"/>
      <c r="I3090" s="2"/>
      <c r="J3090" s="2"/>
      <c r="L3090" s="2" t="s">
        <v>2814</v>
      </c>
    </row>
    <row r="3091">
      <c r="A3091" s="8" t="s">
        <v>3446</v>
      </c>
      <c r="B3091" s="8" t="s">
        <v>3446</v>
      </c>
      <c r="C3091" s="2" t="s">
        <v>2005</v>
      </c>
      <c r="D3091" s="2" t="s">
        <v>2006</v>
      </c>
      <c r="E3091" s="6">
        <v>46127.609560185185</v>
      </c>
      <c r="F3091" s="3" t="s">
        <v>2007</v>
      </c>
      <c r="G3091" s="2" t="s">
        <v>24</v>
      </c>
      <c r="H3091" s="2"/>
      <c r="I3091" s="2"/>
      <c r="J3091" s="2"/>
      <c r="L3091" s="2" t="s">
        <v>2814</v>
      </c>
    </row>
    <row r="3092">
      <c r="A3092" s="8" t="s">
        <v>3447</v>
      </c>
      <c r="B3092" s="8" t="s">
        <v>3447</v>
      </c>
      <c r="C3092" s="2" t="s">
        <v>109</v>
      </c>
      <c r="D3092" s="2" t="s">
        <v>110</v>
      </c>
      <c r="E3092" s="6">
        <v>46127.609872685185</v>
      </c>
      <c r="F3092" s="3" t="s">
        <v>111</v>
      </c>
      <c r="G3092" s="2" t="s">
        <v>24</v>
      </c>
      <c r="H3092" s="2"/>
      <c r="I3092" s="2"/>
      <c r="J3092" s="2"/>
      <c r="L3092" s="2" t="s">
        <v>2814</v>
      </c>
    </row>
    <row r="3093">
      <c r="A3093" s="8" t="s">
        <v>3448</v>
      </c>
      <c r="B3093" s="8" t="s">
        <v>3448</v>
      </c>
      <c r="C3093" s="2" t="s">
        <v>2543</v>
      </c>
      <c r="D3093" s="2" t="s">
        <v>2544</v>
      </c>
      <c r="E3093" s="6">
        <v>46127.61054398148</v>
      </c>
      <c r="F3093" s="3" t="s">
        <v>2545</v>
      </c>
      <c r="G3093" s="2" t="s">
        <v>24</v>
      </c>
      <c r="H3093" s="2"/>
      <c r="I3093" s="2"/>
      <c r="J3093" s="2"/>
      <c r="L3093" s="2" t="s">
        <v>2814</v>
      </c>
    </row>
    <row r="3094">
      <c r="A3094" s="8" t="s">
        <v>3449</v>
      </c>
      <c r="B3094" s="8" t="s">
        <v>3449</v>
      </c>
      <c r="C3094" s="2" t="s">
        <v>1705</v>
      </c>
      <c r="D3094" s="2" t="s">
        <v>1706</v>
      </c>
      <c r="E3094" s="6">
        <v>46127.62965277778</v>
      </c>
      <c r="F3094" s="3" t="s">
        <v>1707</v>
      </c>
      <c r="G3094" s="2" t="s">
        <v>24</v>
      </c>
      <c r="H3094" s="2"/>
      <c r="I3094" s="2"/>
      <c r="J3094" s="2"/>
      <c r="L3094" s="2" t="s">
        <v>2814</v>
      </c>
    </row>
    <row r="3095">
      <c r="A3095" s="8" t="s">
        <v>3450</v>
      </c>
      <c r="B3095" s="8" t="s">
        <v>3450</v>
      </c>
      <c r="C3095" s="2" t="s">
        <v>1084</v>
      </c>
      <c r="D3095" s="2" t="s">
        <v>1085</v>
      </c>
      <c r="E3095" s="6">
        <v>46127.63135416667</v>
      </c>
      <c r="F3095" s="3" t="s">
        <v>1086</v>
      </c>
      <c r="G3095" s="2" t="s">
        <v>24</v>
      </c>
      <c r="H3095" s="2"/>
      <c r="I3095" s="2"/>
      <c r="J3095" s="2"/>
      <c r="L3095" s="2" t="s">
        <v>2814</v>
      </c>
    </row>
    <row r="3096">
      <c r="A3096" s="8" t="s">
        <v>3451</v>
      </c>
      <c r="B3096" s="8" t="s">
        <v>3451</v>
      </c>
      <c r="C3096" s="2" t="s">
        <v>786</v>
      </c>
      <c r="D3096" s="2" t="s">
        <v>787</v>
      </c>
      <c r="E3096" s="6">
        <v>46127.633356481485</v>
      </c>
      <c r="F3096" s="3" t="s">
        <v>788</v>
      </c>
      <c r="G3096" s="2" t="s">
        <v>24</v>
      </c>
      <c r="H3096" s="2"/>
      <c r="I3096" s="2"/>
      <c r="J3096" s="2"/>
      <c r="L3096" s="2" t="s">
        <v>2814</v>
      </c>
    </row>
    <row r="3097">
      <c r="A3097" s="8" t="s">
        <v>3452</v>
      </c>
      <c r="B3097" s="8" t="s">
        <v>3452</v>
      </c>
      <c r="C3097" s="2" t="s">
        <v>20</v>
      </c>
      <c r="D3097" s="2" t="s">
        <v>21</v>
      </c>
      <c r="E3097" s="6">
        <v>46127.64528935185</v>
      </c>
      <c r="F3097" s="3" t="s">
        <v>22</v>
      </c>
      <c r="G3097" s="2" t="s">
        <v>24</v>
      </c>
      <c r="H3097" s="2"/>
      <c r="I3097" s="2"/>
      <c r="J3097" s="2"/>
      <c r="L3097" s="2" t="s">
        <v>2814</v>
      </c>
    </row>
    <row r="3098">
      <c r="A3098" s="8" t="s">
        <v>3453</v>
      </c>
      <c r="B3098" s="8" t="s">
        <v>3453</v>
      </c>
      <c r="C3098" s="2" t="s">
        <v>1963</v>
      </c>
      <c r="D3098" s="2" t="s">
        <v>1964</v>
      </c>
      <c r="E3098" s="6">
        <v>46128.32983796296</v>
      </c>
      <c r="F3098" s="3" t="s">
        <v>1965</v>
      </c>
      <c r="G3098" s="2" t="s">
        <v>16</v>
      </c>
      <c r="H3098" s="2"/>
      <c r="I3098" s="2" t="s">
        <v>395</v>
      </c>
      <c r="J3098" s="2"/>
      <c r="L3098" s="2" t="s">
        <v>2814</v>
      </c>
    </row>
    <row r="3099">
      <c r="A3099" s="8" t="s">
        <v>3454</v>
      </c>
      <c r="B3099" s="8" t="s">
        <v>3454</v>
      </c>
      <c r="C3099" s="2" t="s">
        <v>2913</v>
      </c>
      <c r="D3099" s="2" t="s">
        <v>2914</v>
      </c>
      <c r="E3099" s="6">
        <v>46128.36524305555</v>
      </c>
      <c r="F3099" s="3" t="s">
        <v>2915</v>
      </c>
      <c r="G3099" s="2" t="s">
        <v>16</v>
      </c>
      <c r="H3099" s="2"/>
      <c r="I3099" s="2" t="s">
        <v>17</v>
      </c>
      <c r="J3099" s="2"/>
      <c r="L3099" s="2" t="s">
        <v>2814</v>
      </c>
    </row>
    <row r="3100">
      <c r="A3100" s="8" t="s">
        <v>3455</v>
      </c>
      <c r="B3100" s="8" t="s">
        <v>3455</v>
      </c>
      <c r="C3100" s="2" t="s">
        <v>464</v>
      </c>
      <c r="D3100" s="2" t="s">
        <v>465</v>
      </c>
      <c r="E3100" s="6">
        <v>46128.36734953704</v>
      </c>
      <c r="F3100" s="3" t="s">
        <v>466</v>
      </c>
      <c r="G3100" s="2" t="s">
        <v>16</v>
      </c>
      <c r="H3100" s="2"/>
      <c r="I3100" s="2"/>
      <c r="J3100" s="2"/>
      <c r="L3100" s="2" t="s">
        <v>2814</v>
      </c>
    </row>
    <row r="3101">
      <c r="A3101" s="8" t="s">
        <v>3456</v>
      </c>
      <c r="B3101" s="8" t="s">
        <v>3456</v>
      </c>
      <c r="C3101" s="2" t="s">
        <v>904</v>
      </c>
      <c r="D3101" s="2" t="s">
        <v>905</v>
      </c>
      <c r="E3101" s="6">
        <v>46128.36765046296</v>
      </c>
      <c r="F3101" s="3" t="s">
        <v>906</v>
      </c>
      <c r="G3101" s="2" t="s">
        <v>16</v>
      </c>
      <c r="H3101" s="2"/>
      <c r="I3101" s="2" t="s">
        <v>395</v>
      </c>
      <c r="J3101" s="2"/>
      <c r="L3101" s="2" t="s">
        <v>2814</v>
      </c>
    </row>
    <row r="3102">
      <c r="A3102" s="8" t="s">
        <v>3457</v>
      </c>
      <c r="B3102" s="8" t="s">
        <v>3457</v>
      </c>
      <c r="C3102" s="2" t="s">
        <v>943</v>
      </c>
      <c r="D3102" s="2" t="s">
        <v>944</v>
      </c>
      <c r="E3102" s="6">
        <v>46128.36791666667</v>
      </c>
      <c r="F3102" s="3" t="s">
        <v>945</v>
      </c>
      <c r="G3102" s="2" t="s">
        <v>16</v>
      </c>
      <c r="H3102" s="2"/>
      <c r="I3102" s="2" t="s">
        <v>395</v>
      </c>
      <c r="J3102" s="2"/>
      <c r="L3102" s="2" t="s">
        <v>2814</v>
      </c>
    </row>
    <row r="3103">
      <c r="A3103" s="8" t="s">
        <v>3458</v>
      </c>
      <c r="B3103" s="8" t="s">
        <v>3458</v>
      </c>
      <c r="C3103" s="2" t="s">
        <v>885</v>
      </c>
      <c r="D3103" s="2" t="s">
        <v>886</v>
      </c>
      <c r="E3103" s="6">
        <v>46128.60192129629</v>
      </c>
      <c r="F3103" s="3" t="s">
        <v>887</v>
      </c>
      <c r="G3103" s="2" t="s">
        <v>16</v>
      </c>
      <c r="H3103" s="2"/>
      <c r="I3103" s="2" t="s">
        <v>17</v>
      </c>
      <c r="J3103" s="2"/>
      <c r="L3103" s="2" t="s">
        <v>2814</v>
      </c>
    </row>
    <row r="3104">
      <c r="A3104" s="8" t="s">
        <v>3459</v>
      </c>
      <c r="B3104" s="8" t="s">
        <v>3459</v>
      </c>
      <c r="C3104" s="2" t="s">
        <v>1975</v>
      </c>
      <c r="D3104" s="2" t="s">
        <v>1976</v>
      </c>
      <c r="E3104" s="6">
        <v>46128.602789351855</v>
      </c>
      <c r="F3104" s="3" t="s">
        <v>1977</v>
      </c>
      <c r="G3104" s="2" t="s">
        <v>24</v>
      </c>
      <c r="H3104" s="2"/>
      <c r="I3104" s="2"/>
      <c r="J3104" s="2"/>
      <c r="L3104" s="2" t="s">
        <v>2814</v>
      </c>
    </row>
    <row r="3105">
      <c r="A3105" s="8" t="s">
        <v>3460</v>
      </c>
      <c r="B3105" s="8" t="s">
        <v>3460</v>
      </c>
      <c r="C3105" s="2" t="s">
        <v>786</v>
      </c>
      <c r="D3105" s="2" t="s">
        <v>787</v>
      </c>
      <c r="E3105" s="6">
        <v>46128.60517361111</v>
      </c>
      <c r="F3105" s="3" t="s">
        <v>788</v>
      </c>
      <c r="G3105" s="2" t="s">
        <v>24</v>
      </c>
      <c r="H3105" s="2"/>
      <c r="I3105" s="2"/>
      <c r="J3105" s="2"/>
      <c r="L3105" s="2" t="s">
        <v>2814</v>
      </c>
    </row>
    <row r="3106">
      <c r="A3106" s="8" t="s">
        <v>3461</v>
      </c>
      <c r="B3106" s="8" t="s">
        <v>3461</v>
      </c>
      <c r="C3106" s="2" t="s">
        <v>2510</v>
      </c>
      <c r="D3106" s="2" t="s">
        <v>2511</v>
      </c>
      <c r="E3106" s="6">
        <v>46128.606620370374</v>
      </c>
      <c r="F3106" s="3" t="s">
        <v>2512</v>
      </c>
      <c r="G3106" s="2" t="s">
        <v>24</v>
      </c>
      <c r="H3106" s="2"/>
      <c r="I3106" s="2"/>
      <c r="J3106" s="2"/>
      <c r="L3106" s="2" t="s">
        <v>2814</v>
      </c>
    </row>
    <row r="3107">
      <c r="A3107" s="8" t="s">
        <v>3462</v>
      </c>
      <c r="B3107" s="8" t="s">
        <v>3462</v>
      </c>
      <c r="C3107" s="2" t="s">
        <v>2131</v>
      </c>
      <c r="D3107" s="2" t="s">
        <v>2132</v>
      </c>
      <c r="E3107" s="6">
        <v>46128.607152777775</v>
      </c>
      <c r="F3107" s="3" t="s">
        <v>2133</v>
      </c>
      <c r="G3107" s="2" t="s">
        <v>24</v>
      </c>
      <c r="H3107" s="2"/>
      <c r="I3107" s="2"/>
      <c r="J3107" s="2"/>
      <c r="L3107" s="2" t="s">
        <v>2814</v>
      </c>
    </row>
    <row r="3108">
      <c r="A3108" s="8" t="s">
        <v>3463</v>
      </c>
      <c r="B3108" s="8" t="s">
        <v>3463</v>
      </c>
      <c r="C3108" s="2" t="s">
        <v>213</v>
      </c>
      <c r="D3108" s="2" t="s">
        <v>214</v>
      </c>
      <c r="E3108" s="6">
        <v>46128.60747685185</v>
      </c>
      <c r="F3108" s="3" t="s">
        <v>215</v>
      </c>
      <c r="G3108" s="2" t="s">
        <v>24</v>
      </c>
      <c r="H3108" s="2"/>
      <c r="I3108" s="2"/>
      <c r="J3108" s="2"/>
      <c r="L3108" s="2" t="s">
        <v>2814</v>
      </c>
    </row>
    <row r="3109">
      <c r="A3109" s="8" t="s">
        <v>3464</v>
      </c>
      <c r="B3109" s="8" t="s">
        <v>3464</v>
      </c>
      <c r="C3109" s="2" t="s">
        <v>1963</v>
      </c>
      <c r="D3109" s="2" t="s">
        <v>1964</v>
      </c>
      <c r="E3109" s="6">
        <v>46128.647048611114</v>
      </c>
      <c r="F3109" s="3" t="s">
        <v>1965</v>
      </c>
      <c r="G3109" s="2" t="s">
        <v>24</v>
      </c>
      <c r="H3109" s="2"/>
      <c r="I3109" s="2"/>
      <c r="J3109" s="2"/>
      <c r="L3109" s="2" t="s">
        <v>2814</v>
      </c>
    </row>
    <row r="3110">
      <c r="A3110" s="8" t="s">
        <v>3465</v>
      </c>
      <c r="B3110" s="8" t="s">
        <v>3465</v>
      </c>
      <c r="C3110" s="2" t="s">
        <v>885</v>
      </c>
      <c r="D3110" s="2" t="s">
        <v>886</v>
      </c>
      <c r="E3110" s="6">
        <v>46128.64797453704</v>
      </c>
      <c r="F3110" s="3" t="s">
        <v>887</v>
      </c>
      <c r="G3110" s="2" t="s">
        <v>24</v>
      </c>
      <c r="H3110" s="2"/>
      <c r="I3110" s="2"/>
      <c r="J3110" s="2"/>
      <c r="L3110" s="2" t="s">
        <v>2814</v>
      </c>
    </row>
    <row r="3111">
      <c r="A3111" s="8" t="s">
        <v>3466</v>
      </c>
      <c r="B3111" s="8" t="s">
        <v>3466</v>
      </c>
      <c r="C3111" s="2" t="s">
        <v>3335</v>
      </c>
      <c r="D3111" s="2" t="s">
        <v>3336</v>
      </c>
      <c r="E3111" s="6">
        <v>46129.34570601852</v>
      </c>
      <c r="F3111" s="3" t="s">
        <v>3337</v>
      </c>
      <c r="G3111" s="2" t="s">
        <v>16</v>
      </c>
      <c r="H3111" s="2"/>
      <c r="I3111" s="2" t="s">
        <v>395</v>
      </c>
      <c r="J3111" s="2"/>
      <c r="L3111" s="2" t="s">
        <v>2814</v>
      </c>
    </row>
    <row r="3112">
      <c r="A3112" s="8" t="s">
        <v>3467</v>
      </c>
      <c r="B3112" s="8" t="s">
        <v>3467</v>
      </c>
      <c r="C3112" s="2" t="s">
        <v>786</v>
      </c>
      <c r="D3112" s="2" t="s">
        <v>787</v>
      </c>
      <c r="E3112" s="6">
        <v>46129.397939814815</v>
      </c>
      <c r="F3112" s="3" t="s">
        <v>788</v>
      </c>
      <c r="G3112" s="2" t="s">
        <v>16</v>
      </c>
      <c r="H3112" s="2"/>
      <c r="I3112" s="2"/>
      <c r="J3112" s="2"/>
      <c r="L3112" s="2" t="s">
        <v>2814</v>
      </c>
    </row>
    <row r="3113">
      <c r="A3113" s="8" t="s">
        <v>3468</v>
      </c>
      <c r="B3113" s="8" t="s">
        <v>3468</v>
      </c>
      <c r="C3113" s="2" t="s">
        <v>3335</v>
      </c>
      <c r="D3113" s="2" t="s">
        <v>3336</v>
      </c>
      <c r="E3113" s="6">
        <v>46129.40001157407</v>
      </c>
      <c r="F3113" s="3" t="s">
        <v>3337</v>
      </c>
      <c r="G3113" s="2" t="s">
        <v>24</v>
      </c>
      <c r="H3113" s="2"/>
      <c r="I3113" s="2"/>
      <c r="J3113" s="2"/>
      <c r="L3113" s="2" t="s">
        <v>2814</v>
      </c>
    </row>
    <row r="3114">
      <c r="A3114" s="8" t="s">
        <v>3469</v>
      </c>
      <c r="B3114" s="8" t="s">
        <v>3469</v>
      </c>
      <c r="C3114" s="2" t="s">
        <v>353</v>
      </c>
      <c r="D3114" s="2" t="s">
        <v>1500</v>
      </c>
      <c r="E3114" s="6">
        <v>46129.400405092594</v>
      </c>
      <c r="F3114" s="3" t="s">
        <v>1501</v>
      </c>
      <c r="G3114" s="2" t="s">
        <v>24</v>
      </c>
      <c r="H3114" s="2"/>
      <c r="I3114" s="2"/>
      <c r="J3114" s="2"/>
      <c r="L3114" s="2" t="s">
        <v>2814</v>
      </c>
    </row>
    <row r="3115">
      <c r="A3115" s="8" t="s">
        <v>3470</v>
      </c>
      <c r="B3115" s="8" t="s">
        <v>3470</v>
      </c>
      <c r="C3115" s="2" t="s">
        <v>1144</v>
      </c>
      <c r="D3115" s="2" t="s">
        <v>1145</v>
      </c>
      <c r="E3115" s="6">
        <v>46129.401770833334</v>
      </c>
      <c r="F3115" s="3" t="s">
        <v>1440</v>
      </c>
      <c r="G3115" s="2" t="s">
        <v>24</v>
      </c>
      <c r="H3115" s="2"/>
      <c r="I3115" s="2"/>
      <c r="J3115" s="2"/>
      <c r="L3115" s="2" t="s">
        <v>2814</v>
      </c>
    </row>
    <row r="3116">
      <c r="A3116" s="8" t="s">
        <v>3471</v>
      </c>
      <c r="B3116" s="8" t="s">
        <v>3471</v>
      </c>
      <c r="C3116" s="2" t="s">
        <v>951</v>
      </c>
      <c r="D3116" s="2" t="s">
        <v>3440</v>
      </c>
      <c r="E3116" s="6">
        <v>46129.4637037037</v>
      </c>
      <c r="F3116" s="3" t="s">
        <v>953</v>
      </c>
      <c r="G3116" s="2" t="s">
        <v>16</v>
      </c>
      <c r="H3116" s="2"/>
      <c r="I3116" s="2"/>
      <c r="J3116" s="2"/>
      <c r="L3116" s="2" t="s">
        <v>2814</v>
      </c>
    </row>
    <row r="3117">
      <c r="A3117" s="8" t="s">
        <v>3472</v>
      </c>
      <c r="B3117" s="8" t="s">
        <v>3472</v>
      </c>
      <c r="C3117" s="2" t="s">
        <v>320</v>
      </c>
      <c r="D3117" s="2" t="s">
        <v>321</v>
      </c>
      <c r="E3117" s="6">
        <v>46129.47017361111</v>
      </c>
      <c r="F3117" s="3" t="s">
        <v>322</v>
      </c>
      <c r="G3117" s="2" t="s">
        <v>24</v>
      </c>
      <c r="H3117" s="2"/>
      <c r="I3117" s="2"/>
      <c r="J3117" s="2"/>
      <c r="L3117" s="2" t="s">
        <v>2814</v>
      </c>
    </row>
    <row r="3118">
      <c r="A3118" s="8" t="s">
        <v>3473</v>
      </c>
      <c r="B3118" s="8" t="s">
        <v>3473</v>
      </c>
      <c r="C3118" s="2" t="s">
        <v>169</v>
      </c>
      <c r="D3118" s="2" t="s">
        <v>170</v>
      </c>
      <c r="E3118" s="6">
        <v>46129.4705787037</v>
      </c>
      <c r="F3118" s="3" t="s">
        <v>171</v>
      </c>
      <c r="G3118" s="2" t="s">
        <v>24</v>
      </c>
      <c r="H3118" s="2"/>
      <c r="I3118" s="2"/>
      <c r="J3118" s="2"/>
      <c r="L3118" s="2" t="s">
        <v>2814</v>
      </c>
    </row>
    <row r="3119">
      <c r="A3119" s="8" t="s">
        <v>3474</v>
      </c>
      <c r="B3119" s="8" t="s">
        <v>3474</v>
      </c>
      <c r="C3119" s="2" t="s">
        <v>2005</v>
      </c>
      <c r="D3119" s="2" t="s">
        <v>2006</v>
      </c>
      <c r="E3119" s="6">
        <v>46129.47087962963</v>
      </c>
      <c r="F3119" s="3" t="s">
        <v>2007</v>
      </c>
      <c r="G3119" s="2" t="s">
        <v>24</v>
      </c>
      <c r="H3119" s="2"/>
      <c r="I3119" s="2"/>
      <c r="J3119" s="2"/>
      <c r="L3119" s="2" t="s">
        <v>2814</v>
      </c>
    </row>
    <row r="3120">
      <c r="A3120" s="8" t="s">
        <v>3475</v>
      </c>
      <c r="B3120" s="8" t="s">
        <v>3475</v>
      </c>
      <c r="C3120" s="2" t="s">
        <v>1993</v>
      </c>
      <c r="D3120" s="2" t="s">
        <v>1994</v>
      </c>
      <c r="E3120" s="6">
        <v>46129.47119212963</v>
      </c>
      <c r="F3120" s="3" t="s">
        <v>1995</v>
      </c>
      <c r="G3120" s="2" t="s">
        <v>24</v>
      </c>
      <c r="H3120" s="2"/>
      <c r="I3120" s="2"/>
      <c r="J3120" s="2"/>
      <c r="L3120" s="2" t="s">
        <v>2814</v>
      </c>
    </row>
    <row r="3121">
      <c r="A3121" s="8" t="s">
        <v>3476</v>
      </c>
      <c r="B3121" s="8" t="s">
        <v>3476</v>
      </c>
      <c r="C3121" s="2" t="s">
        <v>786</v>
      </c>
      <c r="D3121" s="2" t="s">
        <v>787</v>
      </c>
      <c r="E3121" s="6">
        <v>46129.51082175926</v>
      </c>
      <c r="F3121" s="3" t="s">
        <v>788</v>
      </c>
      <c r="G3121" s="2" t="s">
        <v>16</v>
      </c>
      <c r="H3121" s="2"/>
      <c r="I3121" s="2"/>
      <c r="J3121" s="2"/>
      <c r="L3121" s="2" t="s">
        <v>2814</v>
      </c>
    </row>
  </sheetData>
  <autoFilter ref="$A$1:$L$25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21.88"/>
  </cols>
  <sheetData>
    <row r="1">
      <c r="A1" s="1" t="s">
        <v>0</v>
      </c>
      <c r="B1" s="1" t="s">
        <v>1</v>
      </c>
      <c r="C1" s="2" t="s">
        <v>4</v>
      </c>
      <c r="D1" s="2" t="s">
        <v>2</v>
      </c>
      <c r="E1" s="2" t="s">
        <v>3</v>
      </c>
      <c r="F1" s="2" t="s">
        <v>3477</v>
      </c>
      <c r="G1" s="11" t="s">
        <v>3478</v>
      </c>
      <c r="H1" s="2" t="s">
        <v>6</v>
      </c>
      <c r="I1" s="2" t="s">
        <v>3479</v>
      </c>
      <c r="J1" s="2" t="s">
        <v>3480</v>
      </c>
      <c r="K1" s="12" t="s">
        <v>3481</v>
      </c>
      <c r="L1" s="2" t="s">
        <v>3482</v>
      </c>
      <c r="M1" s="2" t="s">
        <v>3483</v>
      </c>
      <c r="N1" s="2" t="s">
        <v>3484</v>
      </c>
      <c r="O1" s="2" t="s">
        <v>3485</v>
      </c>
    </row>
    <row r="2" hidden="1">
      <c r="A2" s="1" t="s">
        <v>12</v>
      </c>
      <c r="B2" s="1" t="s">
        <v>12</v>
      </c>
      <c r="C2" s="13">
        <v>45527.40744212963</v>
      </c>
      <c r="D2" s="2" t="s">
        <v>13</v>
      </c>
      <c r="E2" s="2" t="s">
        <v>14</v>
      </c>
      <c r="F2" s="14" t="s">
        <v>3486</v>
      </c>
      <c r="G2" s="14" t="s">
        <v>3487</v>
      </c>
      <c r="H2" s="15" t="s">
        <v>16</v>
      </c>
      <c r="I2" s="15" t="s">
        <v>3488</v>
      </c>
      <c r="J2" s="2">
        <v>20.0</v>
      </c>
      <c r="K2" s="12" t="s">
        <v>3489</v>
      </c>
      <c r="L2" s="16">
        <v>50000.0</v>
      </c>
    </row>
    <row r="3" hidden="1">
      <c r="A3" s="1" t="s">
        <v>19</v>
      </c>
      <c r="B3" s="1" t="s">
        <v>19</v>
      </c>
      <c r="C3" s="13">
        <v>45527.43210648148</v>
      </c>
      <c r="D3" s="2" t="s">
        <v>20</v>
      </c>
      <c r="E3" s="2" t="s">
        <v>21</v>
      </c>
      <c r="F3" s="14" t="s">
        <v>3486</v>
      </c>
      <c r="G3" s="14" t="s">
        <v>3487</v>
      </c>
      <c r="H3" s="15" t="s">
        <v>16</v>
      </c>
      <c r="I3" s="15" t="s">
        <v>3488</v>
      </c>
      <c r="J3" s="2">
        <v>10.0</v>
      </c>
      <c r="K3" s="12" t="s">
        <v>3490</v>
      </c>
      <c r="L3" s="16">
        <v>60000.0</v>
      </c>
    </row>
    <row r="4" hidden="1">
      <c r="A4" s="1" t="s">
        <v>23</v>
      </c>
      <c r="B4" s="1" t="s">
        <v>23</v>
      </c>
      <c r="C4" s="13">
        <v>45530.43541666667</v>
      </c>
      <c r="D4" s="2" t="s">
        <v>13</v>
      </c>
      <c r="E4" s="2" t="s">
        <v>14</v>
      </c>
      <c r="F4" s="14" t="s">
        <v>3486</v>
      </c>
      <c r="G4" s="14" t="s">
        <v>3487</v>
      </c>
      <c r="H4" s="15" t="s">
        <v>24</v>
      </c>
      <c r="I4" s="15" t="s">
        <v>3491</v>
      </c>
      <c r="J4" s="2">
        <v>4.0</v>
      </c>
      <c r="K4" s="12" t="s">
        <v>3492</v>
      </c>
      <c r="L4" s="17"/>
    </row>
    <row r="5" hidden="1">
      <c r="A5" s="1" t="s">
        <v>25</v>
      </c>
      <c r="B5" s="1" t="s">
        <v>25</v>
      </c>
      <c r="C5" s="13">
        <v>45530.46597222222</v>
      </c>
      <c r="D5" s="2" t="s">
        <v>20</v>
      </c>
      <c r="E5" s="2" t="s">
        <v>21</v>
      </c>
      <c r="F5" s="14" t="s">
        <v>3493</v>
      </c>
      <c r="G5" s="14" t="s">
        <v>3494</v>
      </c>
      <c r="H5" s="15" t="s">
        <v>16</v>
      </c>
      <c r="I5" s="15" t="s">
        <v>3488</v>
      </c>
      <c r="J5" s="2">
        <v>1.0</v>
      </c>
      <c r="K5" s="12" t="s">
        <v>3495</v>
      </c>
      <c r="L5" s="16">
        <v>210000.0</v>
      </c>
    </row>
    <row r="6" hidden="1">
      <c r="A6" s="1" t="s">
        <v>25</v>
      </c>
      <c r="B6" s="1" t="s">
        <v>25</v>
      </c>
      <c r="C6" s="13">
        <v>45530.507835648146</v>
      </c>
      <c r="D6" s="2" t="s">
        <v>20</v>
      </c>
      <c r="E6" s="2" t="s">
        <v>21</v>
      </c>
      <c r="F6" s="14" t="s">
        <v>3486</v>
      </c>
      <c r="G6" s="14" t="s">
        <v>3487</v>
      </c>
      <c r="H6" s="15" t="s">
        <v>16</v>
      </c>
      <c r="I6" s="15" t="s">
        <v>3488</v>
      </c>
      <c r="J6" s="2">
        <v>10.0</v>
      </c>
      <c r="K6" s="12" t="s">
        <v>3496</v>
      </c>
      <c r="L6" s="16">
        <v>60000.0</v>
      </c>
    </row>
    <row r="7" hidden="1">
      <c r="A7" s="1" t="s">
        <v>26</v>
      </c>
      <c r="B7" s="1" t="s">
        <v>26</v>
      </c>
      <c r="C7" s="13">
        <v>45530.61184027778</v>
      </c>
      <c r="D7" s="2" t="s">
        <v>20</v>
      </c>
      <c r="E7" s="2" t="s">
        <v>21</v>
      </c>
      <c r="F7" s="14" t="s">
        <v>3486</v>
      </c>
      <c r="G7" s="14" t="s">
        <v>3487</v>
      </c>
      <c r="H7" s="15" t="s">
        <v>24</v>
      </c>
      <c r="I7" s="15" t="s">
        <v>3491</v>
      </c>
      <c r="J7" s="2">
        <v>8.0</v>
      </c>
      <c r="K7" s="12" t="s">
        <v>3497</v>
      </c>
      <c r="L7" s="17"/>
    </row>
    <row r="8" hidden="1">
      <c r="A8" s="1" t="s">
        <v>27</v>
      </c>
      <c r="B8" s="1" t="s">
        <v>27</v>
      </c>
      <c r="C8" s="13">
        <v>45532.53774305555</v>
      </c>
      <c r="D8" s="2" t="s">
        <v>28</v>
      </c>
      <c r="E8" s="2" t="s">
        <v>29</v>
      </c>
      <c r="F8" s="14" t="s">
        <v>3486</v>
      </c>
      <c r="G8" s="14" t="s">
        <v>3487</v>
      </c>
      <c r="H8" s="15" t="s">
        <v>16</v>
      </c>
      <c r="I8" s="15" t="s">
        <v>3488</v>
      </c>
      <c r="J8" s="2">
        <v>20.0</v>
      </c>
      <c r="K8" s="12" t="s">
        <v>3498</v>
      </c>
      <c r="L8" s="16">
        <v>60000.0</v>
      </c>
    </row>
    <row r="9" hidden="1">
      <c r="A9" s="1" t="s">
        <v>31</v>
      </c>
      <c r="B9" s="1" t="s">
        <v>31</v>
      </c>
      <c r="C9" s="13">
        <v>45533.55625</v>
      </c>
      <c r="D9" s="2" t="s">
        <v>13</v>
      </c>
      <c r="E9" s="2" t="s">
        <v>14</v>
      </c>
      <c r="F9" s="14" t="s">
        <v>3486</v>
      </c>
      <c r="G9" s="14" t="s">
        <v>3487</v>
      </c>
      <c r="H9" s="15" t="s">
        <v>24</v>
      </c>
      <c r="I9" s="15" t="s">
        <v>3491</v>
      </c>
      <c r="J9" s="2">
        <v>7.0</v>
      </c>
      <c r="K9" s="12" t="s">
        <v>3499</v>
      </c>
      <c r="L9" s="17"/>
    </row>
    <row r="10" hidden="1">
      <c r="A10" s="1" t="s">
        <v>32</v>
      </c>
      <c r="B10" s="1" t="s">
        <v>32</v>
      </c>
      <c r="C10" s="13">
        <v>45534.427083333336</v>
      </c>
      <c r="D10" s="2" t="s">
        <v>20</v>
      </c>
      <c r="E10" s="2" t="s">
        <v>21</v>
      </c>
      <c r="F10" s="14" t="s">
        <v>3486</v>
      </c>
      <c r="G10" s="14" t="s">
        <v>3487</v>
      </c>
      <c r="H10" s="15" t="s">
        <v>24</v>
      </c>
      <c r="I10" s="15" t="s">
        <v>3491</v>
      </c>
      <c r="J10" s="2">
        <v>10.0</v>
      </c>
      <c r="K10" s="12" t="s">
        <v>3500</v>
      </c>
      <c r="L10" s="17"/>
    </row>
    <row r="11" hidden="1">
      <c r="A11" s="1" t="s">
        <v>3501</v>
      </c>
      <c r="B11" s="1" t="s">
        <v>3501</v>
      </c>
      <c r="C11" s="13">
        <v>45534.46622685185</v>
      </c>
      <c r="D11" s="2" t="s">
        <v>20</v>
      </c>
      <c r="E11" s="2" t="s">
        <v>21</v>
      </c>
      <c r="F11" s="14" t="s">
        <v>3486</v>
      </c>
      <c r="G11" s="14" t="s">
        <v>3487</v>
      </c>
      <c r="H11" s="15" t="s">
        <v>16</v>
      </c>
      <c r="I11" s="15" t="s">
        <v>3488</v>
      </c>
      <c r="J11" s="2">
        <v>10.0</v>
      </c>
      <c r="K11" s="12" t="s">
        <v>3502</v>
      </c>
      <c r="L11" s="16">
        <v>60000.0</v>
      </c>
    </row>
    <row r="12" hidden="1">
      <c r="A12" s="1" t="s">
        <v>33</v>
      </c>
      <c r="B12" s="1" t="s">
        <v>33</v>
      </c>
      <c r="C12" s="13">
        <v>45535.41667824074</v>
      </c>
      <c r="D12" s="2" t="s">
        <v>34</v>
      </c>
      <c r="E12" s="2" t="s">
        <v>35</v>
      </c>
      <c r="F12" s="14" t="s">
        <v>3486</v>
      </c>
      <c r="G12" s="14" t="s">
        <v>3487</v>
      </c>
      <c r="H12" s="15" t="s">
        <v>16</v>
      </c>
      <c r="I12" s="15" t="s">
        <v>3488</v>
      </c>
      <c r="J12" s="2">
        <v>1.0</v>
      </c>
      <c r="K12" s="12" t="s">
        <v>3503</v>
      </c>
      <c r="L12" s="18" t="e">
        <v>#N/A</v>
      </c>
    </row>
    <row r="13" hidden="1">
      <c r="A13" s="1" t="s">
        <v>36</v>
      </c>
      <c r="B13" s="1" t="s">
        <v>36</v>
      </c>
      <c r="C13" s="13">
        <v>45537.46388888889</v>
      </c>
      <c r="D13" s="2" t="s">
        <v>13</v>
      </c>
      <c r="E13" s="2" t="s">
        <v>14</v>
      </c>
      <c r="F13" s="14" t="s">
        <v>3486</v>
      </c>
      <c r="G13" s="14" t="s">
        <v>3487</v>
      </c>
      <c r="H13" s="15" t="s">
        <v>24</v>
      </c>
      <c r="I13" s="15" t="s">
        <v>3491</v>
      </c>
      <c r="J13" s="2">
        <v>9.0</v>
      </c>
      <c r="K13" s="12" t="s">
        <v>3504</v>
      </c>
      <c r="L13" s="17"/>
    </row>
    <row r="14" hidden="1">
      <c r="A14" s="1" t="s">
        <v>37</v>
      </c>
      <c r="B14" s="1" t="s">
        <v>37</v>
      </c>
      <c r="C14" s="13">
        <v>45537.464583333334</v>
      </c>
      <c r="D14" s="2" t="s">
        <v>20</v>
      </c>
      <c r="E14" s="2" t="s">
        <v>21</v>
      </c>
      <c r="F14" s="14" t="s">
        <v>3486</v>
      </c>
      <c r="G14" s="14" t="s">
        <v>3487</v>
      </c>
      <c r="H14" s="15" t="s">
        <v>24</v>
      </c>
      <c r="I14" s="15" t="s">
        <v>3491</v>
      </c>
      <c r="J14" s="2">
        <v>4.0</v>
      </c>
      <c r="K14" s="12" t="s">
        <v>3505</v>
      </c>
      <c r="L14" s="17"/>
    </row>
    <row r="15" hidden="1">
      <c r="A15" s="1" t="s">
        <v>38</v>
      </c>
      <c r="B15" s="1" t="s">
        <v>38</v>
      </c>
      <c r="C15" s="13">
        <v>45537.550474537034</v>
      </c>
      <c r="D15" s="2" t="s">
        <v>39</v>
      </c>
      <c r="E15" s="2" t="s">
        <v>40</v>
      </c>
      <c r="F15" s="14" t="s">
        <v>3506</v>
      </c>
      <c r="G15" s="14" t="s">
        <v>3507</v>
      </c>
      <c r="H15" s="15" t="s">
        <v>16</v>
      </c>
      <c r="I15" s="15" t="s">
        <v>3488</v>
      </c>
      <c r="J15" s="2">
        <v>1.0</v>
      </c>
      <c r="K15" s="19"/>
      <c r="L15" s="18" t="e">
        <v>#N/A</v>
      </c>
    </row>
    <row r="16" hidden="1">
      <c r="A16" s="1" t="s">
        <v>3508</v>
      </c>
      <c r="B16" s="1" t="s">
        <v>3508</v>
      </c>
      <c r="C16" s="13">
        <v>45537.550474537034</v>
      </c>
      <c r="D16" s="2" t="s">
        <v>39</v>
      </c>
      <c r="E16" s="2" t="s">
        <v>40</v>
      </c>
      <c r="F16" s="14" t="s">
        <v>3506</v>
      </c>
      <c r="G16" s="14" t="s">
        <v>3507</v>
      </c>
      <c r="H16" s="15" t="s">
        <v>24</v>
      </c>
      <c r="I16" s="15" t="s">
        <v>3491</v>
      </c>
      <c r="J16" s="2">
        <v>1.0</v>
      </c>
      <c r="K16" s="19"/>
      <c r="L16" s="17"/>
    </row>
    <row r="17" hidden="1">
      <c r="A17" s="1"/>
      <c r="B17" s="1"/>
      <c r="C17" s="13"/>
      <c r="F17" s="14"/>
      <c r="G17" s="14"/>
      <c r="H17" s="15"/>
      <c r="I17" s="15"/>
      <c r="K17" s="19"/>
      <c r="L17" s="18"/>
    </row>
    <row r="18" hidden="1">
      <c r="A18" s="1"/>
      <c r="B18" s="1"/>
      <c r="C18" s="13"/>
      <c r="F18" s="14"/>
      <c r="G18" s="14"/>
      <c r="H18" s="15"/>
      <c r="I18" s="15"/>
      <c r="K18" s="19"/>
      <c r="L18" s="17"/>
    </row>
    <row r="19" hidden="1">
      <c r="A19" s="1" t="s">
        <v>41</v>
      </c>
      <c r="B19" s="1" t="s">
        <v>41</v>
      </c>
      <c r="C19" s="13">
        <v>45538.438043981485</v>
      </c>
      <c r="D19" s="2" t="s">
        <v>13</v>
      </c>
      <c r="E19" s="2" t="s">
        <v>14</v>
      </c>
      <c r="F19" s="14" t="s">
        <v>3486</v>
      </c>
      <c r="G19" s="14" t="s">
        <v>3487</v>
      </c>
      <c r="H19" s="15" t="s">
        <v>16</v>
      </c>
      <c r="I19" s="15" t="s">
        <v>3488</v>
      </c>
      <c r="J19" s="2">
        <v>10.0</v>
      </c>
      <c r="K19" s="12" t="s">
        <v>3509</v>
      </c>
      <c r="L19" s="16">
        <v>50000.0</v>
      </c>
    </row>
    <row r="20" hidden="1">
      <c r="A20" s="1" t="s">
        <v>42</v>
      </c>
      <c r="B20" s="1" t="s">
        <v>42</v>
      </c>
      <c r="C20" s="13">
        <v>45544.36041666667</v>
      </c>
      <c r="D20" s="2" t="s">
        <v>28</v>
      </c>
      <c r="E20" s="2" t="s">
        <v>29</v>
      </c>
      <c r="F20" s="14" t="s">
        <v>3486</v>
      </c>
      <c r="G20" s="14" t="s">
        <v>3487</v>
      </c>
      <c r="H20" s="15" t="s">
        <v>24</v>
      </c>
      <c r="I20" s="15" t="s">
        <v>3491</v>
      </c>
      <c r="J20" s="2">
        <v>2.0</v>
      </c>
      <c r="K20" s="12" t="s">
        <v>3510</v>
      </c>
      <c r="L20" s="17"/>
    </row>
    <row r="21" hidden="1">
      <c r="A21" s="1" t="s">
        <v>43</v>
      </c>
      <c r="B21" s="1" t="s">
        <v>43</v>
      </c>
      <c r="C21" s="13">
        <v>45544.36111111111</v>
      </c>
      <c r="D21" s="2" t="s">
        <v>13</v>
      </c>
      <c r="E21" s="2" t="s">
        <v>14</v>
      </c>
      <c r="F21" s="14" t="s">
        <v>3486</v>
      </c>
      <c r="G21" s="14" t="s">
        <v>3487</v>
      </c>
      <c r="H21" s="15" t="s">
        <v>24</v>
      </c>
      <c r="I21" s="15" t="s">
        <v>3491</v>
      </c>
      <c r="J21" s="2">
        <v>8.0</v>
      </c>
      <c r="K21" s="12" t="s">
        <v>3511</v>
      </c>
      <c r="L21" s="17"/>
    </row>
    <row r="22">
      <c r="A22" s="1" t="s">
        <v>44</v>
      </c>
      <c r="B22" s="1" t="s">
        <v>44</v>
      </c>
      <c r="C22" s="13">
        <v>45545.51719907407</v>
      </c>
      <c r="D22" s="2" t="s">
        <v>45</v>
      </c>
      <c r="E22" s="2" t="s">
        <v>46</v>
      </c>
      <c r="F22" s="14" t="s">
        <v>3486</v>
      </c>
      <c r="G22" s="14" t="s">
        <v>3487</v>
      </c>
      <c r="H22" s="15" t="s">
        <v>16</v>
      </c>
      <c r="I22" s="15" t="s">
        <v>3488</v>
      </c>
      <c r="J22" s="2">
        <v>15.0</v>
      </c>
      <c r="K22" s="12" t="s">
        <v>3512</v>
      </c>
      <c r="L22" s="16">
        <v>60000.0</v>
      </c>
    </row>
    <row r="23">
      <c r="A23" s="1" t="s">
        <v>44</v>
      </c>
      <c r="B23" s="1" t="s">
        <v>44</v>
      </c>
      <c r="C23" s="13">
        <v>45545.519733796296</v>
      </c>
      <c r="D23" s="2" t="s">
        <v>45</v>
      </c>
      <c r="E23" s="2" t="s">
        <v>46</v>
      </c>
      <c r="F23" s="14" t="s">
        <v>3493</v>
      </c>
      <c r="G23" s="14" t="s">
        <v>3494</v>
      </c>
      <c r="H23" s="15" t="s">
        <v>16</v>
      </c>
      <c r="I23" s="15" t="s">
        <v>3488</v>
      </c>
      <c r="J23" s="2">
        <v>5.0</v>
      </c>
      <c r="K23" s="12" t="s">
        <v>3513</v>
      </c>
      <c r="L23" s="16">
        <v>210000.0</v>
      </c>
    </row>
    <row r="24" hidden="1">
      <c r="A24" s="1" t="s">
        <v>48</v>
      </c>
      <c r="B24" s="1" t="s">
        <v>48</v>
      </c>
      <c r="C24" s="13">
        <v>45547.406319444446</v>
      </c>
      <c r="D24" s="2" t="s">
        <v>49</v>
      </c>
      <c r="E24" s="2" t="s">
        <v>50</v>
      </c>
      <c r="F24" s="14" t="s">
        <v>3486</v>
      </c>
      <c r="G24" s="14" t="s">
        <v>3487</v>
      </c>
      <c r="H24" s="15" t="s">
        <v>16</v>
      </c>
      <c r="I24" s="15" t="s">
        <v>3488</v>
      </c>
      <c r="J24" s="2">
        <v>5.0</v>
      </c>
      <c r="K24" s="12" t="s">
        <v>3514</v>
      </c>
      <c r="L24" s="16">
        <v>60000.0</v>
      </c>
    </row>
    <row r="25" hidden="1">
      <c r="A25" s="1" t="s">
        <v>52</v>
      </c>
      <c r="B25" s="1" t="s">
        <v>52</v>
      </c>
      <c r="C25" s="13">
        <v>45547.44578703704</v>
      </c>
      <c r="D25" s="2" t="s">
        <v>28</v>
      </c>
      <c r="E25" s="2" t="s">
        <v>29</v>
      </c>
      <c r="F25" s="14" t="s">
        <v>3486</v>
      </c>
      <c r="G25" s="14" t="s">
        <v>3487</v>
      </c>
      <c r="H25" s="15" t="s">
        <v>24</v>
      </c>
      <c r="I25" s="15" t="s">
        <v>3491</v>
      </c>
      <c r="J25" s="2">
        <v>3.0</v>
      </c>
      <c r="K25" s="12" t="s">
        <v>3515</v>
      </c>
      <c r="L25" s="17"/>
    </row>
    <row r="26" hidden="1">
      <c r="A26" s="1" t="s">
        <v>53</v>
      </c>
      <c r="B26" s="1" t="s">
        <v>53</v>
      </c>
      <c r="C26" s="13">
        <v>45548.444444444445</v>
      </c>
      <c r="D26" s="2" t="s">
        <v>28</v>
      </c>
      <c r="E26" s="2" t="s">
        <v>29</v>
      </c>
      <c r="F26" s="14" t="s">
        <v>3493</v>
      </c>
      <c r="G26" s="14" t="s">
        <v>3494</v>
      </c>
      <c r="H26" s="15" t="s">
        <v>16</v>
      </c>
      <c r="I26" s="15" t="s">
        <v>3488</v>
      </c>
      <c r="J26" s="2">
        <v>3.0</v>
      </c>
      <c r="K26" s="19"/>
      <c r="L26" s="16">
        <v>225000.0</v>
      </c>
    </row>
    <row r="27" hidden="1">
      <c r="A27" s="1" t="s">
        <v>53</v>
      </c>
      <c r="B27" s="1" t="s">
        <v>53</v>
      </c>
      <c r="C27" s="13">
        <v>45548.44824074074</v>
      </c>
      <c r="D27" s="2" t="s">
        <v>28</v>
      </c>
      <c r="E27" s="2" t="s">
        <v>29</v>
      </c>
      <c r="F27" s="14" t="s">
        <v>3516</v>
      </c>
      <c r="G27" s="14" t="s">
        <v>3517</v>
      </c>
      <c r="H27" s="15" t="s">
        <v>16</v>
      </c>
      <c r="I27" s="15" t="s">
        <v>3488</v>
      </c>
      <c r="J27" s="2">
        <v>5.0</v>
      </c>
      <c r="K27" s="12" t="s">
        <v>3518</v>
      </c>
      <c r="L27" s="16">
        <v>160000.0</v>
      </c>
    </row>
    <row r="28" hidden="1">
      <c r="A28" s="1" t="s">
        <v>54</v>
      </c>
      <c r="B28" s="1" t="s">
        <v>54</v>
      </c>
      <c r="C28" s="13">
        <v>45548.4487037037</v>
      </c>
      <c r="D28" s="2" t="s">
        <v>55</v>
      </c>
      <c r="E28" s="2" t="s">
        <v>56</v>
      </c>
      <c r="F28" s="14" t="s">
        <v>3486</v>
      </c>
      <c r="G28" s="14" t="s">
        <v>3487</v>
      </c>
      <c r="H28" s="15" t="s">
        <v>16</v>
      </c>
      <c r="I28" s="15" t="s">
        <v>3488</v>
      </c>
      <c r="J28" s="2">
        <v>5.0</v>
      </c>
      <c r="K28" s="12" t="s">
        <v>3519</v>
      </c>
      <c r="L28" s="16">
        <v>60000.0</v>
      </c>
    </row>
    <row r="29" hidden="1">
      <c r="A29" s="1" t="s">
        <v>58</v>
      </c>
      <c r="B29" s="1" t="s">
        <v>58</v>
      </c>
      <c r="C29" s="13">
        <v>45549.46349537037</v>
      </c>
      <c r="D29" s="2" t="s">
        <v>28</v>
      </c>
      <c r="E29" s="2" t="s">
        <v>29</v>
      </c>
      <c r="F29" s="14" t="s">
        <v>3486</v>
      </c>
      <c r="G29" s="14" t="s">
        <v>3487</v>
      </c>
      <c r="H29" s="15" t="s">
        <v>24</v>
      </c>
      <c r="I29" s="15" t="s">
        <v>3491</v>
      </c>
      <c r="J29" s="2">
        <v>2.0</v>
      </c>
      <c r="K29" s="12" t="s">
        <v>3520</v>
      </c>
      <c r="L29" s="17"/>
    </row>
    <row r="30" hidden="1">
      <c r="A30" s="1" t="s">
        <v>59</v>
      </c>
      <c r="B30" s="1" t="s">
        <v>59</v>
      </c>
      <c r="C30" s="13">
        <v>45552.52795138889</v>
      </c>
      <c r="D30" s="2" t="s">
        <v>55</v>
      </c>
      <c r="E30" s="2" t="s">
        <v>56</v>
      </c>
      <c r="F30" s="14" t="s">
        <v>3486</v>
      </c>
      <c r="G30" s="14" t="s">
        <v>3487</v>
      </c>
      <c r="H30" s="15" t="s">
        <v>16</v>
      </c>
      <c r="I30" s="15" t="s">
        <v>3488</v>
      </c>
      <c r="J30" s="2">
        <v>15.0</v>
      </c>
      <c r="K30" s="12" t="s">
        <v>3521</v>
      </c>
      <c r="L30" s="16">
        <v>60000.0</v>
      </c>
    </row>
    <row r="31">
      <c r="A31" s="1" t="s">
        <v>60</v>
      </c>
      <c r="B31" s="1" t="s">
        <v>60</v>
      </c>
      <c r="C31" s="13">
        <v>45553.436377314814</v>
      </c>
      <c r="D31" s="2" t="s">
        <v>45</v>
      </c>
      <c r="E31" s="2" t="s">
        <v>46</v>
      </c>
      <c r="F31" s="14" t="s">
        <v>3522</v>
      </c>
      <c r="G31" s="14" t="s">
        <v>3523</v>
      </c>
      <c r="H31" s="15" t="s">
        <v>16</v>
      </c>
      <c r="I31" s="15" t="s">
        <v>3488</v>
      </c>
      <c r="J31" s="2">
        <v>5.0</v>
      </c>
      <c r="K31" s="12" t="s">
        <v>3524</v>
      </c>
      <c r="L31" s="16">
        <v>196000.0</v>
      </c>
    </row>
    <row r="32">
      <c r="A32" s="1" t="s">
        <v>60</v>
      </c>
      <c r="B32" s="1" t="s">
        <v>60</v>
      </c>
      <c r="C32" s="13">
        <v>45553.43665509259</v>
      </c>
      <c r="D32" s="2" t="s">
        <v>45</v>
      </c>
      <c r="E32" s="2" t="s">
        <v>46</v>
      </c>
      <c r="F32" s="14" t="s">
        <v>3486</v>
      </c>
      <c r="G32" s="14" t="s">
        <v>3487</v>
      </c>
      <c r="H32" s="15" t="s">
        <v>16</v>
      </c>
      <c r="I32" s="15" t="s">
        <v>3488</v>
      </c>
      <c r="J32" s="2">
        <v>5.0</v>
      </c>
      <c r="K32" s="12" t="s">
        <v>3525</v>
      </c>
      <c r="L32" s="16">
        <v>60000.0</v>
      </c>
    </row>
    <row r="33" hidden="1">
      <c r="A33" s="1" t="s">
        <v>61</v>
      </c>
      <c r="B33" s="1" t="s">
        <v>61</v>
      </c>
      <c r="C33" s="13">
        <v>45553.50400462963</v>
      </c>
      <c r="D33" s="2" t="s">
        <v>55</v>
      </c>
      <c r="E33" s="2" t="s">
        <v>56</v>
      </c>
      <c r="F33" s="14" t="s">
        <v>3486</v>
      </c>
      <c r="G33" s="14" t="s">
        <v>3487</v>
      </c>
      <c r="H33" s="15" t="s">
        <v>24</v>
      </c>
      <c r="I33" s="15" t="s">
        <v>3491</v>
      </c>
      <c r="J33" s="2">
        <v>4.0</v>
      </c>
      <c r="K33" s="12" t="s">
        <v>3526</v>
      </c>
      <c r="L33" s="17"/>
    </row>
    <row r="34" hidden="1">
      <c r="A34" s="1" t="s">
        <v>62</v>
      </c>
      <c r="B34" s="1" t="s">
        <v>62</v>
      </c>
      <c r="C34" s="13">
        <v>45553.615115740744</v>
      </c>
      <c r="D34" s="2" t="s">
        <v>20</v>
      </c>
      <c r="E34" s="2" t="s">
        <v>21</v>
      </c>
      <c r="F34" s="14" t="s">
        <v>3486</v>
      </c>
      <c r="G34" s="14" t="s">
        <v>3487</v>
      </c>
      <c r="H34" s="15" t="s">
        <v>24</v>
      </c>
      <c r="I34" s="15" t="s">
        <v>3491</v>
      </c>
      <c r="J34" s="2">
        <v>5.0</v>
      </c>
      <c r="K34" s="12" t="s">
        <v>3527</v>
      </c>
      <c r="L34" s="17"/>
    </row>
    <row r="35" hidden="1">
      <c r="A35" s="1" t="s">
        <v>62</v>
      </c>
      <c r="B35" s="1" t="s">
        <v>62</v>
      </c>
      <c r="C35" s="13">
        <v>45553.61667824074</v>
      </c>
      <c r="D35" s="2" t="s">
        <v>20</v>
      </c>
      <c r="E35" s="2" t="s">
        <v>21</v>
      </c>
      <c r="F35" s="14" t="s">
        <v>3493</v>
      </c>
      <c r="G35" s="14" t="s">
        <v>3494</v>
      </c>
      <c r="H35" s="15" t="s">
        <v>24</v>
      </c>
      <c r="I35" s="15" t="s">
        <v>3491</v>
      </c>
      <c r="J35" s="2">
        <v>1.0</v>
      </c>
      <c r="K35" s="12" t="s">
        <v>3495</v>
      </c>
      <c r="L35" s="17"/>
    </row>
    <row r="36">
      <c r="A36" s="1" t="s">
        <v>63</v>
      </c>
      <c r="B36" s="1" t="s">
        <v>63</v>
      </c>
      <c r="C36" s="13">
        <v>45553.61709490741</v>
      </c>
      <c r="D36" s="2" t="s">
        <v>45</v>
      </c>
      <c r="E36" s="2" t="s">
        <v>46</v>
      </c>
      <c r="F36" s="14" t="s">
        <v>3493</v>
      </c>
      <c r="G36" s="14" t="s">
        <v>3494</v>
      </c>
      <c r="H36" s="15" t="s">
        <v>24</v>
      </c>
      <c r="I36" s="15" t="s">
        <v>3491</v>
      </c>
      <c r="J36" s="2">
        <v>5.0</v>
      </c>
      <c r="K36" s="12" t="s">
        <v>3513</v>
      </c>
      <c r="L36" s="17"/>
    </row>
    <row r="37" hidden="1">
      <c r="A37" s="1" t="s">
        <v>64</v>
      </c>
      <c r="B37" s="1" t="s">
        <v>64</v>
      </c>
      <c r="C37" s="13">
        <v>45554.464907407404</v>
      </c>
      <c r="D37" s="2" t="s">
        <v>55</v>
      </c>
      <c r="E37" s="2" t="s">
        <v>56</v>
      </c>
      <c r="F37" s="14" t="s">
        <v>3486</v>
      </c>
      <c r="G37" s="14" t="s">
        <v>3487</v>
      </c>
      <c r="H37" s="15" t="s">
        <v>24</v>
      </c>
      <c r="I37" s="15" t="s">
        <v>3491</v>
      </c>
      <c r="J37" s="2">
        <v>2.0</v>
      </c>
      <c r="K37" s="12" t="s">
        <v>3528</v>
      </c>
      <c r="L37" s="17"/>
    </row>
    <row r="38" hidden="1">
      <c r="A38" s="1" t="s">
        <v>65</v>
      </c>
      <c r="B38" s="1" t="s">
        <v>65</v>
      </c>
      <c r="C38" s="13">
        <v>45554.46564814815</v>
      </c>
      <c r="D38" s="2" t="s">
        <v>28</v>
      </c>
      <c r="E38" s="2" t="s">
        <v>29</v>
      </c>
      <c r="F38" s="14" t="s">
        <v>3486</v>
      </c>
      <c r="G38" s="14" t="s">
        <v>3487</v>
      </c>
      <c r="H38" s="15" t="s">
        <v>24</v>
      </c>
      <c r="I38" s="15" t="s">
        <v>3491</v>
      </c>
      <c r="J38" s="2">
        <v>1.0</v>
      </c>
      <c r="K38" s="12" t="s">
        <v>3529</v>
      </c>
      <c r="L38" s="17"/>
    </row>
    <row r="39" hidden="1">
      <c r="A39" s="1" t="s">
        <v>3530</v>
      </c>
      <c r="B39" s="1" t="s">
        <v>3530</v>
      </c>
      <c r="C39" s="13">
        <v>45554.503796296296</v>
      </c>
      <c r="D39" s="2" t="s">
        <v>28</v>
      </c>
      <c r="E39" s="2" t="s">
        <v>29</v>
      </c>
      <c r="F39" s="14" t="s">
        <v>3486</v>
      </c>
      <c r="G39" s="14" t="s">
        <v>3487</v>
      </c>
      <c r="H39" s="15" t="s">
        <v>16</v>
      </c>
      <c r="I39" s="15" t="s">
        <v>3488</v>
      </c>
      <c r="J39" s="2">
        <v>5.0</v>
      </c>
      <c r="K39" s="12" t="s">
        <v>3531</v>
      </c>
      <c r="L39" s="16">
        <v>60000.0</v>
      </c>
    </row>
    <row r="40">
      <c r="A40" s="1" t="s">
        <v>66</v>
      </c>
      <c r="B40" s="1" t="s">
        <v>66</v>
      </c>
      <c r="C40" s="13">
        <v>45554.526192129626</v>
      </c>
      <c r="D40" s="2" t="s">
        <v>45</v>
      </c>
      <c r="E40" s="2" t="s">
        <v>46</v>
      </c>
      <c r="F40" s="14" t="s">
        <v>3486</v>
      </c>
      <c r="G40" s="14" t="s">
        <v>3487</v>
      </c>
      <c r="H40" s="15" t="s">
        <v>16</v>
      </c>
      <c r="I40" s="15" t="s">
        <v>3488</v>
      </c>
      <c r="J40" s="2">
        <v>5.0</v>
      </c>
      <c r="K40" s="12" t="s">
        <v>3532</v>
      </c>
      <c r="L40" s="16">
        <v>60000.0</v>
      </c>
    </row>
    <row r="41">
      <c r="A41" s="1" t="s">
        <v>66</v>
      </c>
      <c r="B41" s="1" t="s">
        <v>66</v>
      </c>
      <c r="C41" s="13">
        <v>45554.52780092593</v>
      </c>
      <c r="D41" s="2" t="s">
        <v>45</v>
      </c>
      <c r="E41" s="2" t="s">
        <v>46</v>
      </c>
      <c r="F41" s="14" t="s">
        <v>3493</v>
      </c>
      <c r="G41" s="14" t="s">
        <v>3494</v>
      </c>
      <c r="H41" s="15" t="s">
        <v>16</v>
      </c>
      <c r="I41" s="15" t="s">
        <v>3488</v>
      </c>
      <c r="J41" s="2">
        <v>10.0</v>
      </c>
      <c r="K41" s="19"/>
      <c r="L41" s="16">
        <v>210000.0</v>
      </c>
    </row>
    <row r="42">
      <c r="A42" s="1" t="s">
        <v>67</v>
      </c>
      <c r="B42" s="1" t="s">
        <v>67</v>
      </c>
      <c r="C42" s="13">
        <v>45554.55152777778</v>
      </c>
      <c r="D42" s="2" t="s">
        <v>45</v>
      </c>
      <c r="E42" s="2" t="s">
        <v>46</v>
      </c>
      <c r="F42" s="14" t="s">
        <v>3493</v>
      </c>
      <c r="G42" s="14" t="s">
        <v>3494</v>
      </c>
      <c r="H42" s="15" t="s">
        <v>24</v>
      </c>
      <c r="I42" s="15" t="s">
        <v>3491</v>
      </c>
      <c r="J42" s="2">
        <v>3.0</v>
      </c>
      <c r="K42" s="19"/>
      <c r="L42" s="17"/>
    </row>
    <row r="43" hidden="1">
      <c r="A43" s="1" t="s">
        <v>68</v>
      </c>
      <c r="B43" s="1" t="s">
        <v>68</v>
      </c>
      <c r="C43" s="13">
        <v>45556.459699074076</v>
      </c>
      <c r="D43" s="2" t="s">
        <v>55</v>
      </c>
      <c r="E43" s="2" t="s">
        <v>56</v>
      </c>
      <c r="F43" s="14" t="s">
        <v>3486</v>
      </c>
      <c r="G43" s="14" t="s">
        <v>3487</v>
      </c>
      <c r="H43" s="15" t="s">
        <v>24</v>
      </c>
      <c r="I43" s="15" t="s">
        <v>3491</v>
      </c>
      <c r="J43" s="2">
        <v>3.0</v>
      </c>
      <c r="K43" s="12" t="s">
        <v>3533</v>
      </c>
      <c r="L43" s="17"/>
    </row>
    <row r="44" hidden="1">
      <c r="A44" s="1" t="s">
        <v>69</v>
      </c>
      <c r="B44" s="1" t="s">
        <v>69</v>
      </c>
      <c r="C44" s="13">
        <v>45556.460185185184</v>
      </c>
      <c r="D44" s="2" t="s">
        <v>13</v>
      </c>
      <c r="E44" s="2" t="s">
        <v>14</v>
      </c>
      <c r="F44" s="14" t="s">
        <v>3486</v>
      </c>
      <c r="G44" s="14" t="s">
        <v>3487</v>
      </c>
      <c r="H44" s="15" t="s">
        <v>24</v>
      </c>
      <c r="I44" s="15" t="s">
        <v>3491</v>
      </c>
      <c r="J44" s="2">
        <v>2.0</v>
      </c>
      <c r="K44" s="12" t="s">
        <v>3534</v>
      </c>
      <c r="L44" s="17"/>
    </row>
    <row r="45" hidden="1">
      <c r="A45" s="1" t="s">
        <v>70</v>
      </c>
      <c r="B45" s="1" t="s">
        <v>70</v>
      </c>
      <c r="C45" s="13">
        <v>45558.63652777778</v>
      </c>
      <c r="D45" s="2" t="s">
        <v>34</v>
      </c>
      <c r="E45" s="2" t="s">
        <v>35</v>
      </c>
      <c r="F45" s="14" t="s">
        <v>3486</v>
      </c>
      <c r="G45" s="14" t="s">
        <v>3487</v>
      </c>
      <c r="H45" s="15" t="s">
        <v>24</v>
      </c>
      <c r="I45" s="15" t="s">
        <v>3491</v>
      </c>
      <c r="J45" s="2">
        <v>1.0</v>
      </c>
      <c r="K45" s="12" t="s">
        <v>3503</v>
      </c>
      <c r="L45" s="17"/>
    </row>
    <row r="46" hidden="1">
      <c r="A46" s="1" t="s">
        <v>71</v>
      </c>
      <c r="B46" s="1" t="s">
        <v>71</v>
      </c>
      <c r="C46" s="13">
        <v>45559.40938657407</v>
      </c>
      <c r="D46" s="2" t="s">
        <v>55</v>
      </c>
      <c r="E46" s="2" t="s">
        <v>56</v>
      </c>
      <c r="F46" s="14" t="s">
        <v>3486</v>
      </c>
      <c r="G46" s="14" t="s">
        <v>3487</v>
      </c>
      <c r="H46" s="15" t="s">
        <v>16</v>
      </c>
      <c r="I46" s="15" t="s">
        <v>3488</v>
      </c>
      <c r="J46" s="2">
        <v>10.0</v>
      </c>
      <c r="K46" s="12" t="s">
        <v>3535</v>
      </c>
      <c r="L46" s="16">
        <v>60000.0</v>
      </c>
    </row>
    <row r="47" hidden="1">
      <c r="A47" s="1" t="s">
        <v>72</v>
      </c>
      <c r="B47" s="1" t="s">
        <v>72</v>
      </c>
      <c r="C47" s="13">
        <v>45560.41107638889</v>
      </c>
      <c r="D47" s="2" t="s">
        <v>28</v>
      </c>
      <c r="E47" s="2" t="s">
        <v>29</v>
      </c>
      <c r="F47" s="14" t="s">
        <v>3486</v>
      </c>
      <c r="G47" s="14" t="s">
        <v>3487</v>
      </c>
      <c r="H47" s="15" t="s">
        <v>24</v>
      </c>
      <c r="I47" s="15" t="s">
        <v>3491</v>
      </c>
      <c r="J47" s="2">
        <v>3.0</v>
      </c>
      <c r="K47" s="12" t="s">
        <v>3536</v>
      </c>
      <c r="L47" s="17"/>
    </row>
    <row r="48" hidden="1">
      <c r="A48" s="1" t="s">
        <v>73</v>
      </c>
      <c r="B48" s="1" t="s">
        <v>73</v>
      </c>
      <c r="C48" s="13">
        <v>45560.412824074076</v>
      </c>
      <c r="D48" s="2" t="s">
        <v>55</v>
      </c>
      <c r="E48" s="2" t="s">
        <v>56</v>
      </c>
      <c r="F48" s="14" t="s">
        <v>3486</v>
      </c>
      <c r="G48" s="14" t="s">
        <v>3487</v>
      </c>
      <c r="H48" s="15" t="s">
        <v>24</v>
      </c>
      <c r="I48" s="15" t="s">
        <v>3491</v>
      </c>
      <c r="J48" s="2">
        <v>7.0</v>
      </c>
      <c r="K48" s="12" t="s">
        <v>3537</v>
      </c>
      <c r="L48" s="17"/>
    </row>
    <row r="49" hidden="1">
      <c r="A49" s="1" t="s">
        <v>74</v>
      </c>
      <c r="B49" s="1" t="s">
        <v>74</v>
      </c>
      <c r="C49" s="13">
        <v>45561.35150462963</v>
      </c>
      <c r="D49" s="2" t="s">
        <v>75</v>
      </c>
      <c r="E49" s="2" t="s">
        <v>76</v>
      </c>
      <c r="F49" s="14" t="s">
        <v>3522</v>
      </c>
      <c r="G49" s="14" t="s">
        <v>3523</v>
      </c>
      <c r="H49" s="15" t="s">
        <v>16</v>
      </c>
      <c r="I49" s="15" t="s">
        <v>3488</v>
      </c>
      <c r="J49" s="2">
        <v>2.0</v>
      </c>
      <c r="K49" s="12" t="s">
        <v>3538</v>
      </c>
      <c r="L49" s="16">
        <v>270000.0</v>
      </c>
    </row>
    <row r="50" hidden="1">
      <c r="A50" s="1" t="s">
        <v>78</v>
      </c>
      <c r="B50" s="1" t="s">
        <v>78</v>
      </c>
      <c r="C50" s="13">
        <v>45561.44055555556</v>
      </c>
      <c r="D50" s="2" t="s">
        <v>49</v>
      </c>
      <c r="E50" s="2" t="s">
        <v>50</v>
      </c>
      <c r="F50" s="14" t="s">
        <v>3486</v>
      </c>
      <c r="G50" s="14" t="s">
        <v>3487</v>
      </c>
      <c r="H50" s="15" t="s">
        <v>16</v>
      </c>
      <c r="I50" s="15" t="s">
        <v>3488</v>
      </c>
      <c r="J50" s="2">
        <v>2.0</v>
      </c>
      <c r="K50" s="12" t="s">
        <v>3539</v>
      </c>
      <c r="L50" s="16">
        <v>60000.0</v>
      </c>
    </row>
    <row r="51" hidden="1">
      <c r="A51" s="1" t="s">
        <v>79</v>
      </c>
      <c r="B51" s="1" t="s">
        <v>79</v>
      </c>
      <c r="C51" s="13">
        <v>45561.63428240741</v>
      </c>
      <c r="D51" s="2" t="s">
        <v>55</v>
      </c>
      <c r="E51" s="2" t="s">
        <v>56</v>
      </c>
      <c r="F51" s="14" t="s">
        <v>3486</v>
      </c>
      <c r="G51" s="14" t="s">
        <v>3487</v>
      </c>
      <c r="H51" s="15" t="s">
        <v>16</v>
      </c>
      <c r="I51" s="15" t="s">
        <v>3488</v>
      </c>
      <c r="J51" s="2">
        <v>10.0</v>
      </c>
      <c r="K51" s="12" t="s">
        <v>3540</v>
      </c>
      <c r="L51" s="16">
        <v>60000.0</v>
      </c>
    </row>
    <row r="52" hidden="1">
      <c r="A52" s="1" t="s">
        <v>80</v>
      </c>
      <c r="B52" s="1" t="s">
        <v>80</v>
      </c>
      <c r="C52" s="13">
        <v>45561.6609837963</v>
      </c>
      <c r="D52" s="2" t="s">
        <v>49</v>
      </c>
      <c r="E52" s="2" t="s">
        <v>50</v>
      </c>
      <c r="F52" s="14" t="s">
        <v>3486</v>
      </c>
      <c r="G52" s="14" t="s">
        <v>3487</v>
      </c>
      <c r="H52" s="15" t="s">
        <v>24</v>
      </c>
      <c r="I52" s="15" t="s">
        <v>3491</v>
      </c>
      <c r="J52" s="2">
        <v>2.0</v>
      </c>
      <c r="K52" s="12" t="s">
        <v>3541</v>
      </c>
      <c r="L52" s="17"/>
    </row>
    <row r="53" hidden="1">
      <c r="A53" s="1" t="s">
        <v>81</v>
      </c>
      <c r="B53" s="1" t="s">
        <v>81</v>
      </c>
      <c r="C53" s="13">
        <v>45561.661458333336</v>
      </c>
      <c r="D53" s="2" t="s">
        <v>55</v>
      </c>
      <c r="E53" s="2" t="s">
        <v>56</v>
      </c>
      <c r="F53" s="14" t="s">
        <v>3486</v>
      </c>
      <c r="G53" s="14" t="s">
        <v>3487</v>
      </c>
      <c r="H53" s="15" t="s">
        <v>24</v>
      </c>
      <c r="I53" s="15" t="s">
        <v>3491</v>
      </c>
      <c r="J53" s="2">
        <v>8.0</v>
      </c>
      <c r="K53" s="12" t="s">
        <v>3542</v>
      </c>
      <c r="L53" s="17"/>
    </row>
    <row r="54" hidden="1">
      <c r="A54" s="1" t="s">
        <v>82</v>
      </c>
      <c r="B54" s="1" t="s">
        <v>82</v>
      </c>
      <c r="C54" s="13">
        <v>45562.64703703704</v>
      </c>
      <c r="D54" s="2" t="s">
        <v>28</v>
      </c>
      <c r="E54" s="2" t="s">
        <v>29</v>
      </c>
      <c r="F54" s="14" t="s">
        <v>3516</v>
      </c>
      <c r="G54" s="14" t="s">
        <v>3517</v>
      </c>
      <c r="H54" s="15" t="s">
        <v>16</v>
      </c>
      <c r="I54" s="15" t="s">
        <v>3488</v>
      </c>
      <c r="J54" s="2">
        <v>5.0</v>
      </c>
      <c r="K54" s="12" t="s">
        <v>3543</v>
      </c>
      <c r="L54" s="16">
        <v>160000.0</v>
      </c>
    </row>
    <row r="55" hidden="1">
      <c r="A55" s="1" t="s">
        <v>82</v>
      </c>
      <c r="B55" s="1" t="s">
        <v>82</v>
      </c>
      <c r="C55" s="13">
        <v>45562.64784722222</v>
      </c>
      <c r="D55" s="2" t="s">
        <v>28</v>
      </c>
      <c r="E55" s="2" t="s">
        <v>29</v>
      </c>
      <c r="F55" s="14" t="s">
        <v>3486</v>
      </c>
      <c r="G55" s="14" t="s">
        <v>3487</v>
      </c>
      <c r="H55" s="15" t="s">
        <v>16</v>
      </c>
      <c r="I55" s="15" t="s">
        <v>3488</v>
      </c>
      <c r="J55" s="2">
        <v>5.0</v>
      </c>
      <c r="K55" s="12" t="s">
        <v>3544</v>
      </c>
      <c r="L55" s="16">
        <v>60000.0</v>
      </c>
    </row>
    <row r="56" hidden="1">
      <c r="A56" s="1" t="s">
        <v>83</v>
      </c>
      <c r="B56" s="1" t="s">
        <v>83</v>
      </c>
      <c r="C56" s="13">
        <v>45562.716840277775</v>
      </c>
      <c r="D56" s="2" t="s">
        <v>28</v>
      </c>
      <c r="E56" s="2" t="s">
        <v>29</v>
      </c>
      <c r="F56" s="14" t="s">
        <v>3516</v>
      </c>
      <c r="G56" s="14" t="s">
        <v>3517</v>
      </c>
      <c r="H56" s="15" t="s">
        <v>24</v>
      </c>
      <c r="I56" s="15" t="s">
        <v>3491</v>
      </c>
      <c r="J56" s="2">
        <v>3.0</v>
      </c>
      <c r="K56" s="12" t="s">
        <v>3545</v>
      </c>
      <c r="L56" s="17"/>
    </row>
    <row r="57" hidden="1">
      <c r="A57" s="1" t="s">
        <v>83</v>
      </c>
      <c r="B57" s="1" t="s">
        <v>83</v>
      </c>
      <c r="C57" s="13">
        <v>45562.71774305555</v>
      </c>
      <c r="D57" s="2" t="s">
        <v>28</v>
      </c>
      <c r="E57" s="2" t="s">
        <v>29</v>
      </c>
      <c r="F57" s="14" t="s">
        <v>3486</v>
      </c>
      <c r="G57" s="14" t="s">
        <v>3487</v>
      </c>
      <c r="H57" s="15" t="s">
        <v>24</v>
      </c>
      <c r="I57" s="15" t="s">
        <v>3491</v>
      </c>
      <c r="J57" s="2">
        <v>1.0</v>
      </c>
      <c r="K57" s="12" t="s">
        <v>3546</v>
      </c>
      <c r="L57" s="17"/>
    </row>
    <row r="58" hidden="1">
      <c r="A58" s="1" t="s">
        <v>84</v>
      </c>
      <c r="B58" s="1" t="s">
        <v>84</v>
      </c>
      <c r="C58" s="13">
        <v>45563.34622685185</v>
      </c>
      <c r="D58" s="2" t="s">
        <v>55</v>
      </c>
      <c r="E58" s="2" t="s">
        <v>56</v>
      </c>
      <c r="F58" s="14" t="s">
        <v>3547</v>
      </c>
      <c r="G58" s="14" t="s">
        <v>3548</v>
      </c>
      <c r="H58" s="15" t="s">
        <v>16</v>
      </c>
      <c r="I58" s="15" t="s">
        <v>3488</v>
      </c>
      <c r="J58" s="2">
        <v>1.0</v>
      </c>
      <c r="K58" s="19"/>
      <c r="L58" s="16">
        <v>1400000.0</v>
      </c>
    </row>
    <row r="59" hidden="1">
      <c r="A59" s="1" t="s">
        <v>85</v>
      </c>
      <c r="B59" s="1" t="s">
        <v>85</v>
      </c>
      <c r="C59" s="13">
        <v>45563.37761574074</v>
      </c>
      <c r="D59" s="2" t="s">
        <v>55</v>
      </c>
      <c r="E59" s="2" t="s">
        <v>56</v>
      </c>
      <c r="F59" s="14" t="s">
        <v>3486</v>
      </c>
      <c r="G59" s="14" t="s">
        <v>3487</v>
      </c>
      <c r="H59" s="15" t="s">
        <v>24</v>
      </c>
      <c r="I59" s="15" t="s">
        <v>3491</v>
      </c>
      <c r="J59" s="2">
        <v>6.0</v>
      </c>
      <c r="K59" s="12" t="s">
        <v>3549</v>
      </c>
      <c r="L59" s="17"/>
    </row>
    <row r="60" hidden="1">
      <c r="A60" s="1" t="s">
        <v>86</v>
      </c>
      <c r="B60" s="1" t="s">
        <v>86</v>
      </c>
      <c r="C60" s="13">
        <v>45564.4</v>
      </c>
      <c r="D60" s="2" t="s">
        <v>55</v>
      </c>
      <c r="E60" s="2" t="s">
        <v>56</v>
      </c>
      <c r="F60" s="14" t="s">
        <v>3486</v>
      </c>
      <c r="G60" s="14" t="s">
        <v>3487</v>
      </c>
      <c r="H60" s="15" t="s">
        <v>16</v>
      </c>
      <c r="I60" s="15" t="s">
        <v>3488</v>
      </c>
      <c r="J60" s="2">
        <v>7.0</v>
      </c>
      <c r="K60" s="12" t="s">
        <v>3550</v>
      </c>
      <c r="L60" s="16">
        <v>60000.0</v>
      </c>
    </row>
    <row r="61" hidden="1">
      <c r="A61" s="1" t="s">
        <v>87</v>
      </c>
      <c r="B61" s="1" t="s">
        <v>87</v>
      </c>
      <c r="C61" s="13">
        <v>45564.40069444444</v>
      </c>
      <c r="D61" s="2" t="s">
        <v>55</v>
      </c>
      <c r="E61" s="2" t="s">
        <v>56</v>
      </c>
      <c r="F61" s="14" t="s">
        <v>3486</v>
      </c>
      <c r="G61" s="14" t="s">
        <v>3487</v>
      </c>
      <c r="H61" s="15" t="s">
        <v>24</v>
      </c>
      <c r="I61" s="15" t="s">
        <v>3491</v>
      </c>
      <c r="J61" s="2">
        <v>7.0</v>
      </c>
      <c r="K61" s="12" t="s">
        <v>3551</v>
      </c>
      <c r="L61" s="17"/>
    </row>
    <row r="62" hidden="1">
      <c r="A62" s="1" t="s">
        <v>88</v>
      </c>
      <c r="B62" s="1" t="s">
        <v>88</v>
      </c>
      <c r="C62" s="13">
        <v>45565.46666666667</v>
      </c>
      <c r="D62" s="2" t="s">
        <v>55</v>
      </c>
      <c r="E62" s="2" t="s">
        <v>56</v>
      </c>
      <c r="F62" s="14" t="s">
        <v>3547</v>
      </c>
      <c r="G62" s="14" t="s">
        <v>3548</v>
      </c>
      <c r="H62" s="15" t="s">
        <v>24</v>
      </c>
      <c r="I62" s="15" t="s">
        <v>3491</v>
      </c>
      <c r="J62" s="2">
        <v>1.0</v>
      </c>
      <c r="K62" s="19"/>
      <c r="L62" s="17"/>
    </row>
    <row r="63" hidden="1">
      <c r="A63" s="1"/>
      <c r="B63" s="1"/>
      <c r="C63" s="13"/>
      <c r="F63" s="14"/>
      <c r="G63" s="14"/>
      <c r="H63" s="15"/>
      <c r="I63" s="15"/>
      <c r="K63" s="19"/>
      <c r="L63" s="17"/>
    </row>
    <row r="64" hidden="1">
      <c r="A64" s="1" t="s">
        <v>3552</v>
      </c>
      <c r="B64" s="1" t="s">
        <v>3552</v>
      </c>
      <c r="C64" s="13">
        <v>45565.53693287037</v>
      </c>
      <c r="D64" s="2" t="s">
        <v>55</v>
      </c>
      <c r="E64" s="2" t="s">
        <v>56</v>
      </c>
      <c r="F64" s="14" t="s">
        <v>3486</v>
      </c>
      <c r="G64" s="14" t="s">
        <v>3487</v>
      </c>
      <c r="H64" s="15" t="s">
        <v>16</v>
      </c>
      <c r="I64" s="15" t="s">
        <v>3488</v>
      </c>
      <c r="J64" s="2">
        <v>13.0</v>
      </c>
      <c r="K64" s="12" t="s">
        <v>3553</v>
      </c>
      <c r="L64" s="16">
        <v>60000.0</v>
      </c>
    </row>
    <row r="65" hidden="1">
      <c r="A65" s="1" t="s">
        <v>88</v>
      </c>
      <c r="B65" s="1" t="s">
        <v>88</v>
      </c>
      <c r="C65" s="13">
        <v>45565.650625</v>
      </c>
      <c r="D65" s="2" t="s">
        <v>55</v>
      </c>
      <c r="E65" s="2" t="s">
        <v>56</v>
      </c>
      <c r="F65" s="14" t="s">
        <v>3486</v>
      </c>
      <c r="G65" s="14" t="s">
        <v>3487</v>
      </c>
      <c r="H65" s="15" t="s">
        <v>24</v>
      </c>
      <c r="I65" s="15" t="s">
        <v>3491</v>
      </c>
      <c r="J65" s="2">
        <v>9.0</v>
      </c>
      <c r="K65" s="12" t="s">
        <v>3554</v>
      </c>
      <c r="L65" s="17"/>
    </row>
    <row r="66">
      <c r="A66" s="1" t="s">
        <v>89</v>
      </c>
      <c r="B66" s="1" t="s">
        <v>89</v>
      </c>
      <c r="C66" s="13">
        <v>45565.65256944444</v>
      </c>
      <c r="D66" s="2" t="s">
        <v>45</v>
      </c>
      <c r="E66" s="2" t="s">
        <v>46</v>
      </c>
      <c r="F66" s="14" t="s">
        <v>3486</v>
      </c>
      <c r="G66" s="14" t="s">
        <v>3487</v>
      </c>
      <c r="H66" s="15" t="s">
        <v>24</v>
      </c>
      <c r="I66" s="15" t="s">
        <v>3491</v>
      </c>
      <c r="J66" s="2">
        <v>13.0</v>
      </c>
      <c r="K66" s="12" t="s">
        <v>3555</v>
      </c>
      <c r="L66" s="17"/>
    </row>
    <row r="67">
      <c r="A67" s="1" t="s">
        <v>89</v>
      </c>
      <c r="B67" s="1" t="s">
        <v>89</v>
      </c>
      <c r="C67" s="13">
        <v>45565.654386574075</v>
      </c>
      <c r="D67" s="2" t="s">
        <v>45</v>
      </c>
      <c r="E67" s="2" t="s">
        <v>46</v>
      </c>
      <c r="F67" s="14" t="s">
        <v>3493</v>
      </c>
      <c r="G67" s="14" t="s">
        <v>3494</v>
      </c>
      <c r="H67" s="15" t="s">
        <v>24</v>
      </c>
      <c r="I67" s="15" t="s">
        <v>3491</v>
      </c>
      <c r="J67" s="2">
        <v>3.0</v>
      </c>
      <c r="K67" s="19"/>
      <c r="L67" s="17"/>
    </row>
    <row r="68" hidden="1">
      <c r="A68" s="1" t="s">
        <v>90</v>
      </c>
      <c r="B68" s="1" t="s">
        <v>90</v>
      </c>
      <c r="C68" s="13">
        <v>45565.659224537034</v>
      </c>
      <c r="D68" s="2" t="s">
        <v>91</v>
      </c>
      <c r="E68" s="2" t="s">
        <v>92</v>
      </c>
      <c r="F68" s="14" t="s">
        <v>3486</v>
      </c>
      <c r="G68" s="14" t="s">
        <v>3487</v>
      </c>
      <c r="H68" s="15" t="s">
        <v>16</v>
      </c>
      <c r="I68" s="15" t="s">
        <v>3488</v>
      </c>
      <c r="J68" s="2">
        <v>2.0</v>
      </c>
      <c r="K68" s="12" t="s">
        <v>3556</v>
      </c>
      <c r="L68" s="16">
        <v>70000.0</v>
      </c>
    </row>
    <row r="69" hidden="1">
      <c r="A69" s="1" t="s">
        <v>94</v>
      </c>
      <c r="B69" s="1" t="s">
        <v>94</v>
      </c>
      <c r="C69" s="13">
        <v>45567.40436342593</v>
      </c>
      <c r="D69" s="2" t="s">
        <v>55</v>
      </c>
      <c r="E69" s="2" t="s">
        <v>56</v>
      </c>
      <c r="F69" s="14" t="s">
        <v>3486</v>
      </c>
      <c r="G69" s="14" t="s">
        <v>3487</v>
      </c>
      <c r="H69" s="15" t="s">
        <v>16</v>
      </c>
      <c r="I69" s="15" t="s">
        <v>3488</v>
      </c>
      <c r="J69" s="2">
        <v>10.0</v>
      </c>
      <c r="K69" s="12" t="s">
        <v>3557</v>
      </c>
      <c r="L69" s="16">
        <v>60000.0</v>
      </c>
    </row>
    <row r="70" hidden="1">
      <c r="A70" s="1" t="s">
        <v>95</v>
      </c>
      <c r="B70" s="1" t="s">
        <v>95</v>
      </c>
      <c r="C70" s="13">
        <v>45567.41725694444</v>
      </c>
      <c r="D70" s="2" t="s">
        <v>28</v>
      </c>
      <c r="E70" s="2" t="s">
        <v>29</v>
      </c>
      <c r="F70" s="14" t="s">
        <v>3486</v>
      </c>
      <c r="G70" s="14" t="s">
        <v>3487</v>
      </c>
      <c r="H70" s="15" t="s">
        <v>24</v>
      </c>
      <c r="I70" s="15" t="s">
        <v>3491</v>
      </c>
      <c r="J70" s="2">
        <v>2.0</v>
      </c>
      <c r="K70" s="12" t="s">
        <v>3558</v>
      </c>
      <c r="L70" s="17"/>
    </row>
    <row r="71" hidden="1">
      <c r="A71" s="1" t="s">
        <v>96</v>
      </c>
      <c r="B71" s="1" t="s">
        <v>96</v>
      </c>
      <c r="C71" s="13">
        <v>45567.449155092596</v>
      </c>
      <c r="D71" s="2" t="s">
        <v>55</v>
      </c>
      <c r="E71" s="2" t="s">
        <v>56</v>
      </c>
      <c r="F71" s="14" t="s">
        <v>3486</v>
      </c>
      <c r="G71" s="14" t="s">
        <v>3487</v>
      </c>
      <c r="H71" s="15" t="s">
        <v>24</v>
      </c>
      <c r="I71" s="15" t="s">
        <v>3491</v>
      </c>
      <c r="J71" s="2">
        <v>9.0</v>
      </c>
      <c r="K71" s="12" t="s">
        <v>3559</v>
      </c>
      <c r="L71" s="17"/>
    </row>
    <row r="72" hidden="1">
      <c r="A72" s="1" t="s">
        <v>95</v>
      </c>
      <c r="B72" s="1" t="s">
        <v>95</v>
      </c>
      <c r="C72" s="13">
        <v>45567.449907407405</v>
      </c>
      <c r="D72" s="2" t="s">
        <v>28</v>
      </c>
      <c r="E72" s="2" t="s">
        <v>29</v>
      </c>
      <c r="F72" s="14" t="s">
        <v>3516</v>
      </c>
      <c r="G72" s="14" t="s">
        <v>3517</v>
      </c>
      <c r="H72" s="15" t="s">
        <v>24</v>
      </c>
      <c r="I72" s="15" t="s">
        <v>3491</v>
      </c>
      <c r="J72" s="2">
        <v>2.0</v>
      </c>
      <c r="K72" s="12" t="s">
        <v>3560</v>
      </c>
      <c r="L72" s="17"/>
    </row>
    <row r="73">
      <c r="A73" s="1" t="s">
        <v>97</v>
      </c>
      <c r="B73" s="1" t="s">
        <v>97</v>
      </c>
      <c r="C73" s="13">
        <v>45567.451215277775</v>
      </c>
      <c r="D73" s="2" t="s">
        <v>45</v>
      </c>
      <c r="E73" s="2" t="s">
        <v>46</v>
      </c>
      <c r="F73" s="14" t="s">
        <v>3486</v>
      </c>
      <c r="G73" s="14" t="s">
        <v>3487</v>
      </c>
      <c r="H73" s="15" t="s">
        <v>16</v>
      </c>
      <c r="I73" s="15" t="s">
        <v>3488</v>
      </c>
      <c r="J73" s="2">
        <v>20.0</v>
      </c>
      <c r="K73" s="12" t="s">
        <v>3561</v>
      </c>
      <c r="L73" s="16">
        <v>60000.0</v>
      </c>
    </row>
    <row r="74" hidden="1">
      <c r="A74" s="1" t="s">
        <v>98</v>
      </c>
      <c r="B74" s="1" t="s">
        <v>98</v>
      </c>
      <c r="C74" s="13">
        <v>45567.48917824074</v>
      </c>
      <c r="D74" s="2" t="s">
        <v>49</v>
      </c>
      <c r="E74" s="2" t="s">
        <v>50</v>
      </c>
      <c r="F74" s="14" t="s">
        <v>3486</v>
      </c>
      <c r="G74" s="14" t="s">
        <v>3487</v>
      </c>
      <c r="H74" s="15" t="s">
        <v>16</v>
      </c>
      <c r="I74" s="15" t="s">
        <v>3488</v>
      </c>
      <c r="J74" s="2">
        <v>4.0</v>
      </c>
      <c r="K74" s="12" t="s">
        <v>3562</v>
      </c>
      <c r="L74" s="16">
        <v>60000.0</v>
      </c>
    </row>
    <row r="75" hidden="1">
      <c r="A75" s="1" t="s">
        <v>99</v>
      </c>
      <c r="B75" s="1" t="s">
        <v>99</v>
      </c>
      <c r="C75" s="13">
        <v>45567.58142361111</v>
      </c>
      <c r="D75" s="2" t="s">
        <v>49</v>
      </c>
      <c r="E75" s="2" t="s">
        <v>50</v>
      </c>
      <c r="F75" s="14" t="s">
        <v>3486</v>
      </c>
      <c r="G75" s="14" t="s">
        <v>3487</v>
      </c>
      <c r="H75" s="15" t="s">
        <v>24</v>
      </c>
      <c r="I75" s="15" t="s">
        <v>3491</v>
      </c>
      <c r="J75" s="2">
        <v>4.0</v>
      </c>
      <c r="K75" s="12" t="s">
        <v>3563</v>
      </c>
      <c r="L75" s="17"/>
    </row>
    <row r="76" hidden="1">
      <c r="A76" s="1" t="s">
        <v>100</v>
      </c>
      <c r="B76" s="1" t="s">
        <v>100</v>
      </c>
      <c r="C76" s="13">
        <v>45570.411840277775</v>
      </c>
      <c r="D76" s="2" t="s">
        <v>55</v>
      </c>
      <c r="E76" s="2" t="s">
        <v>56</v>
      </c>
      <c r="F76" s="14" t="s">
        <v>3486</v>
      </c>
      <c r="G76" s="14" t="s">
        <v>3487</v>
      </c>
      <c r="H76" s="15" t="s">
        <v>24</v>
      </c>
      <c r="I76" s="15" t="s">
        <v>3491</v>
      </c>
      <c r="J76" s="2">
        <v>7.0</v>
      </c>
      <c r="K76" s="12" t="s">
        <v>3564</v>
      </c>
      <c r="L76" s="17"/>
    </row>
    <row r="77" hidden="1">
      <c r="A77" s="1" t="s">
        <v>101</v>
      </c>
      <c r="B77" s="1" t="s">
        <v>101</v>
      </c>
      <c r="C77" s="13">
        <v>45570.41278935185</v>
      </c>
      <c r="D77" s="2" t="s">
        <v>28</v>
      </c>
      <c r="E77" s="2" t="s">
        <v>29</v>
      </c>
      <c r="F77" s="14" t="s">
        <v>3486</v>
      </c>
      <c r="G77" s="14" t="s">
        <v>3487</v>
      </c>
      <c r="H77" s="15" t="s">
        <v>24</v>
      </c>
      <c r="I77" s="15" t="s">
        <v>3491</v>
      </c>
      <c r="J77" s="2">
        <v>2.0</v>
      </c>
      <c r="K77" s="12" t="s">
        <v>3565</v>
      </c>
      <c r="L77" s="17"/>
    </row>
    <row r="78" hidden="1">
      <c r="A78" s="1" t="s">
        <v>101</v>
      </c>
      <c r="B78" s="1" t="s">
        <v>101</v>
      </c>
      <c r="C78" s="13">
        <v>45570.41327546296</v>
      </c>
      <c r="D78" s="2" t="s">
        <v>28</v>
      </c>
      <c r="E78" s="2" t="s">
        <v>29</v>
      </c>
      <c r="F78" s="14" t="s">
        <v>3516</v>
      </c>
      <c r="G78" s="14" t="s">
        <v>3517</v>
      </c>
      <c r="H78" s="15" t="s">
        <v>24</v>
      </c>
      <c r="I78" s="15" t="s">
        <v>3491</v>
      </c>
      <c r="J78" s="2">
        <v>1.0</v>
      </c>
      <c r="K78" s="12" t="s">
        <v>3566</v>
      </c>
      <c r="L78" s="17"/>
    </row>
    <row r="79">
      <c r="A79" s="1" t="s">
        <v>102</v>
      </c>
      <c r="B79" s="1" t="s">
        <v>102</v>
      </c>
      <c r="C79" s="13">
        <v>45573.426458333335</v>
      </c>
      <c r="D79" s="2" t="s">
        <v>45</v>
      </c>
      <c r="E79" s="2" t="s">
        <v>46</v>
      </c>
      <c r="F79" s="14" t="s">
        <v>3486</v>
      </c>
      <c r="G79" s="14" t="s">
        <v>3487</v>
      </c>
      <c r="H79" s="15" t="s">
        <v>16</v>
      </c>
      <c r="I79" s="15" t="s">
        <v>3488</v>
      </c>
      <c r="J79" s="2">
        <v>15.0</v>
      </c>
      <c r="K79" s="12" t="s">
        <v>3567</v>
      </c>
      <c r="L79" s="16">
        <v>60000.0</v>
      </c>
    </row>
    <row r="80">
      <c r="A80" s="1" t="s">
        <v>102</v>
      </c>
      <c r="B80" s="1" t="s">
        <v>102</v>
      </c>
      <c r="C80" s="13">
        <v>45573.42912037037</v>
      </c>
      <c r="D80" s="2" t="s">
        <v>45</v>
      </c>
      <c r="E80" s="2" t="s">
        <v>46</v>
      </c>
      <c r="F80" s="14" t="s">
        <v>3493</v>
      </c>
      <c r="G80" s="14" t="s">
        <v>3494</v>
      </c>
      <c r="H80" s="15" t="s">
        <v>16</v>
      </c>
      <c r="I80" s="15" t="s">
        <v>3488</v>
      </c>
      <c r="J80" s="2">
        <v>5.0</v>
      </c>
      <c r="K80" s="19"/>
      <c r="L80" s="16">
        <v>210000.0</v>
      </c>
    </row>
    <row r="81">
      <c r="A81" s="1" t="s">
        <v>103</v>
      </c>
      <c r="B81" s="1" t="s">
        <v>103</v>
      </c>
      <c r="C81" s="13">
        <v>45573.50780092592</v>
      </c>
      <c r="D81" s="2" t="s">
        <v>45</v>
      </c>
      <c r="E81" s="2" t="s">
        <v>46</v>
      </c>
      <c r="F81" s="14" t="s">
        <v>3486</v>
      </c>
      <c r="G81" s="14" t="s">
        <v>3487</v>
      </c>
      <c r="H81" s="15" t="s">
        <v>24</v>
      </c>
      <c r="I81" s="15" t="s">
        <v>3491</v>
      </c>
      <c r="J81" s="2">
        <v>3.0</v>
      </c>
      <c r="K81" s="12" t="s">
        <v>3568</v>
      </c>
      <c r="L81" s="17"/>
    </row>
    <row r="82" hidden="1">
      <c r="A82" s="1" t="s">
        <v>104</v>
      </c>
      <c r="B82" s="1" t="s">
        <v>104</v>
      </c>
      <c r="C82" s="13">
        <v>45574.52248842592</v>
      </c>
      <c r="D82" s="2" t="s">
        <v>28</v>
      </c>
      <c r="E82" s="2" t="s">
        <v>29</v>
      </c>
      <c r="F82" s="14" t="s">
        <v>3486</v>
      </c>
      <c r="G82" s="14" t="s">
        <v>3487</v>
      </c>
      <c r="H82" s="15" t="s">
        <v>16</v>
      </c>
      <c r="I82" s="15" t="s">
        <v>3488</v>
      </c>
      <c r="J82" s="2">
        <v>15.0</v>
      </c>
      <c r="K82" s="12" t="s">
        <v>3569</v>
      </c>
      <c r="L82" s="16">
        <v>60000.0</v>
      </c>
    </row>
    <row r="83" hidden="1">
      <c r="A83" s="1" t="s">
        <v>104</v>
      </c>
      <c r="B83" s="1" t="s">
        <v>104</v>
      </c>
      <c r="C83" s="13">
        <v>45574.52488425926</v>
      </c>
      <c r="D83" s="2" t="s">
        <v>28</v>
      </c>
      <c r="E83" s="2" t="s">
        <v>29</v>
      </c>
      <c r="F83" s="14" t="s">
        <v>3516</v>
      </c>
      <c r="G83" s="14" t="s">
        <v>3517</v>
      </c>
      <c r="H83" s="15" t="s">
        <v>16</v>
      </c>
      <c r="I83" s="15" t="s">
        <v>3488</v>
      </c>
      <c r="J83" s="2">
        <v>5.0</v>
      </c>
      <c r="K83" s="12" t="s">
        <v>3570</v>
      </c>
      <c r="L83" s="16">
        <v>160000.0</v>
      </c>
    </row>
    <row r="84" hidden="1">
      <c r="A84" s="1" t="s">
        <v>105</v>
      </c>
      <c r="B84" s="1" t="s">
        <v>105</v>
      </c>
      <c r="C84" s="13">
        <v>45574.62740740741</v>
      </c>
      <c r="D84" s="2" t="s">
        <v>28</v>
      </c>
      <c r="E84" s="2" t="s">
        <v>29</v>
      </c>
      <c r="F84" s="14" t="s">
        <v>3486</v>
      </c>
      <c r="G84" s="14" t="s">
        <v>3487</v>
      </c>
      <c r="H84" s="15" t="s">
        <v>24</v>
      </c>
      <c r="I84" s="15" t="s">
        <v>3491</v>
      </c>
      <c r="J84" s="2">
        <v>7.0</v>
      </c>
      <c r="K84" s="12" t="s">
        <v>3571</v>
      </c>
      <c r="L84" s="17"/>
    </row>
    <row r="85" hidden="1">
      <c r="A85" s="1" t="s">
        <v>105</v>
      </c>
      <c r="B85" s="1" t="s">
        <v>105</v>
      </c>
      <c r="C85" s="13">
        <v>45574.62836805556</v>
      </c>
      <c r="D85" s="2" t="s">
        <v>28</v>
      </c>
      <c r="E85" s="2" t="s">
        <v>29</v>
      </c>
      <c r="F85" s="14" t="s">
        <v>3516</v>
      </c>
      <c r="G85" s="14" t="s">
        <v>3517</v>
      </c>
      <c r="H85" s="15" t="s">
        <v>24</v>
      </c>
      <c r="I85" s="15" t="s">
        <v>3491</v>
      </c>
      <c r="J85" s="2">
        <v>2.0</v>
      </c>
      <c r="K85" s="12" t="s">
        <v>3572</v>
      </c>
      <c r="L85" s="17"/>
    </row>
    <row r="86" hidden="1">
      <c r="A86" s="1" t="s">
        <v>106</v>
      </c>
      <c r="B86" s="1" t="s">
        <v>106</v>
      </c>
      <c r="C86" s="13">
        <v>45575.41832175926</v>
      </c>
      <c r="D86" s="2" t="s">
        <v>28</v>
      </c>
      <c r="E86" s="2" t="s">
        <v>29</v>
      </c>
      <c r="F86" s="14" t="s">
        <v>3516</v>
      </c>
      <c r="G86" s="14" t="s">
        <v>3517</v>
      </c>
      <c r="H86" s="15" t="s">
        <v>16</v>
      </c>
      <c r="I86" s="15" t="s">
        <v>3488</v>
      </c>
      <c r="J86" s="2">
        <v>10.0</v>
      </c>
      <c r="K86" s="12" t="s">
        <v>3573</v>
      </c>
      <c r="L86" s="16">
        <v>160000.0</v>
      </c>
    </row>
    <row r="87" hidden="1">
      <c r="A87" s="1" t="s">
        <v>106</v>
      </c>
      <c r="B87" s="1" t="s">
        <v>106</v>
      </c>
      <c r="C87" s="13">
        <v>45575.42443287037</v>
      </c>
      <c r="D87" s="2" t="s">
        <v>28</v>
      </c>
      <c r="E87" s="2" t="s">
        <v>29</v>
      </c>
      <c r="F87" s="14" t="s">
        <v>3493</v>
      </c>
      <c r="G87" s="14" t="s">
        <v>3494</v>
      </c>
      <c r="H87" s="15" t="s">
        <v>16</v>
      </c>
      <c r="I87" s="15" t="s">
        <v>3488</v>
      </c>
      <c r="J87" s="2">
        <v>4.0</v>
      </c>
      <c r="K87" s="19"/>
      <c r="L87" s="16">
        <v>225000.0</v>
      </c>
    </row>
    <row r="88" hidden="1">
      <c r="A88" s="1" t="s">
        <v>107</v>
      </c>
      <c r="B88" s="1" t="s">
        <v>107</v>
      </c>
      <c r="C88" s="13">
        <v>45575.62451388889</v>
      </c>
      <c r="D88" s="2" t="s">
        <v>28</v>
      </c>
      <c r="E88" s="2" t="s">
        <v>29</v>
      </c>
      <c r="F88" s="14" t="s">
        <v>3516</v>
      </c>
      <c r="G88" s="14" t="s">
        <v>3517</v>
      </c>
      <c r="H88" s="15" t="s">
        <v>24</v>
      </c>
      <c r="I88" s="15" t="s">
        <v>3491</v>
      </c>
      <c r="J88" s="2">
        <v>2.0</v>
      </c>
      <c r="K88" s="12" t="s">
        <v>3574</v>
      </c>
      <c r="L88" s="17"/>
    </row>
    <row r="89" hidden="1">
      <c r="A89" s="1" t="s">
        <v>107</v>
      </c>
      <c r="B89" s="1" t="s">
        <v>107</v>
      </c>
      <c r="C89" s="13">
        <v>45575.625023148146</v>
      </c>
      <c r="D89" s="2" t="s">
        <v>28</v>
      </c>
      <c r="E89" s="2" t="s">
        <v>29</v>
      </c>
      <c r="F89" s="14" t="s">
        <v>3486</v>
      </c>
      <c r="G89" s="14" t="s">
        <v>3487</v>
      </c>
      <c r="H89" s="15" t="s">
        <v>24</v>
      </c>
      <c r="I89" s="15" t="s">
        <v>3491</v>
      </c>
      <c r="J89" s="2">
        <v>4.0</v>
      </c>
      <c r="K89" s="12" t="s">
        <v>3575</v>
      </c>
      <c r="L89" s="17"/>
    </row>
    <row r="90" hidden="1">
      <c r="A90" s="1" t="s">
        <v>107</v>
      </c>
      <c r="B90" s="1" t="s">
        <v>107</v>
      </c>
      <c r="C90" s="13">
        <v>45575.625555555554</v>
      </c>
      <c r="D90" s="2" t="s">
        <v>28</v>
      </c>
      <c r="E90" s="2" t="s">
        <v>29</v>
      </c>
      <c r="F90" s="14" t="s">
        <v>3493</v>
      </c>
      <c r="G90" s="14" t="s">
        <v>3494</v>
      </c>
      <c r="H90" s="15" t="s">
        <v>24</v>
      </c>
      <c r="I90" s="15" t="s">
        <v>3491</v>
      </c>
      <c r="J90" s="2">
        <v>4.0</v>
      </c>
      <c r="K90" s="19"/>
      <c r="L90" s="17"/>
    </row>
    <row r="91" hidden="1">
      <c r="A91" s="1" t="s">
        <v>108</v>
      </c>
      <c r="B91" s="1" t="s">
        <v>108</v>
      </c>
      <c r="C91" s="13">
        <v>45576.38888888889</v>
      </c>
      <c r="D91" s="2" t="s">
        <v>109</v>
      </c>
      <c r="E91" s="2" t="s">
        <v>110</v>
      </c>
      <c r="F91" s="14" t="s">
        <v>3522</v>
      </c>
      <c r="G91" s="14" t="s">
        <v>3523</v>
      </c>
      <c r="H91" s="15" t="s">
        <v>16</v>
      </c>
      <c r="I91" s="15" t="s">
        <v>3488</v>
      </c>
      <c r="J91" s="2">
        <v>6.0</v>
      </c>
      <c r="K91" s="12" t="s">
        <v>3576</v>
      </c>
      <c r="L91" s="16">
        <v>190000.0</v>
      </c>
    </row>
    <row r="92" hidden="1">
      <c r="A92" s="1" t="s">
        <v>108</v>
      </c>
      <c r="B92" s="1" t="s">
        <v>108</v>
      </c>
      <c r="C92" s="13">
        <v>45576.40138888889</v>
      </c>
      <c r="D92" s="2" t="s">
        <v>109</v>
      </c>
      <c r="E92" s="2" t="s">
        <v>110</v>
      </c>
      <c r="F92" s="14" t="s">
        <v>3486</v>
      </c>
      <c r="G92" s="14" t="s">
        <v>3487</v>
      </c>
      <c r="H92" s="15" t="s">
        <v>16</v>
      </c>
      <c r="I92" s="15" t="s">
        <v>3488</v>
      </c>
      <c r="J92" s="2">
        <v>1.0</v>
      </c>
      <c r="K92" s="12" t="s">
        <v>3577</v>
      </c>
      <c r="L92" s="16">
        <v>60000.0</v>
      </c>
    </row>
    <row r="93">
      <c r="A93" s="1" t="s">
        <v>112</v>
      </c>
      <c r="B93" s="1" t="s">
        <v>112</v>
      </c>
      <c r="C93" s="13">
        <v>45579.6137962963</v>
      </c>
      <c r="D93" s="2" t="s">
        <v>45</v>
      </c>
      <c r="E93" s="2" t="s">
        <v>46</v>
      </c>
      <c r="F93" s="14" t="s">
        <v>3486</v>
      </c>
      <c r="G93" s="14" t="s">
        <v>3487</v>
      </c>
      <c r="H93" s="15" t="s">
        <v>24</v>
      </c>
      <c r="I93" s="15" t="s">
        <v>3491</v>
      </c>
      <c r="J93" s="2">
        <v>15.0</v>
      </c>
      <c r="K93" s="12" t="s">
        <v>3578</v>
      </c>
      <c r="L93" s="16">
        <v>0.0</v>
      </c>
    </row>
    <row r="94" hidden="1">
      <c r="A94" s="1" t="s">
        <v>113</v>
      </c>
      <c r="B94" s="1" t="s">
        <v>113</v>
      </c>
      <c r="C94" s="13">
        <v>45581.40361111111</v>
      </c>
      <c r="D94" s="2" t="s">
        <v>114</v>
      </c>
      <c r="E94" s="2" t="s">
        <v>115</v>
      </c>
      <c r="F94" s="14" t="s">
        <v>3516</v>
      </c>
      <c r="G94" s="14" t="s">
        <v>3517</v>
      </c>
      <c r="H94" s="15" t="s">
        <v>16</v>
      </c>
      <c r="I94" s="15" t="s">
        <v>3488</v>
      </c>
      <c r="J94" s="2">
        <v>10.0</v>
      </c>
      <c r="K94" s="12" t="s">
        <v>3579</v>
      </c>
      <c r="L94" s="16">
        <v>140000.0</v>
      </c>
    </row>
    <row r="95">
      <c r="A95" s="1" t="s">
        <v>117</v>
      </c>
      <c r="B95" s="1" t="s">
        <v>117</v>
      </c>
      <c r="C95" s="13">
        <v>45582.5153587963</v>
      </c>
      <c r="D95" s="2" t="s">
        <v>45</v>
      </c>
      <c r="E95" s="2" t="s">
        <v>46</v>
      </c>
      <c r="F95" s="14" t="s">
        <v>3486</v>
      </c>
      <c r="G95" s="14" t="s">
        <v>3487</v>
      </c>
      <c r="H95" s="15" t="s">
        <v>16</v>
      </c>
      <c r="I95" s="15" t="s">
        <v>3488</v>
      </c>
      <c r="J95" s="2">
        <v>10.0</v>
      </c>
      <c r="K95" s="12" t="s">
        <v>3580</v>
      </c>
      <c r="L95" s="16">
        <v>60000.0</v>
      </c>
    </row>
    <row r="96">
      <c r="A96" s="1" t="s">
        <v>117</v>
      </c>
      <c r="B96" s="1" t="s">
        <v>117</v>
      </c>
      <c r="C96" s="13">
        <v>45582.51689814815</v>
      </c>
      <c r="D96" s="2" t="s">
        <v>45</v>
      </c>
      <c r="E96" s="2" t="s">
        <v>46</v>
      </c>
      <c r="F96" s="14" t="s">
        <v>3493</v>
      </c>
      <c r="G96" s="14" t="s">
        <v>3494</v>
      </c>
      <c r="H96" s="15" t="s">
        <v>16</v>
      </c>
      <c r="I96" s="15" t="s">
        <v>3488</v>
      </c>
      <c r="J96" s="2">
        <v>3.0</v>
      </c>
      <c r="K96" s="19"/>
      <c r="L96" s="16">
        <v>210000.0</v>
      </c>
    </row>
    <row r="97" hidden="1">
      <c r="A97" s="1" t="s">
        <v>118</v>
      </c>
      <c r="B97" s="1" t="s">
        <v>118</v>
      </c>
      <c r="C97" s="13">
        <v>45582.605775462966</v>
      </c>
      <c r="D97" s="2" t="s">
        <v>49</v>
      </c>
      <c r="E97" s="2" t="s">
        <v>50</v>
      </c>
      <c r="F97" s="14" t="s">
        <v>3486</v>
      </c>
      <c r="G97" s="14" t="s">
        <v>3487</v>
      </c>
      <c r="H97" s="15" t="s">
        <v>24</v>
      </c>
      <c r="I97" s="15" t="s">
        <v>3491</v>
      </c>
      <c r="J97" s="2">
        <v>2.0</v>
      </c>
      <c r="K97" s="12" t="s">
        <v>3581</v>
      </c>
      <c r="L97" s="17"/>
    </row>
    <row r="98" hidden="1">
      <c r="A98" s="1" t="s">
        <v>119</v>
      </c>
      <c r="B98" s="1" t="s">
        <v>119</v>
      </c>
      <c r="C98" s="13">
        <v>45582.60613425926</v>
      </c>
      <c r="D98" s="2" t="s">
        <v>28</v>
      </c>
      <c r="E98" s="2" t="s">
        <v>29</v>
      </c>
      <c r="F98" s="14" t="s">
        <v>3486</v>
      </c>
      <c r="G98" s="14" t="s">
        <v>3487</v>
      </c>
      <c r="H98" s="15" t="s">
        <v>24</v>
      </c>
      <c r="I98" s="15" t="s">
        <v>3491</v>
      </c>
      <c r="J98" s="2">
        <v>3.0</v>
      </c>
      <c r="K98" s="12" t="s">
        <v>3582</v>
      </c>
      <c r="L98" s="17"/>
    </row>
    <row r="99" hidden="1">
      <c r="A99" s="1" t="s">
        <v>119</v>
      </c>
      <c r="B99" s="1" t="s">
        <v>119</v>
      </c>
      <c r="C99" s="13">
        <v>45582.60675925926</v>
      </c>
      <c r="D99" s="2" t="s">
        <v>28</v>
      </c>
      <c r="E99" s="2" t="s">
        <v>29</v>
      </c>
      <c r="F99" s="14" t="s">
        <v>3516</v>
      </c>
      <c r="G99" s="14" t="s">
        <v>3517</v>
      </c>
      <c r="H99" s="15" t="s">
        <v>24</v>
      </c>
      <c r="I99" s="15" t="s">
        <v>3491</v>
      </c>
      <c r="J99" s="2">
        <v>5.0</v>
      </c>
      <c r="K99" s="12" t="s">
        <v>3583</v>
      </c>
      <c r="L99" s="17"/>
    </row>
    <row r="100">
      <c r="A100" s="1" t="s">
        <v>120</v>
      </c>
      <c r="B100" s="1" t="s">
        <v>120</v>
      </c>
      <c r="C100" s="13">
        <v>45582.66653935185</v>
      </c>
      <c r="D100" s="2" t="s">
        <v>45</v>
      </c>
      <c r="E100" s="2" t="s">
        <v>46</v>
      </c>
      <c r="F100" s="14" t="s">
        <v>3493</v>
      </c>
      <c r="G100" s="14" t="s">
        <v>3494</v>
      </c>
      <c r="H100" s="15" t="s">
        <v>24</v>
      </c>
      <c r="I100" s="15" t="s">
        <v>3491</v>
      </c>
      <c r="J100" s="2">
        <v>3.0</v>
      </c>
      <c r="K100" s="19"/>
      <c r="L100" s="17"/>
    </row>
    <row r="101" hidden="1">
      <c r="A101" s="1" t="s">
        <v>121</v>
      </c>
      <c r="B101" s="1" t="s">
        <v>121</v>
      </c>
      <c r="C101" s="13">
        <v>45583.593356481484</v>
      </c>
      <c r="D101" s="2" t="s">
        <v>122</v>
      </c>
      <c r="E101" s="2" t="s">
        <v>123</v>
      </c>
      <c r="F101" s="14" t="s">
        <v>3486</v>
      </c>
      <c r="G101" s="14" t="s">
        <v>3487</v>
      </c>
      <c r="H101" s="15" t="s">
        <v>16</v>
      </c>
      <c r="I101" s="15" t="s">
        <v>3488</v>
      </c>
      <c r="J101" s="2">
        <v>5.0</v>
      </c>
      <c r="K101" s="12" t="s">
        <v>3584</v>
      </c>
      <c r="L101" s="16">
        <v>70000.0</v>
      </c>
    </row>
    <row r="102" hidden="1">
      <c r="A102" s="1" t="s">
        <v>125</v>
      </c>
      <c r="B102" s="1" t="s">
        <v>125</v>
      </c>
      <c r="C102" s="13">
        <v>45584.653032407405</v>
      </c>
      <c r="D102" s="2" t="s">
        <v>126</v>
      </c>
      <c r="E102" s="2" t="s">
        <v>127</v>
      </c>
      <c r="F102" s="14" t="s">
        <v>3585</v>
      </c>
      <c r="G102" s="14" t="s">
        <v>3586</v>
      </c>
      <c r="H102" s="15" t="s">
        <v>16</v>
      </c>
      <c r="I102" s="15" t="s">
        <v>3488</v>
      </c>
      <c r="J102" s="2">
        <v>7.0</v>
      </c>
      <c r="K102" s="12" t="s">
        <v>3587</v>
      </c>
      <c r="L102" s="16">
        <v>360360.3604</v>
      </c>
    </row>
    <row r="103" hidden="1">
      <c r="A103" s="1" t="s">
        <v>125</v>
      </c>
      <c r="B103" s="1" t="s">
        <v>125</v>
      </c>
      <c r="C103" s="13">
        <v>45584.653344907405</v>
      </c>
      <c r="D103" s="2" t="s">
        <v>126</v>
      </c>
      <c r="E103" s="2" t="s">
        <v>127</v>
      </c>
      <c r="F103" s="14" t="s">
        <v>3486</v>
      </c>
      <c r="G103" s="14" t="s">
        <v>3487</v>
      </c>
      <c r="H103" s="15" t="s">
        <v>16</v>
      </c>
      <c r="I103" s="15" t="s">
        <v>3488</v>
      </c>
      <c r="J103" s="2">
        <v>10.0</v>
      </c>
      <c r="K103" s="12" t="s">
        <v>3588</v>
      </c>
      <c r="L103" s="16">
        <v>45045.04505</v>
      </c>
    </row>
    <row r="104" hidden="1">
      <c r="A104" s="1" t="s">
        <v>129</v>
      </c>
      <c r="B104" s="1" t="s">
        <v>129</v>
      </c>
      <c r="C104" s="13">
        <v>45586.55097222222</v>
      </c>
      <c r="D104" s="2" t="s">
        <v>109</v>
      </c>
      <c r="E104" s="2" t="s">
        <v>110</v>
      </c>
      <c r="F104" s="14" t="s">
        <v>3522</v>
      </c>
      <c r="G104" s="14" t="s">
        <v>3523</v>
      </c>
      <c r="H104" s="15" t="s">
        <v>16</v>
      </c>
      <c r="I104" s="15" t="s">
        <v>3488</v>
      </c>
      <c r="J104" s="2">
        <v>6.0</v>
      </c>
      <c r="K104" s="12" t="s">
        <v>3589</v>
      </c>
      <c r="L104" s="16">
        <v>190000.0</v>
      </c>
    </row>
    <row r="105" hidden="1">
      <c r="A105" s="1" t="s">
        <v>130</v>
      </c>
      <c r="B105" s="1" t="s">
        <v>130</v>
      </c>
      <c r="C105" s="13">
        <v>45586.58574074074</v>
      </c>
      <c r="D105" s="2" t="s">
        <v>131</v>
      </c>
      <c r="E105" s="2" t="s">
        <v>132</v>
      </c>
      <c r="F105" s="14" t="s">
        <v>3486</v>
      </c>
      <c r="G105" s="14" t="s">
        <v>3487</v>
      </c>
      <c r="H105" s="15" t="s">
        <v>16</v>
      </c>
      <c r="I105" s="15" t="s">
        <v>3488</v>
      </c>
      <c r="J105" s="2">
        <v>10.0</v>
      </c>
      <c r="K105" s="12" t="s">
        <v>3590</v>
      </c>
      <c r="L105" s="16">
        <v>60000.0</v>
      </c>
    </row>
    <row r="106" hidden="1">
      <c r="A106" s="1" t="s">
        <v>134</v>
      </c>
      <c r="B106" s="1" t="s">
        <v>134</v>
      </c>
      <c r="C106" s="13">
        <v>45586.724652777775</v>
      </c>
      <c r="D106" s="2" t="s">
        <v>109</v>
      </c>
      <c r="E106" s="2" t="s">
        <v>110</v>
      </c>
      <c r="F106" s="14" t="s">
        <v>3522</v>
      </c>
      <c r="G106" s="14" t="s">
        <v>3523</v>
      </c>
      <c r="H106" s="15" t="s">
        <v>24</v>
      </c>
      <c r="I106" s="15" t="s">
        <v>3491</v>
      </c>
      <c r="J106" s="2">
        <v>4.0</v>
      </c>
      <c r="K106" s="12" t="s">
        <v>3591</v>
      </c>
      <c r="L106" s="17"/>
    </row>
    <row r="107" hidden="1">
      <c r="A107" s="1" t="s">
        <v>135</v>
      </c>
      <c r="B107" s="1" t="s">
        <v>135</v>
      </c>
      <c r="C107" s="13">
        <v>45587.417395833334</v>
      </c>
      <c r="D107" s="2" t="s">
        <v>28</v>
      </c>
      <c r="E107" s="2" t="s">
        <v>29</v>
      </c>
      <c r="F107" s="14" t="s">
        <v>3516</v>
      </c>
      <c r="G107" s="14" t="s">
        <v>3517</v>
      </c>
      <c r="H107" s="15" t="s">
        <v>16</v>
      </c>
      <c r="I107" s="15" t="s">
        <v>3488</v>
      </c>
      <c r="J107" s="2">
        <v>5.0</v>
      </c>
      <c r="K107" s="12" t="s">
        <v>3592</v>
      </c>
      <c r="L107" s="16">
        <v>160000.0</v>
      </c>
    </row>
    <row r="108" hidden="1">
      <c r="A108" s="1" t="s">
        <v>135</v>
      </c>
      <c r="B108" s="1" t="s">
        <v>135</v>
      </c>
      <c r="C108" s="13">
        <v>45587.417708333334</v>
      </c>
      <c r="D108" s="2" t="s">
        <v>28</v>
      </c>
      <c r="E108" s="2" t="s">
        <v>29</v>
      </c>
      <c r="F108" s="14" t="s">
        <v>3486</v>
      </c>
      <c r="G108" s="14" t="s">
        <v>3487</v>
      </c>
      <c r="H108" s="15" t="s">
        <v>16</v>
      </c>
      <c r="I108" s="15" t="s">
        <v>3488</v>
      </c>
      <c r="J108" s="2">
        <v>10.0</v>
      </c>
      <c r="K108" s="12" t="s">
        <v>3593</v>
      </c>
      <c r="L108" s="16">
        <v>60000.0</v>
      </c>
    </row>
    <row r="109" hidden="1">
      <c r="A109" s="1" t="s">
        <v>135</v>
      </c>
      <c r="B109" s="1" t="s">
        <v>135</v>
      </c>
      <c r="C109" s="13">
        <v>45587.41998842593</v>
      </c>
      <c r="D109" s="2" t="s">
        <v>28</v>
      </c>
      <c r="E109" s="2" t="s">
        <v>29</v>
      </c>
      <c r="F109" s="14" t="s">
        <v>3493</v>
      </c>
      <c r="G109" s="14" t="s">
        <v>3494</v>
      </c>
      <c r="H109" s="15" t="s">
        <v>16</v>
      </c>
      <c r="I109" s="15" t="s">
        <v>3488</v>
      </c>
      <c r="J109" s="2">
        <v>6.0</v>
      </c>
      <c r="K109" s="19"/>
      <c r="L109" s="16">
        <v>225000.0</v>
      </c>
    </row>
    <row r="110" hidden="1">
      <c r="A110" s="1" t="s">
        <v>136</v>
      </c>
      <c r="B110" s="1" t="s">
        <v>136</v>
      </c>
      <c r="C110" s="13">
        <v>45587.472766203704</v>
      </c>
      <c r="D110" s="2" t="s">
        <v>55</v>
      </c>
      <c r="E110" s="2" t="s">
        <v>56</v>
      </c>
      <c r="F110" s="14" t="s">
        <v>3486</v>
      </c>
      <c r="G110" s="14" t="s">
        <v>3487</v>
      </c>
      <c r="H110" s="15" t="s">
        <v>16</v>
      </c>
      <c r="I110" s="15" t="s">
        <v>3488</v>
      </c>
      <c r="J110" s="2">
        <v>5.0</v>
      </c>
      <c r="K110" s="12" t="s">
        <v>3594</v>
      </c>
      <c r="L110" s="16">
        <v>60000.0</v>
      </c>
    </row>
    <row r="111" hidden="1">
      <c r="A111" s="1" t="s">
        <v>137</v>
      </c>
      <c r="B111" s="1" t="s">
        <v>137</v>
      </c>
      <c r="C111" s="13">
        <v>45587.581666666665</v>
      </c>
      <c r="D111" s="2" t="s">
        <v>55</v>
      </c>
      <c r="E111" s="2" t="s">
        <v>56</v>
      </c>
      <c r="F111" s="14" t="s">
        <v>3486</v>
      </c>
      <c r="G111" s="14" t="s">
        <v>3487</v>
      </c>
      <c r="H111" s="15" t="s">
        <v>24</v>
      </c>
      <c r="I111" s="15" t="s">
        <v>3491</v>
      </c>
      <c r="J111" s="2">
        <v>7.0</v>
      </c>
      <c r="K111" s="12" t="s">
        <v>3595</v>
      </c>
      <c r="L111" s="17"/>
    </row>
    <row r="112" hidden="1">
      <c r="A112" s="1" t="s">
        <v>138</v>
      </c>
      <c r="B112" s="1" t="s">
        <v>138</v>
      </c>
      <c r="C112" s="13">
        <v>45587.585069444445</v>
      </c>
      <c r="D112" s="2" t="s">
        <v>28</v>
      </c>
      <c r="E112" s="2" t="s">
        <v>29</v>
      </c>
      <c r="F112" s="14" t="s">
        <v>3516</v>
      </c>
      <c r="G112" s="14" t="s">
        <v>3517</v>
      </c>
      <c r="H112" s="15" t="s">
        <v>24</v>
      </c>
      <c r="I112" s="15" t="s">
        <v>3491</v>
      </c>
      <c r="J112" s="2">
        <v>2.0</v>
      </c>
      <c r="K112" s="12" t="s">
        <v>3596</v>
      </c>
      <c r="L112" s="17"/>
    </row>
    <row r="113" hidden="1">
      <c r="A113" s="1" t="s">
        <v>138</v>
      </c>
      <c r="B113" s="1" t="s">
        <v>138</v>
      </c>
      <c r="C113" s="13">
        <v>45587.585914351854</v>
      </c>
      <c r="D113" s="2" t="s">
        <v>28</v>
      </c>
      <c r="E113" s="2" t="s">
        <v>29</v>
      </c>
      <c r="F113" s="14" t="s">
        <v>3493</v>
      </c>
      <c r="G113" s="14" t="s">
        <v>3494</v>
      </c>
      <c r="H113" s="15" t="s">
        <v>24</v>
      </c>
      <c r="I113" s="15" t="s">
        <v>3491</v>
      </c>
      <c r="J113" s="2">
        <v>1.0</v>
      </c>
      <c r="K113" s="19"/>
      <c r="L113" s="17"/>
    </row>
    <row r="114" hidden="1">
      <c r="A114" s="1" t="s">
        <v>138</v>
      </c>
      <c r="B114" s="1" t="s">
        <v>138</v>
      </c>
      <c r="C114" s="13">
        <v>45587.601331018515</v>
      </c>
      <c r="D114" s="2" t="s">
        <v>28</v>
      </c>
      <c r="E114" s="2" t="s">
        <v>29</v>
      </c>
      <c r="F114" s="14" t="s">
        <v>3486</v>
      </c>
      <c r="G114" s="14" t="s">
        <v>3487</v>
      </c>
      <c r="H114" s="15" t="s">
        <v>24</v>
      </c>
      <c r="I114" s="15" t="s">
        <v>3491</v>
      </c>
      <c r="J114" s="2">
        <v>6.0</v>
      </c>
      <c r="K114" s="12" t="s">
        <v>3597</v>
      </c>
      <c r="L114" s="17"/>
    </row>
    <row r="115" hidden="1">
      <c r="A115" s="1" t="s">
        <v>139</v>
      </c>
      <c r="B115" s="1" t="s">
        <v>139</v>
      </c>
      <c r="C115" s="13">
        <v>45588.41204861111</v>
      </c>
      <c r="D115" s="2" t="s">
        <v>122</v>
      </c>
      <c r="E115" s="2" t="s">
        <v>123</v>
      </c>
      <c r="F115" s="14" t="s">
        <v>3486</v>
      </c>
      <c r="G115" s="14" t="s">
        <v>3487</v>
      </c>
      <c r="H115" s="15" t="s">
        <v>16</v>
      </c>
      <c r="I115" s="15" t="s">
        <v>3488</v>
      </c>
      <c r="J115" s="2">
        <v>10.0</v>
      </c>
      <c r="K115" s="12" t="s">
        <v>3598</v>
      </c>
      <c r="L115" s="16">
        <v>70000.0</v>
      </c>
    </row>
    <row r="116" hidden="1">
      <c r="A116" s="1" t="s">
        <v>140</v>
      </c>
      <c r="B116" s="1" t="s">
        <v>140</v>
      </c>
      <c r="C116" s="13">
        <v>45589.414247685185</v>
      </c>
      <c r="D116" s="2" t="s">
        <v>91</v>
      </c>
      <c r="E116" s="2" t="s">
        <v>92</v>
      </c>
      <c r="F116" s="14" t="s">
        <v>3486</v>
      </c>
      <c r="G116" s="14" t="s">
        <v>3487</v>
      </c>
      <c r="H116" s="15" t="s">
        <v>16</v>
      </c>
      <c r="I116" s="15" t="s">
        <v>3488</v>
      </c>
      <c r="J116" s="2">
        <v>3.0</v>
      </c>
      <c r="K116" s="12" t="s">
        <v>3599</v>
      </c>
      <c r="L116" s="16">
        <v>70000.0</v>
      </c>
    </row>
    <row r="117">
      <c r="A117" s="1" t="s">
        <v>141</v>
      </c>
      <c r="B117" s="1" t="s">
        <v>141</v>
      </c>
      <c r="C117" s="13">
        <v>45589.41862268518</v>
      </c>
      <c r="D117" s="2" t="s">
        <v>45</v>
      </c>
      <c r="E117" s="2" t="s">
        <v>46</v>
      </c>
      <c r="F117" s="14" t="s">
        <v>3486</v>
      </c>
      <c r="G117" s="14" t="s">
        <v>3487</v>
      </c>
      <c r="H117" s="15" t="s">
        <v>24</v>
      </c>
      <c r="I117" s="15" t="s">
        <v>3491</v>
      </c>
      <c r="J117" s="2">
        <v>19.0</v>
      </c>
      <c r="K117" s="12" t="s">
        <v>3600</v>
      </c>
      <c r="L117" s="17"/>
    </row>
    <row r="118">
      <c r="A118" s="1" t="s">
        <v>141</v>
      </c>
      <c r="B118" s="1" t="s">
        <v>141</v>
      </c>
      <c r="C118" s="13">
        <v>45589.421956018516</v>
      </c>
      <c r="D118" s="2" t="s">
        <v>45</v>
      </c>
      <c r="E118" s="2" t="s">
        <v>46</v>
      </c>
      <c r="F118" s="14" t="s">
        <v>3522</v>
      </c>
      <c r="G118" s="14" t="s">
        <v>3523</v>
      </c>
      <c r="H118" s="15" t="s">
        <v>24</v>
      </c>
      <c r="I118" s="15" t="s">
        <v>3491</v>
      </c>
      <c r="J118" s="2">
        <v>1.0</v>
      </c>
      <c r="K118" s="12" t="s">
        <v>3601</v>
      </c>
      <c r="L118" s="17"/>
    </row>
    <row r="119" hidden="1">
      <c r="A119" s="1" t="s">
        <v>142</v>
      </c>
      <c r="B119" s="1" t="s">
        <v>142</v>
      </c>
      <c r="C119" s="13">
        <v>45589.44777777778</v>
      </c>
      <c r="D119" s="2" t="s">
        <v>91</v>
      </c>
      <c r="E119" s="2" t="s">
        <v>92</v>
      </c>
      <c r="F119" s="14" t="s">
        <v>3486</v>
      </c>
      <c r="G119" s="14" t="s">
        <v>3487</v>
      </c>
      <c r="H119" s="15" t="s">
        <v>24</v>
      </c>
      <c r="I119" s="15" t="s">
        <v>3491</v>
      </c>
      <c r="J119" s="2">
        <v>1.0</v>
      </c>
      <c r="K119" s="12" t="s">
        <v>3602</v>
      </c>
      <c r="L119" s="17"/>
    </row>
    <row r="120" hidden="1">
      <c r="A120" s="1" t="s">
        <v>143</v>
      </c>
      <c r="B120" s="1" t="s">
        <v>143</v>
      </c>
      <c r="C120" s="13">
        <v>45589.44819444444</v>
      </c>
      <c r="D120" s="2" t="s">
        <v>131</v>
      </c>
      <c r="E120" s="2" t="s">
        <v>132</v>
      </c>
      <c r="F120" s="14" t="s">
        <v>3486</v>
      </c>
      <c r="G120" s="14" t="s">
        <v>3487</v>
      </c>
      <c r="H120" s="15" t="s">
        <v>24</v>
      </c>
      <c r="I120" s="15" t="s">
        <v>3491</v>
      </c>
      <c r="J120" s="2">
        <v>3.0</v>
      </c>
      <c r="K120" s="12" t="s">
        <v>3603</v>
      </c>
      <c r="L120" s="17"/>
    </row>
    <row r="121" hidden="1">
      <c r="A121" s="1" t="s">
        <v>144</v>
      </c>
      <c r="B121" s="1" t="s">
        <v>144</v>
      </c>
      <c r="C121" s="13">
        <v>45590.43372685185</v>
      </c>
      <c r="D121" s="2" t="s">
        <v>49</v>
      </c>
      <c r="E121" s="2" t="s">
        <v>50</v>
      </c>
      <c r="F121" s="14" t="s">
        <v>3486</v>
      </c>
      <c r="G121" s="14" t="s">
        <v>3487</v>
      </c>
      <c r="H121" s="15" t="s">
        <v>16</v>
      </c>
      <c r="I121" s="15" t="s">
        <v>3488</v>
      </c>
      <c r="J121" s="2">
        <v>5.0</v>
      </c>
      <c r="K121" s="12" t="s">
        <v>3604</v>
      </c>
      <c r="L121" s="16">
        <v>60000.0</v>
      </c>
    </row>
    <row r="122" hidden="1">
      <c r="A122" s="1" t="s">
        <v>145</v>
      </c>
      <c r="B122" s="1" t="s">
        <v>145</v>
      </c>
      <c r="C122" s="13">
        <v>45590.45774305556</v>
      </c>
      <c r="D122" s="2" t="s">
        <v>49</v>
      </c>
      <c r="E122" s="2" t="s">
        <v>50</v>
      </c>
      <c r="F122" s="14" t="s">
        <v>3486</v>
      </c>
      <c r="G122" s="14" t="s">
        <v>3487</v>
      </c>
      <c r="H122" s="15" t="s">
        <v>24</v>
      </c>
      <c r="I122" s="15" t="s">
        <v>3491</v>
      </c>
      <c r="J122" s="2">
        <v>2.0</v>
      </c>
      <c r="K122" s="12" t="s">
        <v>3605</v>
      </c>
      <c r="L122" s="16">
        <v>0.0</v>
      </c>
    </row>
    <row r="123" hidden="1">
      <c r="A123" s="1" t="s">
        <v>146</v>
      </c>
      <c r="B123" s="1" t="s">
        <v>146</v>
      </c>
      <c r="C123" s="13">
        <v>45591.400613425925</v>
      </c>
      <c r="D123" s="2" t="s">
        <v>28</v>
      </c>
      <c r="E123" s="2" t="s">
        <v>29</v>
      </c>
      <c r="F123" s="14" t="s">
        <v>3516</v>
      </c>
      <c r="G123" s="14" t="s">
        <v>3517</v>
      </c>
      <c r="H123" s="15" t="s">
        <v>16</v>
      </c>
      <c r="I123" s="15" t="s">
        <v>3488</v>
      </c>
      <c r="J123" s="2">
        <v>5.0</v>
      </c>
      <c r="K123" s="12" t="s">
        <v>3606</v>
      </c>
      <c r="L123" s="16">
        <v>160000.0</v>
      </c>
    </row>
    <row r="124" hidden="1">
      <c r="A124" s="1" t="s">
        <v>147</v>
      </c>
      <c r="B124" s="1" t="s">
        <v>147</v>
      </c>
      <c r="C124" s="13">
        <v>45591.555243055554</v>
      </c>
      <c r="D124" s="2" t="s">
        <v>28</v>
      </c>
      <c r="E124" s="2" t="s">
        <v>29</v>
      </c>
      <c r="F124" s="14" t="s">
        <v>3516</v>
      </c>
      <c r="G124" s="14" t="s">
        <v>3517</v>
      </c>
      <c r="H124" s="15" t="s">
        <v>24</v>
      </c>
      <c r="I124" s="15" t="s">
        <v>3491</v>
      </c>
      <c r="J124" s="2">
        <v>5.0</v>
      </c>
      <c r="K124" s="12" t="s">
        <v>3607</v>
      </c>
      <c r="L124" s="17"/>
    </row>
    <row r="125" hidden="1">
      <c r="A125" s="1" t="s">
        <v>147</v>
      </c>
      <c r="B125" s="1" t="s">
        <v>147</v>
      </c>
      <c r="C125" s="13">
        <v>45591.55601851852</v>
      </c>
      <c r="D125" s="2" t="s">
        <v>28</v>
      </c>
      <c r="E125" s="2" t="s">
        <v>29</v>
      </c>
      <c r="F125" s="14" t="s">
        <v>3486</v>
      </c>
      <c r="G125" s="14" t="s">
        <v>3487</v>
      </c>
      <c r="H125" s="15" t="s">
        <v>24</v>
      </c>
      <c r="I125" s="15" t="s">
        <v>3491</v>
      </c>
      <c r="J125" s="2">
        <v>5.0</v>
      </c>
      <c r="K125" s="12" t="s">
        <v>3608</v>
      </c>
      <c r="L125" s="17"/>
    </row>
    <row r="126" hidden="1">
      <c r="A126" s="1" t="s">
        <v>148</v>
      </c>
      <c r="B126" s="1" t="s">
        <v>148</v>
      </c>
      <c r="C126" s="13">
        <v>45593.455775462964</v>
      </c>
      <c r="D126" s="2" t="s">
        <v>149</v>
      </c>
      <c r="E126" s="2" t="s">
        <v>150</v>
      </c>
      <c r="F126" s="14" t="s">
        <v>3522</v>
      </c>
      <c r="G126" s="14" t="s">
        <v>3523</v>
      </c>
      <c r="H126" s="15" t="s">
        <v>16</v>
      </c>
      <c r="I126" s="15" t="s">
        <v>3488</v>
      </c>
      <c r="J126" s="2">
        <v>3.0</v>
      </c>
      <c r="K126" s="12" t="s">
        <v>3609</v>
      </c>
      <c r="L126" s="16">
        <v>190000.0</v>
      </c>
    </row>
    <row r="127" hidden="1">
      <c r="A127" s="1" t="s">
        <v>152</v>
      </c>
      <c r="B127" s="1" t="s">
        <v>152</v>
      </c>
      <c r="C127" s="13">
        <v>45593.45738425926</v>
      </c>
      <c r="D127" s="2" t="s">
        <v>55</v>
      </c>
      <c r="E127" s="2" t="s">
        <v>56</v>
      </c>
      <c r="F127" s="14" t="s">
        <v>3486</v>
      </c>
      <c r="G127" s="14" t="s">
        <v>3487</v>
      </c>
      <c r="H127" s="15" t="s">
        <v>16</v>
      </c>
      <c r="I127" s="15" t="s">
        <v>3488</v>
      </c>
      <c r="J127" s="2">
        <v>5.0</v>
      </c>
      <c r="K127" s="12" t="s">
        <v>3610</v>
      </c>
      <c r="L127" s="16">
        <v>60000.0</v>
      </c>
    </row>
    <row r="128" hidden="1">
      <c r="A128" s="1" t="s">
        <v>153</v>
      </c>
      <c r="B128" s="1" t="s">
        <v>153</v>
      </c>
      <c r="C128" s="13">
        <v>45593.639027777775</v>
      </c>
      <c r="D128" s="2" t="s">
        <v>131</v>
      </c>
      <c r="E128" s="2" t="s">
        <v>132</v>
      </c>
      <c r="F128" s="14" t="s">
        <v>3486</v>
      </c>
      <c r="G128" s="14" t="s">
        <v>3487</v>
      </c>
      <c r="H128" s="15" t="s">
        <v>24</v>
      </c>
      <c r="I128" s="15" t="s">
        <v>3491</v>
      </c>
      <c r="J128" s="2">
        <v>4.0</v>
      </c>
      <c r="K128" s="12" t="s">
        <v>3611</v>
      </c>
      <c r="L128" s="17"/>
    </row>
    <row r="129" hidden="1">
      <c r="A129" s="1" t="s">
        <v>154</v>
      </c>
      <c r="B129" s="1" t="s">
        <v>154</v>
      </c>
      <c r="C129" s="13">
        <v>45593.6397337963</v>
      </c>
      <c r="D129" s="2" t="s">
        <v>126</v>
      </c>
      <c r="E129" s="2" t="s">
        <v>127</v>
      </c>
      <c r="F129" s="14" t="s">
        <v>3486</v>
      </c>
      <c r="G129" s="14" t="s">
        <v>3487</v>
      </c>
      <c r="H129" s="15" t="s">
        <v>24</v>
      </c>
      <c r="I129" s="15" t="s">
        <v>3491</v>
      </c>
      <c r="J129" s="2">
        <v>5.0</v>
      </c>
      <c r="K129" s="12" t="s">
        <v>3612</v>
      </c>
      <c r="L129" s="17"/>
    </row>
    <row r="130" hidden="1">
      <c r="A130" s="1" t="s">
        <v>154</v>
      </c>
      <c r="B130" s="1" t="s">
        <v>154</v>
      </c>
      <c r="C130" s="13">
        <v>45593.64087962963</v>
      </c>
      <c r="D130" s="2" t="s">
        <v>126</v>
      </c>
      <c r="E130" s="2" t="s">
        <v>127</v>
      </c>
      <c r="F130" s="14" t="s">
        <v>3585</v>
      </c>
      <c r="G130" s="14" t="s">
        <v>3586</v>
      </c>
      <c r="H130" s="15" t="s">
        <v>24</v>
      </c>
      <c r="I130" s="15" t="s">
        <v>3491</v>
      </c>
      <c r="J130" s="2">
        <v>1.0</v>
      </c>
      <c r="K130" s="12" t="s">
        <v>3613</v>
      </c>
      <c r="L130" s="17"/>
    </row>
    <row r="131" hidden="1">
      <c r="A131" s="1" t="s">
        <v>154</v>
      </c>
      <c r="B131" s="1" t="s">
        <v>154</v>
      </c>
      <c r="C131" s="13">
        <v>45593.64576388889</v>
      </c>
      <c r="D131" s="2" t="s">
        <v>126</v>
      </c>
      <c r="E131" s="2" t="s">
        <v>127</v>
      </c>
      <c r="F131" s="14" t="s">
        <v>3585</v>
      </c>
      <c r="G131" s="14" t="s">
        <v>3586</v>
      </c>
      <c r="H131" s="15" t="s">
        <v>24</v>
      </c>
      <c r="I131" s="15" t="s">
        <v>3614</v>
      </c>
      <c r="J131" s="2">
        <v>1.0</v>
      </c>
      <c r="K131" s="12" t="s">
        <v>3615</v>
      </c>
      <c r="L131" s="17"/>
    </row>
    <row r="132" hidden="1">
      <c r="A132" s="1" t="s">
        <v>155</v>
      </c>
      <c r="B132" s="1" t="s">
        <v>155</v>
      </c>
      <c r="C132" s="13">
        <v>45593.69825231482</v>
      </c>
      <c r="D132" s="2" t="s">
        <v>55</v>
      </c>
      <c r="E132" s="2" t="s">
        <v>56</v>
      </c>
      <c r="F132" s="14" t="s">
        <v>3486</v>
      </c>
      <c r="G132" s="14" t="s">
        <v>3487</v>
      </c>
      <c r="H132" s="15" t="s">
        <v>24</v>
      </c>
      <c r="I132" s="15" t="s">
        <v>3491</v>
      </c>
      <c r="J132" s="2">
        <v>5.0</v>
      </c>
      <c r="K132" s="12" t="s">
        <v>3616</v>
      </c>
      <c r="L132" s="20"/>
    </row>
    <row r="133" hidden="1">
      <c r="A133" s="1" t="s">
        <v>156</v>
      </c>
      <c r="B133" s="1" t="s">
        <v>156</v>
      </c>
      <c r="C133" s="13">
        <v>45594.41415509259</v>
      </c>
      <c r="D133" s="2" t="s">
        <v>126</v>
      </c>
      <c r="E133" s="2" t="s">
        <v>127</v>
      </c>
      <c r="F133" s="14" t="s">
        <v>3486</v>
      </c>
      <c r="G133" s="14" t="s">
        <v>3487</v>
      </c>
      <c r="H133" s="15" t="s">
        <v>16</v>
      </c>
      <c r="I133" s="15" t="s">
        <v>3488</v>
      </c>
      <c r="J133" s="2">
        <v>20.0</v>
      </c>
      <c r="K133" s="12" t="s">
        <v>3617</v>
      </c>
      <c r="L133" s="14">
        <v>45045.04505</v>
      </c>
    </row>
    <row r="134" hidden="1">
      <c r="A134" s="1" t="s">
        <v>157</v>
      </c>
      <c r="B134" s="1" t="s">
        <v>157</v>
      </c>
      <c r="C134" s="13">
        <v>45594.45208333333</v>
      </c>
      <c r="D134" s="2" t="s">
        <v>149</v>
      </c>
      <c r="E134" s="2" t="s">
        <v>150</v>
      </c>
      <c r="F134" s="14" t="s">
        <v>3522</v>
      </c>
      <c r="G134" s="14" t="s">
        <v>3523</v>
      </c>
      <c r="H134" s="15" t="s">
        <v>24</v>
      </c>
      <c r="I134" s="15" t="s">
        <v>3614</v>
      </c>
      <c r="J134" s="2">
        <v>1.0</v>
      </c>
      <c r="K134" s="12" t="s">
        <v>3618</v>
      </c>
      <c r="L134" s="20"/>
    </row>
    <row r="135" hidden="1">
      <c r="A135" s="1" t="s">
        <v>158</v>
      </c>
      <c r="B135" s="1" t="s">
        <v>158</v>
      </c>
      <c r="C135" s="13">
        <v>45594.45277777778</v>
      </c>
      <c r="D135" s="2" t="s">
        <v>149</v>
      </c>
      <c r="E135" s="2" t="s">
        <v>150</v>
      </c>
      <c r="F135" s="14" t="s">
        <v>3522</v>
      </c>
      <c r="G135" s="14" t="s">
        <v>3523</v>
      </c>
      <c r="H135" s="15" t="s">
        <v>159</v>
      </c>
      <c r="I135" s="15" t="s">
        <v>3619</v>
      </c>
      <c r="J135" s="2">
        <v>1.0</v>
      </c>
      <c r="K135" s="12" t="s">
        <v>3620</v>
      </c>
      <c r="L135" s="20"/>
    </row>
    <row r="136" hidden="1">
      <c r="A136" s="1" t="s">
        <v>160</v>
      </c>
      <c r="B136" s="1" t="s">
        <v>160</v>
      </c>
      <c r="C136" s="13">
        <v>45594.47361111111</v>
      </c>
      <c r="D136" s="2" t="s">
        <v>122</v>
      </c>
      <c r="E136" s="2" t="s">
        <v>123</v>
      </c>
      <c r="F136" s="14" t="s">
        <v>3486</v>
      </c>
      <c r="G136" s="14" t="s">
        <v>3487</v>
      </c>
      <c r="H136" s="15" t="s">
        <v>24</v>
      </c>
      <c r="I136" s="15" t="s">
        <v>3491</v>
      </c>
      <c r="J136" s="2">
        <v>2.0</v>
      </c>
      <c r="K136" s="12" t="s">
        <v>3621</v>
      </c>
      <c r="L136" s="17"/>
    </row>
    <row r="137" hidden="1">
      <c r="A137" s="1" t="s">
        <v>161</v>
      </c>
      <c r="B137" s="1" t="s">
        <v>161</v>
      </c>
      <c r="C137" s="13">
        <v>45594.51767361111</v>
      </c>
      <c r="D137" s="2" t="s">
        <v>114</v>
      </c>
      <c r="E137" s="2" t="s">
        <v>115</v>
      </c>
      <c r="F137" s="14" t="s">
        <v>3486</v>
      </c>
      <c r="G137" s="14" t="s">
        <v>3487</v>
      </c>
      <c r="H137" s="15" t="s">
        <v>16</v>
      </c>
      <c r="I137" s="15" t="s">
        <v>3488</v>
      </c>
      <c r="J137" s="2">
        <v>15.0</v>
      </c>
      <c r="K137" s="12" t="s">
        <v>3622</v>
      </c>
      <c r="L137" s="14">
        <v>45045.04505</v>
      </c>
    </row>
    <row r="138" hidden="1">
      <c r="A138" s="1" t="s">
        <v>161</v>
      </c>
      <c r="B138" s="1" t="s">
        <v>161</v>
      </c>
      <c r="C138" s="13">
        <v>45594.52196759259</v>
      </c>
      <c r="D138" s="2" t="s">
        <v>114</v>
      </c>
      <c r="E138" s="2" t="s">
        <v>115</v>
      </c>
      <c r="F138" s="14" t="s">
        <v>3585</v>
      </c>
      <c r="G138" s="14" t="s">
        <v>3586</v>
      </c>
      <c r="H138" s="15" t="s">
        <v>16</v>
      </c>
      <c r="I138" s="15" t="s">
        <v>3488</v>
      </c>
      <c r="J138" s="2">
        <v>4.0</v>
      </c>
      <c r="K138" s="12" t="s">
        <v>3623</v>
      </c>
      <c r="L138" s="16">
        <v>360360.3604</v>
      </c>
    </row>
    <row r="139" hidden="1">
      <c r="A139" s="1" t="s">
        <v>162</v>
      </c>
      <c r="B139" s="1" t="s">
        <v>162</v>
      </c>
      <c r="C139" s="13">
        <v>45594.522731481484</v>
      </c>
      <c r="D139" s="2" t="s">
        <v>126</v>
      </c>
      <c r="E139" s="2" t="s">
        <v>127</v>
      </c>
      <c r="F139" s="14" t="s">
        <v>3486</v>
      </c>
      <c r="G139" s="14" t="s">
        <v>3487</v>
      </c>
      <c r="H139" s="15" t="s">
        <v>24</v>
      </c>
      <c r="I139" s="15" t="s">
        <v>3491</v>
      </c>
      <c r="J139" s="2">
        <v>2.0</v>
      </c>
      <c r="K139" s="12" t="s">
        <v>3624</v>
      </c>
      <c r="L139" s="20"/>
    </row>
    <row r="140" hidden="1">
      <c r="A140" s="1" t="s">
        <v>163</v>
      </c>
      <c r="B140" s="1" t="s">
        <v>163</v>
      </c>
      <c r="C140" s="13">
        <v>45594.589583333334</v>
      </c>
      <c r="D140" s="2" t="s">
        <v>114</v>
      </c>
      <c r="E140" s="2" t="s">
        <v>115</v>
      </c>
      <c r="F140" s="14" t="s">
        <v>3516</v>
      </c>
      <c r="G140" s="14" t="s">
        <v>3517</v>
      </c>
      <c r="H140" s="15" t="s">
        <v>24</v>
      </c>
      <c r="I140" s="15" t="s">
        <v>3491</v>
      </c>
      <c r="J140" s="2">
        <v>2.0</v>
      </c>
      <c r="K140" s="12" t="s">
        <v>3625</v>
      </c>
      <c r="L140" s="20"/>
    </row>
    <row r="141">
      <c r="A141" s="1" t="s">
        <v>164</v>
      </c>
      <c r="B141" s="1" t="s">
        <v>164</v>
      </c>
      <c r="C141" s="13">
        <v>45595.44497685185</v>
      </c>
      <c r="D141" s="2" t="s">
        <v>45</v>
      </c>
      <c r="E141" s="2" t="s">
        <v>46</v>
      </c>
      <c r="F141" s="14" t="s">
        <v>3486</v>
      </c>
      <c r="G141" s="14" t="s">
        <v>3487</v>
      </c>
      <c r="H141" s="15" t="s">
        <v>16</v>
      </c>
      <c r="I141" s="15" t="s">
        <v>3488</v>
      </c>
      <c r="J141" s="2">
        <v>5.0</v>
      </c>
      <c r="K141" s="12" t="s">
        <v>3626</v>
      </c>
      <c r="L141" s="16">
        <v>60000.0</v>
      </c>
    </row>
    <row r="142">
      <c r="A142" s="1" t="s">
        <v>164</v>
      </c>
      <c r="B142" s="1" t="s">
        <v>164</v>
      </c>
      <c r="C142" s="13">
        <v>45595.445752314816</v>
      </c>
      <c r="D142" s="2" t="s">
        <v>45</v>
      </c>
      <c r="E142" s="2" t="s">
        <v>46</v>
      </c>
      <c r="F142" s="14" t="s">
        <v>3522</v>
      </c>
      <c r="G142" s="14" t="s">
        <v>3523</v>
      </c>
      <c r="H142" s="15" t="s">
        <v>16</v>
      </c>
      <c r="I142" s="15" t="s">
        <v>3488</v>
      </c>
      <c r="J142" s="2">
        <v>5.0</v>
      </c>
      <c r="K142" s="12" t="s">
        <v>3627</v>
      </c>
      <c r="L142" s="16">
        <v>196000.0</v>
      </c>
    </row>
    <row r="143" hidden="1">
      <c r="A143" s="1" t="s">
        <v>165</v>
      </c>
      <c r="B143" s="1" t="s">
        <v>165</v>
      </c>
      <c r="C143" s="13">
        <v>45595.45</v>
      </c>
      <c r="D143" s="2" t="s">
        <v>126</v>
      </c>
      <c r="E143" s="2" t="s">
        <v>127</v>
      </c>
      <c r="F143" s="14" t="s">
        <v>3585</v>
      </c>
      <c r="G143" s="14" t="s">
        <v>3586</v>
      </c>
      <c r="H143" s="15" t="s">
        <v>159</v>
      </c>
      <c r="I143" s="15" t="s">
        <v>3619</v>
      </c>
      <c r="J143" s="2">
        <v>1.0</v>
      </c>
      <c r="K143" s="12" t="s">
        <v>3628</v>
      </c>
      <c r="L143" s="20"/>
    </row>
    <row r="144" hidden="1">
      <c r="A144" s="1" t="s">
        <v>166</v>
      </c>
      <c r="B144" s="1" t="s">
        <v>166</v>
      </c>
      <c r="C144" s="13">
        <v>45595.459189814814</v>
      </c>
      <c r="D144" s="2" t="s">
        <v>28</v>
      </c>
      <c r="E144" s="2" t="s">
        <v>29</v>
      </c>
      <c r="F144" s="14" t="s">
        <v>3486</v>
      </c>
      <c r="G144" s="14" t="s">
        <v>3487</v>
      </c>
      <c r="H144" s="15" t="s">
        <v>16</v>
      </c>
      <c r="I144" s="15" t="s">
        <v>3488</v>
      </c>
      <c r="J144" s="2">
        <v>5.0</v>
      </c>
      <c r="K144" s="12" t="s">
        <v>3629</v>
      </c>
      <c r="L144" s="14">
        <v>60000.0</v>
      </c>
    </row>
    <row r="145" hidden="1">
      <c r="A145" s="1" t="s">
        <v>166</v>
      </c>
      <c r="B145" s="1" t="s">
        <v>166</v>
      </c>
      <c r="C145" s="13">
        <v>45595.459965277776</v>
      </c>
      <c r="D145" s="2" t="s">
        <v>28</v>
      </c>
      <c r="E145" s="2" t="s">
        <v>29</v>
      </c>
      <c r="F145" s="14" t="s">
        <v>3516</v>
      </c>
      <c r="G145" s="14" t="s">
        <v>3517</v>
      </c>
      <c r="H145" s="15" t="s">
        <v>16</v>
      </c>
      <c r="I145" s="15" t="s">
        <v>3488</v>
      </c>
      <c r="J145" s="2">
        <v>5.0</v>
      </c>
      <c r="K145" s="12" t="s">
        <v>3630</v>
      </c>
      <c r="L145" s="14">
        <v>160000.0</v>
      </c>
    </row>
    <row r="146" hidden="1">
      <c r="A146" s="1" t="s">
        <v>167</v>
      </c>
      <c r="B146" s="1" t="s">
        <v>167</v>
      </c>
      <c r="C146" s="13">
        <v>45595.54305555556</v>
      </c>
      <c r="D146" s="2" t="s">
        <v>126</v>
      </c>
      <c r="E146" s="2" t="s">
        <v>127</v>
      </c>
      <c r="F146" s="14" t="s">
        <v>3585</v>
      </c>
      <c r="G146" s="14" t="s">
        <v>3586</v>
      </c>
      <c r="H146" s="15" t="s">
        <v>16</v>
      </c>
      <c r="I146" s="15" t="s">
        <v>3488</v>
      </c>
      <c r="J146" s="2">
        <v>11.0</v>
      </c>
      <c r="K146" s="12" t="s">
        <v>3631</v>
      </c>
      <c r="L146" s="16">
        <v>360360.3604</v>
      </c>
    </row>
    <row r="147" hidden="1">
      <c r="A147" s="1" t="s">
        <v>168</v>
      </c>
      <c r="B147" s="1" t="s">
        <v>168</v>
      </c>
      <c r="C147" s="13">
        <v>45595.565254629626</v>
      </c>
      <c r="D147" s="2" t="s">
        <v>169</v>
      </c>
      <c r="E147" s="2" t="s">
        <v>170</v>
      </c>
      <c r="F147" s="14" t="s">
        <v>3522</v>
      </c>
      <c r="G147" s="14" t="s">
        <v>3523</v>
      </c>
      <c r="H147" s="15" t="s">
        <v>16</v>
      </c>
      <c r="I147" s="15" t="s">
        <v>3488</v>
      </c>
      <c r="J147" s="2">
        <v>1.0</v>
      </c>
      <c r="K147" s="12" t="s">
        <v>3632</v>
      </c>
      <c r="L147" s="16">
        <v>190000.0</v>
      </c>
    </row>
    <row r="148" hidden="1">
      <c r="A148" s="1" t="s">
        <v>172</v>
      </c>
      <c r="B148" s="1" t="s">
        <v>172</v>
      </c>
      <c r="C148" s="13">
        <v>45595.61206018519</v>
      </c>
      <c r="D148" s="2" t="s">
        <v>28</v>
      </c>
      <c r="E148" s="2" t="s">
        <v>29</v>
      </c>
      <c r="F148" s="14" t="s">
        <v>3516</v>
      </c>
      <c r="G148" s="14" t="s">
        <v>3517</v>
      </c>
      <c r="H148" s="15" t="s">
        <v>24</v>
      </c>
      <c r="I148" s="15" t="s">
        <v>3491</v>
      </c>
      <c r="J148" s="2">
        <v>4.0</v>
      </c>
      <c r="K148" s="12" t="s">
        <v>3633</v>
      </c>
      <c r="L148" s="20"/>
    </row>
    <row r="149" hidden="1">
      <c r="A149" s="1" t="s">
        <v>172</v>
      </c>
      <c r="B149" s="1" t="s">
        <v>172</v>
      </c>
      <c r="C149" s="13">
        <v>45595.63523148148</v>
      </c>
      <c r="D149" s="2" t="s">
        <v>28</v>
      </c>
      <c r="E149" s="2" t="s">
        <v>29</v>
      </c>
      <c r="F149" s="14" t="s">
        <v>3486</v>
      </c>
      <c r="G149" s="14" t="s">
        <v>3487</v>
      </c>
      <c r="H149" s="15" t="s">
        <v>24</v>
      </c>
      <c r="I149" s="15" t="s">
        <v>3491</v>
      </c>
      <c r="J149" s="2">
        <v>5.0</v>
      </c>
      <c r="K149" s="12" t="s">
        <v>3634</v>
      </c>
      <c r="L149" s="17"/>
    </row>
    <row r="150" hidden="1">
      <c r="A150" s="1" t="s">
        <v>173</v>
      </c>
      <c r="B150" s="1" t="s">
        <v>173</v>
      </c>
      <c r="C150" s="13">
        <v>45596.49217592592</v>
      </c>
      <c r="D150" s="2" t="s">
        <v>109</v>
      </c>
      <c r="E150" s="2" t="s">
        <v>110</v>
      </c>
      <c r="F150" s="14" t="s">
        <v>3486</v>
      </c>
      <c r="G150" s="14" t="s">
        <v>3487</v>
      </c>
      <c r="H150" s="15" t="s">
        <v>16</v>
      </c>
      <c r="I150" s="15" t="s">
        <v>3488</v>
      </c>
      <c r="J150" s="2">
        <v>4.0</v>
      </c>
      <c r="K150" s="12" t="s">
        <v>3635</v>
      </c>
      <c r="L150" s="16">
        <v>60000.0</v>
      </c>
    </row>
    <row r="151" hidden="1">
      <c r="A151" s="1" t="s">
        <v>173</v>
      </c>
      <c r="B151" s="1" t="s">
        <v>173</v>
      </c>
      <c r="C151" s="13">
        <v>45596.492476851854</v>
      </c>
      <c r="D151" s="2" t="s">
        <v>109</v>
      </c>
      <c r="E151" s="2" t="s">
        <v>110</v>
      </c>
      <c r="F151" s="14" t="s">
        <v>3522</v>
      </c>
      <c r="G151" s="14" t="s">
        <v>3523</v>
      </c>
      <c r="H151" s="15" t="s">
        <v>16</v>
      </c>
      <c r="I151" s="15" t="s">
        <v>3488</v>
      </c>
      <c r="J151" s="2">
        <v>4.0</v>
      </c>
      <c r="K151" s="12" t="s">
        <v>3636</v>
      </c>
      <c r="L151" s="14">
        <v>190000.0</v>
      </c>
    </row>
    <row r="152" hidden="1">
      <c r="A152" s="1" t="s">
        <v>173</v>
      </c>
      <c r="B152" s="1" t="s">
        <v>173</v>
      </c>
      <c r="C152" s="13">
        <v>45596.492731481485</v>
      </c>
      <c r="D152" s="2" t="s">
        <v>109</v>
      </c>
      <c r="E152" s="2" t="s">
        <v>110</v>
      </c>
      <c r="F152" s="14" t="s">
        <v>3516</v>
      </c>
      <c r="G152" s="14" t="s">
        <v>3517</v>
      </c>
      <c r="H152" s="15" t="s">
        <v>16</v>
      </c>
      <c r="I152" s="15" t="s">
        <v>3488</v>
      </c>
      <c r="J152" s="2">
        <v>4.0</v>
      </c>
      <c r="K152" s="12" t="s">
        <v>3637</v>
      </c>
      <c r="L152" s="16">
        <v>160000.0</v>
      </c>
    </row>
    <row r="153" hidden="1">
      <c r="A153" s="1" t="s">
        <v>174</v>
      </c>
      <c r="B153" s="1" t="s">
        <v>174</v>
      </c>
      <c r="C153" s="13">
        <v>45596.55403935185</v>
      </c>
      <c r="D153" s="2" t="s">
        <v>109</v>
      </c>
      <c r="E153" s="2" t="s">
        <v>110</v>
      </c>
      <c r="F153" s="14" t="s">
        <v>3522</v>
      </c>
      <c r="G153" s="14" t="s">
        <v>3523</v>
      </c>
      <c r="H153" s="15" t="s">
        <v>24</v>
      </c>
      <c r="I153" s="15" t="s">
        <v>3491</v>
      </c>
      <c r="J153" s="2">
        <v>5.0</v>
      </c>
      <c r="K153" s="12" t="s">
        <v>3638</v>
      </c>
      <c r="L153" s="17"/>
    </row>
    <row r="154" hidden="1">
      <c r="A154" s="1" t="s">
        <v>175</v>
      </c>
      <c r="B154" s="1" t="s">
        <v>175</v>
      </c>
      <c r="C154" s="13">
        <v>45596.59950231481</v>
      </c>
      <c r="D154" s="2" t="s">
        <v>122</v>
      </c>
      <c r="E154" s="2" t="s">
        <v>123</v>
      </c>
      <c r="F154" s="14" t="s">
        <v>3486</v>
      </c>
      <c r="G154" s="14" t="s">
        <v>3487</v>
      </c>
      <c r="H154" s="15" t="s">
        <v>16</v>
      </c>
      <c r="I154" s="15" t="s">
        <v>3488</v>
      </c>
      <c r="J154" s="2">
        <v>10.0</v>
      </c>
      <c r="K154" s="12" t="s">
        <v>3639</v>
      </c>
      <c r="L154" s="14">
        <v>70000.0</v>
      </c>
    </row>
    <row r="155" hidden="1">
      <c r="A155" s="1" t="s">
        <v>176</v>
      </c>
      <c r="B155" s="1" t="s">
        <v>176</v>
      </c>
      <c r="C155" s="13">
        <v>45596.65244212963</v>
      </c>
      <c r="D155" s="2" t="s">
        <v>122</v>
      </c>
      <c r="E155" s="2" t="s">
        <v>123</v>
      </c>
      <c r="F155" s="14" t="s">
        <v>3486</v>
      </c>
      <c r="G155" s="14" t="s">
        <v>3487</v>
      </c>
      <c r="H155" s="15" t="s">
        <v>24</v>
      </c>
      <c r="I155" s="15" t="s">
        <v>3491</v>
      </c>
      <c r="J155" s="2">
        <v>3.0</v>
      </c>
      <c r="K155" s="12" t="s">
        <v>3640</v>
      </c>
      <c r="L155" s="17"/>
    </row>
    <row r="156" hidden="1">
      <c r="A156" s="1" t="s">
        <v>177</v>
      </c>
      <c r="B156" s="1" t="s">
        <v>177</v>
      </c>
      <c r="C156" s="13">
        <v>45597.62666666666</v>
      </c>
      <c r="D156" s="2" t="s">
        <v>131</v>
      </c>
      <c r="E156" s="2" t="s">
        <v>132</v>
      </c>
      <c r="F156" s="14" t="s">
        <v>3486</v>
      </c>
      <c r="G156" s="14" t="s">
        <v>3487</v>
      </c>
      <c r="H156" s="15" t="s">
        <v>16</v>
      </c>
      <c r="I156" s="15" t="s">
        <v>3488</v>
      </c>
      <c r="J156" s="2">
        <v>10.0</v>
      </c>
      <c r="K156" s="12" t="s">
        <v>3641</v>
      </c>
      <c r="L156" s="14">
        <v>60000.0</v>
      </c>
    </row>
    <row r="157" hidden="1">
      <c r="A157" s="1" t="s">
        <v>178</v>
      </c>
      <c r="B157" s="1" t="s">
        <v>178</v>
      </c>
      <c r="C157" s="13">
        <v>45597.676712962966</v>
      </c>
      <c r="D157" s="2" t="s">
        <v>126</v>
      </c>
      <c r="E157" s="2" t="s">
        <v>127</v>
      </c>
      <c r="F157" s="14" t="s">
        <v>3486</v>
      </c>
      <c r="G157" s="14" t="s">
        <v>3487</v>
      </c>
      <c r="H157" s="15" t="s">
        <v>24</v>
      </c>
      <c r="I157" s="15" t="s">
        <v>3491</v>
      </c>
      <c r="J157" s="2">
        <v>3.0</v>
      </c>
      <c r="K157" s="12" t="s">
        <v>3642</v>
      </c>
      <c r="L157" s="20"/>
    </row>
    <row r="158" hidden="1">
      <c r="A158" s="1" t="s">
        <v>178</v>
      </c>
      <c r="B158" s="1" t="s">
        <v>178</v>
      </c>
      <c r="C158" s="13">
        <v>45597.67766203704</v>
      </c>
      <c r="D158" s="2" t="s">
        <v>126</v>
      </c>
      <c r="E158" s="2" t="s">
        <v>127</v>
      </c>
      <c r="F158" s="14" t="s">
        <v>3585</v>
      </c>
      <c r="G158" s="14" t="s">
        <v>3586</v>
      </c>
      <c r="H158" s="15" t="s">
        <v>24</v>
      </c>
      <c r="I158" s="15" t="s">
        <v>3491</v>
      </c>
      <c r="J158" s="2">
        <v>2.0</v>
      </c>
      <c r="K158" s="12" t="s">
        <v>3643</v>
      </c>
      <c r="L158" s="20"/>
    </row>
    <row r="159" hidden="1">
      <c r="A159" s="1" t="s">
        <v>179</v>
      </c>
      <c r="B159" s="1" t="s">
        <v>179</v>
      </c>
      <c r="C159" s="13">
        <v>45597.679131944446</v>
      </c>
      <c r="D159" s="2" t="s">
        <v>55</v>
      </c>
      <c r="E159" s="2" t="s">
        <v>56</v>
      </c>
      <c r="F159" s="14" t="s">
        <v>3486</v>
      </c>
      <c r="G159" s="14" t="s">
        <v>3487</v>
      </c>
      <c r="H159" s="15" t="s">
        <v>24</v>
      </c>
      <c r="I159" s="15" t="s">
        <v>3491</v>
      </c>
      <c r="J159" s="2">
        <v>2.0</v>
      </c>
      <c r="K159" s="12" t="s">
        <v>3644</v>
      </c>
      <c r="L159" s="17"/>
    </row>
    <row r="160" hidden="1">
      <c r="A160" s="1" t="s">
        <v>180</v>
      </c>
      <c r="B160" s="1" t="s">
        <v>180</v>
      </c>
      <c r="C160" s="13">
        <v>45597.67953703704</v>
      </c>
      <c r="D160" s="2" t="s">
        <v>131</v>
      </c>
      <c r="E160" s="2" t="s">
        <v>132</v>
      </c>
      <c r="F160" s="14" t="s">
        <v>3486</v>
      </c>
      <c r="G160" s="14" t="s">
        <v>3487</v>
      </c>
      <c r="H160" s="15" t="s">
        <v>24</v>
      </c>
      <c r="I160" s="15" t="s">
        <v>3491</v>
      </c>
      <c r="J160" s="2">
        <v>3.0</v>
      </c>
      <c r="K160" s="12" t="s">
        <v>3645</v>
      </c>
      <c r="L160" s="20"/>
    </row>
    <row r="161" hidden="1">
      <c r="A161" s="1" t="s">
        <v>181</v>
      </c>
      <c r="B161" s="1" t="s">
        <v>181</v>
      </c>
      <c r="C161" s="13">
        <v>45599.674305555556</v>
      </c>
      <c r="D161" s="2" t="s">
        <v>122</v>
      </c>
      <c r="E161" s="2" t="s">
        <v>123</v>
      </c>
      <c r="F161" s="14" t="s">
        <v>3486</v>
      </c>
      <c r="G161" s="14" t="s">
        <v>3487</v>
      </c>
      <c r="H161" s="15" t="s">
        <v>16</v>
      </c>
      <c r="I161" s="15" t="s">
        <v>3488</v>
      </c>
      <c r="J161" s="2">
        <v>13.0</v>
      </c>
      <c r="K161" s="12" t="s">
        <v>3646</v>
      </c>
      <c r="L161" s="16">
        <v>70000.0</v>
      </c>
    </row>
    <row r="162" hidden="1">
      <c r="A162" s="1" t="s">
        <v>181</v>
      </c>
      <c r="B162" s="1" t="s">
        <v>181</v>
      </c>
      <c r="C162" s="13">
        <v>45599.674305555556</v>
      </c>
      <c r="D162" s="2" t="s">
        <v>122</v>
      </c>
      <c r="E162" s="2" t="s">
        <v>123</v>
      </c>
      <c r="F162" s="14" t="s">
        <v>3493</v>
      </c>
      <c r="G162" s="14" t="s">
        <v>3494</v>
      </c>
      <c r="H162" s="15" t="s">
        <v>16</v>
      </c>
      <c r="I162" s="15" t="s">
        <v>3488</v>
      </c>
      <c r="J162" s="2">
        <v>4.0</v>
      </c>
      <c r="K162" s="19"/>
      <c r="L162" s="14">
        <v>215000.0</v>
      </c>
    </row>
    <row r="163" hidden="1">
      <c r="A163" s="1" t="s">
        <v>182</v>
      </c>
      <c r="B163" s="1" t="s">
        <v>182</v>
      </c>
      <c r="C163" s="13">
        <v>45600.47986111111</v>
      </c>
      <c r="D163" s="2" t="s">
        <v>122</v>
      </c>
      <c r="E163" s="2" t="s">
        <v>123</v>
      </c>
      <c r="F163" s="14" t="s">
        <v>3486</v>
      </c>
      <c r="G163" s="14" t="s">
        <v>3487</v>
      </c>
      <c r="H163" s="15" t="s">
        <v>24</v>
      </c>
      <c r="I163" s="15" t="s">
        <v>3491</v>
      </c>
      <c r="J163" s="2">
        <v>12.0</v>
      </c>
      <c r="K163" s="12" t="s">
        <v>3647</v>
      </c>
      <c r="L163" s="17"/>
    </row>
    <row r="164" hidden="1">
      <c r="A164" s="1" t="s">
        <v>3648</v>
      </c>
      <c r="B164" s="1" t="s">
        <v>3648</v>
      </c>
      <c r="C164" s="13">
        <v>45600.490266203706</v>
      </c>
      <c r="D164" s="2" t="s">
        <v>122</v>
      </c>
      <c r="E164" s="2" t="s">
        <v>123</v>
      </c>
      <c r="F164" s="14" t="s">
        <v>3486</v>
      </c>
      <c r="G164" s="14" t="s">
        <v>3487</v>
      </c>
      <c r="H164" s="15" t="s">
        <v>16</v>
      </c>
      <c r="I164" s="15" t="s">
        <v>3488</v>
      </c>
      <c r="J164" s="2">
        <v>20.0</v>
      </c>
      <c r="K164" s="19"/>
      <c r="L164" s="14">
        <v>70000.0</v>
      </c>
    </row>
    <row r="165" hidden="1">
      <c r="A165" s="1" t="s">
        <v>183</v>
      </c>
      <c r="B165" s="1" t="s">
        <v>183</v>
      </c>
      <c r="C165" s="13">
        <v>45600.499502314815</v>
      </c>
      <c r="D165" s="2" t="s">
        <v>126</v>
      </c>
      <c r="E165" s="2" t="s">
        <v>127</v>
      </c>
      <c r="F165" s="14" t="s">
        <v>3486</v>
      </c>
      <c r="G165" s="14" t="s">
        <v>3487</v>
      </c>
      <c r="H165" s="15" t="s">
        <v>16</v>
      </c>
      <c r="I165" s="15" t="s">
        <v>3488</v>
      </c>
      <c r="J165" s="2">
        <v>8.0</v>
      </c>
      <c r="K165" s="12" t="s">
        <v>3649</v>
      </c>
      <c r="L165" s="16">
        <v>45045.04505</v>
      </c>
    </row>
    <row r="166" hidden="1">
      <c r="A166" s="1" t="s">
        <v>184</v>
      </c>
      <c r="B166" s="1" t="s">
        <v>184</v>
      </c>
      <c r="C166" s="13">
        <v>45600.503969907404</v>
      </c>
      <c r="D166" s="2" t="s">
        <v>126</v>
      </c>
      <c r="E166" s="2" t="s">
        <v>127</v>
      </c>
      <c r="F166" s="14" t="s">
        <v>3486</v>
      </c>
      <c r="G166" s="14" t="s">
        <v>3487</v>
      </c>
      <c r="H166" s="15" t="s">
        <v>24</v>
      </c>
      <c r="I166" s="15" t="s">
        <v>3491</v>
      </c>
      <c r="J166" s="2">
        <v>5.0</v>
      </c>
      <c r="K166" s="12" t="s">
        <v>3650</v>
      </c>
      <c r="L166" s="17"/>
    </row>
    <row r="167" hidden="1">
      <c r="A167" s="1" t="s">
        <v>185</v>
      </c>
      <c r="B167" s="1" t="s">
        <v>185</v>
      </c>
      <c r="C167" s="13">
        <v>45601.37986111111</v>
      </c>
      <c r="D167" s="2" t="s">
        <v>126</v>
      </c>
      <c r="E167" s="2" t="s">
        <v>127</v>
      </c>
      <c r="F167" s="14" t="s">
        <v>3585</v>
      </c>
      <c r="G167" s="14" t="s">
        <v>3586</v>
      </c>
      <c r="H167" s="15" t="s">
        <v>24</v>
      </c>
      <c r="I167" s="15" t="s">
        <v>3491</v>
      </c>
      <c r="J167" s="2">
        <v>7.0</v>
      </c>
      <c r="K167" s="12" t="s">
        <v>3651</v>
      </c>
      <c r="L167" s="17"/>
    </row>
    <row r="168" hidden="1">
      <c r="A168" s="1" t="s">
        <v>185</v>
      </c>
      <c r="B168" s="1" t="s">
        <v>185</v>
      </c>
      <c r="C168" s="13">
        <v>45601.381944444445</v>
      </c>
      <c r="D168" s="2" t="s">
        <v>126</v>
      </c>
      <c r="E168" s="2" t="s">
        <v>127</v>
      </c>
      <c r="F168" s="14" t="s">
        <v>3486</v>
      </c>
      <c r="G168" s="14" t="s">
        <v>3487</v>
      </c>
      <c r="H168" s="15" t="s">
        <v>24</v>
      </c>
      <c r="I168" s="15" t="s">
        <v>3491</v>
      </c>
      <c r="J168" s="2">
        <v>5.0</v>
      </c>
      <c r="K168" s="12" t="s">
        <v>3652</v>
      </c>
      <c r="L168" s="20"/>
    </row>
    <row r="169" hidden="1">
      <c r="A169" s="1" t="s">
        <v>3653</v>
      </c>
      <c r="B169" s="1" t="s">
        <v>3653</v>
      </c>
      <c r="C169" s="13">
        <v>45601.38207175926</v>
      </c>
      <c r="D169" s="2" t="s">
        <v>126</v>
      </c>
      <c r="E169" s="2" t="s">
        <v>127</v>
      </c>
      <c r="F169" s="14" t="s">
        <v>3486</v>
      </c>
      <c r="G169" s="14" t="s">
        <v>3487</v>
      </c>
      <c r="H169" s="15" t="s">
        <v>16</v>
      </c>
      <c r="I169" s="15" t="s">
        <v>3488</v>
      </c>
      <c r="J169" s="2">
        <v>12.0</v>
      </c>
      <c r="K169" s="12" t="s">
        <v>3647</v>
      </c>
      <c r="L169" s="14">
        <v>45045.04505</v>
      </c>
    </row>
    <row r="170" hidden="1">
      <c r="A170" s="1" t="s">
        <v>186</v>
      </c>
      <c r="B170" s="1" t="s">
        <v>186</v>
      </c>
      <c r="C170" s="13">
        <v>45601.452465277776</v>
      </c>
      <c r="D170" s="2" t="s">
        <v>122</v>
      </c>
      <c r="E170" s="2" t="s">
        <v>123</v>
      </c>
      <c r="F170" s="14" t="s">
        <v>3486</v>
      </c>
      <c r="G170" s="14" t="s">
        <v>3487</v>
      </c>
      <c r="H170" s="15" t="s">
        <v>24</v>
      </c>
      <c r="I170" s="15" t="s">
        <v>3491</v>
      </c>
      <c r="J170" s="2">
        <v>10.0</v>
      </c>
      <c r="K170" s="12" t="s">
        <v>3654</v>
      </c>
      <c r="L170" s="17"/>
    </row>
    <row r="171" hidden="1">
      <c r="A171" s="1" t="s">
        <v>187</v>
      </c>
      <c r="B171" s="1" t="s">
        <v>187</v>
      </c>
      <c r="C171" s="13">
        <v>45601.680613425924</v>
      </c>
      <c r="D171" s="2" t="s">
        <v>91</v>
      </c>
      <c r="E171" s="2" t="s">
        <v>92</v>
      </c>
      <c r="F171" s="14" t="s">
        <v>3486</v>
      </c>
      <c r="G171" s="14" t="s">
        <v>3487</v>
      </c>
      <c r="H171" s="15" t="s">
        <v>24</v>
      </c>
      <c r="I171" s="15" t="s">
        <v>3491</v>
      </c>
      <c r="J171" s="2">
        <v>1.0</v>
      </c>
      <c r="K171" s="12" t="s">
        <v>3655</v>
      </c>
      <c r="L171" s="20"/>
    </row>
    <row r="172" hidden="1">
      <c r="A172" s="1" t="s">
        <v>188</v>
      </c>
      <c r="B172" s="1" t="s">
        <v>188</v>
      </c>
      <c r="C172" s="13">
        <v>45602.46842592592</v>
      </c>
      <c r="D172" s="2" t="s">
        <v>122</v>
      </c>
      <c r="E172" s="2" t="s">
        <v>123</v>
      </c>
      <c r="F172" s="14" t="s">
        <v>3486</v>
      </c>
      <c r="G172" s="14" t="s">
        <v>3487</v>
      </c>
      <c r="H172" s="15" t="s">
        <v>16</v>
      </c>
      <c r="I172" s="15" t="s">
        <v>3488</v>
      </c>
      <c r="J172" s="2">
        <v>15.0</v>
      </c>
      <c r="K172" s="12" t="s">
        <v>3656</v>
      </c>
      <c r="L172" s="16">
        <v>70000.0</v>
      </c>
    </row>
    <row r="173" hidden="1">
      <c r="A173" s="1" t="s">
        <v>189</v>
      </c>
      <c r="B173" s="1" t="s">
        <v>189</v>
      </c>
      <c r="C173" s="13">
        <v>45602.47520833334</v>
      </c>
      <c r="D173" s="2" t="s">
        <v>20</v>
      </c>
      <c r="E173" s="2" t="s">
        <v>21</v>
      </c>
      <c r="F173" s="14" t="s">
        <v>3486</v>
      </c>
      <c r="G173" s="14" t="s">
        <v>3487</v>
      </c>
      <c r="H173" s="15" t="s">
        <v>24</v>
      </c>
      <c r="I173" s="15" t="s">
        <v>3491</v>
      </c>
      <c r="J173" s="2">
        <v>2.0</v>
      </c>
      <c r="K173" s="12" t="s">
        <v>3657</v>
      </c>
      <c r="L173" s="17"/>
    </row>
    <row r="174" hidden="1">
      <c r="A174" s="1" t="s">
        <v>190</v>
      </c>
      <c r="B174" s="1" t="s">
        <v>190</v>
      </c>
      <c r="C174" s="13">
        <v>45602.68225694444</v>
      </c>
      <c r="D174" s="2" t="s">
        <v>122</v>
      </c>
      <c r="E174" s="2" t="s">
        <v>123</v>
      </c>
      <c r="F174" s="14" t="s">
        <v>3486</v>
      </c>
      <c r="G174" s="14" t="s">
        <v>3487</v>
      </c>
      <c r="H174" s="15" t="s">
        <v>24</v>
      </c>
      <c r="I174" s="15" t="s">
        <v>3491</v>
      </c>
      <c r="J174" s="2">
        <v>12.0</v>
      </c>
      <c r="K174" s="12" t="s">
        <v>3658</v>
      </c>
      <c r="L174" s="20"/>
    </row>
    <row r="175" hidden="1">
      <c r="A175" s="1" t="s">
        <v>191</v>
      </c>
      <c r="B175" s="1" t="s">
        <v>191</v>
      </c>
      <c r="C175" s="13">
        <v>45603.664814814816</v>
      </c>
      <c r="D175" s="2" t="s">
        <v>28</v>
      </c>
      <c r="E175" s="2" t="s">
        <v>29</v>
      </c>
      <c r="F175" s="14" t="s">
        <v>3486</v>
      </c>
      <c r="G175" s="14" t="s">
        <v>3487</v>
      </c>
      <c r="H175" s="15" t="s">
        <v>16</v>
      </c>
      <c r="I175" s="15" t="s">
        <v>3488</v>
      </c>
      <c r="J175" s="2">
        <v>10.0</v>
      </c>
      <c r="K175" s="12" t="s">
        <v>3659</v>
      </c>
      <c r="L175" s="16">
        <v>60000.0</v>
      </c>
    </row>
    <row r="176" hidden="1">
      <c r="A176" s="1" t="s">
        <v>191</v>
      </c>
      <c r="B176" s="1" t="s">
        <v>191</v>
      </c>
      <c r="C176" s="13">
        <v>45603.67125</v>
      </c>
      <c r="D176" s="2" t="s">
        <v>28</v>
      </c>
      <c r="E176" s="2" t="s">
        <v>29</v>
      </c>
      <c r="F176" s="14" t="s">
        <v>3516</v>
      </c>
      <c r="G176" s="14" t="s">
        <v>3517</v>
      </c>
      <c r="H176" s="15" t="s">
        <v>16</v>
      </c>
      <c r="I176" s="15" t="s">
        <v>3488</v>
      </c>
      <c r="J176" s="2">
        <v>5.0</v>
      </c>
      <c r="K176" s="12" t="s">
        <v>3660</v>
      </c>
      <c r="L176" s="14">
        <v>160000.0</v>
      </c>
    </row>
    <row r="177" hidden="1">
      <c r="A177" s="1" t="s">
        <v>192</v>
      </c>
      <c r="B177" s="1" t="s">
        <v>192</v>
      </c>
      <c r="C177" s="13">
        <v>45603.562210648146</v>
      </c>
      <c r="D177" s="2" t="s">
        <v>126</v>
      </c>
      <c r="E177" s="2" t="s">
        <v>127</v>
      </c>
      <c r="F177" s="14" t="s">
        <v>3486</v>
      </c>
      <c r="G177" s="14" t="s">
        <v>3487</v>
      </c>
      <c r="H177" s="15" t="s">
        <v>24</v>
      </c>
      <c r="I177" s="15" t="s">
        <v>3491</v>
      </c>
      <c r="J177" s="2">
        <v>9.0</v>
      </c>
      <c r="K177" s="12" t="s">
        <v>3661</v>
      </c>
      <c r="L177" s="17"/>
    </row>
    <row r="178" hidden="1">
      <c r="A178" s="1" t="s">
        <v>193</v>
      </c>
      <c r="B178" s="1" t="s">
        <v>193</v>
      </c>
      <c r="C178" s="13">
        <v>45603.564409722225</v>
      </c>
      <c r="D178" s="2" t="s">
        <v>122</v>
      </c>
      <c r="E178" s="2" t="s">
        <v>123</v>
      </c>
      <c r="F178" s="14" t="s">
        <v>3486</v>
      </c>
      <c r="G178" s="14" t="s">
        <v>3487</v>
      </c>
      <c r="H178" s="15" t="s">
        <v>16</v>
      </c>
      <c r="I178" s="15" t="s">
        <v>3488</v>
      </c>
      <c r="J178" s="2">
        <v>15.0</v>
      </c>
      <c r="K178" s="12" t="s">
        <v>3662</v>
      </c>
      <c r="L178" s="14">
        <v>70000.0</v>
      </c>
    </row>
    <row r="179" hidden="1">
      <c r="A179" s="1" t="s">
        <v>193</v>
      </c>
      <c r="B179" s="1" t="s">
        <v>193</v>
      </c>
      <c r="C179" s="13">
        <v>45603.56946759259</v>
      </c>
      <c r="D179" s="2" t="s">
        <v>122</v>
      </c>
      <c r="E179" s="2" t="s">
        <v>123</v>
      </c>
      <c r="F179" s="14" t="s">
        <v>3493</v>
      </c>
      <c r="G179" s="14" t="s">
        <v>3494</v>
      </c>
      <c r="H179" s="15" t="s">
        <v>16</v>
      </c>
      <c r="I179" s="15" t="s">
        <v>3488</v>
      </c>
      <c r="J179" s="2">
        <v>2.0</v>
      </c>
      <c r="K179" s="19"/>
      <c r="L179" s="14">
        <v>215000.0</v>
      </c>
    </row>
    <row r="180" hidden="1">
      <c r="A180" s="1" t="s">
        <v>194</v>
      </c>
      <c r="B180" s="1" t="s">
        <v>194</v>
      </c>
      <c r="C180" s="13">
        <v>45603.60037037037</v>
      </c>
      <c r="D180" s="2" t="s">
        <v>28</v>
      </c>
      <c r="E180" s="2" t="s">
        <v>29</v>
      </c>
      <c r="F180" s="14" t="s">
        <v>3516</v>
      </c>
      <c r="G180" s="14" t="s">
        <v>3517</v>
      </c>
      <c r="H180" s="15" t="s">
        <v>24</v>
      </c>
      <c r="I180" s="15" t="s">
        <v>3491</v>
      </c>
      <c r="J180" s="2">
        <v>6.0</v>
      </c>
      <c r="K180" s="12" t="s">
        <v>3663</v>
      </c>
      <c r="L180" s="20"/>
    </row>
    <row r="181" hidden="1">
      <c r="A181" s="1" t="s">
        <v>194</v>
      </c>
      <c r="B181" s="1" t="s">
        <v>194</v>
      </c>
      <c r="C181" s="13">
        <v>45603.601689814815</v>
      </c>
      <c r="D181" s="2" t="s">
        <v>28</v>
      </c>
      <c r="E181" s="2" t="s">
        <v>29</v>
      </c>
      <c r="F181" s="14" t="s">
        <v>3486</v>
      </c>
      <c r="G181" s="14" t="s">
        <v>3487</v>
      </c>
      <c r="H181" s="15" t="s">
        <v>24</v>
      </c>
      <c r="I181" s="15" t="s">
        <v>3491</v>
      </c>
      <c r="J181" s="2">
        <v>7.0</v>
      </c>
      <c r="K181" s="12" t="s">
        <v>3664</v>
      </c>
      <c r="L181" s="20"/>
    </row>
    <row r="182" hidden="1">
      <c r="A182" s="1" t="s">
        <v>195</v>
      </c>
      <c r="B182" s="1" t="s">
        <v>195</v>
      </c>
      <c r="C182" s="13">
        <v>45604.42870370371</v>
      </c>
      <c r="D182" s="2" t="s">
        <v>122</v>
      </c>
      <c r="E182" s="2" t="s">
        <v>123</v>
      </c>
      <c r="F182" s="14" t="s">
        <v>3486</v>
      </c>
      <c r="G182" s="14" t="s">
        <v>3487</v>
      </c>
      <c r="H182" s="15" t="s">
        <v>24</v>
      </c>
      <c r="I182" s="15" t="s">
        <v>3491</v>
      </c>
      <c r="J182" s="2">
        <v>10.0</v>
      </c>
      <c r="K182" s="12" t="s">
        <v>3665</v>
      </c>
      <c r="L182" s="20"/>
    </row>
    <row r="183" hidden="1">
      <c r="A183" s="1" t="s">
        <v>195</v>
      </c>
      <c r="B183" s="1" t="s">
        <v>195</v>
      </c>
      <c r="C183" s="13">
        <v>45604.42994212963</v>
      </c>
      <c r="D183" s="2" t="s">
        <v>122</v>
      </c>
      <c r="E183" s="2" t="s">
        <v>123</v>
      </c>
      <c r="F183" s="14" t="s">
        <v>3493</v>
      </c>
      <c r="G183" s="14" t="s">
        <v>3494</v>
      </c>
      <c r="H183" s="15" t="s">
        <v>24</v>
      </c>
      <c r="I183" s="15" t="s">
        <v>3491</v>
      </c>
      <c r="J183" s="2">
        <v>2.0</v>
      </c>
      <c r="K183" s="19"/>
      <c r="L183" s="17"/>
    </row>
    <row r="184" hidden="1">
      <c r="A184" s="1" t="s">
        <v>196</v>
      </c>
      <c r="B184" s="1" t="s">
        <v>196</v>
      </c>
      <c r="C184" s="13">
        <v>45604.43355324074</v>
      </c>
      <c r="D184" s="2" t="s">
        <v>126</v>
      </c>
      <c r="E184" s="2" t="s">
        <v>127</v>
      </c>
      <c r="F184" s="14" t="s">
        <v>3486</v>
      </c>
      <c r="G184" s="14" t="s">
        <v>3487</v>
      </c>
      <c r="H184" s="15" t="s">
        <v>16</v>
      </c>
      <c r="I184" s="15" t="s">
        <v>3488</v>
      </c>
      <c r="J184" s="2">
        <v>15.0</v>
      </c>
      <c r="K184" s="12" t="s">
        <v>3666</v>
      </c>
      <c r="L184" s="14">
        <v>45045.04505</v>
      </c>
    </row>
    <row r="185" hidden="1">
      <c r="A185" s="1" t="s">
        <v>196</v>
      </c>
      <c r="B185" s="1" t="s">
        <v>196</v>
      </c>
      <c r="C185" s="13">
        <v>45604.43722222222</v>
      </c>
      <c r="D185" s="2" t="s">
        <v>126</v>
      </c>
      <c r="E185" s="2" t="s">
        <v>127</v>
      </c>
      <c r="F185" s="14" t="s">
        <v>3585</v>
      </c>
      <c r="G185" s="14" t="s">
        <v>3586</v>
      </c>
      <c r="H185" s="15" t="s">
        <v>16</v>
      </c>
      <c r="I185" s="15" t="s">
        <v>3488</v>
      </c>
      <c r="J185" s="2">
        <v>7.0</v>
      </c>
      <c r="K185" s="12" t="s">
        <v>3667</v>
      </c>
      <c r="L185" s="14">
        <v>360360.3604</v>
      </c>
    </row>
    <row r="186" hidden="1">
      <c r="A186" s="1" t="s">
        <v>197</v>
      </c>
      <c r="B186" s="1" t="s">
        <v>197</v>
      </c>
      <c r="C186" s="13">
        <v>45604.65200231481</v>
      </c>
      <c r="D186" s="2" t="s">
        <v>149</v>
      </c>
      <c r="E186" s="2" t="s">
        <v>150</v>
      </c>
      <c r="F186" s="14" t="s">
        <v>3522</v>
      </c>
      <c r="G186" s="14" t="s">
        <v>3523</v>
      </c>
      <c r="H186" s="15" t="s">
        <v>16</v>
      </c>
      <c r="I186" s="15" t="s">
        <v>3488</v>
      </c>
      <c r="J186" s="2">
        <v>3.0</v>
      </c>
      <c r="K186" s="12" t="s">
        <v>3668</v>
      </c>
      <c r="L186" s="16">
        <v>190000.0</v>
      </c>
    </row>
    <row r="187" hidden="1">
      <c r="A187" s="1" t="s">
        <v>198</v>
      </c>
      <c r="B187" s="1" t="s">
        <v>198</v>
      </c>
      <c r="C187" s="13">
        <v>45604.65760416666</v>
      </c>
      <c r="D187" s="2" t="s">
        <v>126</v>
      </c>
      <c r="E187" s="2" t="s">
        <v>127</v>
      </c>
      <c r="F187" s="14" t="s">
        <v>3486</v>
      </c>
      <c r="G187" s="14" t="s">
        <v>3487</v>
      </c>
      <c r="H187" s="15" t="s">
        <v>24</v>
      </c>
      <c r="I187" s="15" t="s">
        <v>3491</v>
      </c>
      <c r="J187" s="2">
        <v>1.0</v>
      </c>
      <c r="K187" s="12" t="s">
        <v>3669</v>
      </c>
      <c r="L187" s="20"/>
    </row>
    <row r="188" hidden="1">
      <c r="A188" s="1" t="s">
        <v>198</v>
      </c>
      <c r="B188" s="1" t="s">
        <v>198</v>
      </c>
      <c r="C188" s="13">
        <v>45604.65793981482</v>
      </c>
      <c r="D188" s="2" t="s">
        <v>126</v>
      </c>
      <c r="E188" s="2" t="s">
        <v>127</v>
      </c>
      <c r="F188" s="14" t="s">
        <v>3585</v>
      </c>
      <c r="G188" s="14" t="s">
        <v>3586</v>
      </c>
      <c r="H188" s="15" t="s">
        <v>24</v>
      </c>
      <c r="I188" s="15" t="s">
        <v>3491</v>
      </c>
      <c r="J188" s="2">
        <v>3.0</v>
      </c>
      <c r="K188" s="12" t="s">
        <v>3670</v>
      </c>
      <c r="L188" s="20"/>
    </row>
    <row r="189" hidden="1">
      <c r="A189" s="1" t="s">
        <v>199</v>
      </c>
      <c r="B189" s="1" t="s">
        <v>199</v>
      </c>
      <c r="C189" s="13">
        <v>45604.703888888886</v>
      </c>
      <c r="D189" s="2" t="s">
        <v>149</v>
      </c>
      <c r="E189" s="2" t="s">
        <v>150</v>
      </c>
      <c r="F189" s="14" t="s">
        <v>3522</v>
      </c>
      <c r="G189" s="14" t="s">
        <v>3523</v>
      </c>
      <c r="H189" s="15" t="s">
        <v>24</v>
      </c>
      <c r="I189" s="15" t="s">
        <v>3491</v>
      </c>
      <c r="J189" s="2">
        <v>1.0</v>
      </c>
      <c r="K189" s="12" t="s">
        <v>3671</v>
      </c>
      <c r="L189" s="20"/>
    </row>
    <row r="190">
      <c r="A190" s="1" t="s">
        <v>200</v>
      </c>
      <c r="B190" s="1" t="s">
        <v>200</v>
      </c>
      <c r="C190" s="13">
        <v>45604.70505787037</v>
      </c>
      <c r="D190" s="2" t="s">
        <v>45</v>
      </c>
      <c r="E190" s="2" t="s">
        <v>46</v>
      </c>
      <c r="F190" s="14" t="s">
        <v>3486</v>
      </c>
      <c r="G190" s="14" t="s">
        <v>3487</v>
      </c>
      <c r="H190" s="15" t="s">
        <v>16</v>
      </c>
      <c r="I190" s="15" t="s">
        <v>3488</v>
      </c>
      <c r="J190" s="2">
        <v>15.0</v>
      </c>
      <c r="K190" s="12" t="s">
        <v>3672</v>
      </c>
      <c r="L190" s="14">
        <v>60000.0</v>
      </c>
    </row>
    <row r="191">
      <c r="A191" s="1" t="s">
        <v>200</v>
      </c>
      <c r="B191" s="1" t="s">
        <v>200</v>
      </c>
      <c r="C191" s="13">
        <v>45604.706342592595</v>
      </c>
      <c r="D191" s="2" t="s">
        <v>45</v>
      </c>
      <c r="E191" s="2" t="s">
        <v>46</v>
      </c>
      <c r="F191" s="14" t="s">
        <v>3522</v>
      </c>
      <c r="G191" s="14" t="s">
        <v>3523</v>
      </c>
      <c r="H191" s="15" t="s">
        <v>16</v>
      </c>
      <c r="I191" s="15" t="s">
        <v>3488</v>
      </c>
      <c r="J191" s="2">
        <v>5.0</v>
      </c>
      <c r="K191" s="12" t="s">
        <v>3673</v>
      </c>
      <c r="L191" s="14">
        <v>196000.0</v>
      </c>
    </row>
    <row r="192">
      <c r="A192" s="1" t="s">
        <v>200</v>
      </c>
      <c r="B192" s="1" t="s">
        <v>200</v>
      </c>
      <c r="C192" s="13">
        <v>45604.70863425926</v>
      </c>
      <c r="D192" s="2" t="s">
        <v>45</v>
      </c>
      <c r="E192" s="2" t="s">
        <v>46</v>
      </c>
      <c r="F192" s="14" t="s">
        <v>3493</v>
      </c>
      <c r="G192" s="14" t="s">
        <v>3494</v>
      </c>
      <c r="H192" s="15" t="s">
        <v>16</v>
      </c>
      <c r="I192" s="15" t="s">
        <v>3488</v>
      </c>
      <c r="J192" s="2">
        <v>5.0</v>
      </c>
      <c r="K192" s="19"/>
      <c r="L192" s="16">
        <v>210000.0</v>
      </c>
    </row>
    <row r="193" hidden="1">
      <c r="A193" s="1" t="s">
        <v>201</v>
      </c>
      <c r="B193" s="1" t="s">
        <v>201</v>
      </c>
      <c r="C193" s="13">
        <v>45605.38143518518</v>
      </c>
      <c r="D193" s="2" t="s">
        <v>122</v>
      </c>
      <c r="E193" s="2" t="s">
        <v>123</v>
      </c>
      <c r="F193" s="14" t="s">
        <v>3486</v>
      </c>
      <c r="G193" s="14" t="s">
        <v>3487</v>
      </c>
      <c r="H193" s="15" t="s">
        <v>16</v>
      </c>
      <c r="I193" s="15" t="s">
        <v>3488</v>
      </c>
      <c r="J193" s="2">
        <v>9.0</v>
      </c>
      <c r="K193" s="12" t="s">
        <v>3674</v>
      </c>
      <c r="L193" s="16">
        <v>70000.0</v>
      </c>
    </row>
    <row r="194" hidden="1">
      <c r="A194" s="1" t="s">
        <v>202</v>
      </c>
      <c r="B194" s="1" t="s">
        <v>202</v>
      </c>
      <c r="C194" s="13">
        <v>45607.41091435185</v>
      </c>
      <c r="D194" s="2" t="s">
        <v>131</v>
      </c>
      <c r="E194" s="2" t="s">
        <v>132</v>
      </c>
      <c r="F194" s="14" t="s">
        <v>3486</v>
      </c>
      <c r="G194" s="14" t="s">
        <v>3487</v>
      </c>
      <c r="H194" s="15" t="s">
        <v>24</v>
      </c>
      <c r="I194" s="15" t="s">
        <v>3491</v>
      </c>
      <c r="J194" s="2">
        <v>1.0</v>
      </c>
      <c r="K194" s="12" t="s">
        <v>3675</v>
      </c>
      <c r="L194" s="20"/>
    </row>
    <row r="195" hidden="1">
      <c r="A195" s="1" t="s">
        <v>203</v>
      </c>
      <c r="B195" s="1" t="s">
        <v>203</v>
      </c>
      <c r="C195" s="13">
        <v>45607.411261574074</v>
      </c>
      <c r="D195" s="2" t="s">
        <v>122</v>
      </c>
      <c r="E195" s="2" t="s">
        <v>123</v>
      </c>
      <c r="F195" s="14" t="s">
        <v>3486</v>
      </c>
      <c r="G195" s="14" t="s">
        <v>3487</v>
      </c>
      <c r="H195" s="15" t="s">
        <v>24</v>
      </c>
      <c r="I195" s="15" t="s">
        <v>3491</v>
      </c>
      <c r="J195" s="2">
        <v>4.0</v>
      </c>
      <c r="K195" s="12" t="s">
        <v>3676</v>
      </c>
      <c r="L195" s="20"/>
    </row>
    <row r="196" hidden="1">
      <c r="A196" s="1" t="s">
        <v>204</v>
      </c>
      <c r="B196" s="1" t="s">
        <v>204</v>
      </c>
      <c r="C196" s="13">
        <v>45607.6362037037</v>
      </c>
      <c r="D196" s="2" t="s">
        <v>149</v>
      </c>
      <c r="E196" s="2" t="s">
        <v>150</v>
      </c>
      <c r="F196" s="14" t="s">
        <v>3486</v>
      </c>
      <c r="G196" s="14" t="s">
        <v>3487</v>
      </c>
      <c r="H196" s="15" t="s">
        <v>16</v>
      </c>
      <c r="I196" s="15" t="s">
        <v>3488</v>
      </c>
      <c r="J196" s="2">
        <v>5.0</v>
      </c>
      <c r="K196" s="12" t="s">
        <v>3677</v>
      </c>
      <c r="L196" s="14">
        <v>65000.0</v>
      </c>
    </row>
    <row r="197" hidden="1">
      <c r="A197" s="1" t="s">
        <v>204</v>
      </c>
      <c r="B197" s="1" t="s">
        <v>204</v>
      </c>
      <c r="C197" s="13">
        <v>45607.63636574074</v>
      </c>
      <c r="D197" s="2" t="s">
        <v>149</v>
      </c>
      <c r="E197" s="2" t="s">
        <v>150</v>
      </c>
      <c r="F197" s="14" t="s">
        <v>3522</v>
      </c>
      <c r="G197" s="14" t="s">
        <v>3523</v>
      </c>
      <c r="H197" s="15" t="s">
        <v>16</v>
      </c>
      <c r="I197" s="15" t="s">
        <v>3488</v>
      </c>
      <c r="J197" s="2">
        <v>3.0</v>
      </c>
      <c r="K197" s="12" t="s">
        <v>3678</v>
      </c>
      <c r="L197" s="14">
        <v>190000.0</v>
      </c>
    </row>
    <row r="198" hidden="1">
      <c r="A198" s="1" t="s">
        <v>205</v>
      </c>
      <c r="B198" s="1" t="s">
        <v>205</v>
      </c>
      <c r="C198" s="13">
        <v>45607.63998842592</v>
      </c>
      <c r="D198" s="2" t="s">
        <v>49</v>
      </c>
      <c r="E198" s="2" t="s">
        <v>50</v>
      </c>
      <c r="F198" s="14" t="s">
        <v>3486</v>
      </c>
      <c r="G198" s="14" t="s">
        <v>3487</v>
      </c>
      <c r="H198" s="15" t="s">
        <v>16</v>
      </c>
      <c r="I198" s="15" t="s">
        <v>3488</v>
      </c>
      <c r="J198" s="2">
        <v>2.0</v>
      </c>
      <c r="K198" s="12" t="s">
        <v>3679</v>
      </c>
      <c r="L198" s="16">
        <v>60000.0</v>
      </c>
    </row>
    <row r="199" hidden="1">
      <c r="A199" s="1" t="s">
        <v>206</v>
      </c>
      <c r="B199" s="1" t="s">
        <v>206</v>
      </c>
      <c r="C199" s="13">
        <v>45607.64891203704</v>
      </c>
      <c r="D199" s="2" t="s">
        <v>49</v>
      </c>
      <c r="E199" s="2" t="s">
        <v>50</v>
      </c>
      <c r="F199" s="14" t="s">
        <v>3486</v>
      </c>
      <c r="G199" s="14" t="s">
        <v>3487</v>
      </c>
      <c r="H199" s="15" t="s">
        <v>24</v>
      </c>
      <c r="I199" s="15" t="s">
        <v>3491</v>
      </c>
      <c r="J199" s="2">
        <v>3.0</v>
      </c>
      <c r="K199" s="12" t="s">
        <v>3680</v>
      </c>
      <c r="L199" s="14">
        <v>0.0</v>
      </c>
    </row>
    <row r="200" hidden="1">
      <c r="A200" s="1" t="s">
        <v>207</v>
      </c>
      <c r="B200" s="1" t="s">
        <v>207</v>
      </c>
      <c r="C200" s="13">
        <v>45607.649305555555</v>
      </c>
      <c r="D200" s="2" t="s">
        <v>126</v>
      </c>
      <c r="E200" s="2" t="s">
        <v>127</v>
      </c>
      <c r="F200" s="14" t="s">
        <v>3486</v>
      </c>
      <c r="G200" s="14" t="s">
        <v>3487</v>
      </c>
      <c r="H200" s="15" t="s">
        <v>24</v>
      </c>
      <c r="I200" s="15" t="s">
        <v>3491</v>
      </c>
      <c r="J200" s="2">
        <v>8.0</v>
      </c>
      <c r="K200" s="12" t="s">
        <v>3681</v>
      </c>
      <c r="L200" s="17"/>
    </row>
    <row r="201" hidden="1">
      <c r="A201" s="1" t="s">
        <v>207</v>
      </c>
      <c r="B201" s="1" t="s">
        <v>207</v>
      </c>
      <c r="C201" s="13">
        <v>45607.65027777778</v>
      </c>
      <c r="D201" s="2" t="s">
        <v>126</v>
      </c>
      <c r="E201" s="2" t="s">
        <v>127</v>
      </c>
      <c r="F201" s="14" t="s">
        <v>3585</v>
      </c>
      <c r="G201" s="14" t="s">
        <v>3586</v>
      </c>
      <c r="H201" s="15" t="s">
        <v>24</v>
      </c>
      <c r="I201" s="15" t="s">
        <v>3491</v>
      </c>
      <c r="J201" s="2">
        <v>2.0</v>
      </c>
      <c r="K201" s="12" t="s">
        <v>3682</v>
      </c>
      <c r="L201" s="20"/>
    </row>
    <row r="202" hidden="1">
      <c r="A202" s="1" t="s">
        <v>208</v>
      </c>
      <c r="B202" s="1" t="s">
        <v>208</v>
      </c>
      <c r="C202" s="13">
        <v>45608.3875</v>
      </c>
      <c r="D202" s="2" t="s">
        <v>114</v>
      </c>
      <c r="E202" s="2" t="s">
        <v>115</v>
      </c>
      <c r="F202" s="14" t="s">
        <v>3486</v>
      </c>
      <c r="G202" s="14" t="s">
        <v>3487</v>
      </c>
      <c r="H202" s="15" t="s">
        <v>16</v>
      </c>
      <c r="I202" s="15" t="s">
        <v>3488</v>
      </c>
      <c r="J202" s="2">
        <v>10.0</v>
      </c>
      <c r="K202" s="12" t="s">
        <v>3683</v>
      </c>
      <c r="L202" s="14">
        <v>45045.04505</v>
      </c>
    </row>
    <row r="203" hidden="1">
      <c r="A203" s="1" t="s">
        <v>209</v>
      </c>
      <c r="B203" s="1" t="s">
        <v>209</v>
      </c>
      <c r="C203" s="13">
        <v>45608.424942129626</v>
      </c>
      <c r="D203" s="2" t="s">
        <v>114</v>
      </c>
      <c r="E203" s="2" t="s">
        <v>115</v>
      </c>
      <c r="F203" s="14" t="s">
        <v>3486</v>
      </c>
      <c r="G203" s="14" t="s">
        <v>3487</v>
      </c>
      <c r="H203" s="15" t="s">
        <v>24</v>
      </c>
      <c r="I203" s="15" t="s">
        <v>3491</v>
      </c>
      <c r="J203" s="2">
        <v>3.0</v>
      </c>
      <c r="K203" s="12" t="s">
        <v>3684</v>
      </c>
      <c r="L203" s="17"/>
    </row>
    <row r="204" hidden="1">
      <c r="A204" s="1" t="s">
        <v>209</v>
      </c>
      <c r="B204" s="1" t="s">
        <v>209</v>
      </c>
      <c r="C204" s="13">
        <v>45608.42560185185</v>
      </c>
      <c r="D204" s="2" t="s">
        <v>114</v>
      </c>
      <c r="E204" s="2" t="s">
        <v>115</v>
      </c>
      <c r="F204" s="14" t="s">
        <v>3516</v>
      </c>
      <c r="G204" s="14" t="s">
        <v>3517</v>
      </c>
      <c r="H204" s="15" t="s">
        <v>24</v>
      </c>
      <c r="I204" s="15" t="s">
        <v>3491</v>
      </c>
      <c r="J204" s="2">
        <v>2.0</v>
      </c>
      <c r="K204" s="12" t="s">
        <v>3685</v>
      </c>
      <c r="L204" s="17"/>
    </row>
    <row r="205" hidden="1">
      <c r="A205" s="1" t="s">
        <v>210</v>
      </c>
      <c r="B205" s="1" t="s">
        <v>210</v>
      </c>
      <c r="C205" s="13">
        <v>45609.634722222225</v>
      </c>
      <c r="D205" s="2" t="s">
        <v>126</v>
      </c>
      <c r="E205" s="2" t="s">
        <v>127</v>
      </c>
      <c r="F205" s="14" t="s">
        <v>3585</v>
      </c>
      <c r="G205" s="14" t="s">
        <v>3586</v>
      </c>
      <c r="H205" s="15" t="s">
        <v>16</v>
      </c>
      <c r="I205" s="15" t="s">
        <v>3488</v>
      </c>
      <c r="J205" s="2">
        <v>5.0</v>
      </c>
      <c r="K205" s="12" t="s">
        <v>3686</v>
      </c>
      <c r="L205" s="16">
        <v>360360.3604</v>
      </c>
    </row>
    <row r="206">
      <c r="A206" s="1" t="s">
        <v>211</v>
      </c>
      <c r="B206" s="1" t="s">
        <v>211</v>
      </c>
      <c r="C206" s="13">
        <v>45609.44362268518</v>
      </c>
      <c r="D206" s="2" t="s">
        <v>45</v>
      </c>
      <c r="E206" s="2" t="s">
        <v>46</v>
      </c>
      <c r="F206" s="14" t="s">
        <v>3486</v>
      </c>
      <c r="G206" s="14" t="s">
        <v>3487</v>
      </c>
      <c r="H206" s="15" t="s">
        <v>24</v>
      </c>
      <c r="I206" s="15" t="s">
        <v>3491</v>
      </c>
      <c r="J206" s="2">
        <v>8.0</v>
      </c>
      <c r="K206" s="12" t="s">
        <v>3687</v>
      </c>
      <c r="L206" s="21"/>
    </row>
    <row r="207">
      <c r="A207" s="1" t="s">
        <v>211</v>
      </c>
      <c r="B207" s="1" t="s">
        <v>211</v>
      </c>
      <c r="C207" s="13">
        <v>45609.44449074074</v>
      </c>
      <c r="D207" s="2" t="s">
        <v>45</v>
      </c>
      <c r="E207" s="2" t="s">
        <v>46</v>
      </c>
      <c r="F207" s="14" t="s">
        <v>3493</v>
      </c>
      <c r="G207" s="14" t="s">
        <v>3494</v>
      </c>
      <c r="H207" s="15" t="s">
        <v>24</v>
      </c>
      <c r="I207" s="15" t="s">
        <v>3491</v>
      </c>
      <c r="J207" s="2">
        <v>6.0</v>
      </c>
      <c r="K207" s="19"/>
      <c r="L207" s="20"/>
    </row>
    <row r="208">
      <c r="A208" s="1" t="s">
        <v>211</v>
      </c>
      <c r="B208" s="1" t="s">
        <v>211</v>
      </c>
      <c r="C208" s="13">
        <v>45609.44474537037</v>
      </c>
      <c r="D208" s="2" t="s">
        <v>45</v>
      </c>
      <c r="E208" s="2" t="s">
        <v>46</v>
      </c>
      <c r="F208" s="14" t="s">
        <v>3522</v>
      </c>
      <c r="G208" s="14" t="s">
        <v>3523</v>
      </c>
      <c r="H208" s="15" t="s">
        <v>24</v>
      </c>
      <c r="I208" s="15" t="s">
        <v>3491</v>
      </c>
      <c r="J208" s="2">
        <v>2.0</v>
      </c>
      <c r="K208" s="12" t="s">
        <v>3688</v>
      </c>
      <c r="L208" s="20"/>
    </row>
    <row r="209" hidden="1">
      <c r="A209" s="1" t="s">
        <v>212</v>
      </c>
      <c r="B209" s="1" t="s">
        <v>212</v>
      </c>
      <c r="C209" s="13">
        <v>45610.585</v>
      </c>
      <c r="D209" s="2" t="s">
        <v>213</v>
      </c>
      <c r="E209" s="2" t="s">
        <v>214</v>
      </c>
      <c r="F209" s="14" t="s">
        <v>3486</v>
      </c>
      <c r="G209" s="14" t="s">
        <v>3487</v>
      </c>
      <c r="H209" s="15" t="s">
        <v>16</v>
      </c>
      <c r="I209" s="15" t="s">
        <v>3488</v>
      </c>
      <c r="J209" s="2">
        <v>30.0</v>
      </c>
      <c r="K209" s="19"/>
      <c r="L209" s="16">
        <v>60000.0</v>
      </c>
    </row>
    <row r="210" hidden="1">
      <c r="A210" s="1" t="s">
        <v>212</v>
      </c>
      <c r="B210" s="1" t="s">
        <v>212</v>
      </c>
      <c r="C210" s="13">
        <v>45610.585914351854</v>
      </c>
      <c r="D210" s="2" t="s">
        <v>213</v>
      </c>
      <c r="E210" s="2" t="s">
        <v>214</v>
      </c>
      <c r="F210" s="14" t="s">
        <v>3547</v>
      </c>
      <c r="G210" s="14" t="s">
        <v>3548</v>
      </c>
      <c r="H210" s="15" t="s">
        <v>16</v>
      </c>
      <c r="I210" s="15" t="s">
        <v>3488</v>
      </c>
      <c r="J210" s="2">
        <v>1.0</v>
      </c>
      <c r="K210" s="19"/>
      <c r="L210" s="14"/>
    </row>
    <row r="211" hidden="1">
      <c r="A211" s="1" t="s">
        <v>216</v>
      </c>
      <c r="B211" s="1" t="s">
        <v>216</v>
      </c>
      <c r="C211" s="13">
        <v>45609.65662037037</v>
      </c>
      <c r="D211" s="2" t="s">
        <v>122</v>
      </c>
      <c r="E211" s="2" t="s">
        <v>123</v>
      </c>
      <c r="F211" s="14" t="s">
        <v>3486</v>
      </c>
      <c r="G211" s="14" t="s">
        <v>3487</v>
      </c>
      <c r="H211" s="15" t="s">
        <v>16</v>
      </c>
      <c r="I211" s="15" t="s">
        <v>3488</v>
      </c>
      <c r="J211" s="2">
        <v>10.0</v>
      </c>
      <c r="K211" s="19"/>
      <c r="L211" s="14">
        <v>70000.0</v>
      </c>
    </row>
    <row r="212" hidden="1">
      <c r="A212" s="1" t="s">
        <v>216</v>
      </c>
      <c r="B212" s="1" t="s">
        <v>216</v>
      </c>
      <c r="C212" s="13">
        <v>45609.65662037037</v>
      </c>
      <c r="D212" s="2" t="s">
        <v>122</v>
      </c>
      <c r="E212" s="2" t="s">
        <v>123</v>
      </c>
      <c r="F212" s="14" t="s">
        <v>3486</v>
      </c>
      <c r="G212" s="14" t="s">
        <v>3487</v>
      </c>
      <c r="H212" s="15" t="s">
        <v>16</v>
      </c>
      <c r="I212" s="15" t="s">
        <v>3488</v>
      </c>
      <c r="J212" s="2">
        <v>15.0</v>
      </c>
      <c r="K212" s="19"/>
      <c r="L212" s="14">
        <v>70000.0</v>
      </c>
    </row>
    <row r="213" hidden="1">
      <c r="A213" s="1" t="s">
        <v>216</v>
      </c>
      <c r="B213" s="1" t="s">
        <v>216</v>
      </c>
      <c r="C213" s="13">
        <v>45609.658159722225</v>
      </c>
      <c r="D213" s="2" t="s">
        <v>122</v>
      </c>
      <c r="E213" s="2" t="s">
        <v>123</v>
      </c>
      <c r="F213" s="14" t="s">
        <v>3493</v>
      </c>
      <c r="G213" s="14" t="s">
        <v>3494</v>
      </c>
      <c r="H213" s="15" t="s">
        <v>16</v>
      </c>
      <c r="I213" s="15" t="s">
        <v>3488</v>
      </c>
      <c r="J213" s="2">
        <v>2.0</v>
      </c>
      <c r="K213" s="19"/>
      <c r="L213" s="14">
        <v>215000.0</v>
      </c>
    </row>
    <row r="214" hidden="1">
      <c r="A214" s="1" t="s">
        <v>217</v>
      </c>
      <c r="B214" s="1" t="s">
        <v>217</v>
      </c>
      <c r="C214" s="13">
        <v>45609.66645833333</v>
      </c>
      <c r="D214" s="2" t="s">
        <v>122</v>
      </c>
      <c r="E214" s="2" t="s">
        <v>123</v>
      </c>
      <c r="F214" s="14" t="s">
        <v>3486</v>
      </c>
      <c r="G214" s="14" t="s">
        <v>3487</v>
      </c>
      <c r="H214" s="15" t="s">
        <v>24</v>
      </c>
      <c r="I214" s="15" t="s">
        <v>3491</v>
      </c>
      <c r="J214" s="2">
        <v>8.0</v>
      </c>
      <c r="K214" s="12" t="s">
        <v>3689</v>
      </c>
      <c r="L214" s="20"/>
    </row>
    <row r="215" hidden="1">
      <c r="A215" s="1" t="s">
        <v>218</v>
      </c>
      <c r="B215" s="1" t="s">
        <v>218</v>
      </c>
      <c r="C215" s="13">
        <v>45609.66736111111</v>
      </c>
      <c r="D215" s="2" t="s">
        <v>126</v>
      </c>
      <c r="E215" s="2" t="s">
        <v>127</v>
      </c>
      <c r="F215" s="14" t="s">
        <v>3486</v>
      </c>
      <c r="G215" s="14" t="s">
        <v>3487</v>
      </c>
      <c r="H215" s="15" t="s">
        <v>24</v>
      </c>
      <c r="I215" s="15" t="s">
        <v>3491</v>
      </c>
      <c r="J215" s="2">
        <v>4.0</v>
      </c>
      <c r="K215" s="12" t="s">
        <v>3690</v>
      </c>
      <c r="L215" s="20"/>
    </row>
    <row r="216" hidden="1">
      <c r="A216" s="1" t="s">
        <v>218</v>
      </c>
      <c r="B216" s="1" t="s">
        <v>218</v>
      </c>
      <c r="C216" s="13">
        <v>45609.66793981481</v>
      </c>
      <c r="D216" s="2" t="s">
        <v>126</v>
      </c>
      <c r="E216" s="2" t="s">
        <v>127</v>
      </c>
      <c r="F216" s="14" t="s">
        <v>3585</v>
      </c>
      <c r="G216" s="14" t="s">
        <v>3586</v>
      </c>
      <c r="H216" s="15" t="s">
        <v>24</v>
      </c>
      <c r="I216" s="15" t="s">
        <v>3491</v>
      </c>
      <c r="J216" s="2">
        <v>2.0</v>
      </c>
      <c r="K216" s="12" t="s">
        <v>3691</v>
      </c>
      <c r="L216" s="20"/>
    </row>
    <row r="217" hidden="1">
      <c r="A217" s="1" t="s">
        <v>217</v>
      </c>
      <c r="B217" s="1" t="s">
        <v>217</v>
      </c>
      <c r="C217" s="13">
        <v>45609.46150462963</v>
      </c>
      <c r="D217" s="2" t="s">
        <v>122</v>
      </c>
      <c r="E217" s="2" t="s">
        <v>123</v>
      </c>
      <c r="F217" s="14" t="s">
        <v>3486</v>
      </c>
      <c r="G217" s="14" t="s">
        <v>3487</v>
      </c>
      <c r="H217" s="15" t="s">
        <v>24</v>
      </c>
      <c r="I217" s="15" t="s">
        <v>3491</v>
      </c>
      <c r="J217" s="2">
        <v>22.0</v>
      </c>
      <c r="K217" s="12" t="s">
        <v>3692</v>
      </c>
      <c r="L217" s="17"/>
    </row>
    <row r="218" hidden="1">
      <c r="A218" s="1" t="s">
        <v>219</v>
      </c>
      <c r="B218" s="1" t="s">
        <v>219</v>
      </c>
      <c r="C218" s="13">
        <v>45611.43349537037</v>
      </c>
      <c r="D218" s="2" t="s">
        <v>28</v>
      </c>
      <c r="E218" s="2" t="s">
        <v>29</v>
      </c>
      <c r="F218" s="14" t="s">
        <v>3486</v>
      </c>
      <c r="G218" s="14" t="s">
        <v>3487</v>
      </c>
      <c r="H218" s="15" t="s">
        <v>16</v>
      </c>
      <c r="I218" s="15" t="s">
        <v>3488</v>
      </c>
      <c r="J218" s="2">
        <v>5.0</v>
      </c>
      <c r="K218" s="12" t="s">
        <v>3693</v>
      </c>
      <c r="L218" s="14">
        <v>60000.0</v>
      </c>
    </row>
    <row r="219" hidden="1">
      <c r="A219" s="1" t="s">
        <v>219</v>
      </c>
      <c r="B219" s="1" t="s">
        <v>219</v>
      </c>
      <c r="C219" s="13">
        <v>45611.43388888889</v>
      </c>
      <c r="D219" s="2" t="s">
        <v>28</v>
      </c>
      <c r="E219" s="2" t="s">
        <v>29</v>
      </c>
      <c r="F219" s="14" t="s">
        <v>3516</v>
      </c>
      <c r="G219" s="14" t="s">
        <v>3517</v>
      </c>
      <c r="H219" s="15" t="s">
        <v>16</v>
      </c>
      <c r="I219" s="15" t="s">
        <v>3488</v>
      </c>
      <c r="J219" s="2">
        <v>5.0</v>
      </c>
      <c r="K219" s="12" t="s">
        <v>3694</v>
      </c>
      <c r="L219" s="14">
        <v>160000.0</v>
      </c>
    </row>
    <row r="220" hidden="1">
      <c r="A220" s="1" t="s">
        <v>220</v>
      </c>
      <c r="B220" s="1" t="s">
        <v>220</v>
      </c>
      <c r="C220" s="13">
        <v>45611.43462962963</v>
      </c>
      <c r="D220" s="2" t="s">
        <v>122</v>
      </c>
      <c r="E220" s="2" t="s">
        <v>123</v>
      </c>
      <c r="F220" s="14" t="s">
        <v>3486</v>
      </c>
      <c r="G220" s="14" t="s">
        <v>3487</v>
      </c>
      <c r="H220" s="15" t="s">
        <v>16</v>
      </c>
      <c r="I220" s="15" t="s">
        <v>3488</v>
      </c>
      <c r="J220" s="2">
        <v>10.0</v>
      </c>
      <c r="K220" s="12" t="s">
        <v>3695</v>
      </c>
      <c r="L220" s="14">
        <v>70000.0</v>
      </c>
    </row>
    <row r="221" hidden="1">
      <c r="A221" s="1" t="s">
        <v>221</v>
      </c>
      <c r="B221" s="1" t="s">
        <v>221</v>
      </c>
      <c r="C221" s="13">
        <v>45611.51111111111</v>
      </c>
      <c r="D221" s="2" t="s">
        <v>122</v>
      </c>
      <c r="E221" s="2" t="s">
        <v>123</v>
      </c>
      <c r="F221" s="14" t="s">
        <v>3486</v>
      </c>
      <c r="G221" s="14" t="s">
        <v>3487</v>
      </c>
      <c r="H221" s="15" t="s">
        <v>24</v>
      </c>
      <c r="I221" s="15" t="s">
        <v>3491</v>
      </c>
      <c r="J221" s="2">
        <v>12.0</v>
      </c>
      <c r="K221" s="12" t="s">
        <v>3696</v>
      </c>
      <c r="L221" s="20"/>
    </row>
    <row r="222" hidden="1">
      <c r="A222" s="1" t="s">
        <v>222</v>
      </c>
      <c r="B222" s="1" t="s">
        <v>222</v>
      </c>
      <c r="C222" s="13">
        <v>45611.58704861111</v>
      </c>
      <c r="D222" s="2" t="s">
        <v>28</v>
      </c>
      <c r="E222" s="2" t="s">
        <v>29</v>
      </c>
      <c r="F222" s="14" t="s">
        <v>3493</v>
      </c>
      <c r="G222" s="14" t="s">
        <v>3494</v>
      </c>
      <c r="H222" s="15" t="s">
        <v>24</v>
      </c>
      <c r="I222" s="15" t="s">
        <v>3491</v>
      </c>
      <c r="J222" s="2">
        <v>4.0</v>
      </c>
      <c r="K222" s="19"/>
      <c r="L222" s="20"/>
    </row>
    <row r="223" hidden="1">
      <c r="A223" s="1" t="s">
        <v>222</v>
      </c>
      <c r="B223" s="1" t="s">
        <v>222</v>
      </c>
      <c r="C223" s="13">
        <v>45611.587534722225</v>
      </c>
      <c r="D223" s="2" t="s">
        <v>28</v>
      </c>
      <c r="E223" s="2" t="s">
        <v>29</v>
      </c>
      <c r="F223" s="14" t="s">
        <v>3516</v>
      </c>
      <c r="G223" s="14" t="s">
        <v>3517</v>
      </c>
      <c r="H223" s="15" t="s">
        <v>24</v>
      </c>
      <c r="I223" s="15" t="s">
        <v>3491</v>
      </c>
      <c r="J223" s="2">
        <v>10.0</v>
      </c>
      <c r="K223" s="19"/>
      <c r="L223" s="17"/>
    </row>
    <row r="224" hidden="1">
      <c r="A224" s="1" t="s">
        <v>222</v>
      </c>
      <c r="B224" s="1" t="s">
        <v>222</v>
      </c>
      <c r="C224" s="13">
        <v>45611.58765046296</v>
      </c>
      <c r="D224" s="2" t="s">
        <v>28</v>
      </c>
      <c r="E224" s="2" t="s">
        <v>29</v>
      </c>
      <c r="F224" s="14" t="s">
        <v>3486</v>
      </c>
      <c r="G224" s="14" t="s">
        <v>3487</v>
      </c>
      <c r="H224" s="15" t="s">
        <v>24</v>
      </c>
      <c r="I224" s="15" t="s">
        <v>3491</v>
      </c>
      <c r="J224" s="2">
        <v>9.0</v>
      </c>
      <c r="K224" s="19"/>
      <c r="L224" s="17"/>
    </row>
    <row r="225" hidden="1">
      <c r="A225" s="1" t="s">
        <v>223</v>
      </c>
      <c r="B225" s="1" t="s">
        <v>223</v>
      </c>
      <c r="C225" s="13">
        <v>45612.35335648148</v>
      </c>
      <c r="D225" s="2" t="s">
        <v>122</v>
      </c>
      <c r="E225" s="2" t="s">
        <v>123</v>
      </c>
      <c r="F225" s="14" t="s">
        <v>3486</v>
      </c>
      <c r="G225" s="14" t="s">
        <v>3487</v>
      </c>
      <c r="H225" s="15" t="s">
        <v>16</v>
      </c>
      <c r="I225" s="15" t="s">
        <v>3488</v>
      </c>
      <c r="J225" s="2">
        <v>15.0</v>
      </c>
      <c r="K225" s="12" t="s">
        <v>3697</v>
      </c>
      <c r="L225" s="14">
        <v>70000.0</v>
      </c>
    </row>
    <row r="226" hidden="1">
      <c r="A226" s="1" t="s">
        <v>223</v>
      </c>
      <c r="B226" s="1" t="s">
        <v>223</v>
      </c>
      <c r="C226" s="13">
        <v>45612.35559027778</v>
      </c>
      <c r="D226" s="2" t="s">
        <v>122</v>
      </c>
      <c r="E226" s="2" t="s">
        <v>123</v>
      </c>
      <c r="F226" s="14" t="s">
        <v>3493</v>
      </c>
      <c r="G226" s="14" t="s">
        <v>3494</v>
      </c>
      <c r="H226" s="15" t="s">
        <v>16</v>
      </c>
      <c r="I226" s="15" t="s">
        <v>3488</v>
      </c>
      <c r="J226" s="2">
        <v>2.0</v>
      </c>
      <c r="K226" s="19"/>
      <c r="L226" s="16">
        <v>215000.0</v>
      </c>
    </row>
    <row r="227" hidden="1">
      <c r="A227" s="1" t="s">
        <v>224</v>
      </c>
      <c r="B227" s="1" t="s">
        <v>224</v>
      </c>
      <c r="C227" s="13">
        <v>45612.35555555556</v>
      </c>
      <c r="D227" s="2" t="s">
        <v>122</v>
      </c>
      <c r="E227" s="2" t="s">
        <v>123</v>
      </c>
      <c r="F227" s="14" t="s">
        <v>3486</v>
      </c>
      <c r="G227" s="14" t="s">
        <v>3487</v>
      </c>
      <c r="H227" s="15" t="s">
        <v>159</v>
      </c>
      <c r="I227" s="15" t="s">
        <v>3619</v>
      </c>
      <c r="J227" s="2">
        <v>2.0</v>
      </c>
      <c r="K227" s="12" t="s">
        <v>3698</v>
      </c>
      <c r="L227" s="20"/>
    </row>
    <row r="228" hidden="1">
      <c r="A228" s="1" t="s">
        <v>225</v>
      </c>
      <c r="B228" s="1" t="s">
        <v>225</v>
      </c>
      <c r="C228" s="13">
        <v>45612.4825</v>
      </c>
      <c r="D228" s="2" t="s">
        <v>126</v>
      </c>
      <c r="E228" s="2" t="s">
        <v>127</v>
      </c>
      <c r="F228" s="14" t="s">
        <v>3486</v>
      </c>
      <c r="G228" s="14" t="s">
        <v>3487</v>
      </c>
      <c r="H228" s="15" t="s">
        <v>24</v>
      </c>
      <c r="I228" s="15" t="s">
        <v>3491</v>
      </c>
      <c r="J228" s="2">
        <v>8.0</v>
      </c>
      <c r="K228" s="12" t="s">
        <v>3699</v>
      </c>
      <c r="L228" s="17"/>
    </row>
    <row r="229" hidden="1">
      <c r="A229" s="1" t="s">
        <v>226</v>
      </c>
      <c r="B229" s="1" t="s">
        <v>226</v>
      </c>
      <c r="C229" s="13">
        <v>45612.50064814815</v>
      </c>
      <c r="D229" s="2" t="s">
        <v>122</v>
      </c>
      <c r="E229" s="2" t="s">
        <v>123</v>
      </c>
      <c r="F229" s="14" t="s">
        <v>3486</v>
      </c>
      <c r="G229" s="14" t="s">
        <v>3487</v>
      </c>
      <c r="H229" s="15" t="s">
        <v>24</v>
      </c>
      <c r="I229" s="15" t="s">
        <v>3491</v>
      </c>
      <c r="J229" s="2">
        <v>13.0</v>
      </c>
      <c r="K229" s="12" t="s">
        <v>3700</v>
      </c>
      <c r="L229" s="20"/>
    </row>
    <row r="230" hidden="1">
      <c r="A230" s="1" t="s">
        <v>226</v>
      </c>
      <c r="B230" s="1" t="s">
        <v>226</v>
      </c>
      <c r="C230" s="13">
        <v>45612.50277777778</v>
      </c>
      <c r="D230" s="2" t="s">
        <v>122</v>
      </c>
      <c r="E230" s="2" t="s">
        <v>123</v>
      </c>
      <c r="F230" s="14" t="s">
        <v>3493</v>
      </c>
      <c r="G230" s="14" t="s">
        <v>3494</v>
      </c>
      <c r="H230" s="15" t="s">
        <v>24</v>
      </c>
      <c r="I230" s="15" t="s">
        <v>3491</v>
      </c>
      <c r="J230" s="2">
        <v>2.0</v>
      </c>
      <c r="K230" s="19"/>
      <c r="L230" s="17"/>
    </row>
    <row r="231" hidden="1">
      <c r="A231" s="1" t="s">
        <v>223</v>
      </c>
      <c r="B231" s="1" t="s">
        <v>223</v>
      </c>
      <c r="C231" s="13">
        <v>45612.59027777778</v>
      </c>
      <c r="D231" s="2" t="s">
        <v>122</v>
      </c>
      <c r="E231" s="2" t="s">
        <v>123</v>
      </c>
      <c r="F231" s="14" t="s">
        <v>3486</v>
      </c>
      <c r="G231" s="14" t="s">
        <v>3487</v>
      </c>
      <c r="H231" s="15" t="s">
        <v>16</v>
      </c>
      <c r="I231" s="15" t="s">
        <v>3488</v>
      </c>
      <c r="J231" s="2">
        <v>5.0</v>
      </c>
      <c r="K231" s="12" t="s">
        <v>3701</v>
      </c>
      <c r="L231" s="14">
        <v>70000.0</v>
      </c>
    </row>
    <row r="232" hidden="1">
      <c r="A232" s="1" t="s">
        <v>223</v>
      </c>
      <c r="B232" s="1" t="s">
        <v>223</v>
      </c>
      <c r="C232" s="13">
        <v>45612.631064814814</v>
      </c>
      <c r="D232" s="2" t="s">
        <v>122</v>
      </c>
      <c r="E232" s="2" t="s">
        <v>123</v>
      </c>
      <c r="F232" s="14" t="s">
        <v>3493</v>
      </c>
      <c r="G232" s="14" t="s">
        <v>3494</v>
      </c>
      <c r="H232" s="15" t="s">
        <v>16</v>
      </c>
      <c r="I232" s="15" t="s">
        <v>3488</v>
      </c>
      <c r="J232" s="2">
        <v>2.0</v>
      </c>
      <c r="K232" s="19"/>
      <c r="L232" s="14">
        <v>215000.0</v>
      </c>
    </row>
    <row r="233" hidden="1">
      <c r="A233" s="1" t="s">
        <v>226</v>
      </c>
      <c r="B233" s="1" t="s">
        <v>226</v>
      </c>
      <c r="C233" s="13">
        <v>45612.695335648146</v>
      </c>
      <c r="D233" s="2" t="s">
        <v>122</v>
      </c>
      <c r="E233" s="2" t="s">
        <v>123</v>
      </c>
      <c r="F233" s="14" t="s">
        <v>3486</v>
      </c>
      <c r="G233" s="14" t="s">
        <v>3487</v>
      </c>
      <c r="H233" s="15" t="s">
        <v>24</v>
      </c>
      <c r="I233" s="15" t="s">
        <v>3491</v>
      </c>
      <c r="J233" s="2">
        <v>9.0</v>
      </c>
      <c r="K233" s="12" t="s">
        <v>3702</v>
      </c>
      <c r="L233" s="17"/>
    </row>
    <row r="234" hidden="1">
      <c r="A234" s="1" t="s">
        <v>227</v>
      </c>
      <c r="B234" s="1" t="s">
        <v>227</v>
      </c>
      <c r="C234" s="13">
        <v>45614.33052083333</v>
      </c>
      <c r="D234" s="2" t="s">
        <v>126</v>
      </c>
      <c r="E234" s="2" t="s">
        <v>127</v>
      </c>
      <c r="F234" s="14" t="s">
        <v>3486</v>
      </c>
      <c r="G234" s="14" t="s">
        <v>3487</v>
      </c>
      <c r="H234" s="15" t="s">
        <v>16</v>
      </c>
      <c r="I234" s="15" t="s">
        <v>3488</v>
      </c>
      <c r="J234" s="2">
        <v>10.0</v>
      </c>
      <c r="K234" s="12" t="s">
        <v>3703</v>
      </c>
      <c r="L234" s="16">
        <v>45045.04505</v>
      </c>
    </row>
    <row r="235" hidden="1">
      <c r="A235" s="1" t="s">
        <v>228</v>
      </c>
      <c r="B235" s="1" t="s">
        <v>228</v>
      </c>
      <c r="C235" s="13">
        <v>45614.62232638889</v>
      </c>
      <c r="D235" s="2" t="s">
        <v>126</v>
      </c>
      <c r="E235" s="2" t="s">
        <v>127</v>
      </c>
      <c r="F235" s="14" t="s">
        <v>3486</v>
      </c>
      <c r="G235" s="14" t="s">
        <v>3487</v>
      </c>
      <c r="H235" s="15" t="s">
        <v>24</v>
      </c>
      <c r="I235" s="15" t="s">
        <v>3491</v>
      </c>
      <c r="J235" s="2">
        <v>8.0</v>
      </c>
      <c r="K235" s="12" t="s">
        <v>3704</v>
      </c>
      <c r="L235" s="20"/>
    </row>
    <row r="236" hidden="1">
      <c r="A236" s="1" t="s">
        <v>228</v>
      </c>
      <c r="B236" s="1" t="s">
        <v>228</v>
      </c>
      <c r="C236" s="13">
        <v>45614.62359953704</v>
      </c>
      <c r="D236" s="2" t="s">
        <v>126</v>
      </c>
      <c r="E236" s="2" t="s">
        <v>127</v>
      </c>
      <c r="F236" s="14" t="s">
        <v>3585</v>
      </c>
      <c r="G236" s="14" t="s">
        <v>3586</v>
      </c>
      <c r="H236" s="15" t="s">
        <v>24</v>
      </c>
      <c r="I236" s="15" t="s">
        <v>3491</v>
      </c>
      <c r="J236" s="2">
        <v>3.0</v>
      </c>
      <c r="K236" s="12" t="s">
        <v>3705</v>
      </c>
      <c r="L236" s="20"/>
    </row>
    <row r="237" hidden="1">
      <c r="A237" s="1" t="s">
        <v>229</v>
      </c>
      <c r="B237" s="1" t="s">
        <v>229</v>
      </c>
      <c r="C237" s="13">
        <v>45614.624398148146</v>
      </c>
      <c r="D237" s="2" t="s">
        <v>114</v>
      </c>
      <c r="E237" s="2" t="s">
        <v>115</v>
      </c>
      <c r="F237" s="14" t="s">
        <v>3585</v>
      </c>
      <c r="G237" s="14" t="s">
        <v>3586</v>
      </c>
      <c r="H237" s="15" t="s">
        <v>24</v>
      </c>
      <c r="I237" s="15" t="s">
        <v>3491</v>
      </c>
      <c r="J237" s="2">
        <v>1.0</v>
      </c>
      <c r="K237" s="12" t="s">
        <v>3706</v>
      </c>
      <c r="L237" s="17"/>
    </row>
    <row r="238" hidden="1">
      <c r="A238" s="1" t="s">
        <v>229</v>
      </c>
      <c r="B238" s="1" t="s">
        <v>229</v>
      </c>
      <c r="C238" s="13">
        <v>45614.624768518515</v>
      </c>
      <c r="D238" s="2" t="s">
        <v>114</v>
      </c>
      <c r="E238" s="2" t="s">
        <v>115</v>
      </c>
      <c r="F238" s="14" t="s">
        <v>3486</v>
      </c>
      <c r="G238" s="14" t="s">
        <v>3487</v>
      </c>
      <c r="H238" s="15" t="s">
        <v>24</v>
      </c>
      <c r="I238" s="15" t="s">
        <v>3491</v>
      </c>
      <c r="J238" s="2">
        <v>8.0</v>
      </c>
      <c r="K238" s="12" t="s">
        <v>3707</v>
      </c>
      <c r="L238" s="20"/>
    </row>
    <row r="239" hidden="1">
      <c r="A239" s="1" t="s">
        <v>230</v>
      </c>
      <c r="B239" s="1" t="s">
        <v>230</v>
      </c>
      <c r="C239" s="13">
        <v>45615.321747685186</v>
      </c>
      <c r="D239" s="2" t="s">
        <v>122</v>
      </c>
      <c r="E239" s="2" t="s">
        <v>123</v>
      </c>
      <c r="F239" s="14" t="s">
        <v>3486</v>
      </c>
      <c r="G239" s="14" t="s">
        <v>3487</v>
      </c>
      <c r="H239" s="15" t="s">
        <v>16</v>
      </c>
      <c r="I239" s="15" t="s">
        <v>3488</v>
      </c>
      <c r="J239" s="2">
        <v>10.0</v>
      </c>
      <c r="K239" s="12" t="s">
        <v>3708</v>
      </c>
      <c r="L239" s="14">
        <v>70000.0</v>
      </c>
    </row>
    <row r="240" hidden="1">
      <c r="A240" s="1" t="s">
        <v>231</v>
      </c>
      <c r="B240" s="1" t="s">
        <v>231</v>
      </c>
      <c r="C240" s="13">
        <v>45615.44127314815</v>
      </c>
      <c r="D240" s="2" t="s">
        <v>149</v>
      </c>
      <c r="E240" s="2" t="s">
        <v>150</v>
      </c>
      <c r="F240" s="14" t="s">
        <v>3522</v>
      </c>
      <c r="G240" s="14" t="s">
        <v>3523</v>
      </c>
      <c r="H240" s="15" t="s">
        <v>16</v>
      </c>
      <c r="I240" s="15" t="s">
        <v>3488</v>
      </c>
      <c r="J240" s="2">
        <v>4.0</v>
      </c>
      <c r="K240" s="12" t="s">
        <v>3709</v>
      </c>
      <c r="L240" s="16">
        <v>190000.0</v>
      </c>
    </row>
    <row r="241" hidden="1">
      <c r="A241" s="1" t="s">
        <v>231</v>
      </c>
      <c r="B241" s="1" t="s">
        <v>231</v>
      </c>
      <c r="C241" s="13">
        <v>45615.44278935185</v>
      </c>
      <c r="D241" s="2" t="s">
        <v>149</v>
      </c>
      <c r="E241" s="2" t="s">
        <v>150</v>
      </c>
      <c r="F241" s="14" t="s">
        <v>3516</v>
      </c>
      <c r="G241" s="14" t="s">
        <v>3517</v>
      </c>
      <c r="H241" s="15" t="s">
        <v>16</v>
      </c>
      <c r="I241" s="15" t="s">
        <v>3488</v>
      </c>
      <c r="J241" s="2">
        <v>5.0</v>
      </c>
      <c r="K241" s="12" t="s">
        <v>3710</v>
      </c>
      <c r="L241" s="16">
        <v>167000.0</v>
      </c>
    </row>
    <row r="242" hidden="1">
      <c r="A242" s="1" t="s">
        <v>232</v>
      </c>
      <c r="B242" s="1" t="s">
        <v>232</v>
      </c>
      <c r="C242" s="13">
        <v>45615.48768518519</v>
      </c>
      <c r="D242" s="2" t="s">
        <v>122</v>
      </c>
      <c r="E242" s="2" t="s">
        <v>123</v>
      </c>
      <c r="F242" s="14" t="s">
        <v>3486</v>
      </c>
      <c r="G242" s="14" t="s">
        <v>3487</v>
      </c>
      <c r="H242" s="15" t="s">
        <v>24</v>
      </c>
      <c r="I242" s="15" t="s">
        <v>3491</v>
      </c>
      <c r="J242" s="2">
        <v>10.0</v>
      </c>
      <c r="K242" s="12" t="s">
        <v>3711</v>
      </c>
      <c r="L242" s="17"/>
    </row>
    <row r="243" hidden="1">
      <c r="A243" s="1" t="s">
        <v>233</v>
      </c>
      <c r="B243" s="1" t="s">
        <v>233</v>
      </c>
      <c r="C243" s="13">
        <v>45615.48949074074</v>
      </c>
      <c r="D243" s="2" t="s">
        <v>126</v>
      </c>
      <c r="E243" s="2" t="s">
        <v>127</v>
      </c>
      <c r="F243" s="14" t="s">
        <v>3486</v>
      </c>
      <c r="G243" s="14" t="s">
        <v>3487</v>
      </c>
      <c r="H243" s="15" t="s">
        <v>16</v>
      </c>
      <c r="I243" s="15" t="s">
        <v>3488</v>
      </c>
      <c r="J243" s="2">
        <v>10.0</v>
      </c>
      <c r="K243" s="12" t="s">
        <v>3712</v>
      </c>
      <c r="L243" s="14">
        <v>45045.04505</v>
      </c>
    </row>
    <row r="244" hidden="1">
      <c r="A244" s="1" t="s">
        <v>234</v>
      </c>
      <c r="B244" s="1" t="s">
        <v>234</v>
      </c>
      <c r="C244" s="13">
        <v>45615.50586805555</v>
      </c>
      <c r="D244" s="2" t="s">
        <v>149</v>
      </c>
      <c r="E244" s="2" t="s">
        <v>150</v>
      </c>
      <c r="F244" s="14" t="s">
        <v>3522</v>
      </c>
      <c r="G244" s="14" t="s">
        <v>3523</v>
      </c>
      <c r="H244" s="15" t="s">
        <v>24</v>
      </c>
      <c r="I244" s="15" t="s">
        <v>3491</v>
      </c>
      <c r="J244" s="2">
        <v>3.0</v>
      </c>
      <c r="K244" s="12" t="s">
        <v>3713</v>
      </c>
      <c r="L244" s="20"/>
    </row>
    <row r="245" hidden="1">
      <c r="A245" s="1" t="s">
        <v>235</v>
      </c>
      <c r="B245" s="1" t="s">
        <v>235</v>
      </c>
      <c r="C245" s="13">
        <v>45616.319814814815</v>
      </c>
      <c r="D245" s="2" t="s">
        <v>122</v>
      </c>
      <c r="E245" s="2" t="s">
        <v>123</v>
      </c>
      <c r="F245" s="14" t="s">
        <v>3486</v>
      </c>
      <c r="G245" s="14" t="s">
        <v>3487</v>
      </c>
      <c r="H245" s="15" t="s">
        <v>16</v>
      </c>
      <c r="I245" s="15" t="s">
        <v>3488</v>
      </c>
      <c r="J245" s="2">
        <v>10.0</v>
      </c>
      <c r="K245" s="12" t="s">
        <v>3714</v>
      </c>
      <c r="L245" s="16">
        <v>70000.0</v>
      </c>
    </row>
    <row r="246" hidden="1">
      <c r="A246" s="1" t="s">
        <v>236</v>
      </c>
      <c r="B246" s="1" t="s">
        <v>236</v>
      </c>
      <c r="C246" s="13">
        <v>45616.32665509259</v>
      </c>
      <c r="D246" s="2" t="s">
        <v>114</v>
      </c>
      <c r="E246" s="2" t="s">
        <v>115</v>
      </c>
      <c r="F246" s="14" t="s">
        <v>3486</v>
      </c>
      <c r="G246" s="14" t="s">
        <v>3487</v>
      </c>
      <c r="H246" s="15" t="s">
        <v>16</v>
      </c>
      <c r="I246" s="15" t="s">
        <v>3488</v>
      </c>
      <c r="J246" s="2">
        <v>15.0</v>
      </c>
      <c r="K246" s="12" t="s">
        <v>3715</v>
      </c>
      <c r="L246" s="16">
        <v>45045.04505</v>
      </c>
    </row>
    <row r="247" hidden="1">
      <c r="A247" s="1" t="s">
        <v>237</v>
      </c>
      <c r="B247" s="1" t="s">
        <v>237</v>
      </c>
      <c r="C247" s="13">
        <v>45616.470555555556</v>
      </c>
      <c r="D247" s="2" t="s">
        <v>114</v>
      </c>
      <c r="E247" s="2" t="s">
        <v>115</v>
      </c>
      <c r="F247" s="14" t="s">
        <v>3486</v>
      </c>
      <c r="G247" s="14" t="s">
        <v>3487</v>
      </c>
      <c r="H247" s="15" t="s">
        <v>24</v>
      </c>
      <c r="I247" s="15" t="s">
        <v>3491</v>
      </c>
      <c r="J247" s="2">
        <v>1.0</v>
      </c>
      <c r="K247" s="12" t="s">
        <v>3716</v>
      </c>
      <c r="L247" s="20"/>
    </row>
    <row r="248" hidden="1">
      <c r="A248" s="1" t="s">
        <v>238</v>
      </c>
      <c r="B248" s="1" t="s">
        <v>238</v>
      </c>
      <c r="C248" s="13">
        <v>45616.47148148148</v>
      </c>
      <c r="D248" s="2" t="s">
        <v>122</v>
      </c>
      <c r="E248" s="2" t="s">
        <v>123</v>
      </c>
      <c r="F248" s="14" t="s">
        <v>3486</v>
      </c>
      <c r="G248" s="14" t="s">
        <v>3487</v>
      </c>
      <c r="H248" s="15" t="s">
        <v>24</v>
      </c>
      <c r="I248" s="15" t="s">
        <v>3491</v>
      </c>
      <c r="J248" s="2">
        <v>8.0</v>
      </c>
      <c r="K248" s="12" t="s">
        <v>3717</v>
      </c>
      <c r="L248" s="17"/>
    </row>
    <row r="249" hidden="1">
      <c r="A249" s="1" t="s">
        <v>239</v>
      </c>
      <c r="B249" s="1" t="s">
        <v>239</v>
      </c>
      <c r="C249" s="13">
        <v>45617.65806712963</v>
      </c>
      <c r="D249" s="2" t="s">
        <v>126</v>
      </c>
      <c r="E249" s="2" t="s">
        <v>127</v>
      </c>
      <c r="F249" s="14" t="s">
        <v>3486</v>
      </c>
      <c r="G249" s="14" t="s">
        <v>3487</v>
      </c>
      <c r="H249" s="15" t="s">
        <v>16</v>
      </c>
      <c r="I249" s="15" t="s">
        <v>3488</v>
      </c>
      <c r="J249" s="2">
        <v>15.0</v>
      </c>
      <c r="K249" s="12" t="s">
        <v>3718</v>
      </c>
      <c r="L249" s="16">
        <v>45045.04505</v>
      </c>
    </row>
    <row r="250" hidden="1">
      <c r="A250" s="1" t="s">
        <v>240</v>
      </c>
      <c r="B250" s="1" t="s">
        <v>240</v>
      </c>
      <c r="C250" s="13">
        <v>45617.66458333333</v>
      </c>
      <c r="D250" s="2" t="s">
        <v>28</v>
      </c>
      <c r="E250" s="2" t="s">
        <v>29</v>
      </c>
      <c r="F250" s="14" t="s">
        <v>3486</v>
      </c>
      <c r="G250" s="14" t="s">
        <v>3487</v>
      </c>
      <c r="H250" s="15" t="s">
        <v>16</v>
      </c>
      <c r="I250" s="15" t="s">
        <v>3488</v>
      </c>
      <c r="J250" s="2">
        <v>5.0</v>
      </c>
      <c r="K250" s="12" t="s">
        <v>3719</v>
      </c>
      <c r="L250" s="16">
        <v>60000.0</v>
      </c>
    </row>
    <row r="251" hidden="1">
      <c r="A251" s="1" t="s">
        <v>240</v>
      </c>
      <c r="B251" s="1" t="s">
        <v>240</v>
      </c>
      <c r="C251" s="13">
        <v>45617.66527777778</v>
      </c>
      <c r="D251" s="2" t="s">
        <v>28</v>
      </c>
      <c r="E251" s="2" t="s">
        <v>29</v>
      </c>
      <c r="F251" s="14" t="s">
        <v>3516</v>
      </c>
      <c r="G251" s="14" t="s">
        <v>3517</v>
      </c>
      <c r="H251" s="15" t="s">
        <v>16</v>
      </c>
      <c r="I251" s="15" t="s">
        <v>3488</v>
      </c>
      <c r="J251" s="2">
        <v>5.0</v>
      </c>
      <c r="K251" s="12" t="s">
        <v>3720</v>
      </c>
      <c r="L251" s="14">
        <v>160000.0</v>
      </c>
    </row>
    <row r="252" hidden="1">
      <c r="A252" s="1" t="s">
        <v>240</v>
      </c>
      <c r="B252" s="1" t="s">
        <v>240</v>
      </c>
      <c r="C252" s="13">
        <v>45617.680613425924</v>
      </c>
      <c r="D252" s="2" t="s">
        <v>28</v>
      </c>
      <c r="E252" s="2" t="s">
        <v>29</v>
      </c>
      <c r="F252" s="14" t="s">
        <v>3493</v>
      </c>
      <c r="G252" s="14" t="s">
        <v>3494</v>
      </c>
      <c r="H252" s="15" t="s">
        <v>16</v>
      </c>
      <c r="I252" s="15" t="s">
        <v>3488</v>
      </c>
      <c r="J252" s="2">
        <v>2.0</v>
      </c>
      <c r="K252" s="19"/>
      <c r="L252" s="14">
        <v>225000.0</v>
      </c>
    </row>
    <row r="253" hidden="1">
      <c r="A253" s="1" t="s">
        <v>241</v>
      </c>
      <c r="B253" s="1" t="s">
        <v>241</v>
      </c>
      <c r="C253" s="13">
        <v>45617.448958333334</v>
      </c>
      <c r="D253" s="2" t="s">
        <v>126</v>
      </c>
      <c r="E253" s="2" t="s">
        <v>127</v>
      </c>
      <c r="F253" s="14" t="s">
        <v>3486</v>
      </c>
      <c r="G253" s="14" t="s">
        <v>3487</v>
      </c>
      <c r="H253" s="15" t="s">
        <v>24</v>
      </c>
      <c r="I253" s="15" t="s">
        <v>3491</v>
      </c>
      <c r="J253" s="2">
        <v>4.0</v>
      </c>
      <c r="K253" s="12" t="s">
        <v>3721</v>
      </c>
      <c r="L253" s="17"/>
    </row>
    <row r="254" hidden="1">
      <c r="A254" s="1" t="s">
        <v>242</v>
      </c>
      <c r="B254" s="1" t="s">
        <v>242</v>
      </c>
      <c r="C254" s="13">
        <v>45617.45196759259</v>
      </c>
      <c r="D254" s="2" t="s">
        <v>109</v>
      </c>
      <c r="E254" s="2" t="s">
        <v>110</v>
      </c>
      <c r="F254" s="14" t="s">
        <v>3522</v>
      </c>
      <c r="G254" s="14" t="s">
        <v>3523</v>
      </c>
      <c r="H254" s="15" t="s">
        <v>16</v>
      </c>
      <c r="I254" s="15" t="s">
        <v>3488</v>
      </c>
      <c r="J254" s="2">
        <v>3.0</v>
      </c>
      <c r="K254" s="12" t="s">
        <v>3722</v>
      </c>
      <c r="L254" s="14">
        <v>190000.0</v>
      </c>
    </row>
    <row r="255" hidden="1">
      <c r="A255" s="1" t="s">
        <v>242</v>
      </c>
      <c r="B255" s="1" t="s">
        <v>242</v>
      </c>
      <c r="C255" s="13">
        <v>45617.45248842592</v>
      </c>
      <c r="D255" s="2" t="s">
        <v>109</v>
      </c>
      <c r="E255" s="2" t="s">
        <v>110</v>
      </c>
      <c r="F255" s="14" t="s">
        <v>3486</v>
      </c>
      <c r="G255" s="14" t="s">
        <v>3487</v>
      </c>
      <c r="H255" s="15" t="s">
        <v>16</v>
      </c>
      <c r="I255" s="15" t="s">
        <v>3488</v>
      </c>
      <c r="J255" s="2">
        <v>4.0</v>
      </c>
      <c r="K255" s="12" t="s">
        <v>3723</v>
      </c>
      <c r="L255" s="16">
        <v>60000.0</v>
      </c>
    </row>
    <row r="256" hidden="1">
      <c r="A256" s="1" t="s">
        <v>241</v>
      </c>
      <c r="B256" s="1" t="s">
        <v>241</v>
      </c>
      <c r="C256" s="13">
        <v>45617.447916666664</v>
      </c>
      <c r="D256" s="2" t="s">
        <v>126</v>
      </c>
      <c r="E256" s="2" t="s">
        <v>127</v>
      </c>
      <c r="F256" s="14" t="s">
        <v>3585</v>
      </c>
      <c r="G256" s="14" t="s">
        <v>3586</v>
      </c>
      <c r="H256" s="15" t="s">
        <v>24</v>
      </c>
      <c r="I256" s="15" t="s">
        <v>3491</v>
      </c>
      <c r="J256" s="2">
        <v>5.0</v>
      </c>
      <c r="K256" s="12" t="s">
        <v>3724</v>
      </c>
      <c r="L256" s="17"/>
    </row>
    <row r="257" hidden="1">
      <c r="A257" s="1" t="s">
        <v>243</v>
      </c>
      <c r="B257" s="1" t="s">
        <v>243</v>
      </c>
      <c r="C257" s="13">
        <v>45617.46548611111</v>
      </c>
      <c r="D257" s="2" t="s">
        <v>28</v>
      </c>
      <c r="E257" s="2" t="s">
        <v>29</v>
      </c>
      <c r="F257" s="14" t="s">
        <v>3486</v>
      </c>
      <c r="G257" s="14" t="s">
        <v>3487</v>
      </c>
      <c r="H257" s="15" t="s">
        <v>24</v>
      </c>
      <c r="I257" s="15" t="s">
        <v>3491</v>
      </c>
      <c r="J257" s="2">
        <v>9.0</v>
      </c>
      <c r="K257" s="12" t="s">
        <v>3725</v>
      </c>
      <c r="L257" s="17"/>
    </row>
    <row r="258" hidden="1">
      <c r="A258" s="1" t="s">
        <v>243</v>
      </c>
      <c r="B258" s="1" t="s">
        <v>243</v>
      </c>
      <c r="C258" s="13">
        <v>45617.46655092593</v>
      </c>
      <c r="D258" s="2" t="s">
        <v>28</v>
      </c>
      <c r="E258" s="2" t="s">
        <v>29</v>
      </c>
      <c r="F258" s="14" t="s">
        <v>3516</v>
      </c>
      <c r="G258" s="14" t="s">
        <v>3517</v>
      </c>
      <c r="H258" s="15" t="s">
        <v>24</v>
      </c>
      <c r="I258" s="15" t="s">
        <v>3491</v>
      </c>
      <c r="J258" s="2">
        <v>2.0</v>
      </c>
      <c r="K258" s="12" t="s">
        <v>3726</v>
      </c>
      <c r="L258" s="17"/>
    </row>
    <row r="259" hidden="1">
      <c r="A259" s="1" t="s">
        <v>243</v>
      </c>
      <c r="B259" s="1" t="s">
        <v>243</v>
      </c>
      <c r="C259" s="13">
        <v>45617.46697916667</v>
      </c>
      <c r="D259" s="2" t="s">
        <v>28</v>
      </c>
      <c r="E259" s="2" t="s">
        <v>29</v>
      </c>
      <c r="F259" s="14" t="s">
        <v>3493</v>
      </c>
      <c r="G259" s="14" t="s">
        <v>3494</v>
      </c>
      <c r="H259" s="15" t="s">
        <v>24</v>
      </c>
      <c r="I259" s="15" t="s">
        <v>3491</v>
      </c>
      <c r="J259" s="2">
        <v>1.0</v>
      </c>
      <c r="K259" s="19"/>
      <c r="L259" s="17"/>
    </row>
    <row r="260" hidden="1">
      <c r="A260" s="1" t="s">
        <v>244</v>
      </c>
      <c r="B260" s="1" t="s">
        <v>244</v>
      </c>
      <c r="C260" s="13">
        <v>45617.517847222225</v>
      </c>
      <c r="D260" s="2" t="s">
        <v>149</v>
      </c>
      <c r="E260" s="2" t="s">
        <v>150</v>
      </c>
      <c r="F260" s="14" t="s">
        <v>3486</v>
      </c>
      <c r="G260" s="14" t="s">
        <v>3487</v>
      </c>
      <c r="H260" s="15" t="s">
        <v>16</v>
      </c>
      <c r="I260" s="15" t="s">
        <v>3488</v>
      </c>
      <c r="J260" s="2">
        <v>5.0</v>
      </c>
      <c r="K260" s="12" t="s">
        <v>3727</v>
      </c>
      <c r="L260" s="14">
        <v>65000.0</v>
      </c>
    </row>
    <row r="261" hidden="1">
      <c r="A261" s="1" t="s">
        <v>245</v>
      </c>
      <c r="B261" s="1" t="s">
        <v>245</v>
      </c>
      <c r="C261" s="13">
        <v>45617.53554398148</v>
      </c>
      <c r="D261" s="2" t="s">
        <v>109</v>
      </c>
      <c r="E261" s="2" t="s">
        <v>110</v>
      </c>
      <c r="F261" s="14" t="s">
        <v>3486</v>
      </c>
      <c r="G261" s="14" t="s">
        <v>3487</v>
      </c>
      <c r="H261" s="15" t="s">
        <v>24</v>
      </c>
      <c r="I261" s="15" t="s">
        <v>3491</v>
      </c>
      <c r="J261" s="2">
        <v>2.0</v>
      </c>
      <c r="K261" s="12" t="s">
        <v>3728</v>
      </c>
      <c r="L261" s="17"/>
    </row>
    <row r="262" hidden="1">
      <c r="A262" s="1" t="s">
        <v>245</v>
      </c>
      <c r="B262" s="1" t="s">
        <v>245</v>
      </c>
      <c r="C262" s="13">
        <v>45617.53575231481</v>
      </c>
      <c r="D262" s="2" t="s">
        <v>109</v>
      </c>
      <c r="E262" s="2" t="s">
        <v>110</v>
      </c>
      <c r="F262" s="14" t="s">
        <v>3522</v>
      </c>
      <c r="G262" s="14" t="s">
        <v>3523</v>
      </c>
      <c r="H262" s="15" t="s">
        <v>24</v>
      </c>
      <c r="I262" s="15" t="s">
        <v>3491</v>
      </c>
      <c r="J262" s="2">
        <v>3.0</v>
      </c>
      <c r="K262" s="12" t="s">
        <v>3729</v>
      </c>
      <c r="L262" s="17"/>
    </row>
    <row r="263" hidden="1">
      <c r="A263" s="1" t="s">
        <v>246</v>
      </c>
      <c r="B263" s="1" t="s">
        <v>246</v>
      </c>
      <c r="C263" s="13">
        <v>45617.536099537036</v>
      </c>
      <c r="D263" s="2" t="s">
        <v>20</v>
      </c>
      <c r="E263" s="2" t="s">
        <v>21</v>
      </c>
      <c r="F263" s="14" t="s">
        <v>3486</v>
      </c>
      <c r="G263" s="14" t="s">
        <v>3487</v>
      </c>
      <c r="H263" s="15" t="s">
        <v>24</v>
      </c>
      <c r="I263" s="15" t="s">
        <v>3614</v>
      </c>
      <c r="J263" s="2">
        <v>1.0</v>
      </c>
      <c r="K263" s="12" t="s">
        <v>3730</v>
      </c>
      <c r="L263" s="17"/>
    </row>
    <row r="264" hidden="1">
      <c r="A264" s="1" t="s">
        <v>247</v>
      </c>
      <c r="B264" s="1" t="s">
        <v>247</v>
      </c>
      <c r="C264" s="13">
        <v>45617.536574074074</v>
      </c>
      <c r="D264" s="2" t="s">
        <v>91</v>
      </c>
      <c r="E264" s="2" t="s">
        <v>92</v>
      </c>
      <c r="F264" s="14" t="s">
        <v>3486</v>
      </c>
      <c r="G264" s="14" t="s">
        <v>3487</v>
      </c>
      <c r="H264" s="15" t="s">
        <v>24</v>
      </c>
      <c r="I264" s="15" t="s">
        <v>3491</v>
      </c>
      <c r="J264" s="2">
        <v>1.0</v>
      </c>
      <c r="K264" s="12" t="s">
        <v>3731</v>
      </c>
      <c r="L264" s="20"/>
    </row>
    <row r="265" hidden="1">
      <c r="A265" s="1" t="s">
        <v>248</v>
      </c>
      <c r="B265" s="1" t="s">
        <v>248</v>
      </c>
      <c r="C265" s="13">
        <v>45617.53805555555</v>
      </c>
      <c r="D265" s="2" t="s">
        <v>122</v>
      </c>
      <c r="E265" s="2" t="s">
        <v>123</v>
      </c>
      <c r="F265" s="14" t="s">
        <v>3486</v>
      </c>
      <c r="G265" s="14" t="s">
        <v>3487</v>
      </c>
      <c r="H265" s="15" t="s">
        <v>24</v>
      </c>
      <c r="I265" s="15" t="s">
        <v>3491</v>
      </c>
      <c r="J265" s="2">
        <v>3.0</v>
      </c>
      <c r="K265" s="12" t="s">
        <v>3732</v>
      </c>
      <c r="L265" s="20"/>
    </row>
    <row r="266" hidden="1">
      <c r="A266" s="1" t="s">
        <v>249</v>
      </c>
      <c r="B266" s="1" t="s">
        <v>249</v>
      </c>
      <c r="C266" s="13">
        <v>45617.53837962963</v>
      </c>
      <c r="D266" s="2" t="s">
        <v>49</v>
      </c>
      <c r="E266" s="2" t="s">
        <v>50</v>
      </c>
      <c r="F266" s="14" t="s">
        <v>3486</v>
      </c>
      <c r="G266" s="14" t="s">
        <v>3487</v>
      </c>
      <c r="H266" s="15" t="s">
        <v>24</v>
      </c>
      <c r="I266" s="15" t="s">
        <v>3491</v>
      </c>
      <c r="J266" s="2">
        <v>1.0</v>
      </c>
      <c r="K266" s="12" t="s">
        <v>3733</v>
      </c>
      <c r="L266" s="20"/>
    </row>
    <row r="267" hidden="1">
      <c r="A267" s="1" t="s">
        <v>250</v>
      </c>
      <c r="B267" s="1" t="s">
        <v>250</v>
      </c>
      <c r="C267" s="13">
        <v>45617.613483796296</v>
      </c>
      <c r="D267" s="2" t="s">
        <v>131</v>
      </c>
      <c r="E267" s="2" t="s">
        <v>132</v>
      </c>
      <c r="F267" s="14" t="s">
        <v>3486</v>
      </c>
      <c r="G267" s="14" t="s">
        <v>3487</v>
      </c>
      <c r="H267" s="15" t="s">
        <v>24</v>
      </c>
      <c r="I267" s="15" t="s">
        <v>3491</v>
      </c>
      <c r="J267" s="2">
        <v>3.0</v>
      </c>
      <c r="K267" s="12" t="s">
        <v>3734</v>
      </c>
      <c r="L267" s="17"/>
    </row>
    <row r="268" hidden="1">
      <c r="A268" s="1" t="s">
        <v>251</v>
      </c>
      <c r="B268" s="1" t="s">
        <v>251</v>
      </c>
      <c r="C268" s="13">
        <v>45618.45800925926</v>
      </c>
      <c r="D268" s="2" t="s">
        <v>122</v>
      </c>
      <c r="E268" s="2" t="s">
        <v>123</v>
      </c>
      <c r="F268" s="14" t="s">
        <v>3486</v>
      </c>
      <c r="G268" s="14" t="s">
        <v>3487</v>
      </c>
      <c r="H268" s="15" t="s">
        <v>24</v>
      </c>
      <c r="I268" s="15" t="s">
        <v>3491</v>
      </c>
      <c r="J268" s="2">
        <v>26.0</v>
      </c>
      <c r="K268" s="12" t="s">
        <v>3735</v>
      </c>
      <c r="L268" s="17"/>
    </row>
    <row r="269" hidden="1">
      <c r="A269" s="1" t="s">
        <v>251</v>
      </c>
      <c r="B269" s="1" t="s">
        <v>251</v>
      </c>
      <c r="C269" s="13">
        <v>45618.46576388889</v>
      </c>
      <c r="D269" s="2" t="s">
        <v>122</v>
      </c>
      <c r="E269" s="2" t="s">
        <v>123</v>
      </c>
      <c r="F269" s="14" t="s">
        <v>3493</v>
      </c>
      <c r="G269" s="14" t="s">
        <v>3494</v>
      </c>
      <c r="H269" s="15" t="s">
        <v>24</v>
      </c>
      <c r="I269" s="15" t="s">
        <v>3491</v>
      </c>
      <c r="J269" s="2">
        <v>2.0</v>
      </c>
      <c r="K269" s="19"/>
      <c r="L269" s="20"/>
    </row>
    <row r="270">
      <c r="A270" s="1" t="s">
        <v>252</v>
      </c>
      <c r="B270" s="1" t="s">
        <v>252</v>
      </c>
      <c r="C270" s="13">
        <v>45619.72083333333</v>
      </c>
      <c r="D270" s="2" t="s">
        <v>45</v>
      </c>
      <c r="E270" s="2" t="s">
        <v>46</v>
      </c>
      <c r="F270" s="14" t="s">
        <v>3486</v>
      </c>
      <c r="G270" s="14" t="s">
        <v>3487</v>
      </c>
      <c r="H270" s="15" t="s">
        <v>16</v>
      </c>
      <c r="I270" s="15" t="s">
        <v>3488</v>
      </c>
      <c r="J270" s="2">
        <v>15.0</v>
      </c>
      <c r="K270" s="12" t="s">
        <v>3736</v>
      </c>
      <c r="L270" s="16">
        <v>60000.0</v>
      </c>
    </row>
    <row r="271">
      <c r="A271" s="1" t="s">
        <v>252</v>
      </c>
      <c r="B271" s="1" t="s">
        <v>252</v>
      </c>
      <c r="C271" s="13">
        <v>45619.72222222222</v>
      </c>
      <c r="D271" s="2" t="s">
        <v>45</v>
      </c>
      <c r="E271" s="2" t="s">
        <v>46</v>
      </c>
      <c r="F271" s="14" t="s">
        <v>3493</v>
      </c>
      <c r="G271" s="14" t="s">
        <v>3494</v>
      </c>
      <c r="H271" s="15" t="s">
        <v>16</v>
      </c>
      <c r="I271" s="15" t="s">
        <v>3488</v>
      </c>
      <c r="J271" s="2">
        <v>3.0</v>
      </c>
      <c r="K271" s="19"/>
      <c r="L271" s="16">
        <v>210000.0</v>
      </c>
    </row>
    <row r="272" hidden="1">
      <c r="A272" s="1" t="s">
        <v>253</v>
      </c>
      <c r="B272" s="1" t="s">
        <v>253</v>
      </c>
      <c r="C272" s="13">
        <v>45619.32761574074</v>
      </c>
      <c r="D272" s="2" t="s">
        <v>20</v>
      </c>
      <c r="E272" s="2" t="s">
        <v>21</v>
      </c>
      <c r="F272" s="14" t="s">
        <v>3486</v>
      </c>
      <c r="G272" s="14" t="s">
        <v>3487</v>
      </c>
      <c r="H272" s="15" t="s">
        <v>16</v>
      </c>
      <c r="I272" s="15" t="s">
        <v>3488</v>
      </c>
      <c r="J272" s="2">
        <v>3.0</v>
      </c>
      <c r="K272" s="12" t="s">
        <v>3737</v>
      </c>
      <c r="L272" s="16">
        <v>60000.0</v>
      </c>
    </row>
    <row r="273" hidden="1">
      <c r="A273" s="1" t="s">
        <v>254</v>
      </c>
      <c r="B273" s="1" t="s">
        <v>254</v>
      </c>
      <c r="C273" s="13">
        <v>45619.32921296296</v>
      </c>
      <c r="D273" s="2" t="s">
        <v>20</v>
      </c>
      <c r="E273" s="2" t="s">
        <v>21</v>
      </c>
      <c r="F273" s="14" t="s">
        <v>3486</v>
      </c>
      <c r="G273" s="14" t="s">
        <v>3487</v>
      </c>
      <c r="H273" s="15" t="s">
        <v>159</v>
      </c>
      <c r="I273" s="15" t="s">
        <v>3619</v>
      </c>
      <c r="J273" s="2">
        <v>1.0</v>
      </c>
      <c r="K273" s="12" t="s">
        <v>3738</v>
      </c>
      <c r="L273" s="17"/>
    </row>
    <row r="274">
      <c r="A274" s="1" t="s">
        <v>255</v>
      </c>
      <c r="B274" s="1" t="s">
        <v>255</v>
      </c>
      <c r="C274" s="13">
        <v>45619.4383912037</v>
      </c>
      <c r="D274" s="2" t="s">
        <v>45</v>
      </c>
      <c r="E274" s="2" t="s">
        <v>46</v>
      </c>
      <c r="F274" s="14" t="s">
        <v>3522</v>
      </c>
      <c r="G274" s="14" t="s">
        <v>3523</v>
      </c>
      <c r="H274" s="15" t="s">
        <v>24</v>
      </c>
      <c r="I274" s="15" t="s">
        <v>3491</v>
      </c>
      <c r="J274" s="2">
        <v>10.0</v>
      </c>
      <c r="K274" s="12" t="s">
        <v>3739</v>
      </c>
      <c r="L274" s="17"/>
    </row>
    <row r="275">
      <c r="A275" s="1" t="s">
        <v>255</v>
      </c>
      <c r="B275" s="1" t="s">
        <v>255</v>
      </c>
      <c r="C275" s="13">
        <v>45619.442291666666</v>
      </c>
      <c r="D275" s="2" t="s">
        <v>45</v>
      </c>
      <c r="E275" s="2" t="s">
        <v>46</v>
      </c>
      <c r="F275" s="14" t="s">
        <v>3486</v>
      </c>
      <c r="G275" s="14" t="s">
        <v>3487</v>
      </c>
      <c r="H275" s="15" t="s">
        <v>24</v>
      </c>
      <c r="I275" s="15" t="s">
        <v>3491</v>
      </c>
      <c r="J275" s="2">
        <v>5.0</v>
      </c>
      <c r="K275" s="12" t="s">
        <v>3740</v>
      </c>
      <c r="L275" s="17"/>
    </row>
    <row r="276" hidden="1">
      <c r="A276" s="1" t="s">
        <v>256</v>
      </c>
      <c r="B276" s="1" t="s">
        <v>256</v>
      </c>
      <c r="C276" s="13">
        <v>45619.44631944445</v>
      </c>
      <c r="D276" s="2" t="s">
        <v>149</v>
      </c>
      <c r="E276" s="2" t="s">
        <v>150</v>
      </c>
      <c r="F276" s="14" t="s">
        <v>3486</v>
      </c>
      <c r="G276" s="14" t="s">
        <v>3487</v>
      </c>
      <c r="H276" s="15" t="s">
        <v>16</v>
      </c>
      <c r="I276" s="15" t="s">
        <v>3488</v>
      </c>
      <c r="J276" s="2">
        <v>10.0</v>
      </c>
      <c r="K276" s="12" t="s">
        <v>3741</v>
      </c>
      <c r="L276" s="14">
        <v>65000.0</v>
      </c>
    </row>
    <row r="277" hidden="1">
      <c r="A277" s="1" t="s">
        <v>257</v>
      </c>
      <c r="B277" s="1" t="s">
        <v>257</v>
      </c>
      <c r="C277" s="13">
        <v>45621.510416666664</v>
      </c>
      <c r="D277" s="2" t="s">
        <v>126</v>
      </c>
      <c r="E277" s="2" t="s">
        <v>127</v>
      </c>
      <c r="F277" s="14" t="s">
        <v>3486</v>
      </c>
      <c r="G277" s="14" t="s">
        <v>3487</v>
      </c>
      <c r="H277" s="15" t="s">
        <v>16</v>
      </c>
      <c r="I277" s="15" t="s">
        <v>3488</v>
      </c>
      <c r="J277" s="2">
        <v>5.0</v>
      </c>
      <c r="K277" s="12" t="s">
        <v>3742</v>
      </c>
      <c r="L277" s="16">
        <v>45045.04505</v>
      </c>
    </row>
    <row r="278" hidden="1">
      <c r="A278" s="1" t="s">
        <v>258</v>
      </c>
      <c r="B278" s="1" t="s">
        <v>258</v>
      </c>
      <c r="C278" s="13">
        <v>45621.53047453704</v>
      </c>
      <c r="D278" s="2" t="s">
        <v>28</v>
      </c>
      <c r="E278" s="2" t="s">
        <v>29</v>
      </c>
      <c r="F278" s="14" t="s">
        <v>3486</v>
      </c>
      <c r="G278" s="14" t="s">
        <v>3487</v>
      </c>
      <c r="H278" s="15" t="s">
        <v>16</v>
      </c>
      <c r="I278" s="15" t="s">
        <v>3488</v>
      </c>
      <c r="J278" s="2">
        <v>10.0</v>
      </c>
      <c r="K278" s="12" t="s">
        <v>3743</v>
      </c>
      <c r="L278" s="18">
        <v>60000.0</v>
      </c>
    </row>
    <row r="279" hidden="1">
      <c r="A279" s="1" t="s">
        <v>258</v>
      </c>
      <c r="B279" s="1" t="s">
        <v>258</v>
      </c>
      <c r="C279" s="13">
        <v>45621.53083333333</v>
      </c>
      <c r="D279" s="2" t="s">
        <v>28</v>
      </c>
      <c r="E279" s="2" t="s">
        <v>29</v>
      </c>
      <c r="F279" s="14" t="s">
        <v>3516</v>
      </c>
      <c r="G279" s="14" t="s">
        <v>3517</v>
      </c>
      <c r="H279" s="15" t="s">
        <v>16</v>
      </c>
      <c r="I279" s="15" t="s">
        <v>3488</v>
      </c>
      <c r="J279" s="2">
        <v>10.0</v>
      </c>
      <c r="K279" s="12" t="s">
        <v>3744</v>
      </c>
      <c r="L279" s="16">
        <v>160000.0</v>
      </c>
    </row>
    <row r="280" hidden="1">
      <c r="A280" s="1" t="s">
        <v>259</v>
      </c>
      <c r="B280" s="1" t="s">
        <v>259</v>
      </c>
      <c r="C280" s="13">
        <v>45621.54766203704</v>
      </c>
      <c r="D280" s="2" t="s">
        <v>126</v>
      </c>
      <c r="E280" s="2" t="s">
        <v>127</v>
      </c>
      <c r="F280" s="14" t="s">
        <v>3486</v>
      </c>
      <c r="G280" s="14" t="s">
        <v>3487</v>
      </c>
      <c r="H280" s="15" t="s">
        <v>24</v>
      </c>
      <c r="I280" s="15" t="s">
        <v>3491</v>
      </c>
      <c r="J280" s="2">
        <v>8.0</v>
      </c>
      <c r="K280" s="12" t="s">
        <v>3745</v>
      </c>
      <c r="L280" s="17"/>
    </row>
    <row r="281" hidden="1">
      <c r="A281" s="1" t="s">
        <v>259</v>
      </c>
      <c r="B281" s="1" t="s">
        <v>259</v>
      </c>
      <c r="C281" s="13">
        <v>45621.54991898148</v>
      </c>
      <c r="D281" s="2" t="s">
        <v>126</v>
      </c>
      <c r="E281" s="2" t="s">
        <v>127</v>
      </c>
      <c r="F281" s="14" t="s">
        <v>3585</v>
      </c>
      <c r="G281" s="14" t="s">
        <v>3586</v>
      </c>
      <c r="H281" s="15" t="s">
        <v>24</v>
      </c>
      <c r="I281" s="15" t="s">
        <v>3491</v>
      </c>
      <c r="J281" s="2">
        <v>2.0</v>
      </c>
      <c r="K281" s="12" t="s">
        <v>3746</v>
      </c>
      <c r="L281" s="17"/>
    </row>
    <row r="282" hidden="1">
      <c r="A282" s="1" t="s">
        <v>260</v>
      </c>
      <c r="B282" s="1" t="s">
        <v>260</v>
      </c>
      <c r="C282" s="13">
        <v>45621.642372685186</v>
      </c>
      <c r="D282" s="2" t="s">
        <v>28</v>
      </c>
      <c r="E282" s="2" t="s">
        <v>29</v>
      </c>
      <c r="F282" s="14" t="s">
        <v>3486</v>
      </c>
      <c r="G282" s="14" t="s">
        <v>3487</v>
      </c>
      <c r="H282" s="15" t="s">
        <v>24</v>
      </c>
      <c r="I282" s="15" t="s">
        <v>3491</v>
      </c>
      <c r="J282" s="2">
        <v>4.0</v>
      </c>
      <c r="K282" s="12" t="s">
        <v>3747</v>
      </c>
      <c r="L282" s="17"/>
    </row>
    <row r="283" hidden="1">
      <c r="A283" s="1" t="s">
        <v>260</v>
      </c>
      <c r="B283" s="1" t="s">
        <v>260</v>
      </c>
      <c r="C283" s="13">
        <v>45621.64318287037</v>
      </c>
      <c r="D283" s="2" t="s">
        <v>28</v>
      </c>
      <c r="E283" s="2" t="s">
        <v>29</v>
      </c>
      <c r="F283" s="14" t="s">
        <v>3516</v>
      </c>
      <c r="G283" s="14" t="s">
        <v>3517</v>
      </c>
      <c r="H283" s="15" t="s">
        <v>24</v>
      </c>
      <c r="I283" s="15" t="s">
        <v>3491</v>
      </c>
      <c r="J283" s="2">
        <v>6.0</v>
      </c>
      <c r="K283" s="12" t="s">
        <v>3748</v>
      </c>
      <c r="L283" s="17"/>
    </row>
    <row r="284" hidden="1">
      <c r="A284" s="1" t="s">
        <v>261</v>
      </c>
      <c r="B284" s="1" t="s">
        <v>261</v>
      </c>
      <c r="C284" s="13">
        <v>45622.64319444444</v>
      </c>
      <c r="D284" s="2" t="s">
        <v>213</v>
      </c>
      <c r="E284" s="2" t="s">
        <v>214</v>
      </c>
      <c r="F284" s="14" t="s">
        <v>3486</v>
      </c>
      <c r="G284" s="14" t="s">
        <v>3487</v>
      </c>
      <c r="H284" s="15" t="s">
        <v>16</v>
      </c>
      <c r="I284" s="15" t="s">
        <v>3488</v>
      </c>
      <c r="J284" s="2">
        <v>15.0</v>
      </c>
      <c r="K284" s="12" t="s">
        <v>3749</v>
      </c>
      <c r="L284" s="16">
        <v>60000.0</v>
      </c>
    </row>
    <row r="285" hidden="1">
      <c r="A285" s="1" t="s">
        <v>261</v>
      </c>
      <c r="B285" s="1" t="s">
        <v>261</v>
      </c>
      <c r="C285" s="13">
        <v>45622.64319444444</v>
      </c>
      <c r="D285" s="2" t="s">
        <v>213</v>
      </c>
      <c r="E285" s="2" t="s">
        <v>214</v>
      </c>
      <c r="F285" s="14" t="s">
        <v>3547</v>
      </c>
      <c r="G285" s="14" t="s">
        <v>3548</v>
      </c>
      <c r="H285" s="15" t="s">
        <v>16</v>
      </c>
      <c r="I285" s="15" t="s">
        <v>3488</v>
      </c>
      <c r="J285" s="2">
        <v>2.0</v>
      </c>
      <c r="K285" s="19"/>
      <c r="L285" s="14"/>
    </row>
    <row r="286" hidden="1">
      <c r="A286" s="1" t="s">
        <v>262</v>
      </c>
      <c r="B286" s="1" t="s">
        <v>262</v>
      </c>
      <c r="C286" s="13">
        <v>45622.64319444444</v>
      </c>
      <c r="D286" s="2" t="s">
        <v>213</v>
      </c>
      <c r="E286" s="2" t="s">
        <v>214</v>
      </c>
      <c r="F286" s="14" t="s">
        <v>3547</v>
      </c>
      <c r="G286" s="14" t="s">
        <v>3548</v>
      </c>
      <c r="H286" s="15" t="s">
        <v>159</v>
      </c>
      <c r="I286" s="15" t="s">
        <v>3619</v>
      </c>
      <c r="J286" s="2">
        <v>1.0</v>
      </c>
      <c r="K286" s="19"/>
      <c r="L286" s="17"/>
    </row>
    <row r="287" hidden="1">
      <c r="A287" s="1" t="s">
        <v>263</v>
      </c>
      <c r="B287" s="1" t="s">
        <v>263</v>
      </c>
      <c r="C287" s="13">
        <v>45622.47986111111</v>
      </c>
      <c r="D287" s="2" t="s">
        <v>55</v>
      </c>
      <c r="E287" s="2" t="s">
        <v>56</v>
      </c>
      <c r="F287" s="14" t="s">
        <v>3486</v>
      </c>
      <c r="G287" s="14" t="s">
        <v>3487</v>
      </c>
      <c r="H287" s="15" t="s">
        <v>16</v>
      </c>
      <c r="I287" s="15" t="s">
        <v>3488</v>
      </c>
      <c r="J287" s="2">
        <v>5.0</v>
      </c>
      <c r="K287" s="12" t="s">
        <v>3750</v>
      </c>
      <c r="L287" s="16">
        <v>60000.0</v>
      </c>
    </row>
    <row r="288" hidden="1">
      <c r="A288" s="1" t="s">
        <v>264</v>
      </c>
      <c r="B288" s="1" t="s">
        <v>264</v>
      </c>
      <c r="C288" s="13">
        <v>45622.61666666667</v>
      </c>
      <c r="D288" s="2" t="s">
        <v>213</v>
      </c>
      <c r="E288" s="2" t="s">
        <v>214</v>
      </c>
      <c r="F288" s="14" t="s">
        <v>3486</v>
      </c>
      <c r="G288" s="14" t="s">
        <v>3487</v>
      </c>
      <c r="H288" s="15" t="s">
        <v>24</v>
      </c>
      <c r="I288" s="15" t="s">
        <v>3491</v>
      </c>
      <c r="J288" s="2">
        <v>14.0</v>
      </c>
      <c r="K288" s="12" t="s">
        <v>3751</v>
      </c>
      <c r="L288" s="20"/>
    </row>
    <row r="289" hidden="1">
      <c r="A289" s="1" t="s">
        <v>264</v>
      </c>
      <c r="B289" s="1" t="s">
        <v>264</v>
      </c>
      <c r="C289" s="13">
        <v>45622.61736111111</v>
      </c>
      <c r="D289" s="2" t="s">
        <v>213</v>
      </c>
      <c r="E289" s="2" t="s">
        <v>214</v>
      </c>
      <c r="F289" s="14" t="s">
        <v>3547</v>
      </c>
      <c r="G289" s="14" t="s">
        <v>3548</v>
      </c>
      <c r="H289" s="15" t="s">
        <v>24</v>
      </c>
      <c r="I289" s="15" t="s">
        <v>3614</v>
      </c>
      <c r="J289" s="2">
        <v>1.0</v>
      </c>
      <c r="K289" s="19"/>
      <c r="L289" s="17"/>
    </row>
    <row r="290" hidden="1">
      <c r="A290" s="1" t="s">
        <v>265</v>
      </c>
      <c r="B290" s="1" t="s">
        <v>265</v>
      </c>
      <c r="C290" s="13">
        <v>45622.618055555555</v>
      </c>
      <c r="D290" s="2" t="s">
        <v>114</v>
      </c>
      <c r="E290" s="2" t="s">
        <v>115</v>
      </c>
      <c r="F290" s="14" t="s">
        <v>3486</v>
      </c>
      <c r="G290" s="14" t="s">
        <v>3487</v>
      </c>
      <c r="H290" s="15" t="s">
        <v>24</v>
      </c>
      <c r="I290" s="15" t="s">
        <v>3491</v>
      </c>
      <c r="J290" s="2">
        <v>3.0</v>
      </c>
      <c r="K290" s="12" t="s">
        <v>3752</v>
      </c>
      <c r="L290" s="17"/>
    </row>
    <row r="291" hidden="1">
      <c r="A291" s="1" t="s">
        <v>265</v>
      </c>
      <c r="B291" s="1" t="s">
        <v>265</v>
      </c>
      <c r="C291" s="13">
        <v>45622.61875</v>
      </c>
      <c r="D291" s="2" t="s">
        <v>114</v>
      </c>
      <c r="E291" s="2" t="s">
        <v>115</v>
      </c>
      <c r="F291" s="14" t="s">
        <v>3516</v>
      </c>
      <c r="G291" s="14" t="s">
        <v>3517</v>
      </c>
      <c r="H291" s="15" t="s">
        <v>24</v>
      </c>
      <c r="I291" s="15" t="s">
        <v>3491</v>
      </c>
      <c r="J291" s="2">
        <v>1.0</v>
      </c>
      <c r="K291" s="12" t="s">
        <v>3753</v>
      </c>
      <c r="L291" s="17"/>
    </row>
    <row r="292" hidden="1">
      <c r="A292" s="1" t="s">
        <v>266</v>
      </c>
      <c r="B292" s="1" t="s">
        <v>266</v>
      </c>
      <c r="C292" s="13">
        <v>45622.61875</v>
      </c>
      <c r="D292" s="2" t="s">
        <v>55</v>
      </c>
      <c r="E292" s="2" t="s">
        <v>56</v>
      </c>
      <c r="F292" s="14" t="s">
        <v>3486</v>
      </c>
      <c r="G292" s="14" t="s">
        <v>3487</v>
      </c>
      <c r="H292" s="15" t="s">
        <v>24</v>
      </c>
      <c r="I292" s="15" t="s">
        <v>3491</v>
      </c>
      <c r="J292" s="2">
        <v>3.0</v>
      </c>
      <c r="K292" s="12" t="s">
        <v>3754</v>
      </c>
      <c r="L292" s="20"/>
    </row>
    <row r="293" hidden="1">
      <c r="A293" s="1"/>
      <c r="B293" s="1"/>
      <c r="C293" s="13"/>
      <c r="F293" s="14"/>
      <c r="G293" s="14"/>
      <c r="H293" s="15"/>
      <c r="I293" s="15"/>
      <c r="K293" s="19"/>
      <c r="L293" s="17"/>
    </row>
    <row r="294" hidden="1">
      <c r="A294" s="1" t="s">
        <v>267</v>
      </c>
      <c r="B294" s="1" t="s">
        <v>267</v>
      </c>
      <c r="C294" s="13">
        <v>45624.478472222225</v>
      </c>
      <c r="D294" s="2" t="s">
        <v>49</v>
      </c>
      <c r="E294" s="2" t="s">
        <v>50</v>
      </c>
      <c r="F294" s="14" t="s">
        <v>3486</v>
      </c>
      <c r="G294" s="14" t="s">
        <v>3487</v>
      </c>
      <c r="H294" s="15" t="s">
        <v>16</v>
      </c>
      <c r="I294" s="15" t="s">
        <v>3488</v>
      </c>
      <c r="J294" s="2">
        <v>3.0</v>
      </c>
      <c r="K294" s="12" t="s">
        <v>3755</v>
      </c>
      <c r="L294" s="14">
        <v>60000.0</v>
      </c>
    </row>
    <row r="295" hidden="1">
      <c r="A295" s="1" t="s">
        <v>268</v>
      </c>
      <c r="B295" s="1" t="s">
        <v>268</v>
      </c>
      <c r="C295" s="13">
        <v>45624.58472222222</v>
      </c>
      <c r="D295" s="2" t="s">
        <v>49</v>
      </c>
      <c r="E295" s="2" t="s">
        <v>50</v>
      </c>
      <c r="F295" s="14" t="s">
        <v>3486</v>
      </c>
      <c r="G295" s="14" t="s">
        <v>3487</v>
      </c>
      <c r="H295" s="15" t="s">
        <v>24</v>
      </c>
      <c r="I295" s="15" t="s">
        <v>3491</v>
      </c>
      <c r="J295" s="2">
        <v>2.0</v>
      </c>
      <c r="K295" s="12" t="s">
        <v>3756</v>
      </c>
      <c r="L295" s="17"/>
    </row>
    <row r="296" hidden="1">
      <c r="A296" s="1" t="s">
        <v>269</v>
      </c>
      <c r="B296" s="1" t="s">
        <v>269</v>
      </c>
      <c r="C296" s="13">
        <v>45624.58472222222</v>
      </c>
      <c r="D296" s="2" t="s">
        <v>109</v>
      </c>
      <c r="E296" s="2" t="s">
        <v>110</v>
      </c>
      <c r="F296" s="14" t="s">
        <v>3486</v>
      </c>
      <c r="G296" s="14" t="s">
        <v>3487</v>
      </c>
      <c r="H296" s="15" t="s">
        <v>24</v>
      </c>
      <c r="I296" s="15" t="s">
        <v>3491</v>
      </c>
      <c r="J296" s="2">
        <v>2.0</v>
      </c>
      <c r="K296" s="12" t="s">
        <v>3757</v>
      </c>
      <c r="L296" s="17"/>
    </row>
    <row r="297" hidden="1">
      <c r="A297" s="1" t="s">
        <v>270</v>
      </c>
      <c r="B297" s="1" t="s">
        <v>270</v>
      </c>
      <c r="C297" s="13">
        <v>45625.345138888886</v>
      </c>
      <c r="D297" s="2" t="s">
        <v>126</v>
      </c>
      <c r="E297" s="2" t="s">
        <v>127</v>
      </c>
      <c r="F297" s="14" t="s">
        <v>3486</v>
      </c>
      <c r="G297" s="14" t="s">
        <v>3487</v>
      </c>
      <c r="H297" s="15" t="s">
        <v>16</v>
      </c>
      <c r="I297" s="15" t="s">
        <v>3488</v>
      </c>
      <c r="J297" s="2">
        <v>10.0</v>
      </c>
      <c r="K297" s="12" t="s">
        <v>3758</v>
      </c>
      <c r="L297" s="16">
        <v>45045.04505</v>
      </c>
    </row>
    <row r="298" hidden="1">
      <c r="A298" s="1" t="s">
        <v>271</v>
      </c>
      <c r="B298" s="1" t="s">
        <v>271</v>
      </c>
      <c r="C298" s="13">
        <v>45625.433333333334</v>
      </c>
      <c r="D298" s="2" t="s">
        <v>20</v>
      </c>
      <c r="E298" s="2" t="s">
        <v>21</v>
      </c>
      <c r="F298" s="14" t="s">
        <v>3486</v>
      </c>
      <c r="G298" s="14" t="s">
        <v>3487</v>
      </c>
      <c r="H298" s="15" t="s">
        <v>16</v>
      </c>
      <c r="I298" s="15" t="s">
        <v>3488</v>
      </c>
      <c r="J298" s="2">
        <v>2.0</v>
      </c>
      <c r="K298" s="12" t="s">
        <v>3759</v>
      </c>
      <c r="L298" s="16">
        <v>60000.0</v>
      </c>
    </row>
    <row r="299" hidden="1">
      <c r="A299" s="1" t="s">
        <v>272</v>
      </c>
      <c r="B299" s="1" t="s">
        <v>272</v>
      </c>
      <c r="C299" s="13">
        <v>45625.43958333333</v>
      </c>
      <c r="D299" s="2" t="s">
        <v>126</v>
      </c>
      <c r="E299" s="2" t="s">
        <v>127</v>
      </c>
      <c r="F299" s="14" t="s">
        <v>3486</v>
      </c>
      <c r="G299" s="14" t="s">
        <v>3487</v>
      </c>
      <c r="H299" s="15" t="s">
        <v>24</v>
      </c>
      <c r="I299" s="15" t="s">
        <v>3491</v>
      </c>
      <c r="J299" s="2">
        <v>4.0</v>
      </c>
      <c r="K299" s="12" t="s">
        <v>3760</v>
      </c>
      <c r="L299" s="17"/>
    </row>
    <row r="300" hidden="1">
      <c r="A300" s="1" t="s">
        <v>272</v>
      </c>
      <c r="B300" s="1" t="s">
        <v>272</v>
      </c>
      <c r="C300" s="13">
        <v>45625.44027777778</v>
      </c>
      <c r="D300" s="2" t="s">
        <v>126</v>
      </c>
      <c r="E300" s="2" t="s">
        <v>127</v>
      </c>
      <c r="F300" s="14" t="s">
        <v>3585</v>
      </c>
      <c r="G300" s="14" t="s">
        <v>3586</v>
      </c>
      <c r="H300" s="15" t="s">
        <v>24</v>
      </c>
      <c r="I300" s="15" t="s">
        <v>3491</v>
      </c>
      <c r="J300" s="2">
        <v>1.0</v>
      </c>
      <c r="K300" s="12" t="s">
        <v>3761</v>
      </c>
      <c r="L300" s="20"/>
    </row>
    <row r="301" hidden="1">
      <c r="A301" s="1" t="s">
        <v>273</v>
      </c>
      <c r="B301" s="1" t="s">
        <v>273</v>
      </c>
      <c r="C301" s="13">
        <v>45625.51388888889</v>
      </c>
      <c r="D301" s="2" t="s">
        <v>20</v>
      </c>
      <c r="E301" s="2" t="s">
        <v>21</v>
      </c>
      <c r="F301" s="14" t="s">
        <v>3486</v>
      </c>
      <c r="G301" s="14" t="s">
        <v>3487</v>
      </c>
      <c r="H301" s="15" t="s">
        <v>24</v>
      </c>
      <c r="I301" s="15" t="s">
        <v>3491</v>
      </c>
      <c r="J301" s="2">
        <v>2.0</v>
      </c>
      <c r="K301" s="12" t="s">
        <v>3762</v>
      </c>
      <c r="L301" s="17"/>
    </row>
    <row r="302" hidden="1">
      <c r="A302" s="1" t="s">
        <v>274</v>
      </c>
      <c r="B302" s="1" t="s">
        <v>274</v>
      </c>
      <c r="C302" s="13">
        <v>45625.53472222222</v>
      </c>
      <c r="D302" s="2" t="s">
        <v>75</v>
      </c>
      <c r="E302" s="2" t="s">
        <v>76</v>
      </c>
      <c r="F302" s="14" t="s">
        <v>3522</v>
      </c>
      <c r="G302" s="14" t="s">
        <v>3523</v>
      </c>
      <c r="H302" s="15" t="s">
        <v>16</v>
      </c>
      <c r="I302" s="15" t="s">
        <v>3488</v>
      </c>
      <c r="J302" s="2">
        <v>2.0</v>
      </c>
      <c r="K302" s="12" t="s">
        <v>3763</v>
      </c>
      <c r="L302" s="16">
        <v>270000.0</v>
      </c>
    </row>
    <row r="303" hidden="1">
      <c r="A303" s="1" t="s">
        <v>275</v>
      </c>
      <c r="B303" s="1" t="s">
        <v>275</v>
      </c>
      <c r="C303" s="13">
        <v>45625.60277777778</v>
      </c>
      <c r="D303" s="2" t="s">
        <v>122</v>
      </c>
      <c r="E303" s="2" t="s">
        <v>123</v>
      </c>
      <c r="F303" s="14" t="s">
        <v>3493</v>
      </c>
      <c r="G303" s="14" t="s">
        <v>3494</v>
      </c>
      <c r="H303" s="15" t="s">
        <v>24</v>
      </c>
      <c r="I303" s="15" t="s">
        <v>3491</v>
      </c>
      <c r="J303" s="2">
        <v>2.0</v>
      </c>
      <c r="K303" s="19"/>
      <c r="L303" s="20"/>
    </row>
    <row r="304" hidden="1">
      <c r="A304" s="1" t="s">
        <v>275</v>
      </c>
      <c r="B304" s="1" t="s">
        <v>275</v>
      </c>
      <c r="C304" s="13">
        <v>45625.603472222225</v>
      </c>
      <c r="D304" s="2" t="s">
        <v>122</v>
      </c>
      <c r="E304" s="2" t="s">
        <v>123</v>
      </c>
      <c r="F304" s="14" t="s">
        <v>3486</v>
      </c>
      <c r="G304" s="14" t="s">
        <v>3487</v>
      </c>
      <c r="H304" s="15" t="s">
        <v>24</v>
      </c>
      <c r="I304" s="15" t="s">
        <v>3491</v>
      </c>
      <c r="J304" s="2">
        <v>10.0</v>
      </c>
      <c r="K304" s="12" t="s">
        <v>3764</v>
      </c>
      <c r="L304" s="20"/>
    </row>
    <row r="305" hidden="1">
      <c r="A305" s="1" t="s">
        <v>276</v>
      </c>
      <c r="B305" s="1" t="s">
        <v>276</v>
      </c>
      <c r="C305" s="13">
        <v>45625.61111111111</v>
      </c>
      <c r="D305" s="2" t="s">
        <v>75</v>
      </c>
      <c r="E305" s="2" t="s">
        <v>76</v>
      </c>
      <c r="F305" s="14" t="s">
        <v>3522</v>
      </c>
      <c r="G305" s="14" t="s">
        <v>3523</v>
      </c>
      <c r="H305" s="15" t="s">
        <v>24</v>
      </c>
      <c r="I305" s="15" t="s">
        <v>3491</v>
      </c>
      <c r="J305" s="2">
        <v>1.0</v>
      </c>
      <c r="K305" s="12" t="s">
        <v>3765</v>
      </c>
      <c r="L305" s="17"/>
    </row>
    <row r="306" hidden="1">
      <c r="A306" s="1" t="s">
        <v>217</v>
      </c>
      <c r="B306" s="1" t="s">
        <v>217</v>
      </c>
      <c r="C306" s="13">
        <v>45609.65416666667</v>
      </c>
      <c r="D306" s="2" t="s">
        <v>122</v>
      </c>
      <c r="E306" s="2" t="s">
        <v>123</v>
      </c>
      <c r="F306" s="14" t="s">
        <v>3493</v>
      </c>
      <c r="G306" s="14" t="s">
        <v>3494</v>
      </c>
      <c r="H306" s="15" t="s">
        <v>24</v>
      </c>
      <c r="I306" s="15" t="s">
        <v>3491</v>
      </c>
      <c r="J306" s="2">
        <v>2.0</v>
      </c>
      <c r="K306" s="19"/>
      <c r="L306" s="17"/>
    </row>
    <row r="307" hidden="1">
      <c r="A307" s="1" t="s">
        <v>277</v>
      </c>
      <c r="B307" s="1" t="s">
        <v>277</v>
      </c>
      <c r="C307" s="13">
        <v>45626.45208333333</v>
      </c>
      <c r="D307" s="2" t="s">
        <v>49</v>
      </c>
      <c r="E307" s="2" t="s">
        <v>50</v>
      </c>
      <c r="F307" s="14" t="s">
        <v>3486</v>
      </c>
      <c r="G307" s="14" t="s">
        <v>3487</v>
      </c>
      <c r="H307" s="15" t="s">
        <v>16</v>
      </c>
      <c r="I307" s="15" t="s">
        <v>3488</v>
      </c>
      <c r="J307" s="2">
        <v>5.0</v>
      </c>
      <c r="K307" s="12" t="s">
        <v>3766</v>
      </c>
      <c r="L307" s="16">
        <v>60000.0</v>
      </c>
    </row>
    <row r="308" hidden="1">
      <c r="A308" s="1" t="s">
        <v>278</v>
      </c>
      <c r="B308" s="1" t="s">
        <v>278</v>
      </c>
      <c r="C308" s="13">
        <v>45626.470138888886</v>
      </c>
      <c r="D308" s="2" t="s">
        <v>131</v>
      </c>
      <c r="E308" s="2" t="s">
        <v>132</v>
      </c>
      <c r="F308" s="14" t="s">
        <v>3516</v>
      </c>
      <c r="G308" s="14" t="s">
        <v>3517</v>
      </c>
      <c r="H308" s="15" t="s">
        <v>16</v>
      </c>
      <c r="I308" s="15" t="s">
        <v>3488</v>
      </c>
      <c r="J308" s="2">
        <v>1.0</v>
      </c>
      <c r="K308" s="12" t="s">
        <v>3767</v>
      </c>
      <c r="L308" s="16">
        <v>170000.0</v>
      </c>
    </row>
    <row r="309" hidden="1">
      <c r="A309" s="1" t="s">
        <v>217</v>
      </c>
      <c r="B309" s="1" t="s">
        <v>217</v>
      </c>
      <c r="C309" s="13">
        <v>45609.53055555555</v>
      </c>
      <c r="D309" s="2" t="s">
        <v>122</v>
      </c>
      <c r="E309" s="2" t="s">
        <v>123</v>
      </c>
      <c r="F309" s="14" t="s">
        <v>3493</v>
      </c>
      <c r="G309" s="14" t="s">
        <v>3494</v>
      </c>
      <c r="H309" s="15" t="s">
        <v>24</v>
      </c>
      <c r="I309" s="15" t="s">
        <v>3491</v>
      </c>
      <c r="J309" s="2">
        <v>2.0</v>
      </c>
      <c r="K309" s="19"/>
      <c r="L309" s="20"/>
    </row>
    <row r="310" hidden="1">
      <c r="A310" s="1" t="s">
        <v>279</v>
      </c>
      <c r="B310" s="1" t="s">
        <v>279</v>
      </c>
      <c r="C310" s="13">
        <v>45626.54375</v>
      </c>
      <c r="D310" s="2" t="s">
        <v>49</v>
      </c>
      <c r="E310" s="2" t="s">
        <v>50</v>
      </c>
      <c r="F310" s="14" t="s">
        <v>3486</v>
      </c>
      <c r="G310" s="14" t="s">
        <v>3487</v>
      </c>
      <c r="H310" s="15" t="s">
        <v>24</v>
      </c>
      <c r="I310" s="15" t="s">
        <v>3491</v>
      </c>
      <c r="J310" s="2">
        <v>3.0</v>
      </c>
      <c r="K310" s="12" t="s">
        <v>3768</v>
      </c>
      <c r="L310" s="14">
        <v>0.0</v>
      </c>
    </row>
    <row r="311" hidden="1">
      <c r="A311" s="1" t="s">
        <v>280</v>
      </c>
      <c r="B311" s="1" t="s">
        <v>280</v>
      </c>
      <c r="C311" s="13">
        <v>45626.54375</v>
      </c>
      <c r="D311" s="2" t="s">
        <v>131</v>
      </c>
      <c r="E311" s="2" t="s">
        <v>132</v>
      </c>
      <c r="F311" s="14" t="s">
        <v>3486</v>
      </c>
      <c r="G311" s="14" t="s">
        <v>3487</v>
      </c>
      <c r="H311" s="15" t="s">
        <v>24</v>
      </c>
      <c r="I311" s="15" t="s">
        <v>3491</v>
      </c>
      <c r="J311" s="2">
        <v>1.0</v>
      </c>
      <c r="K311" s="12" t="s">
        <v>3769</v>
      </c>
      <c r="L311" s="17"/>
    </row>
    <row r="312">
      <c r="A312" s="1" t="s">
        <v>281</v>
      </c>
      <c r="B312" s="1" t="s">
        <v>281</v>
      </c>
      <c r="C312" s="13">
        <v>45628.45208333333</v>
      </c>
      <c r="D312" s="2" t="s">
        <v>45</v>
      </c>
      <c r="E312" s="2" t="s">
        <v>46</v>
      </c>
      <c r="F312" s="14" t="s">
        <v>3486</v>
      </c>
      <c r="G312" s="14" t="s">
        <v>3487</v>
      </c>
      <c r="H312" s="15" t="s">
        <v>16</v>
      </c>
      <c r="I312" s="15" t="s">
        <v>3488</v>
      </c>
      <c r="J312" s="2">
        <v>5.0</v>
      </c>
      <c r="K312" s="12" t="s">
        <v>3770</v>
      </c>
      <c r="L312" s="14">
        <v>60000.0</v>
      </c>
    </row>
    <row r="313">
      <c r="A313" s="1" t="s">
        <v>281</v>
      </c>
      <c r="B313" s="1" t="s">
        <v>281</v>
      </c>
      <c r="C313" s="13">
        <v>45628.45277777778</v>
      </c>
      <c r="D313" s="2" t="s">
        <v>45</v>
      </c>
      <c r="E313" s="2" t="s">
        <v>46</v>
      </c>
      <c r="F313" s="14" t="s">
        <v>3516</v>
      </c>
      <c r="G313" s="14" t="s">
        <v>3517</v>
      </c>
      <c r="H313" s="15" t="s">
        <v>16</v>
      </c>
      <c r="I313" s="15" t="s">
        <v>3488</v>
      </c>
      <c r="J313" s="2">
        <v>4.0</v>
      </c>
      <c r="K313" s="12" t="s">
        <v>3771</v>
      </c>
      <c r="L313" s="14">
        <v>167000.0</v>
      </c>
    </row>
    <row r="314">
      <c r="A314" s="1" t="s">
        <v>281</v>
      </c>
      <c r="B314" s="1" t="s">
        <v>281</v>
      </c>
      <c r="C314" s="13">
        <v>45628.45416666667</v>
      </c>
      <c r="D314" s="2" t="s">
        <v>45</v>
      </c>
      <c r="E314" s="2" t="s">
        <v>46</v>
      </c>
      <c r="F314" s="14" t="s">
        <v>3522</v>
      </c>
      <c r="G314" s="14" t="s">
        <v>3523</v>
      </c>
      <c r="H314" s="15" t="s">
        <v>16</v>
      </c>
      <c r="I314" s="15" t="s">
        <v>3488</v>
      </c>
      <c r="J314" s="2">
        <v>5.0</v>
      </c>
      <c r="K314" s="12" t="s">
        <v>3772</v>
      </c>
      <c r="L314" s="14">
        <v>196000.0</v>
      </c>
    </row>
    <row r="315" hidden="1">
      <c r="A315" s="1" t="s">
        <v>282</v>
      </c>
      <c r="B315" s="1" t="s">
        <v>282</v>
      </c>
      <c r="C315" s="13">
        <v>45628.48819444444</v>
      </c>
      <c r="D315" s="2" t="s">
        <v>283</v>
      </c>
      <c r="E315" s="2" t="s">
        <v>284</v>
      </c>
      <c r="F315" s="14" t="s">
        <v>3773</v>
      </c>
      <c r="G315" s="14" t="s">
        <v>3774</v>
      </c>
      <c r="H315" s="15" t="s">
        <v>16</v>
      </c>
      <c r="I315" s="15" t="s">
        <v>3488</v>
      </c>
      <c r="J315" s="2">
        <v>2.0</v>
      </c>
      <c r="K315" s="12" t="s">
        <v>3775</v>
      </c>
      <c r="L315" s="17"/>
    </row>
    <row r="316" hidden="1">
      <c r="A316" s="1" t="s">
        <v>286</v>
      </c>
      <c r="B316" s="1" t="s">
        <v>286</v>
      </c>
      <c r="C316" s="13">
        <v>45629.490277777775</v>
      </c>
      <c r="D316" s="2" t="s">
        <v>283</v>
      </c>
      <c r="E316" s="2" t="s">
        <v>284</v>
      </c>
      <c r="F316" s="14" t="s">
        <v>3776</v>
      </c>
      <c r="G316" s="14" t="s">
        <v>3777</v>
      </c>
      <c r="H316" s="15" t="s">
        <v>16</v>
      </c>
      <c r="I316" s="15" t="s">
        <v>3488</v>
      </c>
      <c r="J316" s="2">
        <v>1.0</v>
      </c>
      <c r="K316" s="12" t="s">
        <v>3778</v>
      </c>
      <c r="L316" s="17"/>
    </row>
    <row r="317" hidden="1">
      <c r="A317" s="1" t="s">
        <v>282</v>
      </c>
      <c r="B317" s="1" t="s">
        <v>282</v>
      </c>
      <c r="C317" s="13">
        <v>45628.49166666667</v>
      </c>
      <c r="D317" s="2" t="s">
        <v>283</v>
      </c>
      <c r="E317" s="2" t="s">
        <v>284</v>
      </c>
      <c r="F317" s="14" t="s">
        <v>3493</v>
      </c>
      <c r="G317" s="14" t="s">
        <v>3494</v>
      </c>
      <c r="H317" s="15" t="s">
        <v>16</v>
      </c>
      <c r="I317" s="15" t="s">
        <v>3488</v>
      </c>
      <c r="J317" s="2">
        <v>2.0</v>
      </c>
      <c r="K317" s="19"/>
      <c r="L317" s="16">
        <v>193693.69</v>
      </c>
    </row>
    <row r="318" hidden="1">
      <c r="A318" s="1" t="s">
        <v>287</v>
      </c>
      <c r="B318" s="1" t="s">
        <v>287</v>
      </c>
      <c r="C318" s="13">
        <v>45628.51111111111</v>
      </c>
      <c r="D318" s="2" t="s">
        <v>109</v>
      </c>
      <c r="E318" s="2" t="s">
        <v>110</v>
      </c>
      <c r="F318" s="14" t="s">
        <v>3486</v>
      </c>
      <c r="G318" s="14" t="s">
        <v>3487</v>
      </c>
      <c r="H318" s="15" t="s">
        <v>16</v>
      </c>
      <c r="I318" s="15" t="s">
        <v>3488</v>
      </c>
      <c r="J318" s="2">
        <v>4.0</v>
      </c>
      <c r="K318" s="12" t="s">
        <v>3779</v>
      </c>
      <c r="L318" s="14">
        <v>60000.0</v>
      </c>
    </row>
    <row r="319" hidden="1">
      <c r="A319" s="1" t="s">
        <v>288</v>
      </c>
      <c r="B319" s="1" t="s">
        <v>288</v>
      </c>
      <c r="C319" s="13">
        <v>45628.51111111111</v>
      </c>
      <c r="D319" s="2" t="s">
        <v>213</v>
      </c>
      <c r="E319" s="2" t="s">
        <v>214</v>
      </c>
      <c r="F319" s="14" t="s">
        <v>3486</v>
      </c>
      <c r="G319" s="14" t="s">
        <v>3487</v>
      </c>
      <c r="H319" s="15" t="s">
        <v>16</v>
      </c>
      <c r="I319" s="15" t="s">
        <v>3488</v>
      </c>
      <c r="J319" s="2">
        <v>15.0</v>
      </c>
      <c r="K319" s="12" t="s">
        <v>3780</v>
      </c>
      <c r="L319" s="14">
        <v>60000.0</v>
      </c>
    </row>
    <row r="320" hidden="1">
      <c r="A320" s="1" t="s">
        <v>289</v>
      </c>
      <c r="B320" s="1" t="s">
        <v>289</v>
      </c>
      <c r="C320" s="13">
        <v>45628.6625</v>
      </c>
      <c r="D320" s="2" t="s">
        <v>109</v>
      </c>
      <c r="E320" s="2" t="s">
        <v>110</v>
      </c>
      <c r="F320" s="14" t="s">
        <v>3522</v>
      </c>
      <c r="G320" s="14" t="s">
        <v>3523</v>
      </c>
      <c r="H320" s="15" t="s">
        <v>24</v>
      </c>
      <c r="I320" s="15" t="s">
        <v>3491</v>
      </c>
      <c r="J320" s="2">
        <v>1.0</v>
      </c>
      <c r="K320" s="12" t="s">
        <v>3781</v>
      </c>
      <c r="L320" s="17"/>
    </row>
    <row r="321" hidden="1">
      <c r="A321" s="1" t="s">
        <v>289</v>
      </c>
      <c r="B321" s="1" t="s">
        <v>289</v>
      </c>
      <c r="C321" s="13">
        <v>45628.6625</v>
      </c>
      <c r="D321" s="2" t="s">
        <v>109</v>
      </c>
      <c r="E321" s="2" t="s">
        <v>110</v>
      </c>
      <c r="F321" s="14" t="s">
        <v>3486</v>
      </c>
      <c r="G321" s="14" t="s">
        <v>3487</v>
      </c>
      <c r="H321" s="15" t="s">
        <v>24</v>
      </c>
      <c r="I321" s="15" t="s">
        <v>3491</v>
      </c>
      <c r="J321" s="2">
        <v>3.0</v>
      </c>
      <c r="K321" s="12" t="s">
        <v>3782</v>
      </c>
      <c r="L321" s="17"/>
    </row>
    <row r="322" hidden="1">
      <c r="A322" s="1" t="s">
        <v>290</v>
      </c>
      <c r="B322" s="1" t="s">
        <v>290</v>
      </c>
      <c r="C322" s="13">
        <v>45628.663194444445</v>
      </c>
      <c r="D322" s="2" t="s">
        <v>283</v>
      </c>
      <c r="E322" s="2" t="s">
        <v>284</v>
      </c>
      <c r="F322" s="14" t="s">
        <v>3493</v>
      </c>
      <c r="G322" s="14" t="s">
        <v>3494</v>
      </c>
      <c r="H322" s="15" t="s">
        <v>24</v>
      </c>
      <c r="I322" s="15" t="s">
        <v>3491</v>
      </c>
      <c r="J322" s="2">
        <v>2.0</v>
      </c>
      <c r="K322" s="19"/>
      <c r="L322" s="17"/>
    </row>
    <row r="323" hidden="1">
      <c r="A323" s="1" t="s">
        <v>291</v>
      </c>
      <c r="B323" s="1" t="s">
        <v>291</v>
      </c>
      <c r="C323" s="13">
        <v>45628.669444444444</v>
      </c>
      <c r="D323" s="2" t="s">
        <v>213</v>
      </c>
      <c r="E323" s="2" t="s">
        <v>214</v>
      </c>
      <c r="F323" s="14" t="s">
        <v>3486</v>
      </c>
      <c r="G323" s="14" t="s">
        <v>3487</v>
      </c>
      <c r="H323" s="15" t="s">
        <v>24</v>
      </c>
      <c r="I323" s="15" t="s">
        <v>3491</v>
      </c>
      <c r="J323" s="2">
        <v>17.0</v>
      </c>
      <c r="K323" s="12" t="s">
        <v>3783</v>
      </c>
      <c r="L323" s="20"/>
    </row>
    <row r="324" hidden="1">
      <c r="A324" s="1" t="s">
        <v>292</v>
      </c>
      <c r="B324" s="1" t="s">
        <v>292</v>
      </c>
      <c r="C324" s="13">
        <v>45629.520833333336</v>
      </c>
      <c r="D324" s="2" t="s">
        <v>126</v>
      </c>
      <c r="E324" s="2" t="s">
        <v>127</v>
      </c>
      <c r="F324" s="14" t="s">
        <v>3486</v>
      </c>
      <c r="G324" s="14" t="s">
        <v>3487</v>
      </c>
      <c r="H324" s="15" t="s">
        <v>24</v>
      </c>
      <c r="I324" s="15" t="s">
        <v>3491</v>
      </c>
      <c r="J324" s="2">
        <v>15.0</v>
      </c>
      <c r="K324" s="12" t="s">
        <v>3784</v>
      </c>
      <c r="L324" s="20"/>
    </row>
    <row r="325" hidden="1">
      <c r="A325" s="1" t="s">
        <v>292</v>
      </c>
      <c r="B325" s="1" t="s">
        <v>292</v>
      </c>
      <c r="C325" s="13">
        <v>45629.529861111114</v>
      </c>
      <c r="D325" s="2" t="s">
        <v>126</v>
      </c>
      <c r="E325" s="2" t="s">
        <v>127</v>
      </c>
      <c r="F325" s="14" t="s">
        <v>3585</v>
      </c>
      <c r="G325" s="14" t="s">
        <v>3586</v>
      </c>
      <c r="H325" s="15" t="s">
        <v>24</v>
      </c>
      <c r="I325" s="15" t="s">
        <v>3491</v>
      </c>
      <c r="J325" s="2">
        <v>2.0</v>
      </c>
      <c r="K325" s="12" t="s">
        <v>3785</v>
      </c>
      <c r="L325" s="20"/>
    </row>
    <row r="326">
      <c r="A326" s="1" t="s">
        <v>293</v>
      </c>
      <c r="B326" s="1" t="s">
        <v>293</v>
      </c>
      <c r="C326" s="13">
        <v>45628.541666666664</v>
      </c>
      <c r="D326" s="2" t="s">
        <v>45</v>
      </c>
      <c r="E326" s="2" t="s">
        <v>46</v>
      </c>
      <c r="F326" s="14" t="s">
        <v>3493</v>
      </c>
      <c r="G326" s="14" t="s">
        <v>3494</v>
      </c>
      <c r="H326" s="15" t="s">
        <v>24</v>
      </c>
      <c r="I326" s="15" t="s">
        <v>3491</v>
      </c>
      <c r="J326" s="2">
        <v>1.0</v>
      </c>
      <c r="K326" s="19"/>
      <c r="L326" s="17"/>
    </row>
    <row r="327" hidden="1">
      <c r="A327" s="1" t="s">
        <v>294</v>
      </c>
      <c r="B327" s="1" t="s">
        <v>294</v>
      </c>
      <c r="C327" s="13">
        <v>45629.59444444445</v>
      </c>
      <c r="D327" s="2" t="s">
        <v>131</v>
      </c>
      <c r="E327" s="2" t="s">
        <v>132</v>
      </c>
      <c r="F327" s="14" t="s">
        <v>3486</v>
      </c>
      <c r="G327" s="14" t="s">
        <v>3487</v>
      </c>
      <c r="H327" s="15" t="s">
        <v>16</v>
      </c>
      <c r="I327" s="15" t="s">
        <v>3488</v>
      </c>
      <c r="J327" s="2">
        <v>10.0</v>
      </c>
      <c r="K327" s="12" t="s">
        <v>3786</v>
      </c>
      <c r="L327" s="14">
        <v>60000.0</v>
      </c>
    </row>
    <row r="328" hidden="1">
      <c r="A328" s="1" t="s">
        <v>295</v>
      </c>
      <c r="B328" s="1" t="s">
        <v>295</v>
      </c>
      <c r="C328" s="13">
        <v>45629.68680555555</v>
      </c>
      <c r="D328" s="2" t="s">
        <v>131</v>
      </c>
      <c r="E328" s="2" t="s">
        <v>132</v>
      </c>
      <c r="F328" s="14" t="s">
        <v>3486</v>
      </c>
      <c r="G328" s="14" t="s">
        <v>3487</v>
      </c>
      <c r="H328" s="15" t="s">
        <v>24</v>
      </c>
      <c r="I328" s="15" t="s">
        <v>3491</v>
      </c>
      <c r="J328" s="2">
        <v>2.0</v>
      </c>
      <c r="K328" s="12" t="s">
        <v>3787</v>
      </c>
      <c r="L328" s="17"/>
    </row>
    <row r="329" hidden="1">
      <c r="A329" s="1" t="s">
        <v>295</v>
      </c>
      <c r="B329" s="1" t="s">
        <v>295</v>
      </c>
      <c r="C329" s="13">
        <v>45629.6875</v>
      </c>
      <c r="D329" s="2" t="s">
        <v>131</v>
      </c>
      <c r="E329" s="2" t="s">
        <v>132</v>
      </c>
      <c r="F329" s="14" t="s">
        <v>3516</v>
      </c>
      <c r="G329" s="14" t="s">
        <v>3517</v>
      </c>
      <c r="H329" s="15" t="s">
        <v>24</v>
      </c>
      <c r="I329" s="15" t="s">
        <v>3491</v>
      </c>
      <c r="J329" s="2">
        <v>1.0</v>
      </c>
      <c r="K329" s="12" t="s">
        <v>3767</v>
      </c>
      <c r="L329" s="17"/>
    </row>
    <row r="330" hidden="1">
      <c r="A330" s="1" t="s">
        <v>296</v>
      </c>
      <c r="B330" s="1" t="s">
        <v>296</v>
      </c>
      <c r="C330" s="13">
        <v>45630.48541666667</v>
      </c>
      <c r="D330" s="2" t="s">
        <v>28</v>
      </c>
      <c r="E330" s="2" t="s">
        <v>29</v>
      </c>
      <c r="F330" s="14" t="s">
        <v>3486</v>
      </c>
      <c r="G330" s="14" t="s">
        <v>3487</v>
      </c>
      <c r="H330" s="15" t="s">
        <v>24</v>
      </c>
      <c r="I330" s="15" t="s">
        <v>3491</v>
      </c>
      <c r="J330" s="2">
        <v>7.0</v>
      </c>
      <c r="K330" s="12" t="s">
        <v>3788</v>
      </c>
      <c r="L330" s="17"/>
    </row>
    <row r="331" hidden="1">
      <c r="A331" s="1" t="s">
        <v>296</v>
      </c>
      <c r="B331" s="1" t="s">
        <v>296</v>
      </c>
      <c r="C331" s="13">
        <v>45630.48611111111</v>
      </c>
      <c r="D331" s="2" t="s">
        <v>28</v>
      </c>
      <c r="E331" s="2" t="s">
        <v>29</v>
      </c>
      <c r="F331" s="14" t="s">
        <v>3516</v>
      </c>
      <c r="G331" s="14" t="s">
        <v>3517</v>
      </c>
      <c r="H331" s="15" t="s">
        <v>24</v>
      </c>
      <c r="I331" s="15" t="s">
        <v>3491</v>
      </c>
      <c r="J331" s="2">
        <v>4.0</v>
      </c>
      <c r="K331" s="12" t="s">
        <v>3789</v>
      </c>
      <c r="L331" s="20"/>
    </row>
    <row r="332" hidden="1">
      <c r="A332" s="1" t="s">
        <v>296</v>
      </c>
      <c r="B332" s="1" t="s">
        <v>296</v>
      </c>
      <c r="C332" s="13">
        <v>45630.486805555556</v>
      </c>
      <c r="D332" s="2" t="s">
        <v>28</v>
      </c>
      <c r="E332" s="2" t="s">
        <v>29</v>
      </c>
      <c r="F332" s="14" t="s">
        <v>3493</v>
      </c>
      <c r="G332" s="14" t="s">
        <v>3494</v>
      </c>
      <c r="H332" s="15" t="s">
        <v>24</v>
      </c>
      <c r="I332" s="15" t="s">
        <v>3491</v>
      </c>
      <c r="J332" s="2">
        <v>2.0</v>
      </c>
      <c r="K332" s="19"/>
      <c r="L332" s="20"/>
    </row>
    <row r="333" hidden="1">
      <c r="A333" s="1" t="s">
        <v>297</v>
      </c>
      <c r="B333" s="1" t="s">
        <v>297</v>
      </c>
      <c r="C333" s="13">
        <v>45630.52916666667</v>
      </c>
      <c r="D333" s="2" t="s">
        <v>213</v>
      </c>
      <c r="E333" s="2" t="s">
        <v>214</v>
      </c>
      <c r="F333" s="14" t="s">
        <v>3486</v>
      </c>
      <c r="G333" s="14" t="s">
        <v>3487</v>
      </c>
      <c r="H333" s="15" t="s">
        <v>16</v>
      </c>
      <c r="I333" s="15" t="s">
        <v>3488</v>
      </c>
      <c r="J333" s="2">
        <v>10.0</v>
      </c>
      <c r="K333" s="12" t="s">
        <v>3790</v>
      </c>
      <c r="L333" s="16">
        <v>60000.0</v>
      </c>
    </row>
    <row r="334" hidden="1">
      <c r="A334" s="1" t="s">
        <v>298</v>
      </c>
      <c r="B334" s="1" t="s">
        <v>298</v>
      </c>
      <c r="C334" s="13">
        <v>45630.53125</v>
      </c>
      <c r="D334" s="2" t="s">
        <v>114</v>
      </c>
      <c r="E334" s="2" t="s">
        <v>115</v>
      </c>
      <c r="F334" s="14" t="s">
        <v>3486</v>
      </c>
      <c r="G334" s="14" t="s">
        <v>3487</v>
      </c>
      <c r="H334" s="15" t="s">
        <v>16</v>
      </c>
      <c r="I334" s="15" t="s">
        <v>3488</v>
      </c>
      <c r="J334" s="2">
        <v>10.0</v>
      </c>
      <c r="K334" s="12" t="s">
        <v>3791</v>
      </c>
      <c r="L334" s="14">
        <v>45045.04505</v>
      </c>
    </row>
    <row r="335" hidden="1">
      <c r="A335" s="1" t="s">
        <v>299</v>
      </c>
      <c r="B335" s="1" t="s">
        <v>299</v>
      </c>
      <c r="C335" s="13">
        <v>45630.55763888889</v>
      </c>
      <c r="D335" s="2" t="s">
        <v>131</v>
      </c>
      <c r="E335" s="2" t="s">
        <v>132</v>
      </c>
      <c r="F335" s="14" t="s">
        <v>3516</v>
      </c>
      <c r="G335" s="14" t="s">
        <v>3517</v>
      </c>
      <c r="H335" s="15" t="s">
        <v>16</v>
      </c>
      <c r="I335" s="15" t="s">
        <v>3488</v>
      </c>
      <c r="J335" s="2">
        <v>2.0</v>
      </c>
      <c r="K335" s="12" t="s">
        <v>3792</v>
      </c>
      <c r="L335" s="16">
        <v>170000.0</v>
      </c>
    </row>
    <row r="336" hidden="1">
      <c r="A336" s="1" t="s">
        <v>300</v>
      </c>
      <c r="B336" s="1" t="s">
        <v>300</v>
      </c>
      <c r="C336" s="13">
        <v>45630.614583333336</v>
      </c>
      <c r="D336" s="2" t="s">
        <v>114</v>
      </c>
      <c r="E336" s="2" t="s">
        <v>115</v>
      </c>
      <c r="F336" s="14" t="s">
        <v>3486</v>
      </c>
      <c r="G336" s="14" t="s">
        <v>3487</v>
      </c>
      <c r="H336" s="15" t="s">
        <v>24</v>
      </c>
      <c r="I336" s="15" t="s">
        <v>3491</v>
      </c>
      <c r="J336" s="2">
        <v>5.0</v>
      </c>
      <c r="K336" s="12" t="s">
        <v>3793</v>
      </c>
      <c r="L336" s="17"/>
    </row>
    <row r="337" hidden="1">
      <c r="A337" s="1" t="s">
        <v>300</v>
      </c>
      <c r="B337" s="1" t="s">
        <v>300</v>
      </c>
      <c r="C337" s="13">
        <v>45630.615277777775</v>
      </c>
      <c r="D337" s="2" t="s">
        <v>114</v>
      </c>
      <c r="E337" s="2" t="s">
        <v>115</v>
      </c>
      <c r="F337" s="14" t="s">
        <v>3585</v>
      </c>
      <c r="G337" s="14" t="s">
        <v>3586</v>
      </c>
      <c r="H337" s="15" t="s">
        <v>24</v>
      </c>
      <c r="I337" s="15" t="s">
        <v>3491</v>
      </c>
      <c r="J337" s="2">
        <v>1.0</v>
      </c>
      <c r="K337" s="12" t="s">
        <v>3794</v>
      </c>
      <c r="L337" s="17"/>
    </row>
    <row r="338" hidden="1">
      <c r="A338" s="1" t="s">
        <v>301</v>
      </c>
      <c r="B338" s="1" t="s">
        <v>301</v>
      </c>
      <c r="C338" s="13">
        <v>45630.615277777775</v>
      </c>
      <c r="D338" s="2" t="s">
        <v>49</v>
      </c>
      <c r="E338" s="2" t="s">
        <v>50</v>
      </c>
      <c r="F338" s="14" t="s">
        <v>3486</v>
      </c>
      <c r="G338" s="14" t="s">
        <v>3487</v>
      </c>
      <c r="H338" s="15" t="s">
        <v>24</v>
      </c>
      <c r="I338" s="15" t="s">
        <v>3491</v>
      </c>
      <c r="J338" s="2">
        <v>1.0</v>
      </c>
      <c r="K338" s="12" t="s">
        <v>3655</v>
      </c>
      <c r="L338" s="20"/>
    </row>
    <row r="339" hidden="1">
      <c r="A339" s="1" t="s">
        <v>302</v>
      </c>
      <c r="B339" s="1" t="s">
        <v>302</v>
      </c>
      <c r="C339" s="13">
        <v>45630.61597222222</v>
      </c>
      <c r="D339" s="2" t="s">
        <v>20</v>
      </c>
      <c r="E339" s="2" t="s">
        <v>21</v>
      </c>
      <c r="F339" s="14" t="s">
        <v>3486</v>
      </c>
      <c r="G339" s="14" t="s">
        <v>3487</v>
      </c>
      <c r="H339" s="15" t="s">
        <v>24</v>
      </c>
      <c r="I339" s="15" t="s">
        <v>3491</v>
      </c>
      <c r="J339" s="2">
        <v>2.0</v>
      </c>
      <c r="K339" s="12" t="s">
        <v>3795</v>
      </c>
      <c r="L339" s="17"/>
    </row>
    <row r="340" hidden="1">
      <c r="A340" s="1" t="s">
        <v>303</v>
      </c>
      <c r="B340" s="1" t="s">
        <v>303</v>
      </c>
      <c r="C340" s="13">
        <v>45630.67291666667</v>
      </c>
      <c r="D340" s="2" t="s">
        <v>131</v>
      </c>
      <c r="E340" s="2" t="s">
        <v>132</v>
      </c>
      <c r="F340" s="14" t="s">
        <v>3486</v>
      </c>
      <c r="G340" s="14" t="s">
        <v>3487</v>
      </c>
      <c r="H340" s="15" t="s">
        <v>24</v>
      </c>
      <c r="I340" s="15" t="s">
        <v>3491</v>
      </c>
      <c r="J340" s="2">
        <v>1.0</v>
      </c>
      <c r="K340" s="12" t="s">
        <v>3796</v>
      </c>
      <c r="L340" s="17"/>
    </row>
    <row r="341" hidden="1">
      <c r="A341" s="1" t="s">
        <v>304</v>
      </c>
      <c r="B341" s="1" t="s">
        <v>304</v>
      </c>
      <c r="C341" s="13">
        <v>45631.41805555556</v>
      </c>
      <c r="D341" s="2" t="s">
        <v>305</v>
      </c>
      <c r="E341" s="2" t="s">
        <v>306</v>
      </c>
      <c r="F341" s="14" t="s">
        <v>3486</v>
      </c>
      <c r="G341" s="14" t="s">
        <v>3487</v>
      </c>
      <c r="H341" s="15" t="s">
        <v>16</v>
      </c>
      <c r="I341" s="15" t="s">
        <v>3488</v>
      </c>
      <c r="J341" s="2">
        <v>10.0</v>
      </c>
      <c r="K341" s="12" t="s">
        <v>3797</v>
      </c>
      <c r="L341" s="16">
        <v>47297.2973</v>
      </c>
    </row>
    <row r="342" hidden="1">
      <c r="A342" s="1" t="s">
        <v>308</v>
      </c>
      <c r="B342" s="1" t="s">
        <v>308</v>
      </c>
      <c r="C342" s="13">
        <v>45631.430555555555</v>
      </c>
      <c r="D342" s="2" t="s">
        <v>309</v>
      </c>
      <c r="E342" s="2" t="s">
        <v>310</v>
      </c>
      <c r="F342" s="14" t="s">
        <v>3486</v>
      </c>
      <c r="G342" s="14" t="s">
        <v>3487</v>
      </c>
      <c r="H342" s="15" t="s">
        <v>16</v>
      </c>
      <c r="I342" s="15" t="s">
        <v>3488</v>
      </c>
      <c r="J342" s="2">
        <v>12.0</v>
      </c>
      <c r="K342" s="12" t="s">
        <v>3798</v>
      </c>
      <c r="L342" s="16">
        <v>55000.0</v>
      </c>
    </row>
    <row r="343" hidden="1">
      <c r="A343" s="1" t="s">
        <v>312</v>
      </c>
      <c r="B343" s="1" t="s">
        <v>312</v>
      </c>
      <c r="C343" s="13">
        <v>45631.56736111111</v>
      </c>
      <c r="D343" s="2" t="s">
        <v>55</v>
      </c>
      <c r="E343" s="2" t="s">
        <v>56</v>
      </c>
      <c r="F343" s="14" t="s">
        <v>3486</v>
      </c>
      <c r="G343" s="14" t="s">
        <v>3487</v>
      </c>
      <c r="H343" s="15" t="s">
        <v>16</v>
      </c>
      <c r="I343" s="15" t="s">
        <v>3488</v>
      </c>
      <c r="J343" s="2">
        <v>5.0</v>
      </c>
      <c r="K343" s="12" t="s">
        <v>3799</v>
      </c>
      <c r="L343" s="16">
        <v>60000.0</v>
      </c>
    </row>
    <row r="344" hidden="1">
      <c r="A344" s="1" t="s">
        <v>313</v>
      </c>
      <c r="B344" s="1" t="s">
        <v>313</v>
      </c>
      <c r="C344" s="13">
        <v>45631.572916666664</v>
      </c>
      <c r="D344" s="2" t="s">
        <v>309</v>
      </c>
      <c r="E344" s="2" t="s">
        <v>310</v>
      </c>
      <c r="F344" s="14" t="s">
        <v>3506</v>
      </c>
      <c r="G344" s="14" t="s">
        <v>3507</v>
      </c>
      <c r="H344" s="15" t="s">
        <v>24</v>
      </c>
      <c r="I344" s="15" t="s">
        <v>3491</v>
      </c>
      <c r="J344" s="2">
        <v>12.0</v>
      </c>
      <c r="K344" s="19"/>
      <c r="L344" s="20"/>
    </row>
    <row r="345" hidden="1">
      <c r="A345" s="1" t="s">
        <v>314</v>
      </c>
      <c r="B345" s="1" t="s">
        <v>314</v>
      </c>
      <c r="C345" s="13">
        <v>45632.433333333334</v>
      </c>
      <c r="D345" s="2" t="s">
        <v>126</v>
      </c>
      <c r="E345" s="2" t="s">
        <v>127</v>
      </c>
      <c r="F345" s="14" t="s">
        <v>3486</v>
      </c>
      <c r="G345" s="14" t="s">
        <v>3487</v>
      </c>
      <c r="H345" s="15" t="s">
        <v>16</v>
      </c>
      <c r="I345" s="15" t="s">
        <v>3488</v>
      </c>
      <c r="J345" s="2">
        <v>10.0</v>
      </c>
      <c r="K345" s="12" t="s">
        <v>3800</v>
      </c>
      <c r="L345" s="14">
        <v>45045.04505</v>
      </c>
    </row>
    <row r="346" hidden="1">
      <c r="A346" s="1" t="s">
        <v>315</v>
      </c>
      <c r="B346" s="1" t="s">
        <v>315</v>
      </c>
      <c r="C346" s="13">
        <v>45632.438888888886</v>
      </c>
      <c r="D346" s="2" t="s">
        <v>55</v>
      </c>
      <c r="E346" s="2" t="s">
        <v>56</v>
      </c>
      <c r="F346" s="14" t="s">
        <v>3486</v>
      </c>
      <c r="G346" s="14" t="s">
        <v>3487</v>
      </c>
      <c r="H346" s="15" t="s">
        <v>24</v>
      </c>
      <c r="I346" s="15" t="s">
        <v>3491</v>
      </c>
      <c r="J346" s="2">
        <v>4.0</v>
      </c>
      <c r="K346" s="12" t="s">
        <v>3801</v>
      </c>
      <c r="L346" s="17"/>
    </row>
    <row r="347" hidden="1">
      <c r="A347" s="1" t="s">
        <v>316</v>
      </c>
      <c r="B347" s="1" t="s">
        <v>316</v>
      </c>
      <c r="C347" s="13">
        <v>45632.44027777778</v>
      </c>
      <c r="D347" s="2" t="s">
        <v>126</v>
      </c>
      <c r="E347" s="2" t="s">
        <v>127</v>
      </c>
      <c r="F347" s="14" t="s">
        <v>3486</v>
      </c>
      <c r="G347" s="14" t="s">
        <v>3487</v>
      </c>
      <c r="H347" s="15" t="s">
        <v>24</v>
      </c>
      <c r="I347" s="15" t="s">
        <v>3491</v>
      </c>
      <c r="J347" s="2">
        <v>8.0</v>
      </c>
      <c r="K347" s="12" t="s">
        <v>3802</v>
      </c>
      <c r="L347" s="20"/>
    </row>
    <row r="348" hidden="1">
      <c r="A348" s="1" t="s">
        <v>317</v>
      </c>
      <c r="B348" s="1" t="s">
        <v>317</v>
      </c>
      <c r="C348" s="13">
        <v>45632.62291666667</v>
      </c>
      <c r="D348" s="2" t="s">
        <v>114</v>
      </c>
      <c r="E348" s="2" t="s">
        <v>115</v>
      </c>
      <c r="F348" s="14" t="s">
        <v>3585</v>
      </c>
      <c r="G348" s="14" t="s">
        <v>3586</v>
      </c>
      <c r="H348" s="15" t="s">
        <v>16</v>
      </c>
      <c r="I348" s="15" t="s">
        <v>3488</v>
      </c>
      <c r="J348" s="2">
        <v>6.0</v>
      </c>
      <c r="K348" s="12" t="s">
        <v>3803</v>
      </c>
      <c r="L348" s="16">
        <v>360360.3604</v>
      </c>
    </row>
    <row r="349" hidden="1">
      <c r="A349" s="1" t="s">
        <v>316</v>
      </c>
      <c r="B349" s="1" t="s">
        <v>316</v>
      </c>
      <c r="C349" s="13">
        <v>45632.625</v>
      </c>
      <c r="D349" s="2" t="s">
        <v>126</v>
      </c>
      <c r="E349" s="2" t="s">
        <v>127</v>
      </c>
      <c r="F349" s="14" t="s">
        <v>3486</v>
      </c>
      <c r="G349" s="14" t="s">
        <v>3487</v>
      </c>
      <c r="H349" s="15" t="s">
        <v>24</v>
      </c>
      <c r="I349" s="15" t="s">
        <v>3491</v>
      </c>
      <c r="J349" s="2">
        <v>2.0</v>
      </c>
      <c r="K349" s="12" t="s">
        <v>3804</v>
      </c>
      <c r="L349" s="20"/>
    </row>
    <row r="350" hidden="1">
      <c r="A350" s="1" t="s">
        <v>318</v>
      </c>
      <c r="B350" s="1" t="s">
        <v>318</v>
      </c>
      <c r="C350" s="13">
        <v>45632.675</v>
      </c>
      <c r="D350" s="2" t="s">
        <v>114</v>
      </c>
      <c r="E350" s="2" t="s">
        <v>115</v>
      </c>
      <c r="F350" s="14" t="s">
        <v>3486</v>
      </c>
      <c r="G350" s="14" t="s">
        <v>3487</v>
      </c>
      <c r="H350" s="15" t="s">
        <v>24</v>
      </c>
      <c r="I350" s="15" t="s">
        <v>3491</v>
      </c>
      <c r="J350" s="2">
        <v>1.0</v>
      </c>
      <c r="K350" s="12" t="s">
        <v>3805</v>
      </c>
      <c r="L350" s="17"/>
    </row>
    <row r="351" hidden="1">
      <c r="A351" s="1" t="s">
        <v>319</v>
      </c>
      <c r="B351" s="1" t="s">
        <v>319</v>
      </c>
      <c r="C351" s="13">
        <v>45633.45208333333</v>
      </c>
      <c r="D351" s="2" t="s">
        <v>320</v>
      </c>
      <c r="E351" s="2" t="s">
        <v>321</v>
      </c>
      <c r="F351" s="14" t="s">
        <v>3486</v>
      </c>
      <c r="G351" s="14" t="s">
        <v>3487</v>
      </c>
      <c r="H351" s="15" t="s">
        <v>16</v>
      </c>
      <c r="I351" s="15" t="s">
        <v>3488</v>
      </c>
      <c r="J351" s="2">
        <v>4.0</v>
      </c>
      <c r="K351" s="12" t="s">
        <v>3806</v>
      </c>
      <c r="L351" s="14">
        <v>70000.0</v>
      </c>
    </row>
    <row r="352" hidden="1">
      <c r="A352" s="1" t="s">
        <v>319</v>
      </c>
      <c r="B352" s="1" t="s">
        <v>319</v>
      </c>
      <c r="C352" s="13">
        <v>45633.45277777778</v>
      </c>
      <c r="D352" s="2" t="s">
        <v>320</v>
      </c>
      <c r="E352" s="2" t="s">
        <v>321</v>
      </c>
      <c r="F352" s="14" t="s">
        <v>3585</v>
      </c>
      <c r="G352" s="14" t="s">
        <v>3586</v>
      </c>
      <c r="H352" s="15" t="s">
        <v>16</v>
      </c>
      <c r="I352" s="15" t="s">
        <v>3488</v>
      </c>
      <c r="J352" s="2">
        <v>2.0</v>
      </c>
      <c r="K352" s="12" t="s">
        <v>3807</v>
      </c>
      <c r="L352" s="14">
        <v>400000.0</v>
      </c>
    </row>
    <row r="353" hidden="1">
      <c r="A353" s="1" t="s">
        <v>323</v>
      </c>
      <c r="B353" s="1" t="s">
        <v>323</v>
      </c>
      <c r="C353" s="13">
        <v>45633.45277777778</v>
      </c>
      <c r="D353" s="2" t="s">
        <v>131</v>
      </c>
      <c r="E353" s="2" t="s">
        <v>132</v>
      </c>
      <c r="F353" s="14" t="s">
        <v>3516</v>
      </c>
      <c r="G353" s="14" t="s">
        <v>3517</v>
      </c>
      <c r="H353" s="15" t="s">
        <v>16</v>
      </c>
      <c r="I353" s="15" t="s">
        <v>3488</v>
      </c>
      <c r="J353" s="2">
        <v>2.0</v>
      </c>
      <c r="K353" s="12" t="s">
        <v>3808</v>
      </c>
      <c r="L353" s="14">
        <v>170000.0</v>
      </c>
    </row>
    <row r="354" hidden="1">
      <c r="A354" s="1" t="s">
        <v>323</v>
      </c>
      <c r="B354" s="1" t="s">
        <v>323</v>
      </c>
      <c r="C354" s="13">
        <v>45633.45347222222</v>
      </c>
      <c r="D354" s="2" t="s">
        <v>131</v>
      </c>
      <c r="E354" s="2" t="s">
        <v>132</v>
      </c>
      <c r="F354" s="14" t="s">
        <v>3486</v>
      </c>
      <c r="G354" s="14" t="s">
        <v>3487</v>
      </c>
      <c r="H354" s="15" t="s">
        <v>16</v>
      </c>
      <c r="I354" s="15" t="s">
        <v>3488</v>
      </c>
      <c r="J354" s="2">
        <v>4.0</v>
      </c>
      <c r="K354" s="12" t="s">
        <v>3809</v>
      </c>
      <c r="L354" s="14">
        <v>60000.0</v>
      </c>
    </row>
    <row r="355" hidden="1">
      <c r="A355" s="1" t="s">
        <v>324</v>
      </c>
      <c r="B355" s="1" t="s">
        <v>324</v>
      </c>
      <c r="C355" s="13">
        <v>45633.524305555555</v>
      </c>
      <c r="D355" s="2" t="s">
        <v>131</v>
      </c>
      <c r="E355" s="2" t="s">
        <v>132</v>
      </c>
      <c r="F355" s="14" t="s">
        <v>3486</v>
      </c>
      <c r="G355" s="14" t="s">
        <v>3487</v>
      </c>
      <c r="H355" s="15" t="s">
        <v>24</v>
      </c>
      <c r="I355" s="15" t="s">
        <v>3491</v>
      </c>
      <c r="J355" s="2">
        <v>3.0</v>
      </c>
      <c r="K355" s="12" t="s">
        <v>3810</v>
      </c>
      <c r="L355" s="17"/>
    </row>
    <row r="356" hidden="1">
      <c r="A356" s="1" t="s">
        <v>324</v>
      </c>
      <c r="B356" s="1" t="s">
        <v>324</v>
      </c>
      <c r="C356" s="13">
        <v>45633.525</v>
      </c>
      <c r="D356" s="2" t="s">
        <v>131</v>
      </c>
      <c r="E356" s="2" t="s">
        <v>132</v>
      </c>
      <c r="F356" s="14" t="s">
        <v>3516</v>
      </c>
      <c r="G356" s="14" t="s">
        <v>3517</v>
      </c>
      <c r="H356" s="15" t="s">
        <v>24</v>
      </c>
      <c r="I356" s="15" t="s">
        <v>3491</v>
      </c>
      <c r="J356" s="2">
        <v>1.0</v>
      </c>
      <c r="K356" s="12" t="s">
        <v>3811</v>
      </c>
      <c r="L356" s="17"/>
    </row>
    <row r="357" hidden="1">
      <c r="A357" s="1" t="s">
        <v>325</v>
      </c>
      <c r="B357" s="1" t="s">
        <v>325</v>
      </c>
      <c r="C357" s="13">
        <v>45633.53055555555</v>
      </c>
      <c r="D357" s="2" t="s">
        <v>326</v>
      </c>
      <c r="E357" s="2" t="s">
        <v>327</v>
      </c>
      <c r="F357" s="14" t="s">
        <v>3486</v>
      </c>
      <c r="G357" s="14" t="s">
        <v>3487</v>
      </c>
      <c r="H357" s="15" t="s">
        <v>16</v>
      </c>
      <c r="I357" s="15" t="s">
        <v>3488</v>
      </c>
      <c r="J357" s="2">
        <v>20.0</v>
      </c>
      <c r="K357" s="12" t="s">
        <v>3812</v>
      </c>
      <c r="L357" s="14">
        <v>45000.0</v>
      </c>
    </row>
    <row r="358" hidden="1">
      <c r="A358" s="1" t="s">
        <v>329</v>
      </c>
      <c r="B358" s="1" t="s">
        <v>329</v>
      </c>
      <c r="C358" s="13">
        <v>45636.46875</v>
      </c>
      <c r="D358" s="2" t="s">
        <v>28</v>
      </c>
      <c r="E358" s="2" t="s">
        <v>29</v>
      </c>
      <c r="F358" s="14" t="s">
        <v>3516</v>
      </c>
      <c r="G358" s="14" t="s">
        <v>3517</v>
      </c>
      <c r="H358" s="15" t="s">
        <v>16</v>
      </c>
      <c r="I358" s="15" t="s">
        <v>3488</v>
      </c>
      <c r="J358" s="2">
        <v>5.0</v>
      </c>
      <c r="K358" s="12" t="s">
        <v>3813</v>
      </c>
      <c r="L358" s="14">
        <v>160000.0</v>
      </c>
    </row>
    <row r="359" hidden="1">
      <c r="A359" s="1" t="s">
        <v>329</v>
      </c>
      <c r="B359" s="1" t="s">
        <v>329</v>
      </c>
      <c r="C359" s="13">
        <v>45636.46944444445</v>
      </c>
      <c r="D359" s="2" t="s">
        <v>28</v>
      </c>
      <c r="E359" s="2" t="s">
        <v>29</v>
      </c>
      <c r="F359" s="14" t="s">
        <v>3486</v>
      </c>
      <c r="G359" s="14" t="s">
        <v>3487</v>
      </c>
      <c r="H359" s="15" t="s">
        <v>16</v>
      </c>
      <c r="I359" s="15" t="s">
        <v>3488</v>
      </c>
      <c r="J359" s="2">
        <v>5.0</v>
      </c>
      <c r="K359" s="12" t="s">
        <v>3814</v>
      </c>
      <c r="L359" s="16">
        <v>60000.0</v>
      </c>
    </row>
    <row r="360" hidden="1">
      <c r="A360" s="1" t="s">
        <v>330</v>
      </c>
      <c r="B360" s="1" t="s">
        <v>330</v>
      </c>
      <c r="C360" s="13">
        <v>45636.47777777778</v>
      </c>
      <c r="D360" s="2" t="s">
        <v>114</v>
      </c>
      <c r="E360" s="2" t="s">
        <v>115</v>
      </c>
      <c r="F360" s="14" t="s">
        <v>3486</v>
      </c>
      <c r="G360" s="14" t="s">
        <v>3487</v>
      </c>
      <c r="H360" s="15" t="s">
        <v>24</v>
      </c>
      <c r="I360" s="15" t="s">
        <v>3491</v>
      </c>
      <c r="J360" s="2">
        <v>2.0</v>
      </c>
      <c r="K360" s="12" t="s">
        <v>3815</v>
      </c>
      <c r="L360" s="20"/>
    </row>
    <row r="361" hidden="1">
      <c r="A361" s="1" t="s">
        <v>331</v>
      </c>
      <c r="B361" s="1" t="s">
        <v>331</v>
      </c>
      <c r="C361" s="13">
        <v>45636.478472222225</v>
      </c>
      <c r="D361" s="2" t="s">
        <v>109</v>
      </c>
      <c r="E361" s="2" t="s">
        <v>110</v>
      </c>
      <c r="F361" s="14" t="s">
        <v>3486</v>
      </c>
      <c r="G361" s="14" t="s">
        <v>3487</v>
      </c>
      <c r="H361" s="15" t="s">
        <v>24</v>
      </c>
      <c r="I361" s="15" t="s">
        <v>3491</v>
      </c>
      <c r="J361" s="2">
        <v>1.0</v>
      </c>
      <c r="K361" s="12" t="s">
        <v>3602</v>
      </c>
      <c r="L361" s="20"/>
    </row>
    <row r="362" hidden="1">
      <c r="A362" s="1" t="s">
        <v>332</v>
      </c>
      <c r="B362" s="1" t="s">
        <v>332</v>
      </c>
      <c r="C362" s="13">
        <v>45636.48055555556</v>
      </c>
      <c r="D362" s="2" t="s">
        <v>55</v>
      </c>
      <c r="E362" s="2" t="s">
        <v>56</v>
      </c>
      <c r="F362" s="14" t="s">
        <v>3486</v>
      </c>
      <c r="G362" s="14" t="s">
        <v>3487</v>
      </c>
      <c r="H362" s="15" t="s">
        <v>24</v>
      </c>
      <c r="I362" s="15" t="s">
        <v>3491</v>
      </c>
      <c r="J362" s="2">
        <v>1.0</v>
      </c>
      <c r="K362" s="12" t="s">
        <v>3816</v>
      </c>
      <c r="L362" s="17"/>
    </row>
    <row r="363" hidden="1">
      <c r="A363" s="1" t="s">
        <v>333</v>
      </c>
      <c r="B363" s="1" t="s">
        <v>333</v>
      </c>
      <c r="C363" s="13">
        <v>45636.48055555556</v>
      </c>
      <c r="D363" s="2" t="s">
        <v>131</v>
      </c>
      <c r="E363" s="2" t="s">
        <v>132</v>
      </c>
      <c r="F363" s="14" t="s">
        <v>3486</v>
      </c>
      <c r="G363" s="14" t="s">
        <v>3487</v>
      </c>
      <c r="H363" s="15" t="s">
        <v>24</v>
      </c>
      <c r="I363" s="15" t="s">
        <v>3491</v>
      </c>
      <c r="J363" s="2">
        <v>2.0</v>
      </c>
      <c r="K363" s="12" t="s">
        <v>3817</v>
      </c>
      <c r="L363" s="20"/>
    </row>
    <row r="364" hidden="1">
      <c r="A364" s="1" t="s">
        <v>333</v>
      </c>
      <c r="B364" s="1" t="s">
        <v>333</v>
      </c>
      <c r="C364" s="13">
        <v>45636.48125</v>
      </c>
      <c r="D364" s="2" t="s">
        <v>131</v>
      </c>
      <c r="E364" s="2" t="s">
        <v>132</v>
      </c>
      <c r="F364" s="14" t="s">
        <v>3516</v>
      </c>
      <c r="G364" s="14" t="s">
        <v>3517</v>
      </c>
      <c r="H364" s="15" t="s">
        <v>24</v>
      </c>
      <c r="I364" s="15" t="s">
        <v>3491</v>
      </c>
      <c r="J364" s="2">
        <v>1.0</v>
      </c>
      <c r="K364" s="12" t="s">
        <v>3818</v>
      </c>
      <c r="L364" s="17"/>
    </row>
    <row r="365" hidden="1">
      <c r="A365" s="1" t="s">
        <v>334</v>
      </c>
      <c r="B365" s="1" t="s">
        <v>334</v>
      </c>
      <c r="C365" s="13">
        <v>45636.64444444444</v>
      </c>
      <c r="D365" s="2" t="s">
        <v>28</v>
      </c>
      <c r="E365" s="2" t="s">
        <v>29</v>
      </c>
      <c r="F365" s="14" t="s">
        <v>3486</v>
      </c>
      <c r="G365" s="14" t="s">
        <v>3487</v>
      </c>
      <c r="H365" s="15" t="s">
        <v>24</v>
      </c>
      <c r="I365" s="15" t="s">
        <v>3491</v>
      </c>
      <c r="J365" s="2">
        <v>4.0</v>
      </c>
      <c r="K365" s="12" t="s">
        <v>3819</v>
      </c>
      <c r="L365" s="17"/>
    </row>
    <row r="366" hidden="1">
      <c r="A366" s="1" t="s">
        <v>334</v>
      </c>
      <c r="B366" s="1" t="s">
        <v>334</v>
      </c>
      <c r="C366" s="13">
        <v>45636.64513888889</v>
      </c>
      <c r="D366" s="2" t="s">
        <v>28</v>
      </c>
      <c r="E366" s="2" t="s">
        <v>29</v>
      </c>
      <c r="F366" s="14" t="s">
        <v>3516</v>
      </c>
      <c r="G366" s="14" t="s">
        <v>3517</v>
      </c>
      <c r="H366" s="15" t="s">
        <v>24</v>
      </c>
      <c r="I366" s="15" t="s">
        <v>3491</v>
      </c>
      <c r="J366" s="2">
        <v>10.0</v>
      </c>
      <c r="K366" s="12" t="s">
        <v>3820</v>
      </c>
      <c r="L366" s="17"/>
    </row>
    <row r="367" hidden="1">
      <c r="A367" s="1" t="s">
        <v>334</v>
      </c>
      <c r="B367" s="1" t="s">
        <v>334</v>
      </c>
      <c r="C367" s="13">
        <v>45636.646527777775</v>
      </c>
      <c r="D367" s="2" t="s">
        <v>28</v>
      </c>
      <c r="E367" s="2" t="s">
        <v>29</v>
      </c>
      <c r="F367" s="14" t="s">
        <v>3493</v>
      </c>
      <c r="G367" s="14" t="s">
        <v>3494</v>
      </c>
      <c r="H367" s="15" t="s">
        <v>24</v>
      </c>
      <c r="I367" s="15" t="s">
        <v>3491</v>
      </c>
      <c r="J367" s="2">
        <v>1.0</v>
      </c>
      <c r="K367" s="19"/>
      <c r="L367" s="17"/>
    </row>
    <row r="368" hidden="1">
      <c r="A368" s="1" t="s">
        <v>335</v>
      </c>
      <c r="B368" s="1" t="s">
        <v>335</v>
      </c>
      <c r="C368" s="13">
        <v>45636.77013888889</v>
      </c>
      <c r="D368" s="2" t="s">
        <v>126</v>
      </c>
      <c r="E368" s="2" t="s">
        <v>127</v>
      </c>
      <c r="F368" s="14" t="s">
        <v>3486</v>
      </c>
      <c r="G368" s="14" t="s">
        <v>3487</v>
      </c>
      <c r="H368" s="15" t="s">
        <v>24</v>
      </c>
      <c r="I368" s="15" t="s">
        <v>3491</v>
      </c>
      <c r="J368" s="2">
        <v>3.0</v>
      </c>
      <c r="K368" s="12" t="s">
        <v>3821</v>
      </c>
      <c r="L368" s="17"/>
    </row>
    <row r="369" hidden="1">
      <c r="A369" s="1" t="s">
        <v>336</v>
      </c>
      <c r="B369" s="1" t="s">
        <v>336</v>
      </c>
      <c r="C369" s="13">
        <v>45638.57152777778</v>
      </c>
      <c r="D369" s="2" t="s">
        <v>28</v>
      </c>
      <c r="E369" s="2" t="s">
        <v>29</v>
      </c>
      <c r="F369" s="14" t="s">
        <v>3486</v>
      </c>
      <c r="G369" s="14" t="s">
        <v>3487</v>
      </c>
      <c r="H369" s="15" t="s">
        <v>16</v>
      </c>
      <c r="I369" s="15" t="s">
        <v>3488</v>
      </c>
      <c r="J369" s="2">
        <v>5.0</v>
      </c>
      <c r="K369" s="12" t="s">
        <v>3822</v>
      </c>
      <c r="L369" s="16">
        <v>60000.0</v>
      </c>
    </row>
    <row r="370" hidden="1">
      <c r="A370" s="1" t="s">
        <v>336</v>
      </c>
      <c r="B370" s="1" t="s">
        <v>336</v>
      </c>
      <c r="C370" s="13">
        <v>45638.572222222225</v>
      </c>
      <c r="D370" s="2" t="s">
        <v>28</v>
      </c>
      <c r="E370" s="2" t="s">
        <v>29</v>
      </c>
      <c r="F370" s="14" t="s">
        <v>3516</v>
      </c>
      <c r="G370" s="14" t="s">
        <v>3517</v>
      </c>
      <c r="H370" s="15" t="s">
        <v>16</v>
      </c>
      <c r="I370" s="15" t="s">
        <v>3488</v>
      </c>
      <c r="J370" s="2">
        <v>5.0</v>
      </c>
      <c r="K370" s="12" t="s">
        <v>3823</v>
      </c>
      <c r="L370" s="14">
        <v>160000.0</v>
      </c>
    </row>
    <row r="371" hidden="1">
      <c r="A371" s="1" t="s">
        <v>336</v>
      </c>
      <c r="B371" s="1" t="s">
        <v>336</v>
      </c>
      <c r="C371" s="13">
        <v>45638.572916666664</v>
      </c>
      <c r="D371" s="2" t="s">
        <v>28</v>
      </c>
      <c r="E371" s="2" t="s">
        <v>29</v>
      </c>
      <c r="F371" s="14" t="s">
        <v>3493</v>
      </c>
      <c r="G371" s="14" t="s">
        <v>3494</v>
      </c>
      <c r="H371" s="15" t="s">
        <v>16</v>
      </c>
      <c r="I371" s="15" t="s">
        <v>3488</v>
      </c>
      <c r="J371" s="2">
        <v>2.0</v>
      </c>
      <c r="K371" s="19"/>
      <c r="L371" s="16">
        <v>225000.0</v>
      </c>
    </row>
    <row r="372" hidden="1">
      <c r="A372" s="1" t="s">
        <v>337</v>
      </c>
      <c r="B372" s="1" t="s">
        <v>337</v>
      </c>
      <c r="C372" s="13">
        <v>45638.66875</v>
      </c>
      <c r="D372" s="2" t="s">
        <v>28</v>
      </c>
      <c r="E372" s="2" t="s">
        <v>29</v>
      </c>
      <c r="F372" s="14" t="s">
        <v>3516</v>
      </c>
      <c r="G372" s="14" t="s">
        <v>3517</v>
      </c>
      <c r="H372" s="15" t="s">
        <v>24</v>
      </c>
      <c r="I372" s="15" t="s">
        <v>3491</v>
      </c>
      <c r="J372" s="2">
        <v>2.0</v>
      </c>
      <c r="K372" s="12" t="s">
        <v>3824</v>
      </c>
      <c r="L372" s="20"/>
    </row>
    <row r="373" hidden="1">
      <c r="A373" s="1" t="s">
        <v>338</v>
      </c>
      <c r="B373" s="1" t="s">
        <v>338</v>
      </c>
      <c r="C373" s="13">
        <v>45639.51527777778</v>
      </c>
      <c r="D373" s="2" t="s">
        <v>49</v>
      </c>
      <c r="E373" s="2" t="s">
        <v>50</v>
      </c>
      <c r="F373" s="14" t="s">
        <v>3486</v>
      </c>
      <c r="G373" s="14" t="s">
        <v>3487</v>
      </c>
      <c r="H373" s="15" t="s">
        <v>16</v>
      </c>
      <c r="I373" s="15" t="s">
        <v>3488</v>
      </c>
      <c r="J373" s="2">
        <v>4.0</v>
      </c>
      <c r="K373" s="12" t="s">
        <v>3825</v>
      </c>
      <c r="L373" s="18">
        <v>60000.0</v>
      </c>
    </row>
    <row r="374" hidden="1">
      <c r="A374" s="1" t="s">
        <v>339</v>
      </c>
      <c r="B374" s="1" t="s">
        <v>339</v>
      </c>
      <c r="C374" s="13">
        <v>45639.51736111111</v>
      </c>
      <c r="D374" s="2" t="s">
        <v>213</v>
      </c>
      <c r="E374" s="2" t="s">
        <v>214</v>
      </c>
      <c r="F374" s="14" t="s">
        <v>3486</v>
      </c>
      <c r="G374" s="14" t="s">
        <v>3487</v>
      </c>
      <c r="H374" s="15" t="s">
        <v>24</v>
      </c>
      <c r="I374" s="15" t="s">
        <v>3491</v>
      </c>
      <c r="J374" s="2">
        <v>2.0</v>
      </c>
      <c r="K374" s="12" t="s">
        <v>3826</v>
      </c>
      <c r="L374" s="17"/>
    </row>
    <row r="375" hidden="1">
      <c r="A375" s="1" t="s">
        <v>340</v>
      </c>
      <c r="B375" s="1" t="s">
        <v>340</v>
      </c>
      <c r="C375" s="13">
        <v>45639.518055555556</v>
      </c>
      <c r="D375" s="2" t="s">
        <v>114</v>
      </c>
      <c r="E375" s="2" t="s">
        <v>115</v>
      </c>
      <c r="F375" s="14" t="s">
        <v>3486</v>
      </c>
      <c r="G375" s="14" t="s">
        <v>3487</v>
      </c>
      <c r="H375" s="15" t="s">
        <v>24</v>
      </c>
      <c r="I375" s="15" t="s">
        <v>3491</v>
      </c>
      <c r="J375" s="2">
        <v>3.0</v>
      </c>
      <c r="K375" s="12" t="s">
        <v>3827</v>
      </c>
      <c r="L375" s="17"/>
    </row>
    <row r="376" hidden="1">
      <c r="A376" s="1" t="s">
        <v>340</v>
      </c>
      <c r="B376" s="1" t="s">
        <v>340</v>
      </c>
      <c r="C376" s="13">
        <v>45639.518055555556</v>
      </c>
      <c r="D376" s="2" t="s">
        <v>114</v>
      </c>
      <c r="E376" s="2" t="s">
        <v>115</v>
      </c>
      <c r="F376" s="14" t="s">
        <v>3516</v>
      </c>
      <c r="G376" s="14" t="s">
        <v>3517</v>
      </c>
      <c r="H376" s="15" t="s">
        <v>24</v>
      </c>
      <c r="I376" s="15" t="s">
        <v>3491</v>
      </c>
      <c r="J376" s="2">
        <v>2.0</v>
      </c>
      <c r="K376" s="12" t="s">
        <v>3828</v>
      </c>
      <c r="L376" s="17"/>
    </row>
    <row r="377" hidden="1">
      <c r="A377" s="1" t="s">
        <v>340</v>
      </c>
      <c r="B377" s="1" t="s">
        <v>340</v>
      </c>
      <c r="C377" s="13">
        <v>45639.51875</v>
      </c>
      <c r="D377" s="2" t="s">
        <v>114</v>
      </c>
      <c r="E377" s="2" t="s">
        <v>115</v>
      </c>
      <c r="F377" s="14" t="s">
        <v>3585</v>
      </c>
      <c r="G377" s="14" t="s">
        <v>3586</v>
      </c>
      <c r="H377" s="15" t="s">
        <v>24</v>
      </c>
      <c r="I377" s="15" t="s">
        <v>3491</v>
      </c>
      <c r="J377" s="2">
        <v>1.0</v>
      </c>
      <c r="K377" s="12" t="s">
        <v>3829</v>
      </c>
      <c r="L377" s="17"/>
    </row>
    <row r="378" hidden="1">
      <c r="A378" s="1" t="s">
        <v>341</v>
      </c>
      <c r="B378" s="1" t="s">
        <v>341</v>
      </c>
      <c r="C378" s="13">
        <v>45639.51944444444</v>
      </c>
      <c r="D378" s="2" t="s">
        <v>49</v>
      </c>
      <c r="E378" s="2" t="s">
        <v>50</v>
      </c>
      <c r="F378" s="14" t="s">
        <v>3486</v>
      </c>
      <c r="G378" s="14" t="s">
        <v>3487</v>
      </c>
      <c r="H378" s="15" t="s">
        <v>24</v>
      </c>
      <c r="I378" s="15" t="s">
        <v>3491</v>
      </c>
      <c r="J378" s="2">
        <v>4.0</v>
      </c>
      <c r="K378" s="12" t="s">
        <v>3830</v>
      </c>
      <c r="L378" s="17"/>
    </row>
    <row r="379" hidden="1">
      <c r="A379" s="1" t="s">
        <v>342</v>
      </c>
      <c r="B379" s="1" t="s">
        <v>342</v>
      </c>
      <c r="C379" s="13">
        <v>45640.84930555556</v>
      </c>
      <c r="D379" s="2" t="s">
        <v>305</v>
      </c>
      <c r="E379" s="2" t="s">
        <v>306</v>
      </c>
      <c r="F379" s="14" t="s">
        <v>3486</v>
      </c>
      <c r="G379" s="14" t="s">
        <v>3487</v>
      </c>
      <c r="H379" s="15" t="s">
        <v>16</v>
      </c>
      <c r="I379" s="15" t="s">
        <v>3488</v>
      </c>
      <c r="J379" s="2">
        <v>5.0</v>
      </c>
      <c r="K379" s="12" t="s">
        <v>3831</v>
      </c>
      <c r="L379" s="14">
        <v>47297.2973</v>
      </c>
    </row>
    <row r="380" hidden="1">
      <c r="A380" s="1" t="s">
        <v>343</v>
      </c>
      <c r="B380" s="1" t="s">
        <v>343</v>
      </c>
      <c r="C380" s="13">
        <v>45640.51458333333</v>
      </c>
      <c r="D380" s="2" t="s">
        <v>126</v>
      </c>
      <c r="E380" s="2" t="s">
        <v>127</v>
      </c>
      <c r="F380" s="14" t="s">
        <v>3486</v>
      </c>
      <c r="G380" s="14" t="s">
        <v>3487</v>
      </c>
      <c r="H380" s="15" t="s">
        <v>24</v>
      </c>
      <c r="I380" s="15" t="s">
        <v>3491</v>
      </c>
      <c r="J380" s="2">
        <v>4.0</v>
      </c>
      <c r="K380" s="12" t="s">
        <v>3832</v>
      </c>
      <c r="L380" s="17"/>
    </row>
    <row r="381" hidden="1">
      <c r="A381" s="1" t="s">
        <v>344</v>
      </c>
      <c r="B381" s="1" t="s">
        <v>344</v>
      </c>
      <c r="C381" s="13">
        <v>45642.441666666666</v>
      </c>
      <c r="D381" s="2" t="s">
        <v>345</v>
      </c>
      <c r="E381" s="2" t="s">
        <v>346</v>
      </c>
      <c r="F381" s="14" t="s">
        <v>3486</v>
      </c>
      <c r="G381" s="14" t="s">
        <v>3487</v>
      </c>
      <c r="H381" s="15" t="s">
        <v>16</v>
      </c>
      <c r="I381" s="15" t="s">
        <v>3488</v>
      </c>
      <c r="J381" s="2">
        <v>10.0</v>
      </c>
      <c r="K381" s="12" t="s">
        <v>3833</v>
      </c>
      <c r="L381" s="14">
        <v>45045.045</v>
      </c>
    </row>
    <row r="382" hidden="1">
      <c r="A382" s="1" t="s">
        <v>348</v>
      </c>
      <c r="B382" s="1" t="s">
        <v>348</v>
      </c>
      <c r="C382" s="13">
        <v>45643.37013888889</v>
      </c>
      <c r="D382" s="2" t="s">
        <v>349</v>
      </c>
      <c r="E382" s="2" t="s">
        <v>350</v>
      </c>
      <c r="F382" s="14" t="s">
        <v>3547</v>
      </c>
      <c r="G382" s="14" t="s">
        <v>3548</v>
      </c>
      <c r="H382" s="15" t="s">
        <v>16</v>
      </c>
      <c r="I382" s="15" t="s">
        <v>3488</v>
      </c>
      <c r="J382" s="2">
        <v>5.0</v>
      </c>
      <c r="K382" s="12" t="s">
        <v>3834</v>
      </c>
      <c r="L382" s="14">
        <v>855855.855</v>
      </c>
    </row>
    <row r="383" hidden="1">
      <c r="A383" s="1" t="s">
        <v>352</v>
      </c>
      <c r="B383" s="1" t="s">
        <v>352</v>
      </c>
      <c r="C383" s="13">
        <v>45643.55347222222</v>
      </c>
      <c r="D383" s="2" t="s">
        <v>353</v>
      </c>
      <c r="E383" s="2" t="s">
        <v>354</v>
      </c>
      <c r="F383" s="14" t="s">
        <v>3835</v>
      </c>
      <c r="G383" s="14" t="s">
        <v>3836</v>
      </c>
      <c r="H383" s="15" t="s">
        <v>16</v>
      </c>
      <c r="I383" s="15" t="s">
        <v>3488</v>
      </c>
      <c r="J383" s="2">
        <v>1.0</v>
      </c>
      <c r="K383" s="19"/>
      <c r="L383" s="14" t="e">
        <v>#N/A</v>
      </c>
    </row>
    <row r="384" hidden="1">
      <c r="A384" s="1" t="s">
        <v>355</v>
      </c>
      <c r="B384" s="1" t="s">
        <v>355</v>
      </c>
      <c r="C384" s="13">
        <v>45643.60763888889</v>
      </c>
      <c r="D384" s="5" t="s">
        <v>349</v>
      </c>
      <c r="E384" s="2" t="s">
        <v>350</v>
      </c>
      <c r="F384" s="14" t="s">
        <v>3547</v>
      </c>
      <c r="G384" s="14" t="s">
        <v>3548</v>
      </c>
      <c r="H384" s="15" t="s">
        <v>24</v>
      </c>
      <c r="I384" s="15" t="s">
        <v>3491</v>
      </c>
      <c r="J384" s="2">
        <v>5.0</v>
      </c>
      <c r="K384" s="19"/>
      <c r="L384" s="17"/>
    </row>
    <row r="385" hidden="1">
      <c r="A385" s="1" t="s">
        <v>356</v>
      </c>
      <c r="B385" s="1" t="s">
        <v>356</v>
      </c>
      <c r="C385" s="13">
        <v>45644.43680555555</v>
      </c>
      <c r="D385" s="5" t="s">
        <v>28</v>
      </c>
      <c r="E385" s="2" t="s">
        <v>29</v>
      </c>
      <c r="F385" s="14" t="s">
        <v>3486</v>
      </c>
      <c r="G385" s="14" t="s">
        <v>3487</v>
      </c>
      <c r="H385" s="15" t="s">
        <v>24</v>
      </c>
      <c r="I385" s="15" t="s">
        <v>3491</v>
      </c>
      <c r="J385" s="2">
        <v>11.0</v>
      </c>
      <c r="K385" s="12" t="s">
        <v>3837</v>
      </c>
      <c r="L385" s="17"/>
    </row>
    <row r="386" hidden="1">
      <c r="A386" s="1" t="s">
        <v>356</v>
      </c>
      <c r="B386" s="1" t="s">
        <v>356</v>
      </c>
      <c r="C386" s="13">
        <v>45644.43819444445</v>
      </c>
      <c r="D386" s="5" t="s">
        <v>28</v>
      </c>
      <c r="E386" s="2" t="s">
        <v>29</v>
      </c>
      <c r="F386" s="14" t="s">
        <v>3516</v>
      </c>
      <c r="G386" s="14" t="s">
        <v>3517</v>
      </c>
      <c r="H386" s="15" t="s">
        <v>24</v>
      </c>
      <c r="I386" s="15" t="s">
        <v>3491</v>
      </c>
      <c r="J386" s="2">
        <v>8.0</v>
      </c>
      <c r="K386" s="12" t="s">
        <v>3838</v>
      </c>
      <c r="L386" s="20"/>
    </row>
    <row r="387" hidden="1">
      <c r="A387" s="1" t="s">
        <v>356</v>
      </c>
      <c r="B387" s="1" t="s">
        <v>356</v>
      </c>
      <c r="C387" s="13">
        <v>45644.438888888886</v>
      </c>
      <c r="D387" s="5" t="s">
        <v>28</v>
      </c>
      <c r="E387" s="2" t="s">
        <v>29</v>
      </c>
      <c r="F387" s="14" t="s">
        <v>3493</v>
      </c>
      <c r="G387" s="14" t="s">
        <v>3494</v>
      </c>
      <c r="H387" s="15" t="s">
        <v>24</v>
      </c>
      <c r="I387" s="15" t="s">
        <v>3491</v>
      </c>
      <c r="J387" s="2">
        <v>1.0</v>
      </c>
      <c r="K387" s="19"/>
      <c r="L387" s="20"/>
    </row>
    <row r="388" hidden="1">
      <c r="A388" s="1" t="s">
        <v>357</v>
      </c>
      <c r="B388" s="1" t="s">
        <v>357</v>
      </c>
      <c r="C388" s="13">
        <v>45644.620833333334</v>
      </c>
      <c r="D388" s="5" t="s">
        <v>213</v>
      </c>
      <c r="E388" s="2" t="s">
        <v>214</v>
      </c>
      <c r="F388" s="14" t="s">
        <v>3486</v>
      </c>
      <c r="G388" s="14" t="s">
        <v>3487</v>
      </c>
      <c r="H388" s="15" t="s">
        <v>24</v>
      </c>
      <c r="I388" s="15" t="s">
        <v>3491</v>
      </c>
      <c r="J388" s="2">
        <v>16.0</v>
      </c>
      <c r="K388" s="12" t="s">
        <v>3839</v>
      </c>
      <c r="L388" s="17"/>
    </row>
    <row r="389" hidden="1">
      <c r="A389" s="1" t="s">
        <v>358</v>
      </c>
      <c r="B389" s="1" t="s">
        <v>358</v>
      </c>
      <c r="C389" s="13">
        <v>45644.62222222222</v>
      </c>
      <c r="D389" s="22" t="s">
        <v>114</v>
      </c>
      <c r="E389" s="2" t="s">
        <v>115</v>
      </c>
      <c r="F389" s="14" t="s">
        <v>3516</v>
      </c>
      <c r="G389" s="14" t="s">
        <v>3517</v>
      </c>
      <c r="H389" s="15" t="s">
        <v>24</v>
      </c>
      <c r="I389" s="15" t="s">
        <v>3491</v>
      </c>
      <c r="J389" s="2">
        <v>1.0</v>
      </c>
      <c r="K389" s="12" t="s">
        <v>3840</v>
      </c>
      <c r="L389" s="20"/>
    </row>
    <row r="390" hidden="1">
      <c r="A390" s="1" t="s">
        <v>358</v>
      </c>
      <c r="B390" s="1" t="s">
        <v>358</v>
      </c>
      <c r="C390" s="13">
        <v>45644.62291666667</v>
      </c>
      <c r="D390" s="22" t="s">
        <v>114</v>
      </c>
      <c r="E390" s="2" t="s">
        <v>115</v>
      </c>
      <c r="F390" s="14" t="s">
        <v>3486</v>
      </c>
      <c r="G390" s="14" t="s">
        <v>3487</v>
      </c>
      <c r="H390" s="15" t="s">
        <v>24</v>
      </c>
      <c r="I390" s="15" t="s">
        <v>3491</v>
      </c>
      <c r="J390" s="2">
        <v>6.0</v>
      </c>
      <c r="K390" s="12" t="s">
        <v>3841</v>
      </c>
      <c r="L390" s="20"/>
    </row>
    <row r="391" hidden="1">
      <c r="A391" s="1" t="s">
        <v>358</v>
      </c>
      <c r="B391" s="1" t="s">
        <v>358</v>
      </c>
      <c r="C391" s="13">
        <v>45644.62291666667</v>
      </c>
      <c r="D391" s="22" t="s">
        <v>114</v>
      </c>
      <c r="E391" s="2" t="s">
        <v>115</v>
      </c>
      <c r="F391" s="14" t="s">
        <v>3585</v>
      </c>
      <c r="G391" s="14" t="s">
        <v>3586</v>
      </c>
      <c r="H391" s="15" t="s">
        <v>24</v>
      </c>
      <c r="I391" s="15" t="s">
        <v>3491</v>
      </c>
      <c r="J391" s="2">
        <v>1.0</v>
      </c>
      <c r="K391" s="12" t="s">
        <v>3842</v>
      </c>
      <c r="L391" s="20"/>
    </row>
    <row r="392" hidden="1">
      <c r="A392" s="1" t="s">
        <v>359</v>
      </c>
      <c r="B392" s="1" t="s">
        <v>359</v>
      </c>
      <c r="C392" s="13">
        <v>45644.623611111114</v>
      </c>
      <c r="D392" s="5" t="s">
        <v>109</v>
      </c>
      <c r="E392" s="2" t="s">
        <v>110</v>
      </c>
      <c r="F392" s="14" t="s">
        <v>3486</v>
      </c>
      <c r="G392" s="14" t="s">
        <v>3487</v>
      </c>
      <c r="H392" s="15" t="s">
        <v>24</v>
      </c>
      <c r="I392" s="15" t="s">
        <v>3491</v>
      </c>
      <c r="J392" s="2">
        <v>2.0</v>
      </c>
      <c r="K392" s="12" t="s">
        <v>3843</v>
      </c>
      <c r="L392" s="20"/>
    </row>
    <row r="393" hidden="1">
      <c r="A393" s="1" t="s">
        <v>359</v>
      </c>
      <c r="B393" s="1" t="s">
        <v>359</v>
      </c>
      <c r="C393" s="13">
        <v>45644.62430555555</v>
      </c>
      <c r="D393" s="5" t="s">
        <v>109</v>
      </c>
      <c r="E393" s="2" t="s">
        <v>110</v>
      </c>
      <c r="F393" s="14" t="s">
        <v>3522</v>
      </c>
      <c r="G393" s="14" t="s">
        <v>3523</v>
      </c>
      <c r="H393" s="15" t="s">
        <v>24</v>
      </c>
      <c r="I393" s="15" t="s">
        <v>3491</v>
      </c>
      <c r="J393" s="2">
        <v>3.0</v>
      </c>
      <c r="K393" s="12" t="s">
        <v>3844</v>
      </c>
      <c r="L393" s="17"/>
    </row>
    <row r="394" hidden="1">
      <c r="A394" s="1" t="s">
        <v>360</v>
      </c>
      <c r="B394" s="1" t="s">
        <v>360</v>
      </c>
      <c r="C394" s="13">
        <v>45644.62430555555</v>
      </c>
      <c r="D394" s="5" t="s">
        <v>131</v>
      </c>
      <c r="E394" s="2" t="s">
        <v>132</v>
      </c>
      <c r="F394" s="14" t="s">
        <v>3486</v>
      </c>
      <c r="G394" s="14" t="s">
        <v>3487</v>
      </c>
      <c r="H394" s="15" t="s">
        <v>24</v>
      </c>
      <c r="I394" s="15" t="s">
        <v>3491</v>
      </c>
      <c r="J394" s="2">
        <v>3.0</v>
      </c>
      <c r="K394" s="12" t="s">
        <v>3845</v>
      </c>
      <c r="L394" s="17"/>
    </row>
    <row r="395" hidden="1">
      <c r="A395" s="1" t="s">
        <v>360</v>
      </c>
      <c r="B395" s="1" t="s">
        <v>360</v>
      </c>
      <c r="C395" s="13">
        <v>45644.625</v>
      </c>
      <c r="D395" s="5" t="s">
        <v>131</v>
      </c>
      <c r="E395" s="2" t="s">
        <v>132</v>
      </c>
      <c r="F395" s="14" t="s">
        <v>3516</v>
      </c>
      <c r="G395" s="14" t="s">
        <v>3517</v>
      </c>
      <c r="H395" s="15" t="s">
        <v>24</v>
      </c>
      <c r="I395" s="15" t="s">
        <v>3491</v>
      </c>
      <c r="J395" s="2">
        <v>1.0</v>
      </c>
      <c r="K395" s="12" t="s">
        <v>3846</v>
      </c>
      <c r="L395" s="20"/>
    </row>
    <row r="396" hidden="1">
      <c r="A396" s="1" t="s">
        <v>361</v>
      </c>
      <c r="B396" s="1" t="s">
        <v>361</v>
      </c>
      <c r="C396" s="13">
        <v>45645.43125</v>
      </c>
      <c r="D396" s="5" t="s">
        <v>305</v>
      </c>
      <c r="E396" s="2" t="s">
        <v>306</v>
      </c>
      <c r="F396" s="14" t="s">
        <v>3486</v>
      </c>
      <c r="G396" s="14" t="s">
        <v>3487</v>
      </c>
      <c r="H396" s="15" t="s">
        <v>16</v>
      </c>
      <c r="I396" s="15" t="s">
        <v>3488</v>
      </c>
      <c r="J396" s="2">
        <v>5.0</v>
      </c>
      <c r="K396" s="12" t="s">
        <v>3847</v>
      </c>
      <c r="L396" s="16">
        <v>47297.2973</v>
      </c>
    </row>
    <row r="397" hidden="1">
      <c r="A397" s="1" t="s">
        <v>362</v>
      </c>
      <c r="B397" s="1" t="s">
        <v>362</v>
      </c>
      <c r="C397" s="13">
        <v>45645.43680555555</v>
      </c>
      <c r="D397" s="22" t="s">
        <v>114</v>
      </c>
      <c r="E397" s="2" t="s">
        <v>115</v>
      </c>
      <c r="F397" s="14" t="s">
        <v>3486</v>
      </c>
      <c r="G397" s="14" t="s">
        <v>3487</v>
      </c>
      <c r="H397" s="15" t="s">
        <v>16</v>
      </c>
      <c r="I397" s="15" t="s">
        <v>3488</v>
      </c>
      <c r="J397" s="2">
        <v>10.0</v>
      </c>
      <c r="K397" s="12" t="s">
        <v>3848</v>
      </c>
      <c r="L397" s="16">
        <v>45045.04505</v>
      </c>
    </row>
    <row r="398" hidden="1">
      <c r="A398" s="1" t="s">
        <v>363</v>
      </c>
      <c r="B398" s="1" t="s">
        <v>363</v>
      </c>
      <c r="C398" s="13">
        <v>45645.63263888889</v>
      </c>
      <c r="D398" s="22" t="s">
        <v>114</v>
      </c>
      <c r="E398" s="2" t="s">
        <v>115</v>
      </c>
      <c r="F398" s="14" t="s">
        <v>3486</v>
      </c>
      <c r="G398" s="14" t="s">
        <v>3487</v>
      </c>
      <c r="H398" s="15" t="s">
        <v>24</v>
      </c>
      <c r="I398" s="15" t="s">
        <v>3491</v>
      </c>
      <c r="J398" s="2">
        <v>1.0</v>
      </c>
      <c r="K398" s="12" t="s">
        <v>3849</v>
      </c>
      <c r="L398" s="17"/>
    </row>
    <row r="399" hidden="1">
      <c r="A399" s="1" t="s">
        <v>364</v>
      </c>
      <c r="B399" s="1" t="s">
        <v>364</v>
      </c>
      <c r="C399" s="13">
        <v>45646.35</v>
      </c>
      <c r="D399" s="5" t="s">
        <v>345</v>
      </c>
      <c r="E399" s="2" t="s">
        <v>346</v>
      </c>
      <c r="F399" s="14" t="s">
        <v>3522</v>
      </c>
      <c r="G399" s="14" t="s">
        <v>3523</v>
      </c>
      <c r="H399" s="15" t="s">
        <v>16</v>
      </c>
      <c r="I399" s="15" t="s">
        <v>3488</v>
      </c>
      <c r="J399" s="2">
        <v>1.0</v>
      </c>
      <c r="K399" s="12" t="s">
        <v>3618</v>
      </c>
      <c r="L399" s="16">
        <v>210000.0</v>
      </c>
    </row>
    <row r="400" hidden="1">
      <c r="A400" s="1" t="s">
        <v>365</v>
      </c>
      <c r="B400" s="1" t="s">
        <v>365</v>
      </c>
      <c r="C400" s="13">
        <v>45646.438888888886</v>
      </c>
      <c r="D400" s="5" t="s">
        <v>326</v>
      </c>
      <c r="E400" s="2" t="s">
        <v>327</v>
      </c>
      <c r="F400" s="14" t="s">
        <v>3486</v>
      </c>
      <c r="G400" s="14" t="s">
        <v>3487</v>
      </c>
      <c r="H400" s="15" t="s">
        <v>16</v>
      </c>
      <c r="I400" s="15" t="s">
        <v>3488</v>
      </c>
      <c r="J400" s="2">
        <v>10.0</v>
      </c>
      <c r="K400" s="12" t="s">
        <v>3850</v>
      </c>
      <c r="L400" s="14">
        <v>45000.0</v>
      </c>
    </row>
    <row r="401" hidden="1">
      <c r="A401" s="1" t="s">
        <v>366</v>
      </c>
      <c r="B401" s="1" t="s">
        <v>366</v>
      </c>
      <c r="C401" s="13">
        <v>45646.43958333333</v>
      </c>
      <c r="D401" s="5" t="s">
        <v>367</v>
      </c>
      <c r="E401" s="2" t="s">
        <v>368</v>
      </c>
      <c r="F401" s="14" t="s">
        <v>3486</v>
      </c>
      <c r="G401" s="14" t="s">
        <v>3487</v>
      </c>
      <c r="H401" s="15" t="s">
        <v>16</v>
      </c>
      <c r="I401" s="15" t="s">
        <v>3488</v>
      </c>
      <c r="J401" s="2">
        <v>5.0</v>
      </c>
      <c r="K401" s="12" t="s">
        <v>3851</v>
      </c>
      <c r="L401" s="14">
        <v>60000.0</v>
      </c>
    </row>
    <row r="402" hidden="1">
      <c r="A402" s="1" t="s">
        <v>366</v>
      </c>
      <c r="B402" s="1" t="s">
        <v>366</v>
      </c>
      <c r="C402" s="13">
        <v>45646.43958333333</v>
      </c>
      <c r="D402" s="5" t="s">
        <v>367</v>
      </c>
      <c r="E402" s="2" t="s">
        <v>368</v>
      </c>
      <c r="F402" s="14" t="s">
        <v>3493</v>
      </c>
      <c r="G402" s="14" t="s">
        <v>3494</v>
      </c>
      <c r="H402" s="15" t="s">
        <v>16</v>
      </c>
      <c r="I402" s="15" t="s">
        <v>3488</v>
      </c>
      <c r="J402" s="2">
        <v>1.0</v>
      </c>
      <c r="K402" s="19"/>
      <c r="L402" s="14">
        <v>215000.0</v>
      </c>
    </row>
    <row r="403" hidden="1">
      <c r="A403" s="1" t="s">
        <v>370</v>
      </c>
      <c r="B403" s="1" t="s">
        <v>370</v>
      </c>
      <c r="C403" s="13">
        <v>45646.46944444445</v>
      </c>
      <c r="D403" s="5" t="s">
        <v>126</v>
      </c>
      <c r="E403" s="2" t="s">
        <v>127</v>
      </c>
      <c r="F403" s="14" t="s">
        <v>3486</v>
      </c>
      <c r="G403" s="14" t="s">
        <v>3487</v>
      </c>
      <c r="H403" s="15" t="s">
        <v>24</v>
      </c>
      <c r="I403" s="15" t="s">
        <v>3491</v>
      </c>
      <c r="J403" s="2">
        <v>4.0</v>
      </c>
      <c r="K403" s="12" t="s">
        <v>3852</v>
      </c>
      <c r="L403" s="20"/>
    </row>
    <row r="404" hidden="1">
      <c r="A404" s="1" t="s">
        <v>371</v>
      </c>
      <c r="B404" s="1" t="s">
        <v>371</v>
      </c>
      <c r="C404" s="13">
        <v>45646.436111111114</v>
      </c>
      <c r="D404" s="5" t="s">
        <v>326</v>
      </c>
      <c r="E404" s="2" t="s">
        <v>327</v>
      </c>
      <c r="F404" s="14" t="s">
        <v>3486</v>
      </c>
      <c r="G404" s="14" t="s">
        <v>3487</v>
      </c>
      <c r="H404" s="15" t="s">
        <v>24</v>
      </c>
      <c r="I404" s="15" t="s">
        <v>3491</v>
      </c>
      <c r="J404" s="2">
        <v>10.0</v>
      </c>
      <c r="K404" s="12" t="s">
        <v>3853</v>
      </c>
      <c r="L404" s="20"/>
    </row>
    <row r="405" hidden="1">
      <c r="A405" s="1" t="s">
        <v>372</v>
      </c>
      <c r="B405" s="1" t="s">
        <v>372</v>
      </c>
      <c r="C405" s="13">
        <v>45647.45277777778</v>
      </c>
      <c r="D405" s="5" t="s">
        <v>373</v>
      </c>
      <c r="E405" s="2" t="s">
        <v>374</v>
      </c>
      <c r="F405" s="14" t="s">
        <v>3522</v>
      </c>
      <c r="G405" s="14" t="s">
        <v>3523</v>
      </c>
      <c r="H405" s="15" t="s">
        <v>16</v>
      </c>
      <c r="I405" s="15" t="s">
        <v>3488</v>
      </c>
      <c r="J405" s="2">
        <v>1.0</v>
      </c>
      <c r="K405" s="12" t="s">
        <v>3854</v>
      </c>
      <c r="L405" s="14">
        <v>210000.0</v>
      </c>
    </row>
    <row r="406" hidden="1">
      <c r="A406" s="1" t="s">
        <v>376</v>
      </c>
      <c r="B406" s="1" t="s">
        <v>376</v>
      </c>
      <c r="C406" s="13">
        <v>45649.36736111111</v>
      </c>
      <c r="D406" s="5" t="s">
        <v>349</v>
      </c>
      <c r="E406" s="2" t="s">
        <v>350</v>
      </c>
      <c r="F406" s="14" t="s">
        <v>3516</v>
      </c>
      <c r="G406" s="14" t="s">
        <v>3517</v>
      </c>
      <c r="H406" s="15" t="s">
        <v>16</v>
      </c>
      <c r="I406" s="15" t="s">
        <v>3488</v>
      </c>
      <c r="J406" s="2">
        <v>4.0</v>
      </c>
      <c r="K406" s="12" t="s">
        <v>3855</v>
      </c>
      <c r="L406" s="14">
        <v>167000.0</v>
      </c>
    </row>
    <row r="407" hidden="1">
      <c r="A407" s="1" t="s">
        <v>376</v>
      </c>
      <c r="B407" s="1" t="s">
        <v>376</v>
      </c>
      <c r="C407" s="13">
        <v>45649.35208333333</v>
      </c>
      <c r="D407" s="5" t="s">
        <v>349</v>
      </c>
      <c r="E407" s="2" t="s">
        <v>350</v>
      </c>
      <c r="F407" s="14" t="s">
        <v>3547</v>
      </c>
      <c r="G407" s="14" t="s">
        <v>3548</v>
      </c>
      <c r="H407" s="15" t="s">
        <v>16</v>
      </c>
      <c r="I407" s="15" t="s">
        <v>3488</v>
      </c>
      <c r="J407" s="2">
        <v>5.0</v>
      </c>
      <c r="K407" s="19"/>
      <c r="L407" s="16">
        <v>855855.855</v>
      </c>
    </row>
    <row r="408" hidden="1">
      <c r="A408" s="1" t="s">
        <v>377</v>
      </c>
      <c r="B408" s="1" t="s">
        <v>377</v>
      </c>
      <c r="C408" s="13">
        <v>45649.56041666667</v>
      </c>
      <c r="D408" s="5" t="s">
        <v>349</v>
      </c>
      <c r="E408" s="2" t="s">
        <v>350</v>
      </c>
      <c r="F408" s="14" t="s">
        <v>3547</v>
      </c>
      <c r="G408" s="14" t="s">
        <v>3548</v>
      </c>
      <c r="H408" s="15" t="s">
        <v>24</v>
      </c>
      <c r="I408" s="15" t="s">
        <v>3491</v>
      </c>
      <c r="J408" s="2">
        <v>5.0</v>
      </c>
      <c r="K408" s="19"/>
      <c r="L408" s="20"/>
    </row>
    <row r="409" hidden="1">
      <c r="A409" s="1" t="s">
        <v>378</v>
      </c>
      <c r="B409" s="1" t="s">
        <v>378</v>
      </c>
      <c r="C409" s="13">
        <v>45650.854166666664</v>
      </c>
      <c r="D409" s="5" t="s">
        <v>13</v>
      </c>
      <c r="E409" s="2" t="s">
        <v>14</v>
      </c>
      <c r="F409" s="14" t="s">
        <v>3486</v>
      </c>
      <c r="G409" s="14" t="s">
        <v>3487</v>
      </c>
      <c r="H409" s="15" t="s">
        <v>16</v>
      </c>
      <c r="I409" s="15" t="s">
        <v>3488</v>
      </c>
      <c r="J409" s="2">
        <v>30.0</v>
      </c>
      <c r="K409" s="12" t="s">
        <v>3856</v>
      </c>
      <c r="L409" s="16">
        <v>50000.0</v>
      </c>
    </row>
    <row r="410" hidden="1">
      <c r="A410" s="1" t="s">
        <v>379</v>
      </c>
      <c r="B410" s="1" t="s">
        <v>379</v>
      </c>
      <c r="C410" s="13">
        <v>45649.6875</v>
      </c>
      <c r="D410" s="5" t="s">
        <v>213</v>
      </c>
      <c r="E410" s="2" t="s">
        <v>214</v>
      </c>
      <c r="F410" s="14" t="s">
        <v>3486</v>
      </c>
      <c r="G410" s="14" t="s">
        <v>3487</v>
      </c>
      <c r="H410" s="15" t="s">
        <v>24</v>
      </c>
      <c r="I410" s="15" t="s">
        <v>3491</v>
      </c>
      <c r="J410" s="2">
        <v>3.0</v>
      </c>
      <c r="K410" s="12" t="s">
        <v>3857</v>
      </c>
      <c r="L410" s="20"/>
    </row>
    <row r="411" hidden="1">
      <c r="A411" s="1" t="s">
        <v>379</v>
      </c>
      <c r="B411" s="1" t="s">
        <v>379</v>
      </c>
      <c r="C411" s="13">
        <v>45649.68819444445</v>
      </c>
      <c r="D411" s="5" t="s">
        <v>213</v>
      </c>
      <c r="E411" s="2" t="s">
        <v>214</v>
      </c>
      <c r="F411" s="14" t="s">
        <v>3547</v>
      </c>
      <c r="G411" s="14" t="s">
        <v>3548</v>
      </c>
      <c r="H411" s="15" t="s">
        <v>24</v>
      </c>
      <c r="I411" s="15" t="s">
        <v>3491</v>
      </c>
      <c r="J411" s="2">
        <v>2.0</v>
      </c>
      <c r="K411" s="19"/>
      <c r="L411" s="20"/>
    </row>
    <row r="412" hidden="1">
      <c r="A412" s="1" t="s">
        <v>380</v>
      </c>
      <c r="B412" s="1" t="s">
        <v>380</v>
      </c>
      <c r="C412" s="13">
        <v>45649.68819444445</v>
      </c>
      <c r="D412" s="5" t="s">
        <v>49</v>
      </c>
      <c r="E412" s="2" t="s">
        <v>50</v>
      </c>
      <c r="F412" s="14" t="s">
        <v>3486</v>
      </c>
      <c r="G412" s="14" t="s">
        <v>3487</v>
      </c>
      <c r="H412" s="15" t="s">
        <v>24</v>
      </c>
      <c r="I412" s="15" t="s">
        <v>3491</v>
      </c>
      <c r="J412" s="2">
        <v>2.0</v>
      </c>
      <c r="K412" s="12" t="s">
        <v>3858</v>
      </c>
      <c r="L412" s="20"/>
    </row>
    <row r="413" hidden="1">
      <c r="A413" s="1" t="s">
        <v>381</v>
      </c>
      <c r="B413" s="1" t="s">
        <v>381</v>
      </c>
      <c r="C413" s="13">
        <v>45650.36111111111</v>
      </c>
      <c r="D413" s="5" t="s">
        <v>349</v>
      </c>
      <c r="E413" s="2" t="s">
        <v>350</v>
      </c>
      <c r="F413" s="14" t="s">
        <v>3547</v>
      </c>
      <c r="G413" s="14" t="s">
        <v>3548</v>
      </c>
      <c r="H413" s="15" t="s">
        <v>16</v>
      </c>
      <c r="I413" s="15" t="s">
        <v>3488</v>
      </c>
      <c r="J413" s="2">
        <v>4.0</v>
      </c>
      <c r="K413" s="19"/>
      <c r="L413" s="16">
        <v>855855.855</v>
      </c>
    </row>
    <row r="414" hidden="1">
      <c r="A414" s="1" t="s">
        <v>382</v>
      </c>
      <c r="B414" s="1" t="s">
        <v>382</v>
      </c>
      <c r="C414" s="13">
        <v>45650.354166666664</v>
      </c>
      <c r="D414" s="5" t="s">
        <v>383</v>
      </c>
      <c r="E414" s="2" t="s">
        <v>384</v>
      </c>
      <c r="F414" s="14" t="s">
        <v>3486</v>
      </c>
      <c r="G414" s="14" t="s">
        <v>3487</v>
      </c>
      <c r="H414" s="15" t="s">
        <v>16</v>
      </c>
      <c r="I414" s="15" t="s">
        <v>3488</v>
      </c>
      <c r="J414" s="2">
        <v>1.0</v>
      </c>
      <c r="K414" s="12" t="s">
        <v>3859</v>
      </c>
      <c r="L414" s="16">
        <v>70000.0</v>
      </c>
    </row>
    <row r="415" hidden="1">
      <c r="A415" s="1" t="s">
        <v>386</v>
      </c>
      <c r="B415" s="1" t="s">
        <v>386</v>
      </c>
      <c r="C415" s="13">
        <v>45650.59583333333</v>
      </c>
      <c r="D415" s="5" t="s">
        <v>126</v>
      </c>
      <c r="E415" s="2" t="s">
        <v>127</v>
      </c>
      <c r="F415" s="14" t="s">
        <v>3486</v>
      </c>
      <c r="G415" s="14" t="s">
        <v>3487</v>
      </c>
      <c r="H415" s="15" t="s">
        <v>24</v>
      </c>
      <c r="I415" s="15" t="s">
        <v>3614</v>
      </c>
      <c r="J415" s="2">
        <v>1.0</v>
      </c>
      <c r="K415" s="12" t="s">
        <v>3860</v>
      </c>
      <c r="L415" s="20"/>
    </row>
    <row r="416" hidden="1">
      <c r="A416" s="1" t="s">
        <v>386</v>
      </c>
      <c r="B416" s="1" t="s">
        <v>386</v>
      </c>
      <c r="C416" s="13">
        <v>45650.604166666664</v>
      </c>
      <c r="D416" s="5" t="s">
        <v>126</v>
      </c>
      <c r="E416" s="2" t="s">
        <v>127</v>
      </c>
      <c r="F416" s="14" t="s">
        <v>3486</v>
      </c>
      <c r="G416" s="14" t="s">
        <v>3487</v>
      </c>
      <c r="H416" s="15" t="s">
        <v>24</v>
      </c>
      <c r="I416" s="15" t="s">
        <v>3491</v>
      </c>
      <c r="J416" s="2">
        <v>7.0</v>
      </c>
      <c r="K416" s="12" t="s">
        <v>3861</v>
      </c>
      <c r="L416" s="20"/>
    </row>
    <row r="417" hidden="1">
      <c r="A417" s="1" t="s">
        <v>387</v>
      </c>
      <c r="B417" s="1" t="s">
        <v>387</v>
      </c>
      <c r="C417" s="13">
        <v>45650.606944444444</v>
      </c>
      <c r="D417" s="5" t="s">
        <v>349</v>
      </c>
      <c r="E417" s="2" t="s">
        <v>350</v>
      </c>
      <c r="F417" s="14" t="s">
        <v>3547</v>
      </c>
      <c r="G417" s="14" t="s">
        <v>3548</v>
      </c>
      <c r="H417" s="15" t="s">
        <v>24</v>
      </c>
      <c r="I417" s="15" t="s">
        <v>3491</v>
      </c>
      <c r="J417" s="2">
        <v>4.0</v>
      </c>
      <c r="K417" s="19"/>
      <c r="L417" s="20"/>
    </row>
    <row r="418" hidden="1">
      <c r="A418" s="1" t="s">
        <v>388</v>
      </c>
      <c r="B418" s="1" t="s">
        <v>388</v>
      </c>
      <c r="C418" s="13">
        <v>45650.674305555556</v>
      </c>
      <c r="D418" s="5" t="s">
        <v>109</v>
      </c>
      <c r="E418" s="2" t="s">
        <v>110</v>
      </c>
      <c r="F418" s="14" t="s">
        <v>3486</v>
      </c>
      <c r="G418" s="14" t="s">
        <v>3487</v>
      </c>
      <c r="H418" s="15" t="s">
        <v>16</v>
      </c>
      <c r="I418" s="15" t="s">
        <v>3488</v>
      </c>
      <c r="J418" s="2">
        <v>5.0</v>
      </c>
      <c r="K418" s="12" t="s">
        <v>3862</v>
      </c>
      <c r="L418" s="16">
        <v>60000.0</v>
      </c>
    </row>
    <row r="419" hidden="1">
      <c r="A419" s="1" t="s">
        <v>388</v>
      </c>
      <c r="B419" s="1" t="s">
        <v>388</v>
      </c>
      <c r="C419" s="13">
        <v>45650.675</v>
      </c>
      <c r="D419" s="5" t="s">
        <v>109</v>
      </c>
      <c r="E419" s="2" t="s">
        <v>110</v>
      </c>
      <c r="F419" s="14" t="s">
        <v>3522</v>
      </c>
      <c r="G419" s="14" t="s">
        <v>3523</v>
      </c>
      <c r="H419" s="15" t="s">
        <v>16</v>
      </c>
      <c r="I419" s="15" t="s">
        <v>3488</v>
      </c>
      <c r="J419" s="2">
        <v>4.0</v>
      </c>
      <c r="K419" s="12" t="s">
        <v>3863</v>
      </c>
      <c r="L419" s="16">
        <v>190000.0</v>
      </c>
    </row>
    <row r="420" hidden="1">
      <c r="A420" s="1" t="s">
        <v>389</v>
      </c>
      <c r="B420" s="1" t="s">
        <v>389</v>
      </c>
      <c r="C420" s="13">
        <v>45651.345138888886</v>
      </c>
      <c r="D420" s="5" t="s">
        <v>326</v>
      </c>
      <c r="E420" s="2" t="s">
        <v>327</v>
      </c>
      <c r="F420" s="14" t="s">
        <v>3486</v>
      </c>
      <c r="G420" s="14" t="s">
        <v>3487</v>
      </c>
      <c r="H420" s="15" t="s">
        <v>16</v>
      </c>
      <c r="I420" s="15" t="s">
        <v>3488</v>
      </c>
      <c r="J420" s="2">
        <v>20.0</v>
      </c>
      <c r="K420" s="12" t="s">
        <v>3864</v>
      </c>
      <c r="L420" s="14">
        <v>45000.0</v>
      </c>
    </row>
    <row r="421" hidden="1">
      <c r="A421" s="1" t="s">
        <v>390</v>
      </c>
      <c r="B421" s="1" t="s">
        <v>390</v>
      </c>
      <c r="C421" s="13">
        <v>45653.6375</v>
      </c>
      <c r="D421" s="5" t="s">
        <v>213</v>
      </c>
      <c r="E421" s="2" t="s">
        <v>214</v>
      </c>
      <c r="F421" s="14" t="s">
        <v>3486</v>
      </c>
      <c r="G421" s="14" t="s">
        <v>3487</v>
      </c>
      <c r="H421" s="15" t="s">
        <v>16</v>
      </c>
      <c r="I421" s="15" t="s">
        <v>3488</v>
      </c>
      <c r="J421" s="2">
        <v>15.0</v>
      </c>
      <c r="K421" s="12" t="s">
        <v>3865</v>
      </c>
      <c r="L421" s="14">
        <v>60000.0</v>
      </c>
    </row>
    <row r="422" hidden="1">
      <c r="A422" s="1" t="s">
        <v>391</v>
      </c>
      <c r="B422" s="1" t="s">
        <v>391</v>
      </c>
      <c r="C422" s="13">
        <v>45654.36111111111</v>
      </c>
      <c r="D422" s="5" t="s">
        <v>392</v>
      </c>
      <c r="E422" s="2" t="s">
        <v>393</v>
      </c>
      <c r="F422" s="14" t="s">
        <v>3486</v>
      </c>
      <c r="G422" s="14" t="s">
        <v>3487</v>
      </c>
      <c r="H422" s="15" t="s">
        <v>16</v>
      </c>
      <c r="I422" s="15" t="s">
        <v>3488</v>
      </c>
      <c r="J422" s="2">
        <v>4.0</v>
      </c>
      <c r="K422" s="12" t="s">
        <v>3866</v>
      </c>
      <c r="L422" s="14">
        <v>50000.0</v>
      </c>
    </row>
    <row r="423" hidden="1">
      <c r="A423" s="1" t="s">
        <v>391</v>
      </c>
      <c r="B423" s="1" t="s">
        <v>391</v>
      </c>
      <c r="C423" s="13">
        <v>45654.3625</v>
      </c>
      <c r="D423" s="5" t="s">
        <v>392</v>
      </c>
      <c r="E423" s="2" t="s">
        <v>393</v>
      </c>
      <c r="F423" s="14" t="s">
        <v>3506</v>
      </c>
      <c r="G423" s="14" t="s">
        <v>3507</v>
      </c>
      <c r="H423" s="15" t="s">
        <v>16</v>
      </c>
      <c r="I423" s="15" t="s">
        <v>3488</v>
      </c>
      <c r="J423" s="2">
        <v>6.0</v>
      </c>
      <c r="K423" s="12" t="s">
        <v>3867</v>
      </c>
      <c r="L423" s="14">
        <v>50000.0</v>
      </c>
    </row>
    <row r="424" hidden="1">
      <c r="A424" s="1" t="s">
        <v>396</v>
      </c>
      <c r="B424" s="1" t="s">
        <v>396</v>
      </c>
      <c r="C424" s="13">
        <v>45654.36875</v>
      </c>
      <c r="D424" s="5" t="s">
        <v>397</v>
      </c>
      <c r="E424" s="2" t="s">
        <v>398</v>
      </c>
      <c r="F424" s="14" t="s">
        <v>3835</v>
      </c>
      <c r="G424" s="14" t="s">
        <v>3836</v>
      </c>
      <c r="H424" s="15" t="s">
        <v>16</v>
      </c>
      <c r="I424" s="15" t="s">
        <v>3488</v>
      </c>
      <c r="J424" s="2">
        <v>2.0</v>
      </c>
      <c r="K424" s="12" t="s">
        <v>3868</v>
      </c>
      <c r="L424" s="14">
        <v>60000.0</v>
      </c>
    </row>
    <row r="425" hidden="1">
      <c r="A425" s="1" t="s">
        <v>400</v>
      </c>
      <c r="B425" s="1" t="s">
        <v>400</v>
      </c>
      <c r="C425" s="13">
        <v>45654.62013888889</v>
      </c>
      <c r="D425" s="5" t="s">
        <v>309</v>
      </c>
      <c r="E425" s="2" t="s">
        <v>310</v>
      </c>
      <c r="F425" s="14" t="s">
        <v>3486</v>
      </c>
      <c r="G425" s="14" t="s">
        <v>3487</v>
      </c>
      <c r="H425" s="15" t="s">
        <v>16</v>
      </c>
      <c r="I425" s="15" t="s">
        <v>3488</v>
      </c>
      <c r="J425" s="2">
        <v>4.0</v>
      </c>
      <c r="K425" s="12" t="s">
        <v>3869</v>
      </c>
      <c r="L425" s="14">
        <v>55000.0</v>
      </c>
    </row>
    <row r="426" hidden="1">
      <c r="A426" s="1" t="s">
        <v>400</v>
      </c>
      <c r="B426" s="1" t="s">
        <v>400</v>
      </c>
      <c r="C426" s="13">
        <v>45654.62013888889</v>
      </c>
      <c r="D426" s="5" t="s">
        <v>309</v>
      </c>
      <c r="E426" s="2" t="s">
        <v>310</v>
      </c>
      <c r="F426" s="14" t="s">
        <v>3506</v>
      </c>
      <c r="G426" s="14" t="s">
        <v>3507</v>
      </c>
      <c r="H426" s="15" t="s">
        <v>16</v>
      </c>
      <c r="I426" s="15" t="s">
        <v>3488</v>
      </c>
      <c r="J426" s="2">
        <v>10.0</v>
      </c>
      <c r="K426" s="19"/>
      <c r="L426" s="14">
        <v>55000.0</v>
      </c>
    </row>
    <row r="427" hidden="1">
      <c r="A427" s="1" t="s">
        <v>401</v>
      </c>
      <c r="B427" s="1" t="s">
        <v>401</v>
      </c>
      <c r="C427" s="13">
        <v>45655.35833333333</v>
      </c>
      <c r="D427" s="5" t="s">
        <v>13</v>
      </c>
      <c r="E427" s="2" t="s">
        <v>14</v>
      </c>
      <c r="F427" s="14" t="s">
        <v>3486</v>
      </c>
      <c r="G427" s="14" t="s">
        <v>3487</v>
      </c>
      <c r="H427" s="15" t="s">
        <v>16</v>
      </c>
      <c r="I427" s="15" t="s">
        <v>3488</v>
      </c>
      <c r="J427" s="2">
        <v>35.0</v>
      </c>
      <c r="K427" s="19"/>
      <c r="L427" s="14">
        <v>50000.0</v>
      </c>
    </row>
    <row r="428" hidden="1">
      <c r="A428" s="1" t="s">
        <v>402</v>
      </c>
      <c r="B428" s="1" t="s">
        <v>402</v>
      </c>
      <c r="C428" s="13">
        <v>45656.56597222222</v>
      </c>
      <c r="D428" s="5" t="s">
        <v>213</v>
      </c>
      <c r="E428" s="2" t="s">
        <v>214</v>
      </c>
      <c r="F428" s="14" t="s">
        <v>3547</v>
      </c>
      <c r="G428" s="14" t="s">
        <v>3548</v>
      </c>
      <c r="H428" s="15" t="s">
        <v>159</v>
      </c>
      <c r="I428" s="15" t="s">
        <v>3619</v>
      </c>
      <c r="J428" s="2">
        <v>1.0</v>
      </c>
      <c r="K428" s="19"/>
      <c r="L428" s="17"/>
    </row>
    <row r="429" hidden="1">
      <c r="A429" s="1" t="s">
        <v>403</v>
      </c>
      <c r="B429" s="1" t="s">
        <v>403</v>
      </c>
      <c r="C429" s="13">
        <v>45656.56597222222</v>
      </c>
      <c r="D429" s="5" t="s">
        <v>213</v>
      </c>
      <c r="E429" s="2" t="s">
        <v>214</v>
      </c>
      <c r="F429" s="14" t="s">
        <v>3486</v>
      </c>
      <c r="G429" s="14" t="s">
        <v>3487</v>
      </c>
      <c r="H429" s="15" t="s">
        <v>16</v>
      </c>
      <c r="I429" s="15" t="s">
        <v>3488</v>
      </c>
      <c r="J429" s="2">
        <v>15.0</v>
      </c>
      <c r="K429" s="19"/>
      <c r="L429" s="14">
        <v>60000.0</v>
      </c>
    </row>
    <row r="430" hidden="1">
      <c r="A430" s="1" t="s">
        <v>404</v>
      </c>
      <c r="B430" s="1" t="s">
        <v>404</v>
      </c>
      <c r="C430" s="13">
        <v>45657.34930555556</v>
      </c>
      <c r="D430" s="5" t="s">
        <v>349</v>
      </c>
      <c r="E430" s="2" t="s">
        <v>350</v>
      </c>
      <c r="F430" s="14" t="s">
        <v>3547</v>
      </c>
      <c r="G430" s="14" t="s">
        <v>3548</v>
      </c>
      <c r="H430" s="15" t="s">
        <v>16</v>
      </c>
      <c r="I430" s="15" t="s">
        <v>3488</v>
      </c>
      <c r="J430" s="2">
        <v>5.0</v>
      </c>
      <c r="K430" s="19"/>
      <c r="L430" s="14">
        <v>855855.855</v>
      </c>
    </row>
    <row r="431" hidden="1">
      <c r="A431" s="1" t="s">
        <v>405</v>
      </c>
      <c r="B431" s="1" t="s">
        <v>405</v>
      </c>
      <c r="C431" s="13">
        <v>45659.385416666664</v>
      </c>
      <c r="D431" s="5" t="s">
        <v>213</v>
      </c>
      <c r="E431" s="2" t="s">
        <v>214</v>
      </c>
      <c r="F431" s="14" t="s">
        <v>3486</v>
      </c>
      <c r="G431" s="14" t="s">
        <v>3487</v>
      </c>
      <c r="H431" s="15" t="s">
        <v>16</v>
      </c>
      <c r="I431" s="15" t="s">
        <v>3488</v>
      </c>
      <c r="J431" s="2">
        <v>15.0</v>
      </c>
      <c r="K431" s="12" t="s">
        <v>3870</v>
      </c>
      <c r="L431" s="14">
        <v>60000.0</v>
      </c>
    </row>
    <row r="432" hidden="1">
      <c r="A432" s="1" t="s">
        <v>406</v>
      </c>
      <c r="B432" s="1" t="s">
        <v>406</v>
      </c>
      <c r="C432" s="13">
        <v>45654.49722222222</v>
      </c>
      <c r="D432" s="5" t="s">
        <v>397</v>
      </c>
      <c r="E432" s="2" t="s">
        <v>398</v>
      </c>
      <c r="F432" s="14" t="s">
        <v>3835</v>
      </c>
      <c r="G432" s="14" t="s">
        <v>3836</v>
      </c>
      <c r="H432" s="15" t="s">
        <v>24</v>
      </c>
      <c r="I432" s="15" t="s">
        <v>3491</v>
      </c>
      <c r="J432" s="2">
        <v>1.0</v>
      </c>
      <c r="K432" s="19"/>
      <c r="L432" s="17"/>
    </row>
    <row r="433" hidden="1">
      <c r="A433" s="1" t="s">
        <v>407</v>
      </c>
      <c r="B433" s="1" t="s">
        <v>407</v>
      </c>
      <c r="C433" s="13">
        <v>45654.49791666667</v>
      </c>
      <c r="D433" s="5" t="s">
        <v>326</v>
      </c>
      <c r="E433" s="2" t="s">
        <v>327</v>
      </c>
      <c r="F433" s="14" t="s">
        <v>3486</v>
      </c>
      <c r="G433" s="14" t="s">
        <v>3487</v>
      </c>
      <c r="H433" s="15" t="s">
        <v>24</v>
      </c>
      <c r="I433" s="15" t="s">
        <v>3491</v>
      </c>
      <c r="J433" s="2">
        <v>10.0</v>
      </c>
      <c r="K433" s="12" t="s">
        <v>3871</v>
      </c>
      <c r="L433" s="17"/>
    </row>
    <row r="434" hidden="1">
      <c r="A434" s="1" t="s">
        <v>408</v>
      </c>
      <c r="B434" s="1" t="s">
        <v>408</v>
      </c>
      <c r="C434" s="13">
        <v>45651.49930555555</v>
      </c>
      <c r="D434" s="5" t="s">
        <v>326</v>
      </c>
      <c r="E434" s="2" t="s">
        <v>327</v>
      </c>
      <c r="F434" s="14" t="s">
        <v>3486</v>
      </c>
      <c r="G434" s="14" t="s">
        <v>3487</v>
      </c>
      <c r="H434" s="15" t="s">
        <v>24</v>
      </c>
      <c r="I434" s="15" t="s">
        <v>3491</v>
      </c>
      <c r="J434" s="2">
        <v>6.0</v>
      </c>
      <c r="K434" s="12" t="s">
        <v>3872</v>
      </c>
      <c r="L434" s="17"/>
    </row>
    <row r="435" hidden="1">
      <c r="A435" s="1" t="s">
        <v>409</v>
      </c>
      <c r="B435" s="1" t="s">
        <v>409</v>
      </c>
      <c r="C435" s="13">
        <v>45653.501388888886</v>
      </c>
      <c r="D435" s="5" t="s">
        <v>213</v>
      </c>
      <c r="E435" s="2" t="s">
        <v>214</v>
      </c>
      <c r="F435" s="14" t="s">
        <v>3486</v>
      </c>
      <c r="G435" s="14" t="s">
        <v>3487</v>
      </c>
      <c r="H435" s="15" t="s">
        <v>24</v>
      </c>
      <c r="I435" s="15" t="s">
        <v>3491</v>
      </c>
      <c r="J435" s="2">
        <v>13.0</v>
      </c>
      <c r="K435" s="12" t="s">
        <v>3873</v>
      </c>
      <c r="L435" s="17"/>
    </row>
    <row r="436">
      <c r="A436" s="1" t="s">
        <v>410</v>
      </c>
      <c r="B436" s="1" t="s">
        <v>410</v>
      </c>
      <c r="C436" s="13">
        <v>45653.50208333333</v>
      </c>
      <c r="D436" s="5" t="s">
        <v>45</v>
      </c>
      <c r="E436" s="2" t="s">
        <v>46</v>
      </c>
      <c r="F436" s="14" t="s">
        <v>3486</v>
      </c>
      <c r="G436" s="14" t="s">
        <v>3487</v>
      </c>
      <c r="H436" s="15" t="s">
        <v>24</v>
      </c>
      <c r="I436" s="15" t="s">
        <v>3491</v>
      </c>
      <c r="J436" s="2">
        <v>8.0</v>
      </c>
      <c r="K436" s="12" t="s">
        <v>3874</v>
      </c>
      <c r="L436" s="17"/>
    </row>
    <row r="437" hidden="1">
      <c r="A437" s="1" t="s">
        <v>411</v>
      </c>
      <c r="B437" s="1" t="s">
        <v>411</v>
      </c>
      <c r="C437" s="13">
        <v>45653.50347222222</v>
      </c>
      <c r="D437" s="22" t="s">
        <v>114</v>
      </c>
      <c r="E437" s="2" t="s">
        <v>115</v>
      </c>
      <c r="F437" s="14" t="s">
        <v>3486</v>
      </c>
      <c r="G437" s="14" t="s">
        <v>3487</v>
      </c>
      <c r="H437" s="15" t="s">
        <v>24</v>
      </c>
      <c r="I437" s="15" t="s">
        <v>3491</v>
      </c>
      <c r="J437" s="2">
        <v>3.0</v>
      </c>
      <c r="K437" s="12" t="s">
        <v>3875</v>
      </c>
      <c r="L437" s="17"/>
    </row>
    <row r="438" hidden="1">
      <c r="A438" s="1" t="s">
        <v>412</v>
      </c>
      <c r="B438" s="1" t="s">
        <v>412</v>
      </c>
      <c r="C438" s="13">
        <v>45654.50486111111</v>
      </c>
      <c r="D438" s="5" t="s">
        <v>131</v>
      </c>
      <c r="E438" s="2" t="s">
        <v>132</v>
      </c>
      <c r="F438" s="14" t="s">
        <v>3486</v>
      </c>
      <c r="G438" s="14" t="s">
        <v>3487</v>
      </c>
      <c r="H438" s="15" t="s">
        <v>24</v>
      </c>
      <c r="I438" s="15" t="s">
        <v>3491</v>
      </c>
      <c r="J438" s="2">
        <v>3.0</v>
      </c>
      <c r="K438" s="12" t="s">
        <v>3876</v>
      </c>
      <c r="L438" s="17"/>
    </row>
    <row r="439" hidden="1">
      <c r="A439" s="1" t="s">
        <v>412</v>
      </c>
      <c r="B439" s="1" t="s">
        <v>412</v>
      </c>
      <c r="C439" s="13">
        <v>45654.50486111111</v>
      </c>
      <c r="D439" s="5" t="s">
        <v>131</v>
      </c>
      <c r="E439" s="2" t="s">
        <v>132</v>
      </c>
      <c r="F439" s="14" t="s">
        <v>3516</v>
      </c>
      <c r="G439" s="14" t="s">
        <v>3517</v>
      </c>
      <c r="H439" s="15" t="s">
        <v>24</v>
      </c>
      <c r="I439" s="15" t="s">
        <v>3491</v>
      </c>
      <c r="J439" s="2">
        <v>1.0</v>
      </c>
      <c r="K439" s="12" t="s">
        <v>3877</v>
      </c>
      <c r="L439" s="17"/>
    </row>
    <row r="440" hidden="1">
      <c r="A440" s="1" t="s">
        <v>413</v>
      </c>
      <c r="B440" s="1" t="s">
        <v>413</v>
      </c>
      <c r="C440" s="13">
        <v>45653.50625</v>
      </c>
      <c r="D440" s="5" t="s">
        <v>392</v>
      </c>
      <c r="E440" s="2" t="s">
        <v>393</v>
      </c>
      <c r="F440" s="14" t="s">
        <v>3506</v>
      </c>
      <c r="G440" s="14" t="s">
        <v>3507</v>
      </c>
      <c r="H440" s="15" t="s">
        <v>24</v>
      </c>
      <c r="I440" s="15" t="s">
        <v>3491</v>
      </c>
      <c r="J440" s="2">
        <v>6.0</v>
      </c>
      <c r="K440" s="12" t="s">
        <v>3878</v>
      </c>
      <c r="L440" s="17"/>
    </row>
    <row r="441" hidden="1">
      <c r="A441" s="1" t="s">
        <v>414</v>
      </c>
      <c r="B441" s="1" t="s">
        <v>414</v>
      </c>
      <c r="C441" s="13">
        <v>45654.50763888889</v>
      </c>
      <c r="D441" s="5" t="s">
        <v>309</v>
      </c>
      <c r="E441" s="2" t="s">
        <v>310</v>
      </c>
      <c r="F441" s="14" t="s">
        <v>3486</v>
      </c>
      <c r="G441" s="14" t="s">
        <v>3487</v>
      </c>
      <c r="H441" s="15" t="s">
        <v>24</v>
      </c>
      <c r="I441" s="15" t="s">
        <v>3491</v>
      </c>
      <c r="J441" s="2">
        <v>3.0</v>
      </c>
      <c r="K441" s="12" t="s">
        <v>3879</v>
      </c>
      <c r="L441" s="17"/>
    </row>
    <row r="442" hidden="1">
      <c r="A442" s="1" t="s">
        <v>414</v>
      </c>
      <c r="B442" s="1" t="s">
        <v>414</v>
      </c>
      <c r="C442" s="13">
        <v>45654.50902777778</v>
      </c>
      <c r="D442" s="5" t="s">
        <v>309</v>
      </c>
      <c r="E442" s="2" t="s">
        <v>310</v>
      </c>
      <c r="F442" s="14" t="s">
        <v>3506</v>
      </c>
      <c r="G442" s="14" t="s">
        <v>3507</v>
      </c>
      <c r="H442" s="15" t="s">
        <v>24</v>
      </c>
      <c r="I442" s="15" t="s">
        <v>3491</v>
      </c>
      <c r="J442" s="2">
        <v>10.0</v>
      </c>
      <c r="K442" s="19"/>
      <c r="L442" s="17"/>
    </row>
    <row r="443" hidden="1">
      <c r="A443" s="1" t="s">
        <v>415</v>
      </c>
      <c r="B443" s="1" t="s">
        <v>415</v>
      </c>
      <c r="C443" s="13">
        <v>45657.509722222225</v>
      </c>
      <c r="D443" s="5" t="s">
        <v>13</v>
      </c>
      <c r="E443" s="2" t="s">
        <v>14</v>
      </c>
      <c r="F443" s="14" t="s">
        <v>3486</v>
      </c>
      <c r="G443" s="14" t="s">
        <v>3487</v>
      </c>
      <c r="H443" s="15" t="s">
        <v>24</v>
      </c>
      <c r="I443" s="15" t="s">
        <v>3491</v>
      </c>
      <c r="J443" s="2">
        <v>19.0</v>
      </c>
      <c r="K443" s="12" t="s">
        <v>3880</v>
      </c>
      <c r="L443" s="20"/>
    </row>
    <row r="444" hidden="1">
      <c r="A444" s="1" t="s">
        <v>416</v>
      </c>
      <c r="B444" s="1" t="s">
        <v>416</v>
      </c>
      <c r="C444" s="13">
        <v>45656.51388888889</v>
      </c>
      <c r="D444" s="5" t="s">
        <v>126</v>
      </c>
      <c r="E444" s="2" t="s">
        <v>127</v>
      </c>
      <c r="F444" s="14" t="s">
        <v>3486</v>
      </c>
      <c r="G444" s="14" t="s">
        <v>3487</v>
      </c>
      <c r="H444" s="15" t="s">
        <v>24</v>
      </c>
      <c r="I444" s="15" t="s">
        <v>3491</v>
      </c>
      <c r="J444" s="2">
        <v>2.0</v>
      </c>
      <c r="K444" s="12" t="s">
        <v>3881</v>
      </c>
      <c r="L444" s="20"/>
    </row>
    <row r="445" hidden="1">
      <c r="A445" s="1" t="s">
        <v>417</v>
      </c>
      <c r="B445" s="1" t="s">
        <v>417</v>
      </c>
      <c r="C445" s="13">
        <v>45656.51458333333</v>
      </c>
      <c r="D445" s="5" t="s">
        <v>213</v>
      </c>
      <c r="E445" s="2" t="s">
        <v>214</v>
      </c>
      <c r="F445" s="14" t="s">
        <v>3486</v>
      </c>
      <c r="G445" s="14" t="s">
        <v>3487</v>
      </c>
      <c r="H445" s="15" t="s">
        <v>24</v>
      </c>
      <c r="I445" s="15" t="s">
        <v>3491</v>
      </c>
      <c r="J445" s="2">
        <v>4.0</v>
      </c>
      <c r="K445" s="12" t="s">
        <v>3882</v>
      </c>
      <c r="L445" s="17"/>
    </row>
    <row r="446" hidden="1">
      <c r="A446" s="1" t="s">
        <v>417</v>
      </c>
      <c r="B446" s="1" t="s">
        <v>417</v>
      </c>
      <c r="C446" s="13">
        <v>45656.35208333333</v>
      </c>
      <c r="D446" s="5" t="s">
        <v>213</v>
      </c>
      <c r="E446" s="2" t="s">
        <v>214</v>
      </c>
      <c r="F446" s="14" t="s">
        <v>3486</v>
      </c>
      <c r="G446" s="14" t="s">
        <v>3487</v>
      </c>
      <c r="H446" s="15" t="s">
        <v>24</v>
      </c>
      <c r="I446" s="15" t="s">
        <v>3491</v>
      </c>
      <c r="J446" s="2">
        <v>11.0</v>
      </c>
      <c r="K446" s="12" t="s">
        <v>3883</v>
      </c>
      <c r="L446" s="20"/>
    </row>
    <row r="447" hidden="1">
      <c r="A447" s="1" t="s">
        <v>418</v>
      </c>
      <c r="B447" s="1" t="s">
        <v>418</v>
      </c>
      <c r="C447" s="13">
        <v>45656.520833333336</v>
      </c>
      <c r="D447" s="22" t="s">
        <v>114</v>
      </c>
      <c r="E447" s="2" t="s">
        <v>115</v>
      </c>
      <c r="F447" s="14" t="s">
        <v>3486</v>
      </c>
      <c r="G447" s="14" t="s">
        <v>3487</v>
      </c>
      <c r="H447" s="15" t="s">
        <v>24</v>
      </c>
      <c r="I447" s="15" t="s">
        <v>3491</v>
      </c>
      <c r="J447" s="2">
        <v>4.0</v>
      </c>
      <c r="K447" s="12" t="s">
        <v>3884</v>
      </c>
      <c r="L447" s="17"/>
    </row>
    <row r="448" hidden="1">
      <c r="A448" s="1" t="s">
        <v>418</v>
      </c>
      <c r="B448" s="1" t="s">
        <v>418</v>
      </c>
      <c r="C448" s="13">
        <v>45656.521527777775</v>
      </c>
      <c r="D448" s="22" t="s">
        <v>114</v>
      </c>
      <c r="E448" s="2" t="s">
        <v>115</v>
      </c>
      <c r="F448" s="14" t="s">
        <v>3585</v>
      </c>
      <c r="G448" s="14" t="s">
        <v>3586</v>
      </c>
      <c r="H448" s="15" t="s">
        <v>24</v>
      </c>
      <c r="I448" s="15" t="s">
        <v>3491</v>
      </c>
      <c r="J448" s="2">
        <v>1.0</v>
      </c>
      <c r="K448" s="12" t="s">
        <v>3885</v>
      </c>
      <c r="L448" s="17"/>
    </row>
    <row r="449" hidden="1">
      <c r="A449" s="1" t="s">
        <v>419</v>
      </c>
      <c r="B449" s="1" t="s">
        <v>419</v>
      </c>
      <c r="C449" s="13">
        <v>45657.52361111111</v>
      </c>
      <c r="D449" s="5" t="s">
        <v>349</v>
      </c>
      <c r="E449" s="2" t="s">
        <v>350</v>
      </c>
      <c r="F449" s="14" t="s">
        <v>3547</v>
      </c>
      <c r="G449" s="14" t="s">
        <v>3548</v>
      </c>
      <c r="H449" s="15" t="s">
        <v>24</v>
      </c>
      <c r="I449" s="15" t="s">
        <v>3491</v>
      </c>
      <c r="J449" s="2">
        <v>5.0</v>
      </c>
      <c r="K449" s="19"/>
      <c r="L449" s="17"/>
    </row>
    <row r="450" hidden="1">
      <c r="A450" s="1" t="s">
        <v>420</v>
      </c>
      <c r="B450" s="1" t="s">
        <v>420</v>
      </c>
      <c r="C450" s="13">
        <v>45659.657638888886</v>
      </c>
      <c r="D450" s="5" t="s">
        <v>213</v>
      </c>
      <c r="E450" s="2" t="s">
        <v>214</v>
      </c>
      <c r="F450" s="14" t="s">
        <v>3486</v>
      </c>
      <c r="G450" s="14" t="s">
        <v>3487</v>
      </c>
      <c r="H450" s="15" t="s">
        <v>24</v>
      </c>
      <c r="I450" s="15" t="s">
        <v>3491</v>
      </c>
      <c r="J450" s="2">
        <v>10.0</v>
      </c>
      <c r="K450" s="12" t="s">
        <v>3886</v>
      </c>
      <c r="L450" s="17"/>
    </row>
    <row r="451" hidden="1">
      <c r="A451" s="1" t="s">
        <v>421</v>
      </c>
      <c r="B451" s="1" t="s">
        <v>421</v>
      </c>
      <c r="C451" s="13">
        <v>45659.65833333333</v>
      </c>
      <c r="D451" s="5" t="s">
        <v>55</v>
      </c>
      <c r="E451" s="2" t="s">
        <v>56</v>
      </c>
      <c r="F451" s="14" t="s">
        <v>3486</v>
      </c>
      <c r="G451" s="14" t="s">
        <v>3487</v>
      </c>
      <c r="H451" s="15" t="s">
        <v>24</v>
      </c>
      <c r="I451" s="15" t="s">
        <v>3491</v>
      </c>
      <c r="J451" s="2">
        <v>2.0</v>
      </c>
      <c r="K451" s="12" t="s">
        <v>3887</v>
      </c>
      <c r="L451" s="20"/>
    </row>
    <row r="452" hidden="1">
      <c r="A452" s="1" t="s">
        <v>422</v>
      </c>
      <c r="B452" s="1" t="s">
        <v>422</v>
      </c>
      <c r="C452" s="13">
        <v>45659.65833333333</v>
      </c>
      <c r="D452" s="5" t="s">
        <v>28</v>
      </c>
      <c r="E452" s="2" t="s">
        <v>29</v>
      </c>
      <c r="F452" s="14" t="s">
        <v>3486</v>
      </c>
      <c r="G452" s="14" t="s">
        <v>3487</v>
      </c>
      <c r="H452" s="15" t="s">
        <v>24</v>
      </c>
      <c r="I452" s="15" t="s">
        <v>3491</v>
      </c>
      <c r="J452" s="2">
        <v>3.0</v>
      </c>
      <c r="K452" s="12" t="s">
        <v>3888</v>
      </c>
      <c r="L452" s="20"/>
    </row>
    <row r="453" hidden="1">
      <c r="A453" s="1" t="s">
        <v>422</v>
      </c>
      <c r="B453" s="1" t="s">
        <v>422</v>
      </c>
      <c r="C453" s="13">
        <v>45659.65902777778</v>
      </c>
      <c r="D453" s="5" t="s">
        <v>28</v>
      </c>
      <c r="E453" s="2" t="s">
        <v>29</v>
      </c>
      <c r="F453" s="14" t="s">
        <v>3516</v>
      </c>
      <c r="G453" s="14" t="s">
        <v>3517</v>
      </c>
      <c r="H453" s="15" t="s">
        <v>24</v>
      </c>
      <c r="I453" s="15" t="s">
        <v>3491</v>
      </c>
      <c r="J453" s="2">
        <v>1.0</v>
      </c>
      <c r="K453" s="12" t="s">
        <v>3889</v>
      </c>
      <c r="L453" s="21"/>
    </row>
    <row r="454" hidden="1">
      <c r="A454" s="1" t="s">
        <v>422</v>
      </c>
      <c r="B454" s="1" t="s">
        <v>422</v>
      </c>
      <c r="C454" s="13">
        <v>45659.65902777778</v>
      </c>
      <c r="D454" s="5" t="s">
        <v>28</v>
      </c>
      <c r="E454" s="2" t="s">
        <v>29</v>
      </c>
      <c r="F454" s="14" t="s">
        <v>3493</v>
      </c>
      <c r="G454" s="14" t="s">
        <v>3494</v>
      </c>
      <c r="H454" s="15" t="s">
        <v>24</v>
      </c>
      <c r="I454" s="15" t="s">
        <v>3491</v>
      </c>
      <c r="J454" s="2">
        <v>1.0</v>
      </c>
      <c r="K454" s="19"/>
      <c r="L454" s="17"/>
    </row>
    <row r="455" hidden="1">
      <c r="A455" s="1" t="s">
        <v>423</v>
      </c>
      <c r="B455" s="1" t="s">
        <v>423</v>
      </c>
      <c r="C455" s="13">
        <v>45660.35555555556</v>
      </c>
      <c r="D455" s="5" t="s">
        <v>345</v>
      </c>
      <c r="E455" s="2" t="s">
        <v>346</v>
      </c>
      <c r="F455" s="14" t="s">
        <v>3522</v>
      </c>
      <c r="G455" s="14" t="s">
        <v>3523</v>
      </c>
      <c r="H455" s="15" t="s">
        <v>16</v>
      </c>
      <c r="I455" s="15" t="s">
        <v>3488</v>
      </c>
      <c r="J455" s="2">
        <v>1.0</v>
      </c>
      <c r="K455" s="12" t="s">
        <v>3890</v>
      </c>
      <c r="L455" s="16">
        <v>210000.0</v>
      </c>
    </row>
    <row r="456" hidden="1">
      <c r="A456" s="1" t="s">
        <v>424</v>
      </c>
      <c r="B456" s="1" t="s">
        <v>424</v>
      </c>
      <c r="C456" s="13">
        <v>45660.46319444444</v>
      </c>
      <c r="D456" s="5" t="s">
        <v>326</v>
      </c>
      <c r="E456" s="2" t="s">
        <v>327</v>
      </c>
      <c r="F456" s="14" t="s">
        <v>3486</v>
      </c>
      <c r="G456" s="14" t="s">
        <v>3487</v>
      </c>
      <c r="H456" s="15" t="s">
        <v>16</v>
      </c>
      <c r="I456" s="15" t="s">
        <v>3488</v>
      </c>
      <c r="J456" s="2">
        <v>10.0</v>
      </c>
      <c r="K456" s="12" t="s">
        <v>3891</v>
      </c>
      <c r="L456" s="14">
        <v>45000.0</v>
      </c>
    </row>
    <row r="457" hidden="1">
      <c r="A457" s="1" t="s">
        <v>425</v>
      </c>
      <c r="B457" s="1" t="s">
        <v>425</v>
      </c>
      <c r="C457" s="13">
        <v>45660.49722222222</v>
      </c>
      <c r="D457" s="5" t="s">
        <v>75</v>
      </c>
      <c r="E457" s="2" t="s">
        <v>76</v>
      </c>
      <c r="F457" s="14" t="s">
        <v>3522</v>
      </c>
      <c r="G457" s="14" t="s">
        <v>3523</v>
      </c>
      <c r="H457" s="15" t="s">
        <v>24</v>
      </c>
      <c r="I457" s="15" t="s">
        <v>3491</v>
      </c>
      <c r="J457" s="2">
        <v>1.0</v>
      </c>
      <c r="K457" s="12" t="s">
        <v>3892</v>
      </c>
      <c r="L457" s="17"/>
    </row>
    <row r="458" hidden="1">
      <c r="A458" s="1" t="s">
        <v>426</v>
      </c>
      <c r="B458" s="1" t="s">
        <v>426</v>
      </c>
      <c r="C458" s="13">
        <v>45660.524305555555</v>
      </c>
      <c r="D458" s="5" t="s">
        <v>49</v>
      </c>
      <c r="E458" s="2" t="s">
        <v>50</v>
      </c>
      <c r="F458" s="14" t="s">
        <v>3486</v>
      </c>
      <c r="G458" s="14" t="s">
        <v>3487</v>
      </c>
      <c r="H458" s="15" t="s">
        <v>16</v>
      </c>
      <c r="I458" s="15" t="s">
        <v>3488</v>
      </c>
      <c r="J458" s="2">
        <v>5.0</v>
      </c>
      <c r="K458" s="12" t="s">
        <v>3893</v>
      </c>
      <c r="L458" s="14">
        <v>60000.0</v>
      </c>
    </row>
    <row r="459" hidden="1">
      <c r="A459" s="1" t="s">
        <v>427</v>
      </c>
      <c r="B459" s="1" t="s">
        <v>427</v>
      </c>
      <c r="C459" s="13">
        <v>45660.58263888889</v>
      </c>
      <c r="D459" s="5" t="s">
        <v>91</v>
      </c>
      <c r="E459" s="2" t="s">
        <v>92</v>
      </c>
      <c r="F459" s="14" t="s">
        <v>3486</v>
      </c>
      <c r="G459" s="14" t="s">
        <v>3487</v>
      </c>
      <c r="H459" s="15" t="s">
        <v>24</v>
      </c>
      <c r="I459" s="15" t="s">
        <v>3491</v>
      </c>
      <c r="J459" s="2">
        <v>2.0</v>
      </c>
      <c r="K459" s="12" t="s">
        <v>3894</v>
      </c>
      <c r="L459" s="17"/>
    </row>
    <row r="460" hidden="1">
      <c r="A460" s="1" t="s">
        <v>428</v>
      </c>
      <c r="B460" s="1" t="s">
        <v>428</v>
      </c>
      <c r="C460" s="13">
        <v>45660.58263888889</v>
      </c>
      <c r="D460" s="5" t="s">
        <v>49</v>
      </c>
      <c r="E460" s="2" t="s">
        <v>50</v>
      </c>
      <c r="F460" s="14" t="s">
        <v>3486</v>
      </c>
      <c r="G460" s="14" t="s">
        <v>3487</v>
      </c>
      <c r="H460" s="15" t="s">
        <v>24</v>
      </c>
      <c r="I460" s="15" t="s">
        <v>3491</v>
      </c>
      <c r="J460" s="2">
        <v>3.0</v>
      </c>
      <c r="K460" s="12" t="s">
        <v>3895</v>
      </c>
      <c r="L460" s="20"/>
    </row>
    <row r="461" hidden="1">
      <c r="A461" s="1" t="s">
        <v>429</v>
      </c>
      <c r="B461" s="1" t="s">
        <v>429</v>
      </c>
      <c r="C461" s="13">
        <v>45660.7</v>
      </c>
      <c r="D461" s="5" t="s">
        <v>326</v>
      </c>
      <c r="E461" s="2" t="s">
        <v>327</v>
      </c>
      <c r="F461" s="14" t="s">
        <v>3486</v>
      </c>
      <c r="G461" s="14" t="s">
        <v>3487</v>
      </c>
      <c r="H461" s="15" t="s">
        <v>24</v>
      </c>
      <c r="I461" s="15" t="s">
        <v>3491</v>
      </c>
      <c r="J461" s="2">
        <v>12.0</v>
      </c>
      <c r="K461" s="12" t="s">
        <v>3896</v>
      </c>
      <c r="L461" s="20"/>
    </row>
    <row r="462" hidden="1">
      <c r="A462" s="1" t="s">
        <v>430</v>
      </c>
      <c r="B462" s="1" t="s">
        <v>430</v>
      </c>
      <c r="C462" s="13">
        <v>45660.70138888889</v>
      </c>
      <c r="D462" s="5" t="s">
        <v>126</v>
      </c>
      <c r="E462" s="2" t="s">
        <v>127</v>
      </c>
      <c r="F462" s="14" t="s">
        <v>3486</v>
      </c>
      <c r="G462" s="14" t="s">
        <v>3487</v>
      </c>
      <c r="H462" s="15" t="s">
        <v>24</v>
      </c>
      <c r="I462" s="15" t="s">
        <v>3491</v>
      </c>
      <c r="J462" s="2">
        <v>1.0</v>
      </c>
      <c r="K462" s="12" t="s">
        <v>3897</v>
      </c>
      <c r="L462" s="20"/>
    </row>
    <row r="463" hidden="1">
      <c r="A463" s="1" t="s">
        <v>431</v>
      </c>
      <c r="B463" s="1" t="s">
        <v>431</v>
      </c>
      <c r="C463" s="13">
        <v>45661.44930555556</v>
      </c>
      <c r="D463" s="5" t="s">
        <v>305</v>
      </c>
      <c r="E463" s="2" t="s">
        <v>306</v>
      </c>
      <c r="F463" s="14" t="s">
        <v>3486</v>
      </c>
      <c r="G463" s="14" t="s">
        <v>3487</v>
      </c>
      <c r="H463" s="15" t="s">
        <v>16</v>
      </c>
      <c r="I463" s="15" t="s">
        <v>3488</v>
      </c>
      <c r="J463" s="2">
        <v>10.0</v>
      </c>
      <c r="K463" s="12" t="s">
        <v>3898</v>
      </c>
      <c r="L463" s="16">
        <v>47297.2973</v>
      </c>
    </row>
    <row r="464" hidden="1">
      <c r="A464" s="1" t="s">
        <v>432</v>
      </c>
      <c r="B464" s="1" t="s">
        <v>432</v>
      </c>
      <c r="C464" s="13">
        <v>45663.388194444444</v>
      </c>
      <c r="D464" s="5" t="s">
        <v>13</v>
      </c>
      <c r="E464" s="2" t="s">
        <v>14</v>
      </c>
      <c r="F464" s="14" t="s">
        <v>3486</v>
      </c>
      <c r="G464" s="14" t="s">
        <v>3487</v>
      </c>
      <c r="H464" s="15" t="s">
        <v>16</v>
      </c>
      <c r="I464" s="15" t="s">
        <v>3488</v>
      </c>
      <c r="J464" s="2">
        <v>10.0</v>
      </c>
      <c r="K464" s="12" t="s">
        <v>3899</v>
      </c>
      <c r="L464" s="16">
        <v>50000.0</v>
      </c>
    </row>
    <row r="465" hidden="1">
      <c r="A465" s="1" t="s">
        <v>433</v>
      </c>
      <c r="B465" s="1" t="s">
        <v>433</v>
      </c>
      <c r="C465" s="13">
        <v>45596.518055555556</v>
      </c>
      <c r="D465" s="5" t="e">
        <v>#N/A</v>
      </c>
      <c r="E465" s="2" t="s">
        <v>435</v>
      </c>
      <c r="F465" s="14" t="s">
        <v>3835</v>
      </c>
      <c r="G465" s="14" t="s">
        <v>3836</v>
      </c>
      <c r="H465" s="15" t="s">
        <v>16</v>
      </c>
      <c r="I465" s="15" t="s">
        <v>3488</v>
      </c>
      <c r="J465" s="2">
        <v>1.0</v>
      </c>
      <c r="K465" s="19"/>
      <c r="L465" s="16" t="e">
        <v>#N/A</v>
      </c>
    </row>
    <row r="466" hidden="1">
      <c r="A466" s="1" t="s">
        <v>436</v>
      </c>
      <c r="B466" s="1" t="s">
        <v>436</v>
      </c>
      <c r="C466" s="13">
        <v>45663.55</v>
      </c>
      <c r="D466" s="5" t="s">
        <v>13</v>
      </c>
      <c r="E466" s="2" t="s">
        <v>14</v>
      </c>
      <c r="F466" s="14" t="s">
        <v>3486</v>
      </c>
      <c r="G466" s="14" t="s">
        <v>3487</v>
      </c>
      <c r="H466" s="15" t="s">
        <v>24</v>
      </c>
      <c r="I466" s="15" t="s">
        <v>3491</v>
      </c>
      <c r="J466" s="2">
        <v>22.0</v>
      </c>
      <c r="K466" s="12" t="s">
        <v>3900</v>
      </c>
      <c r="L466" s="20"/>
    </row>
    <row r="467" hidden="1">
      <c r="A467" s="1" t="s">
        <v>437</v>
      </c>
      <c r="B467" s="1" t="s">
        <v>437</v>
      </c>
      <c r="C467" s="13">
        <v>45664.37152777778</v>
      </c>
      <c r="D467" s="5" t="s">
        <v>349</v>
      </c>
      <c r="E467" s="2" t="s">
        <v>350</v>
      </c>
      <c r="F467" s="14" t="s">
        <v>3547</v>
      </c>
      <c r="G467" s="14" t="s">
        <v>3548</v>
      </c>
      <c r="H467" s="15" t="s">
        <v>16</v>
      </c>
      <c r="I467" s="15" t="s">
        <v>3488</v>
      </c>
      <c r="J467" s="2">
        <v>5.0</v>
      </c>
      <c r="K467" s="19"/>
      <c r="L467" s="16">
        <v>900900.9009</v>
      </c>
    </row>
    <row r="468" hidden="1">
      <c r="A468" s="1" t="s">
        <v>438</v>
      </c>
      <c r="B468" s="1" t="s">
        <v>438</v>
      </c>
      <c r="C468" s="13">
        <v>45664.68472222222</v>
      </c>
      <c r="D468" s="5" t="s">
        <v>349</v>
      </c>
      <c r="E468" s="2" t="s">
        <v>350</v>
      </c>
      <c r="F468" s="14" t="s">
        <v>3516</v>
      </c>
      <c r="G468" s="14" t="s">
        <v>3517</v>
      </c>
      <c r="H468" s="15" t="s">
        <v>24</v>
      </c>
      <c r="I468" s="15" t="s">
        <v>3491</v>
      </c>
      <c r="J468" s="2">
        <v>2.0</v>
      </c>
      <c r="K468" s="12" t="s">
        <v>3901</v>
      </c>
      <c r="L468" s="20"/>
    </row>
    <row r="469" hidden="1">
      <c r="A469" s="1" t="s">
        <v>438</v>
      </c>
      <c r="B469" s="1" t="s">
        <v>438</v>
      </c>
      <c r="C469" s="13">
        <v>45664.68541666667</v>
      </c>
      <c r="D469" s="5" t="s">
        <v>349</v>
      </c>
      <c r="E469" s="2" t="s">
        <v>350</v>
      </c>
      <c r="F469" s="14" t="s">
        <v>3547</v>
      </c>
      <c r="G469" s="14" t="s">
        <v>3548</v>
      </c>
      <c r="H469" s="15" t="s">
        <v>24</v>
      </c>
      <c r="I469" s="15" t="s">
        <v>3491</v>
      </c>
      <c r="J469" s="2">
        <v>5.0</v>
      </c>
      <c r="K469" s="19"/>
      <c r="L469" s="17"/>
    </row>
    <row r="470" hidden="1">
      <c r="A470" s="1" t="s">
        <v>439</v>
      </c>
      <c r="B470" s="1" t="s">
        <v>439</v>
      </c>
      <c r="C470" s="13">
        <v>45664.686111111114</v>
      </c>
      <c r="D470" s="22" t="s">
        <v>114</v>
      </c>
      <c r="E470" s="2" t="s">
        <v>115</v>
      </c>
      <c r="F470" s="14" t="s">
        <v>3486</v>
      </c>
      <c r="G470" s="14" t="s">
        <v>3487</v>
      </c>
      <c r="H470" s="15" t="s">
        <v>24</v>
      </c>
      <c r="I470" s="15" t="s">
        <v>3491</v>
      </c>
      <c r="J470" s="2">
        <v>8.0</v>
      </c>
      <c r="K470" s="12" t="s">
        <v>3902</v>
      </c>
      <c r="L470" s="17"/>
    </row>
    <row r="471" hidden="1">
      <c r="A471" s="1" t="s">
        <v>439</v>
      </c>
      <c r="B471" s="1" t="s">
        <v>439</v>
      </c>
      <c r="C471" s="13">
        <v>45664.68680555555</v>
      </c>
      <c r="D471" s="22" t="s">
        <v>114</v>
      </c>
      <c r="E471" s="2" t="s">
        <v>115</v>
      </c>
      <c r="F471" s="14" t="s">
        <v>3585</v>
      </c>
      <c r="G471" s="14" t="s">
        <v>3586</v>
      </c>
      <c r="H471" s="15" t="s">
        <v>24</v>
      </c>
      <c r="I471" s="15" t="s">
        <v>3491</v>
      </c>
      <c r="J471" s="2">
        <v>1.0</v>
      </c>
      <c r="K471" s="12" t="s">
        <v>3903</v>
      </c>
      <c r="L471" s="17"/>
    </row>
    <row r="472" hidden="1">
      <c r="A472" s="1" t="s">
        <v>440</v>
      </c>
      <c r="B472" s="1" t="s">
        <v>440</v>
      </c>
      <c r="C472" s="13">
        <v>45666.375</v>
      </c>
      <c r="D472" s="5" t="s">
        <v>441</v>
      </c>
      <c r="E472" s="2" t="s">
        <v>442</v>
      </c>
      <c r="F472" s="14" t="s">
        <v>3486</v>
      </c>
      <c r="G472" s="14" t="s">
        <v>3487</v>
      </c>
      <c r="H472" s="15" t="s">
        <v>16</v>
      </c>
      <c r="I472" s="15" t="s">
        <v>3488</v>
      </c>
      <c r="J472" s="2">
        <v>3.0</v>
      </c>
      <c r="K472" s="12" t="s">
        <v>3904</v>
      </c>
      <c r="L472" s="14">
        <v>60000.0</v>
      </c>
    </row>
    <row r="473" hidden="1">
      <c r="A473" s="1" t="s">
        <v>444</v>
      </c>
      <c r="B473" s="1" t="s">
        <v>444</v>
      </c>
      <c r="C473" s="13">
        <v>45666.51111111111</v>
      </c>
      <c r="D473" s="5" t="s">
        <v>131</v>
      </c>
      <c r="E473" s="2" t="s">
        <v>132</v>
      </c>
      <c r="F473" s="14" t="s">
        <v>3516</v>
      </c>
      <c r="G473" s="14" t="s">
        <v>3517</v>
      </c>
      <c r="H473" s="15" t="s">
        <v>16</v>
      </c>
      <c r="I473" s="15" t="s">
        <v>3488</v>
      </c>
      <c r="J473" s="2">
        <v>2.0</v>
      </c>
      <c r="K473" s="12" t="s">
        <v>3905</v>
      </c>
      <c r="L473" s="14">
        <v>170000.0</v>
      </c>
    </row>
    <row r="474" hidden="1">
      <c r="A474" s="1" t="s">
        <v>445</v>
      </c>
      <c r="B474" s="1" t="s">
        <v>445</v>
      </c>
      <c r="C474" s="13">
        <v>45667.42569444444</v>
      </c>
      <c r="D474" s="5" t="s">
        <v>309</v>
      </c>
      <c r="E474" s="2" t="s">
        <v>310</v>
      </c>
      <c r="F474" s="14" t="s">
        <v>3486</v>
      </c>
      <c r="G474" s="14" t="s">
        <v>3487</v>
      </c>
      <c r="H474" s="15" t="s">
        <v>16</v>
      </c>
      <c r="I474" s="15" t="s">
        <v>3488</v>
      </c>
      <c r="J474" s="2">
        <v>3.0</v>
      </c>
      <c r="K474" s="12" t="s">
        <v>3906</v>
      </c>
      <c r="L474" s="14">
        <v>55000.0</v>
      </c>
    </row>
    <row r="475" hidden="1">
      <c r="A475" s="1" t="s">
        <v>445</v>
      </c>
      <c r="B475" s="1" t="s">
        <v>445</v>
      </c>
      <c r="C475" s="13">
        <v>45667.42638888889</v>
      </c>
      <c r="D475" s="5" t="s">
        <v>309</v>
      </c>
      <c r="E475" s="2" t="s">
        <v>310</v>
      </c>
      <c r="F475" s="14" t="s">
        <v>3506</v>
      </c>
      <c r="G475" s="14" t="s">
        <v>3507</v>
      </c>
      <c r="H475" s="15" t="s">
        <v>16</v>
      </c>
      <c r="I475" s="15" t="s">
        <v>3488</v>
      </c>
      <c r="J475" s="2">
        <v>7.0</v>
      </c>
      <c r="K475" s="19"/>
      <c r="L475" s="14">
        <v>55000.0</v>
      </c>
    </row>
    <row r="476" hidden="1">
      <c r="A476" s="1" t="s">
        <v>446</v>
      </c>
      <c r="B476" s="1" t="s">
        <v>446</v>
      </c>
      <c r="C476" s="13">
        <v>45667.606944444444</v>
      </c>
      <c r="D476" s="5" t="s">
        <v>109</v>
      </c>
      <c r="E476" s="2" t="s">
        <v>110</v>
      </c>
      <c r="F476" s="14" t="s">
        <v>3522</v>
      </c>
      <c r="G476" s="14" t="s">
        <v>3523</v>
      </c>
      <c r="H476" s="15" t="s">
        <v>16</v>
      </c>
      <c r="I476" s="15" t="s">
        <v>3488</v>
      </c>
      <c r="J476" s="2">
        <v>4.0</v>
      </c>
      <c r="K476" s="12" t="s">
        <v>3907</v>
      </c>
      <c r="L476" s="14">
        <v>190000.0</v>
      </c>
    </row>
    <row r="477" hidden="1">
      <c r="A477" s="1" t="s">
        <v>447</v>
      </c>
      <c r="B477" s="1" t="s">
        <v>447</v>
      </c>
      <c r="C477" s="13">
        <v>45668.489583333336</v>
      </c>
      <c r="D477" s="5" t="s">
        <v>349</v>
      </c>
      <c r="E477" s="2" t="s">
        <v>350</v>
      </c>
      <c r="F477" s="14" t="s">
        <v>3547</v>
      </c>
      <c r="G477" s="14" t="s">
        <v>3548</v>
      </c>
      <c r="H477" s="15" t="s">
        <v>16</v>
      </c>
      <c r="I477" s="15" t="s">
        <v>3488</v>
      </c>
      <c r="J477" s="2">
        <v>6.0</v>
      </c>
      <c r="K477" s="19"/>
      <c r="L477" s="14">
        <v>900900.9009</v>
      </c>
    </row>
    <row r="478">
      <c r="A478" s="1" t="s">
        <v>448</v>
      </c>
      <c r="B478" s="1" t="s">
        <v>448</v>
      </c>
      <c r="C478" s="13">
        <v>45670.36666666667</v>
      </c>
      <c r="D478" s="5" t="s">
        <v>45</v>
      </c>
      <c r="E478" s="2" t="s">
        <v>46</v>
      </c>
      <c r="F478" s="14" t="s">
        <v>3522</v>
      </c>
      <c r="G478" s="14" t="s">
        <v>3523</v>
      </c>
      <c r="H478" s="15" t="s">
        <v>16</v>
      </c>
      <c r="I478" s="15" t="s">
        <v>3488</v>
      </c>
      <c r="J478" s="2">
        <v>7.0</v>
      </c>
      <c r="K478" s="12" t="s">
        <v>3908</v>
      </c>
      <c r="L478" s="14">
        <v>185000.0</v>
      </c>
    </row>
    <row r="479" hidden="1">
      <c r="A479" s="1" t="s">
        <v>449</v>
      </c>
      <c r="B479" s="1" t="s">
        <v>449</v>
      </c>
      <c r="C479" s="13">
        <v>45670.36736111111</v>
      </c>
      <c r="D479" s="5" t="s">
        <v>397</v>
      </c>
      <c r="E479" s="2" t="s">
        <v>398</v>
      </c>
      <c r="F479" s="14" t="s">
        <v>3835</v>
      </c>
      <c r="G479" s="14" t="s">
        <v>3836</v>
      </c>
      <c r="H479" s="15" t="s">
        <v>16</v>
      </c>
      <c r="I479" s="15" t="s">
        <v>3488</v>
      </c>
      <c r="J479" s="2">
        <v>1.0</v>
      </c>
      <c r="K479" s="12" t="s">
        <v>3909</v>
      </c>
      <c r="L479" s="16">
        <v>60000.0</v>
      </c>
    </row>
    <row r="480" hidden="1">
      <c r="A480" s="1" t="s">
        <v>449</v>
      </c>
      <c r="B480" s="1" t="s">
        <v>449</v>
      </c>
      <c r="C480" s="13">
        <v>45670.368055555555</v>
      </c>
      <c r="D480" s="5" t="s">
        <v>397</v>
      </c>
      <c r="E480" s="2" t="s">
        <v>398</v>
      </c>
      <c r="F480" s="14" t="s">
        <v>3910</v>
      </c>
      <c r="G480" s="14" t="s">
        <v>3911</v>
      </c>
      <c r="H480" s="15" t="s">
        <v>16</v>
      </c>
      <c r="I480" s="15" t="s">
        <v>3488</v>
      </c>
      <c r="J480" s="2">
        <v>1.0</v>
      </c>
      <c r="K480" s="12" t="s">
        <v>3912</v>
      </c>
      <c r="L480" s="14">
        <v>60000.0</v>
      </c>
    </row>
    <row r="481" hidden="1">
      <c r="A481" s="1" t="s">
        <v>450</v>
      </c>
      <c r="B481" s="1" t="s">
        <v>450</v>
      </c>
      <c r="C481" s="13">
        <v>45665.43472222222</v>
      </c>
      <c r="D481" s="5" t="s">
        <v>126</v>
      </c>
      <c r="E481" s="2" t="s">
        <v>127</v>
      </c>
      <c r="F481" s="14" t="s">
        <v>3486</v>
      </c>
      <c r="G481" s="14" t="s">
        <v>3487</v>
      </c>
      <c r="H481" s="15" t="s">
        <v>24</v>
      </c>
      <c r="I481" s="15" t="s">
        <v>3491</v>
      </c>
      <c r="J481" s="2">
        <v>2.0</v>
      </c>
      <c r="K481" s="12" t="s">
        <v>3913</v>
      </c>
      <c r="L481" s="17"/>
    </row>
    <row r="482" hidden="1">
      <c r="A482" s="1" t="s">
        <v>451</v>
      </c>
      <c r="B482" s="1" t="s">
        <v>451</v>
      </c>
      <c r="C482" s="13">
        <v>45665.43472222222</v>
      </c>
      <c r="D482" s="5" t="s">
        <v>305</v>
      </c>
      <c r="E482" s="2" t="s">
        <v>306</v>
      </c>
      <c r="F482" s="14" t="s">
        <v>3486</v>
      </c>
      <c r="G482" s="14" t="s">
        <v>3487</v>
      </c>
      <c r="H482" s="15" t="s">
        <v>24</v>
      </c>
      <c r="I482" s="15" t="s">
        <v>3491</v>
      </c>
      <c r="J482" s="2">
        <v>4.0</v>
      </c>
      <c r="K482" s="12" t="s">
        <v>3914</v>
      </c>
      <c r="L482" s="17"/>
    </row>
    <row r="483" hidden="1">
      <c r="A483" s="1" t="s">
        <v>452</v>
      </c>
      <c r="B483" s="1" t="s">
        <v>452</v>
      </c>
      <c r="C483" s="13">
        <v>45666.43541666667</v>
      </c>
      <c r="D483" s="5" t="s">
        <v>131</v>
      </c>
      <c r="E483" s="2" t="s">
        <v>132</v>
      </c>
      <c r="F483" s="14" t="s">
        <v>3486</v>
      </c>
      <c r="G483" s="14" t="s">
        <v>3487</v>
      </c>
      <c r="H483" s="15" t="s">
        <v>24</v>
      </c>
      <c r="I483" s="15" t="s">
        <v>3491</v>
      </c>
      <c r="J483" s="2">
        <v>1.0</v>
      </c>
      <c r="K483" s="12" t="s">
        <v>3915</v>
      </c>
      <c r="L483" s="20"/>
    </row>
    <row r="484" hidden="1">
      <c r="A484" s="1" t="s">
        <v>453</v>
      </c>
      <c r="B484" s="1" t="s">
        <v>453</v>
      </c>
      <c r="C484" s="13">
        <v>45667.4375</v>
      </c>
      <c r="D484" s="5" t="s">
        <v>309</v>
      </c>
      <c r="E484" s="2" t="s">
        <v>310</v>
      </c>
      <c r="F484" s="14" t="s">
        <v>3486</v>
      </c>
      <c r="G484" s="14" t="s">
        <v>3487</v>
      </c>
      <c r="H484" s="15" t="s">
        <v>24</v>
      </c>
      <c r="I484" s="15" t="s">
        <v>3491</v>
      </c>
      <c r="J484" s="2">
        <v>3.0</v>
      </c>
      <c r="K484" s="12" t="s">
        <v>3916</v>
      </c>
      <c r="L484" s="17"/>
    </row>
    <row r="485" hidden="1">
      <c r="A485" s="1" t="s">
        <v>453</v>
      </c>
      <c r="B485" s="1" t="s">
        <v>453</v>
      </c>
      <c r="C485" s="13">
        <v>45667.43819444445</v>
      </c>
      <c r="D485" s="5" t="s">
        <v>309</v>
      </c>
      <c r="E485" s="2" t="s">
        <v>310</v>
      </c>
      <c r="F485" s="14" t="s">
        <v>3506</v>
      </c>
      <c r="G485" s="14" t="s">
        <v>3507</v>
      </c>
      <c r="H485" s="15" t="s">
        <v>24</v>
      </c>
      <c r="I485" s="15" t="s">
        <v>3491</v>
      </c>
      <c r="J485" s="2">
        <v>10.0</v>
      </c>
      <c r="K485" s="19"/>
      <c r="L485" s="17"/>
    </row>
    <row r="486" hidden="1">
      <c r="A486" s="1" t="s">
        <v>454</v>
      </c>
      <c r="B486" s="1" t="s">
        <v>454</v>
      </c>
      <c r="C486" s="13">
        <v>45667.43819444445</v>
      </c>
      <c r="D486" s="5" t="s">
        <v>109</v>
      </c>
      <c r="E486" s="2" t="s">
        <v>110</v>
      </c>
      <c r="F486" s="14" t="s">
        <v>3522</v>
      </c>
      <c r="G486" s="14" t="s">
        <v>3523</v>
      </c>
      <c r="H486" s="15" t="s">
        <v>24</v>
      </c>
      <c r="I486" s="15" t="s">
        <v>3491</v>
      </c>
      <c r="J486" s="2">
        <v>3.0</v>
      </c>
      <c r="K486" s="12" t="s">
        <v>3917</v>
      </c>
      <c r="L486" s="20"/>
    </row>
    <row r="487" hidden="1">
      <c r="A487" s="1" t="s">
        <v>454</v>
      </c>
      <c r="B487" s="1" t="s">
        <v>454</v>
      </c>
      <c r="C487" s="13">
        <v>45667.43819444445</v>
      </c>
      <c r="D487" s="5" t="s">
        <v>109</v>
      </c>
      <c r="E487" s="2" t="s">
        <v>110</v>
      </c>
      <c r="F487" s="14" t="s">
        <v>3516</v>
      </c>
      <c r="G487" s="14" t="s">
        <v>3517</v>
      </c>
      <c r="H487" s="15" t="s">
        <v>24</v>
      </c>
      <c r="I487" s="15" t="s">
        <v>3491</v>
      </c>
      <c r="J487" s="2">
        <v>1.0</v>
      </c>
      <c r="K487" s="12" t="s">
        <v>3918</v>
      </c>
      <c r="L487" s="17"/>
    </row>
    <row r="488" hidden="1">
      <c r="A488" s="1" t="s">
        <v>454</v>
      </c>
      <c r="B488" s="1" t="s">
        <v>454</v>
      </c>
      <c r="C488" s="13">
        <v>45667.43819444445</v>
      </c>
      <c r="D488" s="5" t="s">
        <v>109</v>
      </c>
      <c r="E488" s="2" t="s">
        <v>110</v>
      </c>
      <c r="F488" s="14" t="s">
        <v>3486</v>
      </c>
      <c r="G488" s="14" t="s">
        <v>3487</v>
      </c>
      <c r="H488" s="15" t="s">
        <v>24</v>
      </c>
      <c r="I488" s="15" t="s">
        <v>3491</v>
      </c>
      <c r="J488" s="2">
        <v>2.0</v>
      </c>
      <c r="K488" s="12" t="s">
        <v>3919</v>
      </c>
      <c r="L488" s="17"/>
    </row>
    <row r="489" hidden="1">
      <c r="A489" s="1" t="s">
        <v>454</v>
      </c>
      <c r="B489" s="1" t="s">
        <v>454</v>
      </c>
      <c r="C489" s="13">
        <v>45667.43819444445</v>
      </c>
      <c r="D489" s="5" t="s">
        <v>109</v>
      </c>
      <c r="E489" s="2" t="s">
        <v>110</v>
      </c>
      <c r="F489" s="14" t="s">
        <v>3506</v>
      </c>
      <c r="G489" s="14" t="s">
        <v>3507</v>
      </c>
      <c r="H489" s="15" t="s">
        <v>24</v>
      </c>
      <c r="I489" s="15" t="s">
        <v>3491</v>
      </c>
      <c r="J489" s="2">
        <v>1.0</v>
      </c>
      <c r="K489" s="19"/>
      <c r="L489" s="17"/>
    </row>
    <row r="490" hidden="1">
      <c r="A490" s="1" t="s">
        <v>455</v>
      </c>
      <c r="B490" s="1" t="s">
        <v>455</v>
      </c>
      <c r="C490" s="13">
        <v>45668.44236111111</v>
      </c>
      <c r="D490" s="5" t="s">
        <v>149</v>
      </c>
      <c r="E490" s="2" t="s">
        <v>150</v>
      </c>
      <c r="F490" s="14" t="s">
        <v>3522</v>
      </c>
      <c r="G490" s="14" t="s">
        <v>3523</v>
      </c>
      <c r="H490" s="15" t="s">
        <v>24</v>
      </c>
      <c r="I490" s="15" t="s">
        <v>3614</v>
      </c>
      <c r="J490" s="2">
        <v>2.0</v>
      </c>
      <c r="K490" s="12" t="s">
        <v>3920</v>
      </c>
      <c r="L490" s="17"/>
    </row>
    <row r="491" hidden="1">
      <c r="A491" s="1" t="s">
        <v>456</v>
      </c>
      <c r="B491" s="1" t="s">
        <v>456</v>
      </c>
      <c r="C491" s="13">
        <v>45668.44236111111</v>
      </c>
      <c r="D491" s="5" t="s">
        <v>349</v>
      </c>
      <c r="E491" s="2" t="s">
        <v>350</v>
      </c>
      <c r="F491" s="14" t="s">
        <v>3547</v>
      </c>
      <c r="G491" s="14" t="s">
        <v>3548</v>
      </c>
      <c r="H491" s="15" t="s">
        <v>24</v>
      </c>
      <c r="I491" s="15" t="s">
        <v>3491</v>
      </c>
      <c r="J491" s="2">
        <v>6.0</v>
      </c>
      <c r="K491" s="19"/>
      <c r="L491" s="20"/>
    </row>
    <row r="492" hidden="1">
      <c r="A492" s="1" t="s">
        <v>457</v>
      </c>
      <c r="B492" s="1" t="s">
        <v>457</v>
      </c>
      <c r="C492" s="13">
        <v>45670.48611111111</v>
      </c>
      <c r="D492" s="5" t="s">
        <v>458</v>
      </c>
      <c r="E492" s="2" t="s">
        <v>459</v>
      </c>
      <c r="F492" s="14" t="s">
        <v>3493</v>
      </c>
      <c r="G492" s="14" t="s">
        <v>3494</v>
      </c>
      <c r="H492" s="15" t="s">
        <v>16</v>
      </c>
      <c r="I492" s="15" t="s">
        <v>3488</v>
      </c>
      <c r="J492" s="2">
        <v>1.0</v>
      </c>
      <c r="K492" s="19"/>
      <c r="L492" s="16">
        <v>220000.0</v>
      </c>
    </row>
    <row r="493" hidden="1">
      <c r="A493" s="1" t="s">
        <v>460</v>
      </c>
      <c r="B493" s="1" t="s">
        <v>460</v>
      </c>
      <c r="C493" s="13">
        <v>45670.513194444444</v>
      </c>
      <c r="D493" s="5" t="s">
        <v>13</v>
      </c>
      <c r="E493" s="2" t="s">
        <v>14</v>
      </c>
      <c r="F493" s="14" t="s">
        <v>3486</v>
      </c>
      <c r="G493" s="14" t="s">
        <v>3487</v>
      </c>
      <c r="H493" s="15" t="s">
        <v>24</v>
      </c>
      <c r="I493" s="15" t="s">
        <v>3491</v>
      </c>
      <c r="J493" s="2">
        <v>27.0</v>
      </c>
      <c r="K493" s="12" t="s">
        <v>3921</v>
      </c>
      <c r="L493" s="17"/>
    </row>
    <row r="494" hidden="1">
      <c r="A494" s="1" t="s">
        <v>461</v>
      </c>
      <c r="B494" s="1" t="s">
        <v>461</v>
      </c>
      <c r="C494" s="13">
        <v>45670.51736111111</v>
      </c>
      <c r="D494" s="5" t="s">
        <v>458</v>
      </c>
      <c r="E494" s="2" t="s">
        <v>459</v>
      </c>
      <c r="F494" s="14" t="s">
        <v>3493</v>
      </c>
      <c r="G494" s="14" t="s">
        <v>3494</v>
      </c>
      <c r="H494" s="15" t="s">
        <v>24</v>
      </c>
      <c r="I494" s="15" t="s">
        <v>3491</v>
      </c>
      <c r="J494" s="2">
        <v>1.0</v>
      </c>
      <c r="K494" s="19"/>
      <c r="L494" s="20"/>
    </row>
    <row r="495" hidden="1">
      <c r="A495" s="1" t="s">
        <v>462</v>
      </c>
      <c r="B495" s="1" t="s">
        <v>462</v>
      </c>
      <c r="C495" s="13">
        <v>45670.52222222222</v>
      </c>
      <c r="D495" s="5" t="s">
        <v>397</v>
      </c>
      <c r="E495" s="2" t="s">
        <v>398</v>
      </c>
      <c r="F495" s="14" t="s">
        <v>3835</v>
      </c>
      <c r="G495" s="14" t="s">
        <v>3836</v>
      </c>
      <c r="H495" s="15" t="s">
        <v>24</v>
      </c>
      <c r="I495" s="15" t="s">
        <v>3491</v>
      </c>
      <c r="J495" s="2">
        <v>1.0</v>
      </c>
      <c r="K495" s="12" t="s">
        <v>3912</v>
      </c>
      <c r="L495" s="17"/>
    </row>
    <row r="496" hidden="1">
      <c r="A496" s="1" t="s">
        <v>463</v>
      </c>
      <c r="B496" s="1" t="s">
        <v>463</v>
      </c>
      <c r="C496" s="13">
        <v>45671.35972222222</v>
      </c>
      <c r="D496" s="5" t="s">
        <v>464</v>
      </c>
      <c r="E496" s="2" t="s">
        <v>465</v>
      </c>
      <c r="F496" s="14" t="s">
        <v>3486</v>
      </c>
      <c r="G496" s="14" t="s">
        <v>3487</v>
      </c>
      <c r="H496" s="15" t="s">
        <v>16</v>
      </c>
      <c r="I496" s="15" t="s">
        <v>3488</v>
      </c>
      <c r="J496" s="2">
        <v>5.0</v>
      </c>
      <c r="K496" s="12" t="s">
        <v>3922</v>
      </c>
      <c r="L496" s="16">
        <v>55000.0</v>
      </c>
    </row>
    <row r="497" hidden="1">
      <c r="A497" s="1" t="s">
        <v>467</v>
      </c>
      <c r="B497" s="1" t="s">
        <v>467</v>
      </c>
      <c r="C497" s="13">
        <v>45671.493055555555</v>
      </c>
      <c r="D497" s="5" t="s">
        <v>305</v>
      </c>
      <c r="E497" s="2" t="s">
        <v>306</v>
      </c>
      <c r="F497" s="14" t="s">
        <v>3486</v>
      </c>
      <c r="G497" s="14" t="s">
        <v>3487</v>
      </c>
      <c r="H497" s="15" t="s">
        <v>24</v>
      </c>
      <c r="I497" s="15" t="s">
        <v>3491</v>
      </c>
      <c r="J497" s="2">
        <v>4.0</v>
      </c>
      <c r="K497" s="12" t="s">
        <v>3923</v>
      </c>
      <c r="L497" s="20"/>
    </row>
    <row r="498" hidden="1">
      <c r="A498" s="1" t="s">
        <v>468</v>
      </c>
      <c r="B498" s="1" t="s">
        <v>468</v>
      </c>
      <c r="C498" s="13">
        <v>45671.49375</v>
      </c>
      <c r="D498" s="5" t="s">
        <v>28</v>
      </c>
      <c r="E498" s="2" t="s">
        <v>29</v>
      </c>
      <c r="F498" s="14" t="s">
        <v>3493</v>
      </c>
      <c r="G498" s="14" t="s">
        <v>3494</v>
      </c>
      <c r="H498" s="15" t="s">
        <v>24</v>
      </c>
      <c r="I498" s="15" t="s">
        <v>3491</v>
      </c>
      <c r="J498" s="2">
        <v>2.0</v>
      </c>
      <c r="K498" s="19"/>
      <c r="L498" s="20"/>
    </row>
    <row r="499" hidden="1">
      <c r="A499" s="1" t="s">
        <v>469</v>
      </c>
      <c r="B499" s="1" t="s">
        <v>469</v>
      </c>
      <c r="C499" s="13">
        <v>45672.35972222222</v>
      </c>
      <c r="D499" s="5" t="s">
        <v>309</v>
      </c>
      <c r="E499" s="2" t="s">
        <v>310</v>
      </c>
      <c r="F499" s="14" t="s">
        <v>3506</v>
      </c>
      <c r="G499" s="14" t="s">
        <v>3507</v>
      </c>
      <c r="H499" s="15" t="s">
        <v>16</v>
      </c>
      <c r="I499" s="15" t="s">
        <v>3488</v>
      </c>
      <c r="J499" s="2">
        <v>14.0</v>
      </c>
      <c r="K499" s="19"/>
      <c r="L499" s="14">
        <v>55000.0</v>
      </c>
    </row>
    <row r="500" hidden="1">
      <c r="A500" s="1" t="s">
        <v>470</v>
      </c>
      <c r="B500" s="1" t="s">
        <v>470</v>
      </c>
      <c r="C500" s="13">
        <v>45672.501388888886</v>
      </c>
      <c r="D500" s="22" t="s">
        <v>114</v>
      </c>
      <c r="E500" s="2" t="s">
        <v>115</v>
      </c>
      <c r="F500" s="14" t="s">
        <v>3486</v>
      </c>
      <c r="G500" s="14" t="s">
        <v>3487</v>
      </c>
      <c r="H500" s="15" t="s">
        <v>24</v>
      </c>
      <c r="I500" s="15" t="s">
        <v>3491</v>
      </c>
      <c r="J500" s="2">
        <v>8.0</v>
      </c>
      <c r="K500" s="12" t="s">
        <v>3924</v>
      </c>
      <c r="L500" s="17"/>
    </row>
    <row r="501" hidden="1">
      <c r="A501" s="1" t="s">
        <v>471</v>
      </c>
      <c r="B501" s="1" t="s">
        <v>471</v>
      </c>
      <c r="C501" s="13">
        <v>45672.50277777778</v>
      </c>
      <c r="D501" s="5" t="s">
        <v>309</v>
      </c>
      <c r="E501" s="2" t="s">
        <v>310</v>
      </c>
      <c r="F501" s="14" t="s">
        <v>3506</v>
      </c>
      <c r="G501" s="14" t="s">
        <v>3507</v>
      </c>
      <c r="H501" s="15" t="s">
        <v>24</v>
      </c>
      <c r="I501" s="15" t="s">
        <v>3491</v>
      </c>
      <c r="J501" s="2">
        <v>3.0</v>
      </c>
      <c r="K501" s="19"/>
      <c r="L501" s="17"/>
    </row>
    <row r="502" hidden="1">
      <c r="A502" s="1" t="s">
        <v>471</v>
      </c>
      <c r="B502" s="1" t="s">
        <v>471</v>
      </c>
      <c r="C502" s="13">
        <v>45672.504166666666</v>
      </c>
      <c r="D502" s="5" t="s">
        <v>309</v>
      </c>
      <c r="E502" s="2" t="s">
        <v>310</v>
      </c>
      <c r="F502" s="14" t="s">
        <v>3486</v>
      </c>
      <c r="G502" s="14" t="s">
        <v>3487</v>
      </c>
      <c r="H502" s="15" t="s">
        <v>24</v>
      </c>
      <c r="I502" s="15" t="s">
        <v>3491</v>
      </c>
      <c r="J502" s="2">
        <v>2.0</v>
      </c>
      <c r="K502" s="12" t="s">
        <v>3925</v>
      </c>
      <c r="L502" s="17"/>
    </row>
    <row r="503" hidden="1">
      <c r="A503" s="1" t="s">
        <v>471</v>
      </c>
      <c r="B503" s="1" t="s">
        <v>471</v>
      </c>
      <c r="C503" s="13">
        <v>45672.50555555556</v>
      </c>
      <c r="D503" s="5" t="s">
        <v>309</v>
      </c>
      <c r="E503" s="2" t="s">
        <v>310</v>
      </c>
      <c r="F503" s="14" t="s">
        <v>3486</v>
      </c>
      <c r="G503" s="14" t="s">
        <v>3487</v>
      </c>
      <c r="H503" s="15" t="s">
        <v>24</v>
      </c>
      <c r="I503" s="15" t="s">
        <v>3614</v>
      </c>
      <c r="J503" s="2">
        <v>1.0</v>
      </c>
      <c r="K503" s="12" t="s">
        <v>3926</v>
      </c>
      <c r="L503" s="17"/>
    </row>
    <row r="504" hidden="1">
      <c r="A504" s="1" t="s">
        <v>472</v>
      </c>
      <c r="B504" s="1" t="s">
        <v>472</v>
      </c>
      <c r="C504" s="13">
        <v>45672.50555555556</v>
      </c>
      <c r="D504" s="5" t="s">
        <v>213</v>
      </c>
      <c r="E504" s="2" t="s">
        <v>214</v>
      </c>
      <c r="F504" s="14" t="s">
        <v>3486</v>
      </c>
      <c r="G504" s="14" t="s">
        <v>3487</v>
      </c>
      <c r="H504" s="15" t="s">
        <v>24</v>
      </c>
      <c r="I504" s="15" t="s">
        <v>3491</v>
      </c>
      <c r="J504" s="2">
        <v>7.0</v>
      </c>
      <c r="K504" s="12" t="s">
        <v>3927</v>
      </c>
      <c r="L504" s="20"/>
    </row>
    <row r="505">
      <c r="A505" s="1" t="s">
        <v>473</v>
      </c>
      <c r="B505" s="1" t="s">
        <v>473</v>
      </c>
      <c r="C505" s="13">
        <v>45672.51944444444</v>
      </c>
      <c r="D505" s="5" t="s">
        <v>45</v>
      </c>
      <c r="E505" s="2" t="s">
        <v>46</v>
      </c>
      <c r="F505" s="14" t="s">
        <v>3486</v>
      </c>
      <c r="G505" s="14" t="s">
        <v>3487</v>
      </c>
      <c r="H505" s="15" t="s">
        <v>16</v>
      </c>
      <c r="I505" s="15" t="s">
        <v>3488</v>
      </c>
      <c r="J505" s="2">
        <v>10.0</v>
      </c>
      <c r="K505" s="12" t="s">
        <v>3928</v>
      </c>
      <c r="L505" s="14">
        <v>60000.0</v>
      </c>
    </row>
    <row r="506" hidden="1">
      <c r="A506" s="1" t="s">
        <v>474</v>
      </c>
      <c r="B506" s="1" t="s">
        <v>474</v>
      </c>
      <c r="C506" s="13">
        <v>45673.34444444445</v>
      </c>
      <c r="D506" s="5" t="s">
        <v>349</v>
      </c>
      <c r="E506" s="2" t="s">
        <v>350</v>
      </c>
      <c r="F506" s="14" t="s">
        <v>3547</v>
      </c>
      <c r="G506" s="14" t="s">
        <v>3548</v>
      </c>
      <c r="H506" s="15" t="s">
        <v>16</v>
      </c>
      <c r="I506" s="15" t="s">
        <v>3488</v>
      </c>
      <c r="J506" s="2">
        <v>5.0</v>
      </c>
      <c r="K506" s="19"/>
      <c r="L506" s="14">
        <v>900900.9009</v>
      </c>
    </row>
    <row r="507">
      <c r="A507" s="1" t="s">
        <v>475</v>
      </c>
      <c r="B507" s="1" t="s">
        <v>475</v>
      </c>
      <c r="C507" s="13">
        <v>45672.652083333334</v>
      </c>
      <c r="D507" s="5" t="s">
        <v>45</v>
      </c>
      <c r="E507" s="2" t="s">
        <v>46</v>
      </c>
      <c r="F507" s="14" t="s">
        <v>3486</v>
      </c>
      <c r="G507" s="14" t="s">
        <v>3487</v>
      </c>
      <c r="H507" s="15" t="s">
        <v>24</v>
      </c>
      <c r="I507" s="15" t="s">
        <v>3491</v>
      </c>
      <c r="J507" s="2">
        <v>13.0</v>
      </c>
      <c r="K507" s="12" t="s">
        <v>3929</v>
      </c>
      <c r="L507" s="17"/>
    </row>
    <row r="508">
      <c r="A508" s="1" t="s">
        <v>475</v>
      </c>
      <c r="B508" s="1" t="s">
        <v>475</v>
      </c>
      <c r="C508" s="13">
        <v>45672.65625</v>
      </c>
      <c r="D508" s="5" t="s">
        <v>45</v>
      </c>
      <c r="E508" s="2" t="s">
        <v>46</v>
      </c>
      <c r="F508" s="14" t="s">
        <v>3516</v>
      </c>
      <c r="G508" s="14" t="s">
        <v>3517</v>
      </c>
      <c r="H508" s="15" t="s">
        <v>24</v>
      </c>
      <c r="I508" s="15" t="s">
        <v>3491</v>
      </c>
      <c r="J508" s="2">
        <v>1.0</v>
      </c>
      <c r="K508" s="12" t="s">
        <v>3930</v>
      </c>
      <c r="L508" s="16">
        <v>0.0</v>
      </c>
    </row>
    <row r="509">
      <c r="A509" s="1" t="s">
        <v>475</v>
      </c>
      <c r="B509" s="1" t="s">
        <v>475</v>
      </c>
      <c r="C509" s="13">
        <v>45672.65694444445</v>
      </c>
      <c r="D509" s="5" t="s">
        <v>45</v>
      </c>
      <c r="E509" s="2" t="s">
        <v>46</v>
      </c>
      <c r="F509" s="14" t="s">
        <v>3522</v>
      </c>
      <c r="G509" s="14" t="s">
        <v>3523</v>
      </c>
      <c r="H509" s="15" t="s">
        <v>24</v>
      </c>
      <c r="I509" s="15" t="s">
        <v>3491</v>
      </c>
      <c r="J509" s="2">
        <v>6.0</v>
      </c>
      <c r="K509" s="12" t="s">
        <v>3931</v>
      </c>
      <c r="L509" s="20"/>
    </row>
    <row r="510" hidden="1">
      <c r="A510" s="1" t="s">
        <v>476</v>
      </c>
      <c r="B510" s="1" t="s">
        <v>476</v>
      </c>
      <c r="C510" s="13">
        <v>45672.67222222222</v>
      </c>
      <c r="D510" s="5" t="s">
        <v>383</v>
      </c>
      <c r="E510" s="2" t="s">
        <v>384</v>
      </c>
      <c r="F510" s="14" t="s">
        <v>3486</v>
      </c>
      <c r="G510" s="14" t="s">
        <v>3487</v>
      </c>
      <c r="H510" s="15" t="s">
        <v>16</v>
      </c>
      <c r="I510" s="15" t="s">
        <v>3488</v>
      </c>
      <c r="J510" s="2">
        <v>1.0</v>
      </c>
      <c r="K510" s="12" t="s">
        <v>3859</v>
      </c>
      <c r="L510" s="14">
        <v>70000.0</v>
      </c>
    </row>
    <row r="511" hidden="1">
      <c r="A511" s="1" t="s">
        <v>477</v>
      </c>
      <c r="B511" s="1" t="s">
        <v>477</v>
      </c>
      <c r="C511" s="13">
        <v>45674.33541666667</v>
      </c>
      <c r="D511" s="5" t="s">
        <v>326</v>
      </c>
      <c r="E511" s="2" t="s">
        <v>327</v>
      </c>
      <c r="F511" s="14" t="s">
        <v>3486</v>
      </c>
      <c r="G511" s="14" t="s">
        <v>3487</v>
      </c>
      <c r="H511" s="15" t="s">
        <v>16</v>
      </c>
      <c r="I511" s="15" t="s">
        <v>3488</v>
      </c>
      <c r="J511" s="2">
        <v>20.0</v>
      </c>
      <c r="K511" s="12" t="s">
        <v>3932</v>
      </c>
      <c r="L511" s="14">
        <v>45000.0</v>
      </c>
    </row>
    <row r="512">
      <c r="A512" s="1" t="s">
        <v>478</v>
      </c>
      <c r="B512" s="1" t="s">
        <v>478</v>
      </c>
      <c r="C512" s="13">
        <v>45673.69930555556</v>
      </c>
      <c r="D512" s="5" t="s">
        <v>45</v>
      </c>
      <c r="E512" s="2" t="s">
        <v>46</v>
      </c>
      <c r="F512" s="14" t="s">
        <v>3522</v>
      </c>
      <c r="G512" s="14" t="s">
        <v>3523</v>
      </c>
      <c r="H512" s="15" t="s">
        <v>16</v>
      </c>
      <c r="I512" s="15" t="s">
        <v>3488</v>
      </c>
      <c r="J512" s="2">
        <v>10.0</v>
      </c>
      <c r="K512" s="12" t="s">
        <v>3933</v>
      </c>
      <c r="L512" s="16">
        <v>185000.0</v>
      </c>
    </row>
    <row r="513" hidden="1">
      <c r="A513" s="1" t="s">
        <v>479</v>
      </c>
      <c r="B513" s="1" t="s">
        <v>479</v>
      </c>
      <c r="C513" s="13">
        <v>45673.70347222222</v>
      </c>
      <c r="D513" s="5" t="s">
        <v>126</v>
      </c>
      <c r="E513" s="2" t="s">
        <v>127</v>
      </c>
      <c r="F513" s="14" t="s">
        <v>3486</v>
      </c>
      <c r="G513" s="14" t="s">
        <v>3487</v>
      </c>
      <c r="H513" s="15" t="s">
        <v>24</v>
      </c>
      <c r="I513" s="15" t="s">
        <v>3491</v>
      </c>
      <c r="J513" s="2">
        <v>1.0</v>
      </c>
      <c r="K513" s="12" t="s">
        <v>3934</v>
      </c>
      <c r="L513" s="20"/>
    </row>
    <row r="514" hidden="1">
      <c r="A514" s="1" t="s">
        <v>480</v>
      </c>
      <c r="B514" s="1" t="s">
        <v>480</v>
      </c>
      <c r="C514" s="13">
        <v>45673.70347222222</v>
      </c>
      <c r="D514" s="5" t="s">
        <v>349</v>
      </c>
      <c r="E514" s="2" t="s">
        <v>350</v>
      </c>
      <c r="F514" s="14" t="s">
        <v>3547</v>
      </c>
      <c r="G514" s="14" t="s">
        <v>3548</v>
      </c>
      <c r="H514" s="15" t="s">
        <v>24</v>
      </c>
      <c r="I514" s="15" t="s">
        <v>3491</v>
      </c>
      <c r="J514" s="2">
        <v>5.0</v>
      </c>
      <c r="K514" s="19"/>
      <c r="L514" s="20"/>
    </row>
    <row r="515" hidden="1">
      <c r="A515" s="1" t="s">
        <v>481</v>
      </c>
      <c r="B515" s="1" t="s">
        <v>481</v>
      </c>
      <c r="C515" s="13">
        <v>45674.52013888889</v>
      </c>
      <c r="D515" s="5" t="s">
        <v>326</v>
      </c>
      <c r="E515" s="2" t="s">
        <v>327</v>
      </c>
      <c r="F515" s="14" t="s">
        <v>3486</v>
      </c>
      <c r="G515" s="14" t="s">
        <v>3487</v>
      </c>
      <c r="H515" s="15" t="s">
        <v>24</v>
      </c>
      <c r="I515" s="15" t="s">
        <v>3491</v>
      </c>
      <c r="J515" s="2">
        <v>11.0</v>
      </c>
      <c r="K515" s="12" t="s">
        <v>3935</v>
      </c>
      <c r="L515" s="17"/>
    </row>
    <row r="516" hidden="1">
      <c r="A516" s="1" t="s">
        <v>482</v>
      </c>
      <c r="B516" s="1" t="s">
        <v>482</v>
      </c>
      <c r="C516" s="13">
        <v>45674.520833333336</v>
      </c>
      <c r="D516" s="5" t="s">
        <v>13</v>
      </c>
      <c r="E516" s="2" t="s">
        <v>14</v>
      </c>
      <c r="F516" s="14" t="s">
        <v>3486</v>
      </c>
      <c r="G516" s="14" t="s">
        <v>3487</v>
      </c>
      <c r="H516" s="15" t="s">
        <v>24</v>
      </c>
      <c r="I516" s="15" t="s">
        <v>3491</v>
      </c>
      <c r="J516" s="2">
        <v>7.0</v>
      </c>
      <c r="K516" s="12" t="s">
        <v>3936</v>
      </c>
      <c r="L516" s="17"/>
    </row>
    <row r="517" hidden="1">
      <c r="A517" s="1" t="s">
        <v>483</v>
      </c>
      <c r="B517" s="1" t="s">
        <v>483</v>
      </c>
      <c r="C517" s="13">
        <v>45675.47708333333</v>
      </c>
      <c r="D517" s="5" t="s">
        <v>305</v>
      </c>
      <c r="E517" s="2" t="s">
        <v>306</v>
      </c>
      <c r="F517" s="14" t="s">
        <v>3486</v>
      </c>
      <c r="G517" s="14" t="s">
        <v>3487</v>
      </c>
      <c r="H517" s="15" t="s">
        <v>24</v>
      </c>
      <c r="I517" s="15" t="s">
        <v>3491</v>
      </c>
      <c r="J517" s="2">
        <v>3.0</v>
      </c>
      <c r="K517" s="12" t="s">
        <v>3937</v>
      </c>
      <c r="L517" s="17"/>
    </row>
    <row r="518" hidden="1">
      <c r="A518" s="1" t="s">
        <v>484</v>
      </c>
      <c r="B518" s="1" t="s">
        <v>484</v>
      </c>
      <c r="C518" s="13">
        <v>45677.345138888886</v>
      </c>
      <c r="D518" s="5" t="s">
        <v>213</v>
      </c>
      <c r="E518" s="2" t="s">
        <v>214</v>
      </c>
      <c r="F518" s="14" t="s">
        <v>3486</v>
      </c>
      <c r="G518" s="14" t="s">
        <v>3487</v>
      </c>
      <c r="H518" s="15" t="s">
        <v>16</v>
      </c>
      <c r="I518" s="15" t="s">
        <v>3488</v>
      </c>
      <c r="J518" s="2">
        <v>15.0</v>
      </c>
      <c r="K518" s="12" t="s">
        <v>3938</v>
      </c>
      <c r="L518" s="16">
        <v>60000.0</v>
      </c>
    </row>
    <row r="519" hidden="1">
      <c r="A519" s="1" t="s">
        <v>485</v>
      </c>
      <c r="B519" s="1" t="s">
        <v>485</v>
      </c>
      <c r="C519" s="13">
        <v>45677.663194444445</v>
      </c>
      <c r="D519" s="5" t="s">
        <v>213</v>
      </c>
      <c r="E519" s="2" t="s">
        <v>214</v>
      </c>
      <c r="F519" s="14" t="s">
        <v>3486</v>
      </c>
      <c r="G519" s="14" t="s">
        <v>3487</v>
      </c>
      <c r="H519" s="15" t="s">
        <v>24</v>
      </c>
      <c r="I519" s="15" t="s">
        <v>3491</v>
      </c>
      <c r="J519" s="2">
        <v>15.0</v>
      </c>
      <c r="K519" s="12" t="s">
        <v>3939</v>
      </c>
      <c r="L519" s="20"/>
    </row>
    <row r="520" hidden="1">
      <c r="A520" s="1" t="s">
        <v>486</v>
      </c>
      <c r="B520" s="1" t="s">
        <v>486</v>
      </c>
      <c r="C520" s="13">
        <v>45677.66527777778</v>
      </c>
      <c r="D520" s="22" t="s">
        <v>114</v>
      </c>
      <c r="E520" s="2" t="s">
        <v>115</v>
      </c>
      <c r="F520" s="14" t="s">
        <v>3486</v>
      </c>
      <c r="G520" s="14" t="s">
        <v>3487</v>
      </c>
      <c r="H520" s="15" t="s">
        <v>24</v>
      </c>
      <c r="I520" s="15" t="s">
        <v>3491</v>
      </c>
      <c r="J520" s="2">
        <v>1.0</v>
      </c>
      <c r="K520" s="12" t="s">
        <v>3940</v>
      </c>
      <c r="L520" s="17"/>
    </row>
    <row r="521" hidden="1">
      <c r="A521" s="1" t="s">
        <v>486</v>
      </c>
      <c r="B521" s="1" t="s">
        <v>486</v>
      </c>
      <c r="C521" s="13">
        <v>45677.66527777778</v>
      </c>
      <c r="D521" s="22" t="s">
        <v>114</v>
      </c>
      <c r="E521" s="2" t="s">
        <v>115</v>
      </c>
      <c r="F521" s="14" t="s">
        <v>3585</v>
      </c>
      <c r="G521" s="14" t="s">
        <v>3586</v>
      </c>
      <c r="H521" s="15" t="s">
        <v>24</v>
      </c>
      <c r="I521" s="15" t="s">
        <v>3491</v>
      </c>
      <c r="J521" s="2">
        <v>2.0</v>
      </c>
      <c r="K521" s="12" t="s">
        <v>3941</v>
      </c>
      <c r="L521" s="17"/>
    </row>
    <row r="522" hidden="1">
      <c r="A522" s="1" t="s">
        <v>487</v>
      </c>
      <c r="B522" s="1" t="s">
        <v>487</v>
      </c>
      <c r="C522" s="13">
        <v>45678.493055555555</v>
      </c>
      <c r="D522" s="5" t="s">
        <v>49</v>
      </c>
      <c r="E522" s="2" t="s">
        <v>50</v>
      </c>
      <c r="F522" s="14" t="s">
        <v>3486</v>
      </c>
      <c r="G522" s="14" t="s">
        <v>3487</v>
      </c>
      <c r="H522" s="15" t="s">
        <v>16</v>
      </c>
      <c r="I522" s="15" t="s">
        <v>3488</v>
      </c>
      <c r="J522" s="2">
        <v>5.0</v>
      </c>
      <c r="K522" s="12" t="s">
        <v>3942</v>
      </c>
      <c r="L522" s="14">
        <v>60000.0</v>
      </c>
    </row>
    <row r="523" hidden="1">
      <c r="A523" s="1" t="s">
        <v>488</v>
      </c>
      <c r="B523" s="1" t="s">
        <v>488</v>
      </c>
      <c r="C523" s="13">
        <v>45678.561111111114</v>
      </c>
      <c r="D523" s="5" t="s">
        <v>464</v>
      </c>
      <c r="E523" s="2" t="s">
        <v>465</v>
      </c>
      <c r="F523" s="14" t="s">
        <v>3486</v>
      </c>
      <c r="G523" s="14" t="s">
        <v>3487</v>
      </c>
      <c r="H523" s="15" t="s">
        <v>16</v>
      </c>
      <c r="I523" s="15" t="s">
        <v>3488</v>
      </c>
      <c r="J523" s="2">
        <v>5.0</v>
      </c>
      <c r="K523" s="12" t="s">
        <v>3943</v>
      </c>
      <c r="L523" s="14">
        <v>55000.0</v>
      </c>
    </row>
    <row r="524" hidden="1">
      <c r="A524" s="1" t="s">
        <v>489</v>
      </c>
      <c r="B524" s="1" t="s">
        <v>489</v>
      </c>
      <c r="C524" s="13">
        <v>45678.62013888889</v>
      </c>
      <c r="D524" s="5" t="s">
        <v>464</v>
      </c>
      <c r="E524" s="2" t="s">
        <v>465</v>
      </c>
      <c r="F524" s="14" t="s">
        <v>3486</v>
      </c>
      <c r="G524" s="14" t="s">
        <v>3487</v>
      </c>
      <c r="H524" s="15" t="s">
        <v>24</v>
      </c>
      <c r="I524" s="15" t="s">
        <v>3491</v>
      </c>
      <c r="J524" s="2">
        <v>4.0</v>
      </c>
      <c r="K524" s="12" t="s">
        <v>3944</v>
      </c>
      <c r="L524" s="17"/>
    </row>
    <row r="525" hidden="1">
      <c r="A525" s="1" t="s">
        <v>490</v>
      </c>
      <c r="B525" s="1" t="s">
        <v>490</v>
      </c>
      <c r="C525" s="13">
        <v>45678.620833333334</v>
      </c>
      <c r="D525" s="5" t="s">
        <v>49</v>
      </c>
      <c r="E525" s="2" t="s">
        <v>50</v>
      </c>
      <c r="F525" s="14" t="s">
        <v>3486</v>
      </c>
      <c r="G525" s="14" t="s">
        <v>3487</v>
      </c>
      <c r="H525" s="15" t="s">
        <v>24</v>
      </c>
      <c r="I525" s="15" t="s">
        <v>3491</v>
      </c>
      <c r="J525" s="2">
        <v>5.0</v>
      </c>
      <c r="K525" s="12" t="s">
        <v>3945</v>
      </c>
      <c r="L525" s="20"/>
    </row>
    <row r="526" hidden="1">
      <c r="A526" s="1" t="s">
        <v>491</v>
      </c>
      <c r="B526" s="1" t="s">
        <v>491</v>
      </c>
      <c r="C526" s="13">
        <v>45679.34027777778</v>
      </c>
      <c r="D526" s="5" t="s">
        <v>349</v>
      </c>
      <c r="E526" s="2" t="s">
        <v>350</v>
      </c>
      <c r="F526" s="14" t="s">
        <v>3547</v>
      </c>
      <c r="G526" s="14" t="s">
        <v>3548</v>
      </c>
      <c r="H526" s="15" t="s">
        <v>16</v>
      </c>
      <c r="I526" s="15" t="s">
        <v>3488</v>
      </c>
      <c r="J526" s="2">
        <v>5.0</v>
      </c>
      <c r="K526" s="19"/>
      <c r="L526" s="16">
        <v>900900.9009</v>
      </c>
    </row>
    <row r="527" hidden="1">
      <c r="A527" s="1" t="s">
        <v>492</v>
      </c>
      <c r="B527" s="1" t="s">
        <v>492</v>
      </c>
      <c r="C527" s="13">
        <v>45679.34166666667</v>
      </c>
      <c r="D527" s="5" t="s">
        <v>493</v>
      </c>
      <c r="E527" s="2" t="s">
        <v>494</v>
      </c>
      <c r="F527" s="14" t="s">
        <v>3486</v>
      </c>
      <c r="G527" s="14" t="s">
        <v>3487</v>
      </c>
      <c r="H527" s="15" t="s">
        <v>16</v>
      </c>
      <c r="I527" s="15" t="s">
        <v>3488</v>
      </c>
      <c r="J527" s="2">
        <v>10.0</v>
      </c>
      <c r="K527" s="12" t="s">
        <v>3946</v>
      </c>
      <c r="L527" s="14">
        <v>50000.0</v>
      </c>
    </row>
    <row r="528" hidden="1">
      <c r="A528" s="1" t="s">
        <v>496</v>
      </c>
      <c r="B528" s="1" t="s">
        <v>496</v>
      </c>
      <c r="C528" s="13">
        <v>45679.3625</v>
      </c>
      <c r="D528" s="5" t="s">
        <v>213</v>
      </c>
      <c r="E528" s="2" t="s">
        <v>214</v>
      </c>
      <c r="F528" s="14" t="s">
        <v>3486</v>
      </c>
      <c r="G528" s="14" t="s">
        <v>3487</v>
      </c>
      <c r="H528" s="15" t="s">
        <v>16</v>
      </c>
      <c r="I528" s="15" t="s">
        <v>3488</v>
      </c>
      <c r="J528" s="2">
        <v>15.0</v>
      </c>
      <c r="K528" s="12" t="s">
        <v>3947</v>
      </c>
      <c r="L528" s="14">
        <v>60000.0</v>
      </c>
    </row>
    <row r="529" hidden="1">
      <c r="A529" s="1" t="s">
        <v>497</v>
      </c>
      <c r="B529" s="1" t="s">
        <v>497</v>
      </c>
      <c r="C529" s="13">
        <v>45679.47222222222</v>
      </c>
      <c r="D529" s="5" t="s">
        <v>213</v>
      </c>
      <c r="E529" s="2" t="s">
        <v>214</v>
      </c>
      <c r="F529" s="14" t="s">
        <v>3486</v>
      </c>
      <c r="G529" s="14" t="s">
        <v>3487</v>
      </c>
      <c r="H529" s="15" t="s">
        <v>24</v>
      </c>
      <c r="I529" s="15" t="s">
        <v>3491</v>
      </c>
      <c r="J529" s="2">
        <v>16.0</v>
      </c>
      <c r="K529" s="12" t="s">
        <v>3948</v>
      </c>
      <c r="L529" s="17"/>
    </row>
    <row r="530" hidden="1">
      <c r="A530" s="1" t="s">
        <v>497</v>
      </c>
      <c r="B530" s="1" t="s">
        <v>497</v>
      </c>
      <c r="C530" s="13">
        <v>45679.47430555556</v>
      </c>
      <c r="D530" s="5" t="s">
        <v>213</v>
      </c>
      <c r="E530" s="2" t="s">
        <v>214</v>
      </c>
      <c r="F530" s="14" t="s">
        <v>3547</v>
      </c>
      <c r="G530" s="14" t="s">
        <v>3548</v>
      </c>
      <c r="H530" s="15" t="s">
        <v>24</v>
      </c>
      <c r="I530" s="15" t="s">
        <v>3491</v>
      </c>
      <c r="J530" s="2">
        <v>1.0</v>
      </c>
      <c r="K530" s="19"/>
      <c r="L530" s="17"/>
    </row>
    <row r="531" hidden="1">
      <c r="A531" s="1" t="s">
        <v>498</v>
      </c>
      <c r="B531" s="1" t="s">
        <v>498</v>
      </c>
      <c r="C531" s="13">
        <v>45679.775</v>
      </c>
      <c r="D531" s="5" t="s">
        <v>493</v>
      </c>
      <c r="E531" s="2" t="s">
        <v>494</v>
      </c>
      <c r="F531" s="14" t="s">
        <v>3493</v>
      </c>
      <c r="G531" s="14" t="s">
        <v>3494</v>
      </c>
      <c r="H531" s="15" t="s">
        <v>24</v>
      </c>
      <c r="I531" s="15" t="s">
        <v>3491</v>
      </c>
      <c r="J531" s="2">
        <v>1.0</v>
      </c>
      <c r="K531" s="19"/>
      <c r="L531" s="20"/>
    </row>
    <row r="532">
      <c r="A532" s="1" t="s">
        <v>499</v>
      </c>
      <c r="B532" s="1" t="s">
        <v>499</v>
      </c>
      <c r="C532" s="13">
        <v>45680.393055555556</v>
      </c>
      <c r="D532" s="5" t="s">
        <v>45</v>
      </c>
      <c r="E532" s="2" t="s">
        <v>46</v>
      </c>
      <c r="F532" s="14" t="s">
        <v>3522</v>
      </c>
      <c r="G532" s="14" t="s">
        <v>3523</v>
      </c>
      <c r="H532" s="15" t="s">
        <v>16</v>
      </c>
      <c r="I532" s="15" t="s">
        <v>3488</v>
      </c>
      <c r="J532" s="2">
        <v>5.0</v>
      </c>
      <c r="K532" s="12" t="s">
        <v>3949</v>
      </c>
      <c r="L532" s="14">
        <v>185000.0</v>
      </c>
    </row>
    <row r="533" hidden="1">
      <c r="A533" s="1" t="s">
        <v>500</v>
      </c>
      <c r="B533" s="1" t="s">
        <v>500</v>
      </c>
      <c r="C533" s="13">
        <v>45680.40555555555</v>
      </c>
      <c r="D533" s="5" t="s">
        <v>345</v>
      </c>
      <c r="E533" s="2" t="s">
        <v>346</v>
      </c>
      <c r="F533" s="14" t="s">
        <v>3486</v>
      </c>
      <c r="G533" s="14" t="s">
        <v>3487</v>
      </c>
      <c r="H533" s="15" t="s">
        <v>16</v>
      </c>
      <c r="I533" s="15" t="s">
        <v>3488</v>
      </c>
      <c r="J533" s="2">
        <v>10.0</v>
      </c>
      <c r="K533" s="12" t="s">
        <v>3950</v>
      </c>
      <c r="L533" s="16">
        <v>45045.045</v>
      </c>
    </row>
    <row r="534">
      <c r="A534" s="1" t="s">
        <v>501</v>
      </c>
      <c r="B534" s="1" t="s">
        <v>501</v>
      </c>
      <c r="C534" s="13">
        <v>45680.50555555556</v>
      </c>
      <c r="D534" s="5" t="s">
        <v>45</v>
      </c>
      <c r="E534" s="2" t="s">
        <v>46</v>
      </c>
      <c r="F534" s="14" t="s">
        <v>3493</v>
      </c>
      <c r="G534" s="14" t="s">
        <v>3494</v>
      </c>
      <c r="H534" s="15" t="s">
        <v>24</v>
      </c>
      <c r="I534" s="15" t="s">
        <v>3491</v>
      </c>
      <c r="J534" s="2">
        <v>7.0</v>
      </c>
      <c r="K534" s="19"/>
      <c r="L534" s="20"/>
    </row>
    <row r="535">
      <c r="A535" s="1" t="s">
        <v>501</v>
      </c>
      <c r="B535" s="1" t="s">
        <v>501</v>
      </c>
      <c r="C535" s="13">
        <v>45680.50555555556</v>
      </c>
      <c r="D535" s="5" t="s">
        <v>45</v>
      </c>
      <c r="E535" s="2" t="s">
        <v>46</v>
      </c>
      <c r="F535" s="14" t="s">
        <v>3486</v>
      </c>
      <c r="G535" s="14" t="s">
        <v>3487</v>
      </c>
      <c r="H535" s="15" t="s">
        <v>24</v>
      </c>
      <c r="I535" s="15" t="s">
        <v>3491</v>
      </c>
      <c r="J535" s="2">
        <v>1.0</v>
      </c>
      <c r="K535" s="12" t="s">
        <v>3951</v>
      </c>
      <c r="L535" s="17"/>
    </row>
    <row r="536" hidden="1">
      <c r="A536" s="1" t="s">
        <v>502</v>
      </c>
      <c r="B536" s="1" t="s">
        <v>502</v>
      </c>
      <c r="C536" s="13">
        <v>45680.50555555556</v>
      </c>
      <c r="D536" s="5" t="s">
        <v>326</v>
      </c>
      <c r="E536" s="2" t="s">
        <v>327</v>
      </c>
      <c r="F536" s="14" t="s">
        <v>3486</v>
      </c>
      <c r="G536" s="14" t="s">
        <v>3487</v>
      </c>
      <c r="H536" s="15" t="s">
        <v>24</v>
      </c>
      <c r="I536" s="15" t="s">
        <v>3491</v>
      </c>
      <c r="J536" s="2">
        <v>12.0</v>
      </c>
      <c r="K536" s="12" t="s">
        <v>3952</v>
      </c>
      <c r="L536" s="20"/>
    </row>
    <row r="537" hidden="1">
      <c r="A537" s="1" t="s">
        <v>503</v>
      </c>
      <c r="B537" s="1" t="s">
        <v>503</v>
      </c>
      <c r="C537" s="13">
        <v>45680.73402777778</v>
      </c>
      <c r="D537" s="5" t="s">
        <v>345</v>
      </c>
      <c r="E537" s="2" t="s">
        <v>346</v>
      </c>
      <c r="F537" s="14" t="s">
        <v>3486</v>
      </c>
      <c r="G537" s="14" t="s">
        <v>3487</v>
      </c>
      <c r="H537" s="15" t="s">
        <v>24</v>
      </c>
      <c r="I537" s="15" t="s">
        <v>3491</v>
      </c>
      <c r="J537" s="2">
        <v>3.0</v>
      </c>
      <c r="K537" s="12" t="s">
        <v>3953</v>
      </c>
      <c r="L537" s="20"/>
    </row>
    <row r="538" hidden="1">
      <c r="A538" s="1" t="s">
        <v>503</v>
      </c>
      <c r="B538" s="1" t="s">
        <v>503</v>
      </c>
      <c r="C538" s="13">
        <v>45680.73472222222</v>
      </c>
      <c r="D538" s="5" t="s">
        <v>345</v>
      </c>
      <c r="E538" s="2" t="s">
        <v>346</v>
      </c>
      <c r="F538" s="14" t="s">
        <v>3522</v>
      </c>
      <c r="G538" s="14" t="s">
        <v>3523</v>
      </c>
      <c r="H538" s="15" t="s">
        <v>24</v>
      </c>
      <c r="I538" s="15" t="s">
        <v>3491</v>
      </c>
      <c r="J538" s="2">
        <v>1.0</v>
      </c>
      <c r="K538" s="12" t="s">
        <v>3618</v>
      </c>
      <c r="L538" s="20"/>
    </row>
    <row r="539" hidden="1">
      <c r="A539" s="1" t="s">
        <v>504</v>
      </c>
      <c r="B539" s="1" t="s">
        <v>504</v>
      </c>
      <c r="C539" s="13">
        <v>45681.36944444444</v>
      </c>
      <c r="D539" s="5" t="s">
        <v>505</v>
      </c>
      <c r="E539" s="2" t="s">
        <v>506</v>
      </c>
      <c r="F539" s="14" t="s">
        <v>3486</v>
      </c>
      <c r="G539" s="14" t="s">
        <v>3487</v>
      </c>
      <c r="H539" s="15" t="s">
        <v>16</v>
      </c>
      <c r="I539" s="15" t="s">
        <v>3488</v>
      </c>
      <c r="J539" s="2">
        <v>10.0</v>
      </c>
      <c r="K539" s="12" t="s">
        <v>3954</v>
      </c>
      <c r="L539" s="16">
        <v>50000.0</v>
      </c>
    </row>
    <row r="540" hidden="1">
      <c r="A540" s="1" t="s">
        <v>508</v>
      </c>
      <c r="B540" s="1" t="s">
        <v>508</v>
      </c>
      <c r="C540" s="13">
        <v>45681.47986111111</v>
      </c>
      <c r="D540" s="5" t="s">
        <v>213</v>
      </c>
      <c r="E540" s="2" t="s">
        <v>214</v>
      </c>
      <c r="F540" s="14" t="s">
        <v>3486</v>
      </c>
      <c r="G540" s="14" t="s">
        <v>3487</v>
      </c>
      <c r="H540" s="15" t="s">
        <v>16</v>
      </c>
      <c r="I540" s="15" t="s">
        <v>3488</v>
      </c>
      <c r="J540" s="2">
        <v>10.0</v>
      </c>
      <c r="K540" s="12" t="s">
        <v>3955</v>
      </c>
      <c r="L540" s="14">
        <v>60000.0</v>
      </c>
    </row>
    <row r="541" hidden="1">
      <c r="A541" s="1" t="s">
        <v>509</v>
      </c>
      <c r="B541" s="1" t="s">
        <v>509</v>
      </c>
      <c r="C541" s="13">
        <v>45681.60625</v>
      </c>
      <c r="D541" s="5" t="s">
        <v>109</v>
      </c>
      <c r="E541" s="2" t="s">
        <v>110</v>
      </c>
      <c r="F541" s="14" t="s">
        <v>3522</v>
      </c>
      <c r="G541" s="14" t="s">
        <v>3523</v>
      </c>
      <c r="H541" s="15" t="s">
        <v>24</v>
      </c>
      <c r="I541" s="15" t="s">
        <v>3491</v>
      </c>
      <c r="J541" s="2">
        <v>2.0</v>
      </c>
      <c r="K541" s="12" t="s">
        <v>3956</v>
      </c>
      <c r="L541" s="17"/>
    </row>
    <row r="542" hidden="1">
      <c r="A542" s="1" t="s">
        <v>509</v>
      </c>
      <c r="B542" s="1" t="s">
        <v>509</v>
      </c>
      <c r="C542" s="13">
        <v>45681.60625</v>
      </c>
      <c r="D542" s="5" t="s">
        <v>109</v>
      </c>
      <c r="E542" s="2" t="s">
        <v>110</v>
      </c>
      <c r="F542" s="14" t="s">
        <v>3486</v>
      </c>
      <c r="G542" s="14" t="s">
        <v>3487</v>
      </c>
      <c r="H542" s="15" t="s">
        <v>24</v>
      </c>
      <c r="I542" s="15" t="s">
        <v>3491</v>
      </c>
      <c r="J542" s="2">
        <v>1.0</v>
      </c>
      <c r="K542" s="12" t="s">
        <v>3957</v>
      </c>
      <c r="L542" s="17"/>
    </row>
    <row r="543" hidden="1">
      <c r="A543" s="1" t="s">
        <v>510</v>
      </c>
      <c r="B543" s="1" t="s">
        <v>510</v>
      </c>
      <c r="C543" s="13">
        <v>45681.60625</v>
      </c>
      <c r="D543" s="5" t="s">
        <v>505</v>
      </c>
      <c r="E543" s="2" t="s">
        <v>506</v>
      </c>
      <c r="F543" s="14" t="s">
        <v>3493</v>
      </c>
      <c r="G543" s="14" t="s">
        <v>3494</v>
      </c>
      <c r="H543" s="15" t="s">
        <v>24</v>
      </c>
      <c r="I543" s="15" t="s">
        <v>3491</v>
      </c>
      <c r="J543" s="2">
        <v>10.0</v>
      </c>
      <c r="K543" s="19"/>
      <c r="L543" s="17"/>
    </row>
    <row r="544" hidden="1">
      <c r="A544" s="1" t="s">
        <v>510</v>
      </c>
      <c r="B544" s="1" t="s">
        <v>510</v>
      </c>
      <c r="C544" s="13">
        <v>45681.606944444444</v>
      </c>
      <c r="D544" s="5" t="s">
        <v>505</v>
      </c>
      <c r="E544" s="2" t="s">
        <v>506</v>
      </c>
      <c r="F544" s="14" t="s">
        <v>3506</v>
      </c>
      <c r="G544" s="14" t="s">
        <v>3507</v>
      </c>
      <c r="H544" s="15" t="s">
        <v>24</v>
      </c>
      <c r="I544" s="15" t="s">
        <v>3491</v>
      </c>
      <c r="J544" s="2">
        <v>10.0</v>
      </c>
      <c r="K544" s="19"/>
      <c r="L544" s="17"/>
    </row>
    <row r="545" hidden="1">
      <c r="A545" s="1" t="s">
        <v>511</v>
      </c>
      <c r="B545" s="1" t="s">
        <v>511</v>
      </c>
      <c r="C545" s="13">
        <v>45682.35208333333</v>
      </c>
      <c r="D545" s="5" t="s">
        <v>349</v>
      </c>
      <c r="E545" s="2" t="s">
        <v>350</v>
      </c>
      <c r="F545" s="14" t="s">
        <v>3547</v>
      </c>
      <c r="G545" s="14" t="s">
        <v>3548</v>
      </c>
      <c r="H545" s="15" t="s">
        <v>16</v>
      </c>
      <c r="I545" s="15" t="s">
        <v>3488</v>
      </c>
      <c r="J545" s="2">
        <v>4.0</v>
      </c>
      <c r="K545" s="19"/>
      <c r="L545" s="14">
        <v>900900.9009</v>
      </c>
    </row>
    <row r="546" hidden="1">
      <c r="A546" s="1" t="s">
        <v>512</v>
      </c>
      <c r="B546" s="1" t="s">
        <v>512</v>
      </c>
      <c r="C546" s="13">
        <v>45681.67222222222</v>
      </c>
      <c r="D546" s="5" t="s">
        <v>213</v>
      </c>
      <c r="E546" s="2" t="s">
        <v>214</v>
      </c>
      <c r="F546" s="14" t="s">
        <v>3486</v>
      </c>
      <c r="G546" s="14" t="s">
        <v>3487</v>
      </c>
      <c r="H546" s="15" t="s">
        <v>24</v>
      </c>
      <c r="I546" s="15" t="s">
        <v>3491</v>
      </c>
      <c r="J546" s="2">
        <v>14.0</v>
      </c>
      <c r="K546" s="12" t="s">
        <v>3958</v>
      </c>
      <c r="L546" s="20"/>
    </row>
    <row r="547" hidden="1">
      <c r="A547" s="1" t="s">
        <v>513</v>
      </c>
      <c r="B547" s="1" t="s">
        <v>513</v>
      </c>
      <c r="C547" s="13">
        <v>45682.3625</v>
      </c>
      <c r="D547" s="5" t="s">
        <v>493</v>
      </c>
      <c r="E547" s="2" t="s">
        <v>494</v>
      </c>
      <c r="F547" s="14" t="s">
        <v>3493</v>
      </c>
      <c r="G547" s="14" t="s">
        <v>3494</v>
      </c>
      <c r="H547" s="15" t="s">
        <v>16</v>
      </c>
      <c r="I547" s="15" t="s">
        <v>3488</v>
      </c>
      <c r="J547" s="2">
        <v>2.0</v>
      </c>
      <c r="K547" s="19"/>
      <c r="L547" s="14">
        <v>215000.0</v>
      </c>
    </row>
    <row r="548" hidden="1">
      <c r="A548" s="1" t="s">
        <v>514</v>
      </c>
      <c r="B548" s="1" t="s">
        <v>514</v>
      </c>
      <c r="C548" s="13">
        <v>45682.44305555556</v>
      </c>
      <c r="D548" s="5" t="s">
        <v>464</v>
      </c>
      <c r="E548" s="2" t="s">
        <v>465</v>
      </c>
      <c r="F548" s="14" t="s">
        <v>3486</v>
      </c>
      <c r="G548" s="14" t="s">
        <v>3487</v>
      </c>
      <c r="H548" s="15" t="s">
        <v>16</v>
      </c>
      <c r="I548" s="15" t="s">
        <v>3488</v>
      </c>
      <c r="J548" s="2">
        <v>5.0</v>
      </c>
      <c r="K548" s="12" t="s">
        <v>3959</v>
      </c>
      <c r="L548" s="14">
        <v>55000.0</v>
      </c>
    </row>
    <row r="549" hidden="1">
      <c r="A549" s="1" t="s">
        <v>515</v>
      </c>
      <c r="B549" s="1" t="s">
        <v>515</v>
      </c>
      <c r="C549" s="13">
        <v>45682.69513888889</v>
      </c>
      <c r="D549" s="5" t="s">
        <v>349</v>
      </c>
      <c r="E549" s="2" t="s">
        <v>350</v>
      </c>
      <c r="F549" s="14" t="s">
        <v>3547</v>
      </c>
      <c r="G549" s="14" t="s">
        <v>3548</v>
      </c>
      <c r="H549" s="15" t="s">
        <v>24</v>
      </c>
      <c r="I549" s="15" t="s">
        <v>3491</v>
      </c>
      <c r="J549" s="2">
        <v>4.0</v>
      </c>
      <c r="K549" s="19"/>
      <c r="L549" s="20"/>
    </row>
    <row r="550" hidden="1">
      <c r="A550" s="1" t="s">
        <v>516</v>
      </c>
      <c r="B550" s="1" t="s">
        <v>516</v>
      </c>
      <c r="C550" s="13">
        <v>45685.34444444445</v>
      </c>
      <c r="D550" s="5" t="s">
        <v>349</v>
      </c>
      <c r="E550" s="2" t="s">
        <v>350</v>
      </c>
      <c r="F550" s="14" t="s">
        <v>3547</v>
      </c>
      <c r="G550" s="14" t="s">
        <v>3548</v>
      </c>
      <c r="H550" s="15" t="s">
        <v>16</v>
      </c>
      <c r="I550" s="15" t="s">
        <v>3488</v>
      </c>
      <c r="J550" s="2">
        <v>2.0</v>
      </c>
      <c r="K550" s="19"/>
      <c r="L550" s="14">
        <v>900900.9009</v>
      </c>
    </row>
    <row r="551" hidden="1">
      <c r="A551" s="1" t="s">
        <v>517</v>
      </c>
      <c r="B551" s="1" t="s">
        <v>517</v>
      </c>
      <c r="C551" s="13">
        <v>45685.60972222222</v>
      </c>
      <c r="D551" s="5" t="s">
        <v>326</v>
      </c>
      <c r="E551" s="2" t="s">
        <v>327</v>
      </c>
      <c r="F551" s="14" t="s">
        <v>3486</v>
      </c>
      <c r="G551" s="14" t="s">
        <v>3487</v>
      </c>
      <c r="H551" s="15" t="s">
        <v>16</v>
      </c>
      <c r="I551" s="15" t="s">
        <v>3488</v>
      </c>
      <c r="J551" s="2">
        <v>10.0</v>
      </c>
      <c r="K551" s="12" t="s">
        <v>3960</v>
      </c>
      <c r="L551" s="14">
        <v>45000.0</v>
      </c>
    </row>
    <row r="552" hidden="1">
      <c r="A552" s="1" t="s">
        <v>518</v>
      </c>
      <c r="B552" s="1" t="s">
        <v>518</v>
      </c>
      <c r="C552" s="13">
        <v>45685.62708333333</v>
      </c>
      <c r="D552" s="5" t="s">
        <v>213</v>
      </c>
      <c r="E552" s="2" t="s">
        <v>214</v>
      </c>
      <c r="F552" s="14" t="s">
        <v>3486</v>
      </c>
      <c r="G552" s="14" t="s">
        <v>3487</v>
      </c>
      <c r="H552" s="15" t="s">
        <v>16</v>
      </c>
      <c r="I552" s="15" t="s">
        <v>3488</v>
      </c>
      <c r="J552" s="2">
        <v>15.0</v>
      </c>
      <c r="K552" s="12" t="s">
        <v>3961</v>
      </c>
      <c r="L552" s="14">
        <v>60000.0</v>
      </c>
    </row>
    <row r="553" hidden="1">
      <c r="A553" s="1" t="s">
        <v>519</v>
      </c>
      <c r="B553" s="1" t="s">
        <v>519</v>
      </c>
      <c r="C553" s="13">
        <v>45685.62777777778</v>
      </c>
      <c r="D553" s="5" t="s">
        <v>213</v>
      </c>
      <c r="E553" s="2" t="s">
        <v>214</v>
      </c>
      <c r="F553" s="14" t="s">
        <v>3547</v>
      </c>
      <c r="G553" s="14" t="s">
        <v>3548</v>
      </c>
      <c r="H553" s="15" t="s">
        <v>159</v>
      </c>
      <c r="I553" s="15" t="s">
        <v>3619</v>
      </c>
      <c r="J553" s="2">
        <v>1.0</v>
      </c>
      <c r="K553" s="19"/>
      <c r="L553" s="17"/>
    </row>
    <row r="554" hidden="1">
      <c r="A554" s="1" t="s">
        <v>520</v>
      </c>
      <c r="B554" s="1" t="s">
        <v>520</v>
      </c>
      <c r="C554" s="13">
        <v>45687.342361111114</v>
      </c>
      <c r="D554" s="5" t="s">
        <v>13</v>
      </c>
      <c r="E554" s="2" t="s">
        <v>14</v>
      </c>
      <c r="F554" s="14" t="s">
        <v>3486</v>
      </c>
      <c r="G554" s="14" t="s">
        <v>3487</v>
      </c>
      <c r="H554" s="15" t="s">
        <v>16</v>
      </c>
      <c r="I554" s="15" t="s">
        <v>3488</v>
      </c>
      <c r="J554" s="2">
        <v>10.0</v>
      </c>
      <c r="K554" s="12" t="s">
        <v>3962</v>
      </c>
      <c r="L554" s="16">
        <v>50000.0</v>
      </c>
    </row>
    <row r="555" hidden="1">
      <c r="A555" s="1" t="s">
        <v>521</v>
      </c>
      <c r="B555" s="1" t="s">
        <v>521</v>
      </c>
      <c r="C555" s="13">
        <v>45685.46597222222</v>
      </c>
      <c r="D555" s="5" t="s">
        <v>213</v>
      </c>
      <c r="E555" s="2" t="s">
        <v>214</v>
      </c>
      <c r="F555" s="14" t="s">
        <v>3486</v>
      </c>
      <c r="G555" s="14" t="s">
        <v>3487</v>
      </c>
      <c r="H555" s="15" t="s">
        <v>24</v>
      </c>
      <c r="I555" s="15" t="s">
        <v>3491</v>
      </c>
      <c r="J555" s="2">
        <v>2.0</v>
      </c>
      <c r="K555" s="12" t="s">
        <v>3963</v>
      </c>
      <c r="L555" s="17"/>
    </row>
    <row r="556" hidden="1">
      <c r="A556" s="1" t="s">
        <v>522</v>
      </c>
      <c r="B556" s="1" t="s">
        <v>522</v>
      </c>
      <c r="C556" s="13">
        <v>45682.46805555555</v>
      </c>
      <c r="D556" s="5" t="s">
        <v>464</v>
      </c>
      <c r="E556" s="2" t="s">
        <v>465</v>
      </c>
      <c r="F556" s="14" t="s">
        <v>3486</v>
      </c>
      <c r="G556" s="14" t="s">
        <v>3487</v>
      </c>
      <c r="H556" s="15" t="s">
        <v>24</v>
      </c>
      <c r="I556" s="15" t="s">
        <v>3491</v>
      </c>
      <c r="J556" s="2">
        <v>4.0</v>
      </c>
      <c r="K556" s="12" t="s">
        <v>3964</v>
      </c>
      <c r="L556" s="17"/>
    </row>
    <row r="557" hidden="1">
      <c r="A557" s="1" t="s">
        <v>523</v>
      </c>
      <c r="B557" s="1" t="s">
        <v>523</v>
      </c>
      <c r="C557" s="13">
        <v>45685.47083333333</v>
      </c>
      <c r="D557" s="5" t="s">
        <v>349</v>
      </c>
      <c r="E557" s="2" t="s">
        <v>350</v>
      </c>
      <c r="F557" s="14" t="s">
        <v>3547</v>
      </c>
      <c r="G557" s="14" t="s">
        <v>3548</v>
      </c>
      <c r="H557" s="15" t="s">
        <v>24</v>
      </c>
      <c r="I557" s="15" t="s">
        <v>3491</v>
      </c>
      <c r="J557" s="2">
        <v>2.0</v>
      </c>
      <c r="K557" s="19"/>
      <c r="L557" s="17"/>
    </row>
    <row r="558" hidden="1">
      <c r="A558" s="1" t="s">
        <v>521</v>
      </c>
      <c r="B558" s="1" t="s">
        <v>521</v>
      </c>
      <c r="C558" s="13">
        <v>45685.472916666666</v>
      </c>
      <c r="D558" s="5" t="s">
        <v>213</v>
      </c>
      <c r="E558" s="2" t="s">
        <v>214</v>
      </c>
      <c r="F558" s="14" t="s">
        <v>3486</v>
      </c>
      <c r="G558" s="14" t="s">
        <v>3487</v>
      </c>
      <c r="H558" s="15" t="s">
        <v>24</v>
      </c>
      <c r="I558" s="15" t="s">
        <v>3491</v>
      </c>
      <c r="J558" s="2">
        <v>11.0</v>
      </c>
      <c r="K558" s="12" t="s">
        <v>3965</v>
      </c>
      <c r="L558" s="20"/>
    </row>
    <row r="559" hidden="1">
      <c r="A559" s="1" t="s">
        <v>524</v>
      </c>
      <c r="B559" s="1" t="s">
        <v>524</v>
      </c>
      <c r="C559" s="13">
        <v>45679.47777777778</v>
      </c>
      <c r="D559" s="5" t="s">
        <v>349</v>
      </c>
      <c r="E559" s="2" t="s">
        <v>350</v>
      </c>
      <c r="F559" s="14" t="s">
        <v>3547</v>
      </c>
      <c r="G559" s="14" t="s">
        <v>3548</v>
      </c>
      <c r="H559" s="15" t="s">
        <v>24</v>
      </c>
      <c r="I559" s="15" t="s">
        <v>3491</v>
      </c>
      <c r="J559" s="2">
        <v>5.0</v>
      </c>
      <c r="K559" s="19"/>
      <c r="L559" s="20"/>
    </row>
    <row r="560" hidden="1">
      <c r="A560" s="1" t="s">
        <v>525</v>
      </c>
      <c r="B560" s="1" t="s">
        <v>525</v>
      </c>
      <c r="C560" s="13">
        <v>45687.49166666667</v>
      </c>
      <c r="D560" s="5" t="s">
        <v>326</v>
      </c>
      <c r="E560" s="2" t="s">
        <v>327</v>
      </c>
      <c r="F560" s="14" t="s">
        <v>3486</v>
      </c>
      <c r="G560" s="14" t="s">
        <v>3487</v>
      </c>
      <c r="H560" s="15" t="s">
        <v>24</v>
      </c>
      <c r="I560" s="15" t="s">
        <v>3491</v>
      </c>
      <c r="J560" s="2">
        <v>4.0</v>
      </c>
      <c r="K560" s="12" t="s">
        <v>3966</v>
      </c>
      <c r="L560" s="20"/>
    </row>
    <row r="561">
      <c r="A561" s="1" t="s">
        <v>526</v>
      </c>
      <c r="B561" s="1" t="s">
        <v>526</v>
      </c>
      <c r="C561" s="13">
        <v>45687.5</v>
      </c>
      <c r="D561" s="5" t="s">
        <v>45</v>
      </c>
      <c r="E561" s="2" t="s">
        <v>46</v>
      </c>
      <c r="F561" s="14" t="s">
        <v>3493</v>
      </c>
      <c r="G561" s="14" t="s">
        <v>3494</v>
      </c>
      <c r="H561" s="15" t="s">
        <v>16</v>
      </c>
      <c r="I561" s="15" t="s">
        <v>3488</v>
      </c>
      <c r="J561" s="2">
        <v>7.0</v>
      </c>
      <c r="K561" s="19"/>
      <c r="L561" s="16">
        <v>210000.0</v>
      </c>
    </row>
    <row r="562" hidden="1">
      <c r="A562" s="1" t="s">
        <v>527</v>
      </c>
      <c r="B562" s="1" t="s">
        <v>527</v>
      </c>
      <c r="C562" s="13">
        <v>45688.46111111111</v>
      </c>
      <c r="D562" s="5" t="s">
        <v>149</v>
      </c>
      <c r="E562" s="2" t="s">
        <v>150</v>
      </c>
      <c r="F562" s="14" t="s">
        <v>3486</v>
      </c>
      <c r="G562" s="14" t="s">
        <v>3487</v>
      </c>
      <c r="H562" s="15" t="s">
        <v>24</v>
      </c>
      <c r="I562" s="15" t="s">
        <v>3614</v>
      </c>
      <c r="J562" s="2">
        <v>8.0</v>
      </c>
      <c r="K562" s="12" t="s">
        <v>3967</v>
      </c>
      <c r="L562" s="17"/>
    </row>
    <row r="563" hidden="1">
      <c r="A563" s="1" t="s">
        <v>527</v>
      </c>
      <c r="B563" s="1" t="s">
        <v>527</v>
      </c>
      <c r="C563" s="13">
        <v>45688.461805555555</v>
      </c>
      <c r="D563" s="5" t="s">
        <v>149</v>
      </c>
      <c r="E563" s="2" t="s">
        <v>150</v>
      </c>
      <c r="F563" s="14" t="s">
        <v>3516</v>
      </c>
      <c r="G563" s="14" t="s">
        <v>3517</v>
      </c>
      <c r="H563" s="15" t="s">
        <v>24</v>
      </c>
      <c r="I563" s="15" t="s">
        <v>3614</v>
      </c>
      <c r="J563" s="2">
        <v>2.0</v>
      </c>
      <c r="K563" s="12" t="s">
        <v>3968</v>
      </c>
      <c r="L563" s="17"/>
    </row>
    <row r="564" hidden="1">
      <c r="A564" s="1" t="s">
        <v>528</v>
      </c>
      <c r="B564" s="1" t="s">
        <v>528</v>
      </c>
      <c r="C564" s="13">
        <v>45688.46666666667</v>
      </c>
      <c r="D564" s="5" t="s">
        <v>213</v>
      </c>
      <c r="E564" s="2" t="s">
        <v>214</v>
      </c>
      <c r="F564" s="14" t="s">
        <v>3486</v>
      </c>
      <c r="G564" s="14" t="s">
        <v>3487</v>
      </c>
      <c r="H564" s="15" t="s">
        <v>24</v>
      </c>
      <c r="I564" s="15" t="s">
        <v>3491</v>
      </c>
      <c r="J564" s="2">
        <v>9.0</v>
      </c>
      <c r="K564" s="12" t="s">
        <v>3969</v>
      </c>
      <c r="L564" s="17"/>
    </row>
    <row r="565" hidden="1">
      <c r="A565" s="1" t="s">
        <v>529</v>
      </c>
      <c r="B565" s="1" t="s">
        <v>529</v>
      </c>
      <c r="C565" s="13">
        <v>45688.467361111114</v>
      </c>
      <c r="D565" s="22" t="s">
        <v>114</v>
      </c>
      <c r="E565" s="2" t="s">
        <v>115</v>
      </c>
      <c r="F565" s="14" t="s">
        <v>3585</v>
      </c>
      <c r="G565" s="14" t="s">
        <v>3586</v>
      </c>
      <c r="H565" s="15" t="s">
        <v>24</v>
      </c>
      <c r="I565" s="15" t="s">
        <v>3491</v>
      </c>
      <c r="J565" s="2">
        <v>1.0</v>
      </c>
      <c r="K565" s="12" t="s">
        <v>3970</v>
      </c>
      <c r="L565" s="17"/>
    </row>
    <row r="566" hidden="1">
      <c r="A566" s="1" t="s">
        <v>530</v>
      </c>
      <c r="B566" s="1" t="s">
        <v>530</v>
      </c>
      <c r="C566" s="13">
        <v>45689.558333333334</v>
      </c>
      <c r="D566" s="5" t="s">
        <v>213</v>
      </c>
      <c r="E566" s="2" t="s">
        <v>214</v>
      </c>
      <c r="F566" s="14" t="s">
        <v>3486</v>
      </c>
      <c r="G566" s="14" t="s">
        <v>3487</v>
      </c>
      <c r="H566" s="15" t="s">
        <v>16</v>
      </c>
      <c r="I566" s="15" t="s">
        <v>3488</v>
      </c>
      <c r="J566" s="2">
        <v>17.0</v>
      </c>
      <c r="K566" s="12" t="s">
        <v>3971</v>
      </c>
      <c r="L566" s="14">
        <v>60000.0</v>
      </c>
    </row>
    <row r="567" hidden="1">
      <c r="A567" s="1" t="s">
        <v>531</v>
      </c>
      <c r="B567" s="1" t="s">
        <v>531</v>
      </c>
      <c r="C567" s="13">
        <v>45689.57708333333</v>
      </c>
      <c r="D567" s="5" t="s">
        <v>326</v>
      </c>
      <c r="E567" s="2" t="s">
        <v>327</v>
      </c>
      <c r="F567" s="14" t="s">
        <v>3486</v>
      </c>
      <c r="G567" s="14" t="s">
        <v>3487</v>
      </c>
      <c r="H567" s="15" t="s">
        <v>24</v>
      </c>
      <c r="I567" s="15" t="s">
        <v>3491</v>
      </c>
      <c r="J567" s="2">
        <v>12.0</v>
      </c>
      <c r="K567" s="12" t="s">
        <v>3972</v>
      </c>
      <c r="L567" s="17"/>
    </row>
    <row r="568" hidden="1">
      <c r="A568" s="1" t="s">
        <v>532</v>
      </c>
      <c r="B568" s="1" t="s">
        <v>532</v>
      </c>
      <c r="C568" s="13">
        <v>45689.67569444444</v>
      </c>
      <c r="D568" s="5" t="s">
        <v>213</v>
      </c>
      <c r="E568" s="2" t="s">
        <v>214</v>
      </c>
      <c r="F568" s="14" t="s">
        <v>3486</v>
      </c>
      <c r="G568" s="14" t="s">
        <v>3487</v>
      </c>
      <c r="H568" s="15" t="s">
        <v>24</v>
      </c>
      <c r="I568" s="15" t="s">
        <v>3491</v>
      </c>
      <c r="J568" s="2">
        <v>6.0</v>
      </c>
      <c r="K568" s="12" t="s">
        <v>3973</v>
      </c>
      <c r="L568" s="17"/>
    </row>
    <row r="569" hidden="1">
      <c r="A569" s="1" t="s">
        <v>533</v>
      </c>
      <c r="B569" s="1" t="s">
        <v>533</v>
      </c>
      <c r="C569" s="13">
        <v>45691.45486111111</v>
      </c>
      <c r="D569" s="5" t="s">
        <v>149</v>
      </c>
      <c r="E569" s="2" t="s">
        <v>150</v>
      </c>
      <c r="F569" s="14" t="s">
        <v>3486</v>
      </c>
      <c r="G569" s="14" t="s">
        <v>3487</v>
      </c>
      <c r="H569" s="15" t="s">
        <v>24</v>
      </c>
      <c r="I569" s="15" t="s">
        <v>3491</v>
      </c>
      <c r="J569" s="2">
        <v>8.0</v>
      </c>
      <c r="K569" s="12" t="s">
        <v>3974</v>
      </c>
      <c r="L569" s="20"/>
    </row>
    <row r="570" hidden="1">
      <c r="A570" s="1" t="s">
        <v>533</v>
      </c>
      <c r="B570" s="1" t="s">
        <v>533</v>
      </c>
      <c r="C570" s="13">
        <v>45691.455555555556</v>
      </c>
      <c r="D570" s="5" t="s">
        <v>149</v>
      </c>
      <c r="E570" s="2" t="s">
        <v>150</v>
      </c>
      <c r="F570" s="14" t="s">
        <v>3516</v>
      </c>
      <c r="G570" s="14" t="s">
        <v>3517</v>
      </c>
      <c r="H570" s="15" t="s">
        <v>24</v>
      </c>
      <c r="I570" s="15" t="s">
        <v>3614</v>
      </c>
      <c r="J570" s="2">
        <v>2.0</v>
      </c>
      <c r="K570" s="12" t="s">
        <v>3975</v>
      </c>
      <c r="L570" s="20"/>
    </row>
    <row r="571" hidden="1">
      <c r="A571" s="1" t="s">
        <v>533</v>
      </c>
      <c r="B571" s="1" t="s">
        <v>533</v>
      </c>
      <c r="C571" s="13">
        <v>45691.455555555556</v>
      </c>
      <c r="D571" s="5" t="s">
        <v>149</v>
      </c>
      <c r="E571" s="2" t="s">
        <v>150</v>
      </c>
      <c r="F571" s="14" t="s">
        <v>3522</v>
      </c>
      <c r="G571" s="14" t="s">
        <v>3523</v>
      </c>
      <c r="H571" s="15" t="s">
        <v>24</v>
      </c>
      <c r="I571" s="15" t="s">
        <v>3491</v>
      </c>
      <c r="J571" s="2">
        <v>8.0</v>
      </c>
      <c r="K571" s="12" t="s">
        <v>3976</v>
      </c>
      <c r="L571" s="20"/>
    </row>
    <row r="572" hidden="1">
      <c r="A572" s="1" t="s">
        <v>534</v>
      </c>
      <c r="B572" s="1" t="s">
        <v>534</v>
      </c>
      <c r="C572" s="13">
        <v>45691.46666666667</v>
      </c>
      <c r="D572" s="5" t="s">
        <v>109</v>
      </c>
      <c r="E572" s="2" t="s">
        <v>110</v>
      </c>
      <c r="F572" s="14" t="s">
        <v>3522</v>
      </c>
      <c r="G572" s="14" t="s">
        <v>3523</v>
      </c>
      <c r="H572" s="15" t="s">
        <v>24</v>
      </c>
      <c r="I572" s="15" t="s">
        <v>3491</v>
      </c>
      <c r="J572" s="2">
        <v>2.0</v>
      </c>
      <c r="K572" s="12" t="s">
        <v>3977</v>
      </c>
      <c r="L572" s="14">
        <v>0.0</v>
      </c>
    </row>
    <row r="573" hidden="1">
      <c r="A573" s="1" t="s">
        <v>534</v>
      </c>
      <c r="B573" s="1" t="s">
        <v>534</v>
      </c>
      <c r="C573" s="13">
        <v>45691.46805555555</v>
      </c>
      <c r="D573" s="5" t="s">
        <v>109</v>
      </c>
      <c r="E573" s="2" t="s">
        <v>110</v>
      </c>
      <c r="F573" s="14" t="s">
        <v>3486</v>
      </c>
      <c r="G573" s="14" t="s">
        <v>3487</v>
      </c>
      <c r="H573" s="15" t="s">
        <v>24</v>
      </c>
      <c r="I573" s="15" t="s">
        <v>3491</v>
      </c>
      <c r="J573" s="2">
        <v>1.0</v>
      </c>
      <c r="K573" s="12" t="s">
        <v>3577</v>
      </c>
      <c r="L573" s="17"/>
    </row>
    <row r="574" hidden="1">
      <c r="A574" s="1" t="s">
        <v>534</v>
      </c>
      <c r="B574" s="1" t="s">
        <v>534</v>
      </c>
      <c r="C574" s="13">
        <v>45691.46875</v>
      </c>
      <c r="D574" s="5" t="s">
        <v>109</v>
      </c>
      <c r="E574" s="2" t="s">
        <v>110</v>
      </c>
      <c r="F574" s="14" t="s">
        <v>3516</v>
      </c>
      <c r="G574" s="14" t="s">
        <v>3517</v>
      </c>
      <c r="H574" s="15" t="s">
        <v>24</v>
      </c>
      <c r="I574" s="15" t="s">
        <v>3614</v>
      </c>
      <c r="J574" s="2">
        <v>1.0</v>
      </c>
      <c r="K574" s="12" t="s">
        <v>3978</v>
      </c>
      <c r="L574" s="17"/>
    </row>
    <row r="575" hidden="1">
      <c r="A575" s="1" t="s">
        <v>535</v>
      </c>
      <c r="B575" s="1" t="s">
        <v>535</v>
      </c>
      <c r="C575" s="13">
        <v>45691.46944444445</v>
      </c>
      <c r="D575" s="5" t="s">
        <v>320</v>
      </c>
      <c r="E575" s="2" t="s">
        <v>321</v>
      </c>
      <c r="F575" s="14" t="s">
        <v>3486</v>
      </c>
      <c r="G575" s="14" t="s">
        <v>3487</v>
      </c>
      <c r="H575" s="15" t="s">
        <v>24</v>
      </c>
      <c r="I575" s="15" t="s">
        <v>3491</v>
      </c>
      <c r="J575" s="2">
        <v>2.0</v>
      </c>
      <c r="K575" s="12" t="s">
        <v>3979</v>
      </c>
      <c r="L575" s="17"/>
    </row>
    <row r="576" hidden="1">
      <c r="A576" s="1" t="s">
        <v>535</v>
      </c>
      <c r="B576" s="1" t="s">
        <v>535</v>
      </c>
      <c r="C576" s="13">
        <v>45691.470138888886</v>
      </c>
      <c r="D576" s="5" t="s">
        <v>320</v>
      </c>
      <c r="E576" s="2" t="s">
        <v>321</v>
      </c>
      <c r="F576" s="14" t="s">
        <v>3585</v>
      </c>
      <c r="G576" s="14" t="s">
        <v>3586</v>
      </c>
      <c r="H576" s="15" t="s">
        <v>24</v>
      </c>
      <c r="I576" s="15" t="s">
        <v>3491</v>
      </c>
      <c r="J576" s="2">
        <v>1.0</v>
      </c>
      <c r="K576" s="12" t="s">
        <v>3980</v>
      </c>
      <c r="L576" s="20"/>
    </row>
    <row r="577" hidden="1">
      <c r="A577" s="1" t="s">
        <v>536</v>
      </c>
      <c r="B577" s="1" t="s">
        <v>536</v>
      </c>
      <c r="C577" s="13">
        <v>45692.35833333333</v>
      </c>
      <c r="D577" s="5" t="s">
        <v>309</v>
      </c>
      <c r="E577" s="2" t="s">
        <v>310</v>
      </c>
      <c r="F577" s="14" t="s">
        <v>3486</v>
      </c>
      <c r="G577" s="14" t="s">
        <v>3487</v>
      </c>
      <c r="H577" s="15" t="s">
        <v>159</v>
      </c>
      <c r="I577" s="15" t="s">
        <v>3619</v>
      </c>
      <c r="J577" s="2">
        <v>1.0</v>
      </c>
      <c r="K577" s="12" t="s">
        <v>3981</v>
      </c>
      <c r="L577" s="17"/>
    </row>
    <row r="578" hidden="1">
      <c r="A578" s="1" t="s">
        <v>537</v>
      </c>
      <c r="B578" s="1" t="s">
        <v>537</v>
      </c>
      <c r="C578" s="13">
        <v>45692.35833333333</v>
      </c>
      <c r="D578" s="5" t="s">
        <v>309</v>
      </c>
      <c r="E578" s="2" t="s">
        <v>310</v>
      </c>
      <c r="F578" s="14" t="s">
        <v>3506</v>
      </c>
      <c r="G578" s="14" t="s">
        <v>3507</v>
      </c>
      <c r="H578" s="15" t="s">
        <v>16</v>
      </c>
      <c r="I578" s="15" t="s">
        <v>3488</v>
      </c>
      <c r="J578" s="2">
        <v>16.0</v>
      </c>
      <c r="K578" s="19"/>
      <c r="L578" s="14">
        <v>55000.0</v>
      </c>
    </row>
    <row r="579" hidden="1">
      <c r="A579" s="1" t="s">
        <v>538</v>
      </c>
      <c r="B579" s="1" t="s">
        <v>538</v>
      </c>
      <c r="C579" s="13">
        <v>45692.35902777778</v>
      </c>
      <c r="D579" s="5" t="s">
        <v>349</v>
      </c>
      <c r="E579" s="2" t="s">
        <v>350</v>
      </c>
      <c r="F579" s="14" t="s">
        <v>3547</v>
      </c>
      <c r="G579" s="14" t="s">
        <v>3548</v>
      </c>
      <c r="H579" s="15" t="s">
        <v>16</v>
      </c>
      <c r="I579" s="15" t="s">
        <v>3488</v>
      </c>
      <c r="J579" s="2">
        <v>4.0</v>
      </c>
      <c r="K579" s="19"/>
      <c r="L579" s="16">
        <v>900900.9009</v>
      </c>
    </row>
    <row r="580" hidden="1">
      <c r="A580" s="1" t="s">
        <v>539</v>
      </c>
      <c r="B580" s="1" t="s">
        <v>539</v>
      </c>
      <c r="C580" s="13">
        <v>45692.361805555556</v>
      </c>
      <c r="D580" s="5" t="s">
        <v>305</v>
      </c>
      <c r="E580" s="2" t="s">
        <v>306</v>
      </c>
      <c r="F580" s="14" t="s">
        <v>3486</v>
      </c>
      <c r="G580" s="14" t="s">
        <v>3487</v>
      </c>
      <c r="H580" s="15" t="s">
        <v>16</v>
      </c>
      <c r="I580" s="15" t="s">
        <v>3488</v>
      </c>
      <c r="J580" s="2">
        <v>5.0</v>
      </c>
      <c r="K580" s="12" t="s">
        <v>3982</v>
      </c>
      <c r="L580" s="16">
        <v>47297.2973</v>
      </c>
    </row>
    <row r="581" hidden="1">
      <c r="A581" s="1" t="s">
        <v>540</v>
      </c>
      <c r="B581" s="1" t="s">
        <v>540</v>
      </c>
      <c r="C581" s="13">
        <v>45692.4</v>
      </c>
      <c r="D581" s="5" t="s">
        <v>131</v>
      </c>
      <c r="E581" s="2" t="s">
        <v>132</v>
      </c>
      <c r="F581" s="14" t="s">
        <v>3486</v>
      </c>
      <c r="G581" s="14" t="s">
        <v>3487</v>
      </c>
      <c r="H581" s="15" t="s">
        <v>16</v>
      </c>
      <c r="I581" s="15" t="s">
        <v>3488</v>
      </c>
      <c r="J581" s="2">
        <v>10.0</v>
      </c>
      <c r="K581" s="12" t="s">
        <v>3983</v>
      </c>
      <c r="L581" s="14">
        <v>60000.0</v>
      </c>
    </row>
    <row r="582" hidden="1">
      <c r="A582" s="1" t="s">
        <v>541</v>
      </c>
      <c r="B582" s="1" t="s">
        <v>541</v>
      </c>
      <c r="C582" s="13">
        <v>45691.42986111111</v>
      </c>
      <c r="D582" s="5" t="s">
        <v>309</v>
      </c>
      <c r="E582" s="2" t="s">
        <v>310</v>
      </c>
      <c r="F582" s="14" t="s">
        <v>3486</v>
      </c>
      <c r="G582" s="14" t="s">
        <v>3487</v>
      </c>
      <c r="H582" s="15" t="s">
        <v>24</v>
      </c>
      <c r="I582" s="15" t="s">
        <v>3491</v>
      </c>
      <c r="J582" s="2">
        <v>7.0</v>
      </c>
      <c r="K582" s="12" t="s">
        <v>3984</v>
      </c>
      <c r="L582" s="20"/>
    </row>
    <row r="583" hidden="1">
      <c r="A583" s="1" t="s">
        <v>541</v>
      </c>
      <c r="B583" s="1" t="s">
        <v>541</v>
      </c>
      <c r="C583" s="13">
        <v>45691.43125</v>
      </c>
      <c r="D583" s="5" t="s">
        <v>309</v>
      </c>
      <c r="E583" s="2" t="s">
        <v>310</v>
      </c>
      <c r="F583" s="14" t="s">
        <v>3506</v>
      </c>
      <c r="G583" s="14" t="s">
        <v>3507</v>
      </c>
      <c r="H583" s="15" t="s">
        <v>24</v>
      </c>
      <c r="I583" s="15" t="s">
        <v>3491</v>
      </c>
      <c r="J583" s="2">
        <v>13.0</v>
      </c>
      <c r="K583" s="19"/>
      <c r="L583" s="20"/>
    </row>
    <row r="584" hidden="1">
      <c r="A584" s="1" t="s">
        <v>542</v>
      </c>
      <c r="B584" s="1" t="s">
        <v>542</v>
      </c>
      <c r="C584" s="13">
        <v>45692.43194444444</v>
      </c>
      <c r="D584" s="5" t="s">
        <v>131</v>
      </c>
      <c r="E584" s="2" t="s">
        <v>132</v>
      </c>
      <c r="F584" s="14" t="s">
        <v>3486</v>
      </c>
      <c r="G584" s="14" t="s">
        <v>3487</v>
      </c>
      <c r="H584" s="15" t="s">
        <v>24</v>
      </c>
      <c r="I584" s="15" t="s">
        <v>3491</v>
      </c>
      <c r="J584" s="2">
        <v>2.0</v>
      </c>
      <c r="K584" s="12" t="s">
        <v>3985</v>
      </c>
      <c r="L584" s="17"/>
    </row>
    <row r="585" hidden="1">
      <c r="A585" s="1" t="s">
        <v>543</v>
      </c>
      <c r="B585" s="1" t="s">
        <v>543</v>
      </c>
      <c r="C585" s="13">
        <v>45692.53958333333</v>
      </c>
      <c r="D585" s="5" t="s">
        <v>213</v>
      </c>
      <c r="E585" s="2" t="s">
        <v>214</v>
      </c>
      <c r="F585" s="14" t="s">
        <v>3486</v>
      </c>
      <c r="G585" s="14" t="s">
        <v>3487</v>
      </c>
      <c r="H585" s="15" t="s">
        <v>24</v>
      </c>
      <c r="I585" s="15" t="s">
        <v>3491</v>
      </c>
      <c r="J585" s="2">
        <v>8.0</v>
      </c>
      <c r="K585" s="12" t="s">
        <v>3986</v>
      </c>
      <c r="L585" s="17"/>
    </row>
    <row r="586" hidden="1">
      <c r="A586" s="1" t="s">
        <v>544</v>
      </c>
      <c r="B586" s="1" t="s">
        <v>544</v>
      </c>
      <c r="C586" s="13">
        <v>45692.65833333333</v>
      </c>
      <c r="D586" s="5" t="s">
        <v>13</v>
      </c>
      <c r="E586" s="2" t="s">
        <v>14</v>
      </c>
      <c r="F586" s="14" t="s">
        <v>3486</v>
      </c>
      <c r="G586" s="14" t="s">
        <v>3487</v>
      </c>
      <c r="H586" s="15" t="s">
        <v>24</v>
      </c>
      <c r="I586" s="15" t="s">
        <v>3491</v>
      </c>
      <c r="J586" s="2">
        <v>5.0</v>
      </c>
      <c r="K586" s="12" t="s">
        <v>3987</v>
      </c>
      <c r="L586" s="20"/>
    </row>
    <row r="587" hidden="1">
      <c r="A587" s="1" t="s">
        <v>545</v>
      </c>
      <c r="B587" s="1" t="s">
        <v>545</v>
      </c>
      <c r="C587" s="13">
        <v>45692.66111111111</v>
      </c>
      <c r="D587" s="5" t="s">
        <v>464</v>
      </c>
      <c r="E587" s="2" t="s">
        <v>465</v>
      </c>
      <c r="F587" s="14" t="s">
        <v>3486</v>
      </c>
      <c r="G587" s="14" t="s">
        <v>3487</v>
      </c>
      <c r="H587" s="15" t="s">
        <v>24</v>
      </c>
      <c r="I587" s="15" t="s">
        <v>3491</v>
      </c>
      <c r="J587" s="2">
        <v>6.0</v>
      </c>
      <c r="K587" s="12" t="s">
        <v>3988</v>
      </c>
      <c r="L587" s="17"/>
    </row>
    <row r="588" hidden="1">
      <c r="A588" s="1" t="s">
        <v>546</v>
      </c>
      <c r="B588" s="1" t="s">
        <v>546</v>
      </c>
      <c r="C588" s="13">
        <v>45692.6625</v>
      </c>
      <c r="D588" s="5" t="s">
        <v>349</v>
      </c>
      <c r="E588" s="2" t="s">
        <v>350</v>
      </c>
      <c r="F588" s="14" t="s">
        <v>3547</v>
      </c>
      <c r="G588" s="14" t="s">
        <v>3548</v>
      </c>
      <c r="H588" s="15" t="s">
        <v>24</v>
      </c>
      <c r="I588" s="15" t="s">
        <v>3491</v>
      </c>
      <c r="J588" s="2">
        <v>4.0</v>
      </c>
      <c r="K588" s="19"/>
      <c r="L588" s="17"/>
    </row>
    <row r="589" hidden="1">
      <c r="A589" s="1" t="s">
        <v>547</v>
      </c>
      <c r="B589" s="1" t="s">
        <v>547</v>
      </c>
      <c r="C589" s="13">
        <v>45693.34861111111</v>
      </c>
      <c r="D589" s="5" t="s">
        <v>109</v>
      </c>
      <c r="E589" s="2" t="s">
        <v>110</v>
      </c>
      <c r="F589" s="14" t="s">
        <v>3486</v>
      </c>
      <c r="G589" s="14" t="s">
        <v>3487</v>
      </c>
      <c r="H589" s="15" t="s">
        <v>16</v>
      </c>
      <c r="I589" s="15" t="s">
        <v>3488</v>
      </c>
      <c r="J589" s="2">
        <v>3.0</v>
      </c>
      <c r="K589" s="12" t="s">
        <v>3989</v>
      </c>
      <c r="L589" s="14">
        <v>60000.0</v>
      </c>
    </row>
    <row r="590" hidden="1">
      <c r="A590" s="1" t="s">
        <v>547</v>
      </c>
      <c r="B590" s="1" t="s">
        <v>547</v>
      </c>
      <c r="C590" s="13">
        <v>45693.34861111111</v>
      </c>
      <c r="D590" s="5" t="s">
        <v>109</v>
      </c>
      <c r="E590" s="2" t="s">
        <v>110</v>
      </c>
      <c r="F590" s="14" t="s">
        <v>3522</v>
      </c>
      <c r="G590" s="14" t="s">
        <v>3523</v>
      </c>
      <c r="H590" s="15" t="s">
        <v>16</v>
      </c>
      <c r="I590" s="15" t="s">
        <v>3488</v>
      </c>
      <c r="J590" s="2">
        <v>3.0</v>
      </c>
      <c r="K590" s="12" t="s">
        <v>3990</v>
      </c>
      <c r="L590" s="14">
        <v>190000.0</v>
      </c>
    </row>
    <row r="591" hidden="1">
      <c r="A591" s="1" t="s">
        <v>548</v>
      </c>
      <c r="B591" s="1" t="s">
        <v>548</v>
      </c>
      <c r="C591" s="13">
        <v>45693.57638888889</v>
      </c>
      <c r="D591" s="5" t="s">
        <v>213</v>
      </c>
      <c r="E591" s="2" t="s">
        <v>214</v>
      </c>
      <c r="F591" s="14" t="s">
        <v>3486</v>
      </c>
      <c r="G591" s="14" t="s">
        <v>3487</v>
      </c>
      <c r="H591" s="15" t="s">
        <v>16</v>
      </c>
      <c r="I591" s="15" t="s">
        <v>3488</v>
      </c>
      <c r="J591" s="2">
        <v>20.0</v>
      </c>
      <c r="K591" s="12" t="s">
        <v>3991</v>
      </c>
      <c r="L591" s="14">
        <v>60000.0</v>
      </c>
    </row>
    <row r="592" hidden="1">
      <c r="A592" s="1" t="s">
        <v>549</v>
      </c>
      <c r="B592" s="1" t="s">
        <v>549</v>
      </c>
      <c r="C592" s="13">
        <v>45693.58819444444</v>
      </c>
      <c r="D592" s="5" t="s">
        <v>109</v>
      </c>
      <c r="E592" s="2" t="s">
        <v>110</v>
      </c>
      <c r="F592" s="14" t="s">
        <v>3522</v>
      </c>
      <c r="G592" s="14" t="s">
        <v>3523</v>
      </c>
      <c r="H592" s="15" t="s">
        <v>24</v>
      </c>
      <c r="I592" s="15" t="s">
        <v>3491</v>
      </c>
      <c r="J592" s="2">
        <v>1.0</v>
      </c>
      <c r="K592" s="12" t="s">
        <v>3992</v>
      </c>
      <c r="L592" s="17"/>
    </row>
    <row r="593">
      <c r="A593" s="1" t="s">
        <v>550</v>
      </c>
      <c r="B593" s="1" t="s">
        <v>550</v>
      </c>
      <c r="C593" s="13">
        <v>45693.58888888889</v>
      </c>
      <c r="D593" s="5" t="s">
        <v>45</v>
      </c>
      <c r="E593" s="2" t="s">
        <v>46</v>
      </c>
      <c r="F593" s="14" t="s">
        <v>3486</v>
      </c>
      <c r="G593" s="14" t="s">
        <v>3487</v>
      </c>
      <c r="H593" s="15" t="s">
        <v>24</v>
      </c>
      <c r="I593" s="15" t="s">
        <v>3491</v>
      </c>
      <c r="J593" s="2">
        <v>6.0</v>
      </c>
      <c r="K593" s="12" t="s">
        <v>3993</v>
      </c>
      <c r="L593" s="20"/>
    </row>
    <row r="594">
      <c r="A594" s="1" t="s">
        <v>550</v>
      </c>
      <c r="B594" s="1" t="s">
        <v>550</v>
      </c>
      <c r="C594" s="13">
        <v>45693.589583333334</v>
      </c>
      <c r="D594" s="5" t="s">
        <v>45</v>
      </c>
      <c r="E594" s="2" t="s">
        <v>46</v>
      </c>
      <c r="F594" s="14" t="s">
        <v>3522</v>
      </c>
      <c r="G594" s="14" t="s">
        <v>3523</v>
      </c>
      <c r="H594" s="15" t="s">
        <v>24</v>
      </c>
      <c r="I594" s="15" t="s">
        <v>3491</v>
      </c>
      <c r="J594" s="2">
        <v>1.0</v>
      </c>
      <c r="K594" s="12" t="s">
        <v>3620</v>
      </c>
      <c r="L594" s="17"/>
    </row>
    <row r="595">
      <c r="A595" s="1" t="s">
        <v>550</v>
      </c>
      <c r="B595" s="1" t="s">
        <v>550</v>
      </c>
      <c r="C595" s="13">
        <v>45693.589583333334</v>
      </c>
      <c r="D595" s="5" t="s">
        <v>45</v>
      </c>
      <c r="E595" s="2" t="s">
        <v>46</v>
      </c>
      <c r="F595" s="14" t="s">
        <v>3493</v>
      </c>
      <c r="G595" s="14" t="s">
        <v>3494</v>
      </c>
      <c r="H595" s="15" t="s">
        <v>24</v>
      </c>
      <c r="I595" s="15" t="s">
        <v>3491</v>
      </c>
      <c r="J595" s="2">
        <v>5.0</v>
      </c>
      <c r="K595" s="19"/>
      <c r="L595" s="17"/>
    </row>
    <row r="596" hidden="1">
      <c r="A596" s="1" t="s">
        <v>551</v>
      </c>
      <c r="B596" s="1" t="s">
        <v>551</v>
      </c>
      <c r="C596" s="13">
        <v>45693.70277777778</v>
      </c>
      <c r="D596" s="5" t="s">
        <v>552</v>
      </c>
      <c r="E596" s="2" t="s">
        <v>553</v>
      </c>
      <c r="F596" s="14" t="s">
        <v>3493</v>
      </c>
      <c r="G596" s="14" t="s">
        <v>3494</v>
      </c>
      <c r="H596" s="15" t="s">
        <v>16</v>
      </c>
      <c r="I596" s="15" t="s">
        <v>3488</v>
      </c>
      <c r="J596" s="2">
        <v>1.0</v>
      </c>
      <c r="K596" s="19"/>
      <c r="L596" s="16">
        <v>500000.0</v>
      </c>
    </row>
    <row r="597" hidden="1">
      <c r="A597" s="1" t="s">
        <v>554</v>
      </c>
      <c r="B597" s="1" t="s">
        <v>554</v>
      </c>
      <c r="C597" s="13">
        <v>45693.709027777775</v>
      </c>
      <c r="D597" s="5" t="s">
        <v>213</v>
      </c>
      <c r="E597" s="2" t="s">
        <v>214</v>
      </c>
      <c r="F597" s="14" t="s">
        <v>3486</v>
      </c>
      <c r="G597" s="14" t="s">
        <v>3487</v>
      </c>
      <c r="H597" s="15" t="s">
        <v>24</v>
      </c>
      <c r="I597" s="15" t="s">
        <v>3491</v>
      </c>
      <c r="J597" s="2">
        <v>5.0</v>
      </c>
      <c r="K597" s="12" t="s">
        <v>3994</v>
      </c>
      <c r="L597" s="20"/>
    </row>
    <row r="598" hidden="1">
      <c r="A598" s="1" t="s">
        <v>554</v>
      </c>
      <c r="B598" s="1" t="s">
        <v>554</v>
      </c>
      <c r="C598" s="13">
        <v>45693.71041666667</v>
      </c>
      <c r="D598" s="5" t="s">
        <v>213</v>
      </c>
      <c r="E598" s="2" t="s">
        <v>214</v>
      </c>
      <c r="F598" s="14" t="s">
        <v>3547</v>
      </c>
      <c r="G598" s="14" t="s">
        <v>3548</v>
      </c>
      <c r="H598" s="15" t="s">
        <v>24</v>
      </c>
      <c r="I598" s="15" t="s">
        <v>3491</v>
      </c>
      <c r="J598" s="2">
        <v>1.0</v>
      </c>
      <c r="K598" s="19"/>
      <c r="L598" s="20"/>
    </row>
    <row r="599" hidden="1">
      <c r="A599" s="1" t="s">
        <v>555</v>
      </c>
      <c r="B599" s="1" t="s">
        <v>555</v>
      </c>
      <c r="C599" s="13">
        <v>45694.37291666667</v>
      </c>
      <c r="D599" s="5" t="s">
        <v>464</v>
      </c>
      <c r="E599" s="2" t="s">
        <v>465</v>
      </c>
      <c r="F599" s="14" t="s">
        <v>3486</v>
      </c>
      <c r="G599" s="14" t="s">
        <v>3487</v>
      </c>
      <c r="H599" s="15" t="s">
        <v>16</v>
      </c>
      <c r="I599" s="15" t="s">
        <v>3488</v>
      </c>
      <c r="J599" s="2">
        <v>5.0</v>
      </c>
      <c r="K599" s="12" t="s">
        <v>3995</v>
      </c>
      <c r="L599" s="14">
        <v>55000.0</v>
      </c>
    </row>
    <row r="600" hidden="1">
      <c r="A600" s="1" t="s">
        <v>556</v>
      </c>
      <c r="B600" s="1" t="s">
        <v>556</v>
      </c>
      <c r="C600" s="13">
        <v>45694.375</v>
      </c>
      <c r="D600" s="5" t="s">
        <v>326</v>
      </c>
      <c r="E600" s="2" t="s">
        <v>327</v>
      </c>
      <c r="F600" s="14" t="s">
        <v>3486</v>
      </c>
      <c r="G600" s="14" t="s">
        <v>3487</v>
      </c>
      <c r="H600" s="15" t="s">
        <v>16</v>
      </c>
      <c r="I600" s="15" t="s">
        <v>3488</v>
      </c>
      <c r="J600" s="2">
        <v>10.0</v>
      </c>
      <c r="K600" s="12" t="s">
        <v>3996</v>
      </c>
      <c r="L600" s="14">
        <v>45000.0</v>
      </c>
    </row>
    <row r="601" hidden="1">
      <c r="A601" s="1" t="s">
        <v>557</v>
      </c>
      <c r="B601" s="1" t="s">
        <v>557</v>
      </c>
      <c r="C601" s="13">
        <v>45694.506944444445</v>
      </c>
      <c r="D601" s="5" t="s">
        <v>326</v>
      </c>
      <c r="E601" s="2" t="s">
        <v>327</v>
      </c>
      <c r="F601" s="14" t="s">
        <v>3486</v>
      </c>
      <c r="G601" s="14" t="s">
        <v>3487</v>
      </c>
      <c r="H601" s="15" t="s">
        <v>24</v>
      </c>
      <c r="I601" s="15" t="s">
        <v>3491</v>
      </c>
      <c r="J601" s="2">
        <v>6.0</v>
      </c>
      <c r="K601" s="12" t="s">
        <v>3997</v>
      </c>
      <c r="L601" s="17"/>
    </row>
    <row r="602" hidden="1">
      <c r="A602" s="1" t="s">
        <v>558</v>
      </c>
      <c r="B602" s="1" t="s">
        <v>558</v>
      </c>
      <c r="C602" s="13">
        <v>45694.51597222222</v>
      </c>
      <c r="D602" s="5" t="s">
        <v>505</v>
      </c>
      <c r="E602" s="2" t="s">
        <v>506</v>
      </c>
      <c r="F602" s="14" t="s">
        <v>3506</v>
      </c>
      <c r="G602" s="14" t="s">
        <v>3507</v>
      </c>
      <c r="H602" s="15" t="s">
        <v>16</v>
      </c>
      <c r="I602" s="15" t="s">
        <v>3488</v>
      </c>
      <c r="J602" s="2">
        <v>10.0</v>
      </c>
      <c r="K602" s="19"/>
      <c r="L602" s="14">
        <v>45000.0</v>
      </c>
    </row>
    <row r="603" hidden="1">
      <c r="A603" s="1" t="s">
        <v>558</v>
      </c>
      <c r="B603" s="1" t="s">
        <v>558</v>
      </c>
      <c r="C603" s="13">
        <v>45694.518055555556</v>
      </c>
      <c r="D603" s="5" t="s">
        <v>505</v>
      </c>
      <c r="E603" s="2" t="s">
        <v>506</v>
      </c>
      <c r="F603" s="14" t="s">
        <v>3493</v>
      </c>
      <c r="G603" s="14" t="s">
        <v>3494</v>
      </c>
      <c r="H603" s="15" t="s">
        <v>16</v>
      </c>
      <c r="I603" s="15" t="s">
        <v>3488</v>
      </c>
      <c r="J603" s="2">
        <v>10.0</v>
      </c>
      <c r="K603" s="19"/>
      <c r="L603" s="14">
        <v>200000.0</v>
      </c>
    </row>
    <row r="604" hidden="1">
      <c r="A604" s="1" t="s">
        <v>559</v>
      </c>
      <c r="B604" s="1" t="s">
        <v>559</v>
      </c>
      <c r="C604" s="13">
        <v>45694.65</v>
      </c>
      <c r="D604" s="5" t="s">
        <v>392</v>
      </c>
      <c r="E604" s="2" t="s">
        <v>393</v>
      </c>
      <c r="F604" s="14" t="s">
        <v>3486</v>
      </c>
      <c r="G604" s="14" t="s">
        <v>3487</v>
      </c>
      <c r="H604" s="15" t="s">
        <v>24</v>
      </c>
      <c r="I604" s="15" t="s">
        <v>3491</v>
      </c>
      <c r="J604" s="2">
        <v>4.0</v>
      </c>
      <c r="K604" s="12" t="s">
        <v>3998</v>
      </c>
      <c r="L604" s="17"/>
    </row>
    <row r="605" hidden="1">
      <c r="A605" s="1" t="s">
        <v>560</v>
      </c>
      <c r="B605" s="1" t="s">
        <v>560</v>
      </c>
      <c r="C605" s="13">
        <v>45694.65069444444</v>
      </c>
      <c r="D605" s="5" t="s">
        <v>397</v>
      </c>
      <c r="E605" s="2" t="s">
        <v>398</v>
      </c>
      <c r="F605" s="14" t="s">
        <v>3835</v>
      </c>
      <c r="G605" s="14" t="s">
        <v>3836</v>
      </c>
      <c r="H605" s="15" t="s">
        <v>24</v>
      </c>
      <c r="I605" s="15" t="s">
        <v>3491</v>
      </c>
      <c r="J605" s="2">
        <v>2.0</v>
      </c>
      <c r="K605" s="12" t="s">
        <v>3999</v>
      </c>
      <c r="L605" s="20"/>
    </row>
    <row r="606" hidden="1">
      <c r="A606" s="1" t="s">
        <v>561</v>
      </c>
      <c r="B606" s="1" t="s">
        <v>561</v>
      </c>
      <c r="C606" s="13">
        <v>45695.37430555555</v>
      </c>
      <c r="D606" s="5" t="s">
        <v>109</v>
      </c>
      <c r="E606" s="2" t="s">
        <v>110</v>
      </c>
      <c r="F606" s="14" t="s">
        <v>3486</v>
      </c>
      <c r="G606" s="14" t="s">
        <v>3487</v>
      </c>
      <c r="H606" s="15" t="s">
        <v>16</v>
      </c>
      <c r="I606" s="15" t="s">
        <v>3488</v>
      </c>
      <c r="J606" s="2">
        <v>2.0</v>
      </c>
      <c r="K606" s="12" t="s">
        <v>4000</v>
      </c>
      <c r="L606" s="16">
        <v>60000.0</v>
      </c>
    </row>
    <row r="607" hidden="1">
      <c r="A607" s="1" t="s">
        <v>562</v>
      </c>
      <c r="B607" s="1" t="s">
        <v>562</v>
      </c>
      <c r="C607" s="13">
        <v>45695.37430555555</v>
      </c>
      <c r="D607" s="5" t="s">
        <v>126</v>
      </c>
      <c r="E607" s="2" t="s">
        <v>127</v>
      </c>
      <c r="F607" s="14" t="s">
        <v>3486</v>
      </c>
      <c r="G607" s="14" t="s">
        <v>3487</v>
      </c>
      <c r="H607" s="15" t="s">
        <v>159</v>
      </c>
      <c r="I607" s="15" t="s">
        <v>3619</v>
      </c>
      <c r="J607" s="2">
        <v>1.0</v>
      </c>
      <c r="K607" s="12" t="s">
        <v>4001</v>
      </c>
      <c r="L607" s="20"/>
    </row>
    <row r="608" hidden="1">
      <c r="A608" s="1" t="s">
        <v>563</v>
      </c>
      <c r="B608" s="1" t="s">
        <v>563</v>
      </c>
      <c r="C608" s="13">
        <v>45695.521527777775</v>
      </c>
      <c r="D608" s="5" t="s">
        <v>213</v>
      </c>
      <c r="E608" s="2" t="s">
        <v>214</v>
      </c>
      <c r="F608" s="14" t="s">
        <v>3486</v>
      </c>
      <c r="G608" s="14" t="s">
        <v>3487</v>
      </c>
      <c r="H608" s="15" t="s">
        <v>24</v>
      </c>
      <c r="I608" s="15" t="s">
        <v>3491</v>
      </c>
      <c r="J608" s="2">
        <v>7.0</v>
      </c>
      <c r="K608" s="12" t="s">
        <v>4002</v>
      </c>
      <c r="L608" s="20"/>
    </row>
    <row r="609" hidden="1">
      <c r="A609" s="1" t="s">
        <v>564</v>
      </c>
      <c r="B609" s="1" t="s">
        <v>564</v>
      </c>
      <c r="C609" s="13">
        <v>45695.52222222222</v>
      </c>
      <c r="D609" s="22" t="s">
        <v>114</v>
      </c>
      <c r="E609" s="2" t="s">
        <v>115</v>
      </c>
      <c r="F609" s="14" t="s">
        <v>3486</v>
      </c>
      <c r="G609" s="14" t="s">
        <v>3487</v>
      </c>
      <c r="H609" s="15" t="s">
        <v>24</v>
      </c>
      <c r="I609" s="15" t="s">
        <v>3491</v>
      </c>
      <c r="J609" s="2">
        <v>2.0</v>
      </c>
      <c r="K609" s="12" t="s">
        <v>4003</v>
      </c>
      <c r="L609" s="17"/>
    </row>
    <row r="610" hidden="1">
      <c r="A610" s="1" t="s">
        <v>564</v>
      </c>
      <c r="B610" s="1" t="s">
        <v>564</v>
      </c>
      <c r="C610" s="13">
        <v>45695.52291666667</v>
      </c>
      <c r="D610" s="22" t="s">
        <v>114</v>
      </c>
      <c r="E610" s="2" t="s">
        <v>115</v>
      </c>
      <c r="F610" s="14" t="s">
        <v>3516</v>
      </c>
      <c r="G610" s="14" t="s">
        <v>3517</v>
      </c>
      <c r="H610" s="15" t="s">
        <v>24</v>
      </c>
      <c r="I610" s="15" t="s">
        <v>3491</v>
      </c>
      <c r="J610" s="2">
        <v>1.0</v>
      </c>
      <c r="K610" s="12" t="s">
        <v>4004</v>
      </c>
      <c r="L610" s="17"/>
    </row>
    <row r="611" hidden="1">
      <c r="A611" s="1" t="s">
        <v>565</v>
      </c>
      <c r="B611" s="1" t="s">
        <v>565</v>
      </c>
      <c r="C611" s="13">
        <v>45695.52291666667</v>
      </c>
      <c r="D611" s="5" t="s">
        <v>109</v>
      </c>
      <c r="E611" s="2" t="s">
        <v>110</v>
      </c>
      <c r="F611" s="14" t="s">
        <v>3486</v>
      </c>
      <c r="G611" s="14" t="s">
        <v>3487</v>
      </c>
      <c r="H611" s="15" t="s">
        <v>24</v>
      </c>
      <c r="I611" s="15" t="s">
        <v>3491</v>
      </c>
      <c r="J611" s="2">
        <v>1.0</v>
      </c>
      <c r="K611" s="12" t="s">
        <v>4005</v>
      </c>
      <c r="L611" s="17"/>
    </row>
    <row r="612" hidden="1">
      <c r="A612" s="1" t="s">
        <v>566</v>
      </c>
      <c r="B612" s="1" t="s">
        <v>566</v>
      </c>
      <c r="C612" s="13">
        <v>45695.56180555555</v>
      </c>
      <c r="D612" s="5" t="s">
        <v>126</v>
      </c>
      <c r="E612" s="2" t="s">
        <v>127</v>
      </c>
      <c r="F612" s="14" t="s">
        <v>3486</v>
      </c>
      <c r="G612" s="14" t="s">
        <v>3487</v>
      </c>
      <c r="H612" s="15" t="s">
        <v>24</v>
      </c>
      <c r="I612" s="15" t="s">
        <v>3491</v>
      </c>
      <c r="J612" s="2">
        <v>1.0</v>
      </c>
      <c r="K612" s="12" t="s">
        <v>4006</v>
      </c>
      <c r="L612" s="17"/>
    </row>
    <row r="613" hidden="1">
      <c r="A613" s="1" t="s">
        <v>567</v>
      </c>
      <c r="B613" s="1" t="s">
        <v>567</v>
      </c>
      <c r="C613" s="13">
        <v>45695.56319444445</v>
      </c>
      <c r="D613" s="5" t="s">
        <v>13</v>
      </c>
      <c r="E613" s="2" t="s">
        <v>14</v>
      </c>
      <c r="F613" s="14" t="s">
        <v>3486</v>
      </c>
      <c r="G613" s="14" t="s">
        <v>3487</v>
      </c>
      <c r="H613" s="15" t="s">
        <v>24</v>
      </c>
      <c r="I613" s="15" t="s">
        <v>3491</v>
      </c>
      <c r="J613" s="2">
        <v>3.0</v>
      </c>
      <c r="K613" s="12" t="s">
        <v>4007</v>
      </c>
      <c r="L613" s="17"/>
    </row>
    <row r="614">
      <c r="A614" s="1" t="s">
        <v>568</v>
      </c>
      <c r="B614" s="1" t="s">
        <v>568</v>
      </c>
      <c r="C614" s="13">
        <v>45696.41875</v>
      </c>
      <c r="D614" s="5" t="s">
        <v>45</v>
      </c>
      <c r="E614" s="2" t="s">
        <v>46</v>
      </c>
      <c r="F614" s="14" t="s">
        <v>3486</v>
      </c>
      <c r="G614" s="14" t="s">
        <v>3487</v>
      </c>
      <c r="H614" s="15" t="s">
        <v>16</v>
      </c>
      <c r="I614" s="15" t="s">
        <v>3488</v>
      </c>
      <c r="J614" s="2">
        <v>10.0</v>
      </c>
      <c r="K614" s="12" t="s">
        <v>4008</v>
      </c>
      <c r="L614" s="14">
        <v>60000.0</v>
      </c>
    </row>
    <row r="615" hidden="1">
      <c r="A615" s="1" t="s">
        <v>569</v>
      </c>
      <c r="B615" s="1" t="s">
        <v>569</v>
      </c>
      <c r="C615" s="13">
        <v>45696.603472222225</v>
      </c>
      <c r="D615" s="5" t="s">
        <v>305</v>
      </c>
      <c r="E615" s="2" t="s">
        <v>306</v>
      </c>
      <c r="F615" s="14" t="s">
        <v>3486</v>
      </c>
      <c r="G615" s="14" t="s">
        <v>3487</v>
      </c>
      <c r="H615" s="15" t="s">
        <v>24</v>
      </c>
      <c r="I615" s="15" t="s">
        <v>3491</v>
      </c>
      <c r="J615" s="2">
        <v>3.0</v>
      </c>
      <c r="K615" s="12" t="s">
        <v>4009</v>
      </c>
      <c r="L615" s="17"/>
    </row>
    <row r="616" hidden="1">
      <c r="A616" s="1" t="s">
        <v>570</v>
      </c>
      <c r="B616" s="1" t="s">
        <v>570</v>
      </c>
      <c r="C616" s="13">
        <v>45696.604166666664</v>
      </c>
      <c r="D616" s="5" t="s">
        <v>326</v>
      </c>
      <c r="E616" s="2" t="s">
        <v>327</v>
      </c>
      <c r="F616" s="14" t="s">
        <v>3486</v>
      </c>
      <c r="G616" s="14" t="s">
        <v>3487</v>
      </c>
      <c r="H616" s="15" t="s">
        <v>24</v>
      </c>
      <c r="I616" s="15" t="s">
        <v>3491</v>
      </c>
      <c r="J616" s="2">
        <v>4.0</v>
      </c>
      <c r="K616" s="12" t="s">
        <v>4010</v>
      </c>
      <c r="L616" s="17"/>
    </row>
    <row r="617" hidden="1">
      <c r="A617" s="1" t="s">
        <v>571</v>
      </c>
      <c r="B617" s="1" t="s">
        <v>571</v>
      </c>
      <c r="C617" s="13">
        <v>45698.364583333336</v>
      </c>
      <c r="D617" s="5" t="s">
        <v>131</v>
      </c>
      <c r="E617" s="2" t="s">
        <v>132</v>
      </c>
      <c r="F617" s="14" t="s">
        <v>3486</v>
      </c>
      <c r="G617" s="14" t="s">
        <v>3487</v>
      </c>
      <c r="H617" s="15" t="s">
        <v>16</v>
      </c>
      <c r="I617" s="15" t="s">
        <v>3488</v>
      </c>
      <c r="J617" s="2">
        <v>8.0</v>
      </c>
      <c r="K617" s="12" t="s">
        <v>4011</v>
      </c>
      <c r="L617" s="14">
        <v>60000.0</v>
      </c>
    </row>
    <row r="618" hidden="1">
      <c r="A618" s="1" t="s">
        <v>572</v>
      </c>
      <c r="B618" s="1" t="s">
        <v>572</v>
      </c>
      <c r="C618" s="13">
        <v>45698.41180555556</v>
      </c>
      <c r="D618" s="5" t="s">
        <v>49</v>
      </c>
      <c r="E618" s="2" t="s">
        <v>50</v>
      </c>
      <c r="F618" s="14" t="s">
        <v>3486</v>
      </c>
      <c r="G618" s="14" t="s">
        <v>3487</v>
      </c>
      <c r="H618" s="15" t="s">
        <v>16</v>
      </c>
      <c r="I618" s="15" t="s">
        <v>3488</v>
      </c>
      <c r="J618" s="2">
        <v>4.0</v>
      </c>
      <c r="K618" s="12" t="s">
        <v>4012</v>
      </c>
      <c r="L618" s="14">
        <v>60000.0</v>
      </c>
    </row>
    <row r="619" hidden="1">
      <c r="A619" s="1" t="s">
        <v>571</v>
      </c>
      <c r="B619" s="1" t="s">
        <v>571</v>
      </c>
      <c r="C619" s="13">
        <v>45698.470138888886</v>
      </c>
      <c r="D619" s="5" t="s">
        <v>131</v>
      </c>
      <c r="E619" s="2" t="s">
        <v>132</v>
      </c>
      <c r="F619" s="14" t="s">
        <v>3516</v>
      </c>
      <c r="G619" s="14" t="s">
        <v>3517</v>
      </c>
      <c r="H619" s="15" t="s">
        <v>16</v>
      </c>
      <c r="I619" s="15" t="s">
        <v>3488</v>
      </c>
      <c r="J619" s="2">
        <v>2.0</v>
      </c>
      <c r="K619" s="12" t="s">
        <v>4013</v>
      </c>
      <c r="L619" s="14">
        <v>170000.0</v>
      </c>
    </row>
    <row r="620" hidden="1">
      <c r="A620" s="1" t="s">
        <v>573</v>
      </c>
      <c r="B620" s="1" t="s">
        <v>573</v>
      </c>
      <c r="C620" s="13">
        <v>45698.47152777778</v>
      </c>
      <c r="D620" s="5" t="s">
        <v>49</v>
      </c>
      <c r="E620" s="2" t="s">
        <v>50</v>
      </c>
      <c r="F620" s="14" t="s">
        <v>3486</v>
      </c>
      <c r="G620" s="14" t="s">
        <v>3487</v>
      </c>
      <c r="H620" s="15" t="s">
        <v>24</v>
      </c>
      <c r="I620" s="15" t="s">
        <v>3491</v>
      </c>
      <c r="J620" s="2">
        <v>3.0</v>
      </c>
      <c r="K620" s="12" t="s">
        <v>4014</v>
      </c>
      <c r="L620" s="17"/>
    </row>
    <row r="621" hidden="1">
      <c r="A621" s="1" t="s">
        <v>574</v>
      </c>
      <c r="B621" s="1" t="s">
        <v>574</v>
      </c>
      <c r="C621" s="13">
        <v>45698.5</v>
      </c>
      <c r="D621" s="5" t="s">
        <v>13</v>
      </c>
      <c r="E621" s="2" t="s">
        <v>14</v>
      </c>
      <c r="F621" s="14" t="s">
        <v>3486</v>
      </c>
      <c r="G621" s="14" t="s">
        <v>3487</v>
      </c>
      <c r="H621" s="15" t="s">
        <v>24</v>
      </c>
      <c r="I621" s="15" t="s">
        <v>3491</v>
      </c>
      <c r="J621" s="2">
        <v>2.0</v>
      </c>
      <c r="K621" s="12" t="s">
        <v>4015</v>
      </c>
      <c r="L621" s="17"/>
    </row>
    <row r="622" hidden="1">
      <c r="A622" s="1" t="s">
        <v>575</v>
      </c>
      <c r="B622" s="1" t="s">
        <v>575</v>
      </c>
      <c r="C622" s="13">
        <v>45698.5</v>
      </c>
      <c r="D622" s="5" t="s">
        <v>309</v>
      </c>
      <c r="E622" s="2" t="s">
        <v>310</v>
      </c>
      <c r="F622" s="14" t="s">
        <v>3486</v>
      </c>
      <c r="G622" s="14" t="s">
        <v>3487</v>
      </c>
      <c r="H622" s="15" t="s">
        <v>24</v>
      </c>
      <c r="I622" s="15" t="s">
        <v>3491</v>
      </c>
      <c r="J622" s="2">
        <v>2.0</v>
      </c>
      <c r="K622" s="12" t="s">
        <v>4016</v>
      </c>
      <c r="L622" s="20"/>
    </row>
    <row r="623" hidden="1">
      <c r="A623" s="1" t="s">
        <v>575</v>
      </c>
      <c r="B623" s="1" t="s">
        <v>575</v>
      </c>
      <c r="C623" s="13">
        <v>45698.50069444445</v>
      </c>
      <c r="D623" s="5" t="s">
        <v>309</v>
      </c>
      <c r="E623" s="2" t="s">
        <v>310</v>
      </c>
      <c r="F623" s="14" t="s">
        <v>3506</v>
      </c>
      <c r="G623" s="14" t="s">
        <v>3507</v>
      </c>
      <c r="H623" s="15" t="s">
        <v>24</v>
      </c>
      <c r="I623" s="15" t="s">
        <v>3491</v>
      </c>
      <c r="J623" s="2">
        <v>9.0</v>
      </c>
      <c r="K623" s="19"/>
      <c r="L623" s="17"/>
    </row>
    <row r="624" hidden="1">
      <c r="A624" s="1" t="s">
        <v>576</v>
      </c>
      <c r="B624" s="1" t="s">
        <v>576</v>
      </c>
      <c r="C624" s="13">
        <v>45698.50069444445</v>
      </c>
      <c r="D624" s="5" t="s">
        <v>213</v>
      </c>
      <c r="E624" s="2" t="s">
        <v>214</v>
      </c>
      <c r="F624" s="14" t="s">
        <v>3486</v>
      </c>
      <c r="G624" s="14" t="s">
        <v>3487</v>
      </c>
      <c r="H624" s="15" t="s">
        <v>24</v>
      </c>
      <c r="I624" s="15" t="s">
        <v>3491</v>
      </c>
      <c r="J624" s="2">
        <v>7.0</v>
      </c>
      <c r="K624" s="12" t="s">
        <v>4017</v>
      </c>
      <c r="L624" s="17"/>
    </row>
    <row r="625" hidden="1">
      <c r="A625" s="1" t="s">
        <v>577</v>
      </c>
      <c r="B625" s="1" t="s">
        <v>577</v>
      </c>
      <c r="C625" s="13">
        <v>45698.50208333333</v>
      </c>
      <c r="D625" s="5" t="s">
        <v>131</v>
      </c>
      <c r="E625" s="2" t="s">
        <v>132</v>
      </c>
      <c r="F625" s="14" t="s">
        <v>3486</v>
      </c>
      <c r="G625" s="14" t="s">
        <v>3487</v>
      </c>
      <c r="H625" s="15" t="s">
        <v>24</v>
      </c>
      <c r="I625" s="15" t="s">
        <v>3491</v>
      </c>
      <c r="J625" s="2">
        <v>7.0</v>
      </c>
      <c r="K625" s="12" t="s">
        <v>4018</v>
      </c>
      <c r="L625" s="20"/>
    </row>
    <row r="626" hidden="1">
      <c r="A626" s="1" t="s">
        <v>578</v>
      </c>
      <c r="B626" s="1" t="s">
        <v>578</v>
      </c>
      <c r="C626" s="13">
        <v>45699.36388888889</v>
      </c>
      <c r="D626" s="5" t="s">
        <v>213</v>
      </c>
      <c r="E626" s="2" t="s">
        <v>214</v>
      </c>
      <c r="F626" s="14" t="s">
        <v>3486</v>
      </c>
      <c r="G626" s="14" t="s">
        <v>3487</v>
      </c>
      <c r="H626" s="15" t="s">
        <v>16</v>
      </c>
      <c r="I626" s="15" t="s">
        <v>3488</v>
      </c>
      <c r="J626" s="2">
        <v>15.0</v>
      </c>
      <c r="K626" s="12" t="s">
        <v>4019</v>
      </c>
      <c r="L626" s="16">
        <v>60000.0</v>
      </c>
    </row>
    <row r="627" hidden="1">
      <c r="A627" s="1" t="s">
        <v>579</v>
      </c>
      <c r="B627" s="1" t="s">
        <v>579</v>
      </c>
      <c r="C627" s="13">
        <v>45699.48055555556</v>
      </c>
      <c r="D627" s="5" t="s">
        <v>109</v>
      </c>
      <c r="E627" s="2" t="s">
        <v>110</v>
      </c>
      <c r="F627" s="14" t="s">
        <v>3486</v>
      </c>
      <c r="G627" s="14" t="s">
        <v>3487</v>
      </c>
      <c r="H627" s="15" t="s">
        <v>16</v>
      </c>
      <c r="I627" s="15" t="s">
        <v>3488</v>
      </c>
      <c r="J627" s="2">
        <v>3.0</v>
      </c>
      <c r="K627" s="12" t="s">
        <v>4020</v>
      </c>
      <c r="L627" s="16">
        <v>60000.0</v>
      </c>
    </row>
    <row r="628" hidden="1">
      <c r="A628" s="1" t="s">
        <v>580</v>
      </c>
      <c r="B628" s="1" t="s">
        <v>580</v>
      </c>
      <c r="C628" s="13">
        <v>45700.37222222222</v>
      </c>
      <c r="D628" s="5" t="s">
        <v>131</v>
      </c>
      <c r="E628" s="2" t="s">
        <v>132</v>
      </c>
      <c r="F628" s="14" t="s">
        <v>3486</v>
      </c>
      <c r="G628" s="14" t="s">
        <v>3487</v>
      </c>
      <c r="H628" s="15" t="s">
        <v>16</v>
      </c>
      <c r="I628" s="15" t="s">
        <v>3488</v>
      </c>
      <c r="J628" s="2">
        <v>7.0</v>
      </c>
      <c r="K628" s="12" t="s">
        <v>4021</v>
      </c>
      <c r="L628" s="14">
        <v>60000.0</v>
      </c>
    </row>
    <row r="629" hidden="1">
      <c r="A629" s="1" t="s">
        <v>580</v>
      </c>
      <c r="B629" s="1" t="s">
        <v>580</v>
      </c>
      <c r="C629" s="13">
        <v>45700.37291666667</v>
      </c>
      <c r="D629" s="5" t="s">
        <v>131</v>
      </c>
      <c r="E629" s="2" t="s">
        <v>132</v>
      </c>
      <c r="F629" s="14" t="s">
        <v>3516</v>
      </c>
      <c r="G629" s="14" t="s">
        <v>3517</v>
      </c>
      <c r="H629" s="15" t="s">
        <v>16</v>
      </c>
      <c r="I629" s="15" t="s">
        <v>3488</v>
      </c>
      <c r="J629" s="2">
        <v>3.0</v>
      </c>
      <c r="K629" s="12" t="s">
        <v>4022</v>
      </c>
      <c r="L629" s="14">
        <v>170000.0</v>
      </c>
    </row>
    <row r="630" hidden="1">
      <c r="A630" s="1" t="s">
        <v>581</v>
      </c>
      <c r="B630" s="1" t="s">
        <v>581</v>
      </c>
      <c r="C630" s="13">
        <v>45700.48541666667</v>
      </c>
      <c r="D630" s="5" t="s">
        <v>131</v>
      </c>
      <c r="E630" s="2" t="s">
        <v>132</v>
      </c>
      <c r="F630" s="14" t="s">
        <v>3486</v>
      </c>
      <c r="G630" s="14" t="s">
        <v>3487</v>
      </c>
      <c r="H630" s="15" t="s">
        <v>24</v>
      </c>
      <c r="I630" s="15" t="s">
        <v>3491</v>
      </c>
      <c r="J630" s="2">
        <v>2.0</v>
      </c>
      <c r="K630" s="12" t="s">
        <v>4023</v>
      </c>
      <c r="L630" s="17"/>
    </row>
    <row r="631" hidden="1">
      <c r="A631" s="1" t="s">
        <v>581</v>
      </c>
      <c r="B631" s="1" t="s">
        <v>581</v>
      </c>
      <c r="C631" s="13">
        <v>45700.486805555556</v>
      </c>
      <c r="D631" s="5" t="s">
        <v>131</v>
      </c>
      <c r="E631" s="2" t="s">
        <v>132</v>
      </c>
      <c r="F631" s="14" t="s">
        <v>3516</v>
      </c>
      <c r="G631" s="14" t="s">
        <v>3517</v>
      </c>
      <c r="H631" s="15" t="s">
        <v>24</v>
      </c>
      <c r="I631" s="15" t="s">
        <v>3491</v>
      </c>
      <c r="J631" s="2">
        <v>1.0</v>
      </c>
      <c r="K631" s="12" t="s">
        <v>4024</v>
      </c>
      <c r="L631" s="17"/>
    </row>
    <row r="632" hidden="1">
      <c r="A632" s="1" t="s">
        <v>582</v>
      </c>
      <c r="B632" s="1" t="s">
        <v>582</v>
      </c>
      <c r="C632" s="13">
        <v>45700.490277777775</v>
      </c>
      <c r="D632" s="5" t="s">
        <v>55</v>
      </c>
      <c r="E632" s="2" t="s">
        <v>56</v>
      </c>
      <c r="F632" s="14" t="s">
        <v>3486</v>
      </c>
      <c r="G632" s="14" t="s">
        <v>3487</v>
      </c>
      <c r="H632" s="15" t="s">
        <v>24</v>
      </c>
      <c r="I632" s="15" t="s">
        <v>3491</v>
      </c>
      <c r="J632" s="2">
        <v>2.0</v>
      </c>
      <c r="K632" s="12" t="s">
        <v>4025</v>
      </c>
      <c r="L632" s="20"/>
    </row>
    <row r="633" hidden="1">
      <c r="A633" s="1" t="s">
        <v>583</v>
      </c>
      <c r="B633" s="1" t="s">
        <v>583</v>
      </c>
      <c r="C633" s="13">
        <v>45700.490277777775</v>
      </c>
      <c r="D633" s="5" t="s">
        <v>75</v>
      </c>
      <c r="E633" s="2" t="s">
        <v>76</v>
      </c>
      <c r="F633" s="14" t="s">
        <v>3522</v>
      </c>
      <c r="G633" s="14" t="s">
        <v>3523</v>
      </c>
      <c r="H633" s="15" t="s">
        <v>24</v>
      </c>
      <c r="I633" s="15" t="s">
        <v>3491</v>
      </c>
      <c r="J633" s="2">
        <v>1.0</v>
      </c>
      <c r="K633" s="12" t="s">
        <v>4026</v>
      </c>
      <c r="L633" s="17"/>
    </row>
    <row r="634" hidden="1">
      <c r="A634" s="1" t="s">
        <v>584</v>
      </c>
      <c r="B634" s="1" t="s">
        <v>584</v>
      </c>
      <c r="C634" s="13">
        <v>45699.49166666667</v>
      </c>
      <c r="D634" s="5" t="s">
        <v>109</v>
      </c>
      <c r="E634" s="2" t="s">
        <v>110</v>
      </c>
      <c r="F634" s="14" t="s">
        <v>3486</v>
      </c>
      <c r="G634" s="14" t="s">
        <v>3487</v>
      </c>
      <c r="H634" s="15" t="s">
        <v>24</v>
      </c>
      <c r="I634" s="15" t="s">
        <v>3491</v>
      </c>
      <c r="J634" s="2">
        <v>5.0</v>
      </c>
      <c r="K634" s="12" t="s">
        <v>4027</v>
      </c>
      <c r="L634" s="20"/>
    </row>
    <row r="635" hidden="1">
      <c r="A635" s="1" t="s">
        <v>585</v>
      </c>
      <c r="B635" s="1" t="s">
        <v>585</v>
      </c>
      <c r="C635" s="13">
        <v>45699.49236111111</v>
      </c>
      <c r="D635" s="5" t="s">
        <v>131</v>
      </c>
      <c r="E635" s="2" t="s">
        <v>132</v>
      </c>
      <c r="F635" s="14" t="s">
        <v>3486</v>
      </c>
      <c r="G635" s="14" t="s">
        <v>3487</v>
      </c>
      <c r="H635" s="15" t="s">
        <v>24</v>
      </c>
      <c r="I635" s="15" t="s">
        <v>3491</v>
      </c>
      <c r="J635" s="2">
        <v>2.0</v>
      </c>
      <c r="K635" s="12" t="s">
        <v>4028</v>
      </c>
      <c r="L635" s="20"/>
    </row>
    <row r="636" hidden="1">
      <c r="A636" s="1" t="s">
        <v>585</v>
      </c>
      <c r="B636" s="1" t="s">
        <v>585</v>
      </c>
      <c r="C636" s="13">
        <v>45699.493055555555</v>
      </c>
      <c r="D636" s="5" t="s">
        <v>131</v>
      </c>
      <c r="E636" s="2" t="s">
        <v>132</v>
      </c>
      <c r="F636" s="14" t="s">
        <v>3516</v>
      </c>
      <c r="G636" s="14" t="s">
        <v>3517</v>
      </c>
      <c r="H636" s="15" t="s">
        <v>24</v>
      </c>
      <c r="I636" s="15" t="s">
        <v>3491</v>
      </c>
      <c r="J636" s="2">
        <v>1.0</v>
      </c>
      <c r="K636" s="12" t="s">
        <v>4029</v>
      </c>
      <c r="L636" s="17"/>
    </row>
    <row r="637" hidden="1">
      <c r="A637" s="1" t="s">
        <v>586</v>
      </c>
      <c r="B637" s="1" t="s">
        <v>586</v>
      </c>
      <c r="C637" s="13">
        <v>45699.493055555555</v>
      </c>
      <c r="D637" s="5" t="s">
        <v>213</v>
      </c>
      <c r="E637" s="2" t="s">
        <v>214</v>
      </c>
      <c r="F637" s="14" t="s">
        <v>3486</v>
      </c>
      <c r="G637" s="14" t="s">
        <v>3487</v>
      </c>
      <c r="H637" s="15" t="s">
        <v>24</v>
      </c>
      <c r="I637" s="15" t="s">
        <v>3491</v>
      </c>
      <c r="J637" s="2">
        <v>2.0</v>
      </c>
      <c r="K637" s="12" t="s">
        <v>4030</v>
      </c>
      <c r="L637" s="17"/>
    </row>
    <row r="638" hidden="1">
      <c r="A638" s="1" t="s">
        <v>587</v>
      </c>
      <c r="B638" s="1" t="s">
        <v>587</v>
      </c>
      <c r="C638" s="13">
        <v>45699.49375</v>
      </c>
      <c r="D638" s="5" t="s">
        <v>464</v>
      </c>
      <c r="E638" s="2" t="s">
        <v>465</v>
      </c>
      <c r="F638" s="14" t="s">
        <v>3486</v>
      </c>
      <c r="G638" s="14" t="s">
        <v>3487</v>
      </c>
      <c r="H638" s="15" t="s">
        <v>24</v>
      </c>
      <c r="I638" s="15" t="s">
        <v>3491</v>
      </c>
      <c r="J638" s="2">
        <v>1.0</v>
      </c>
      <c r="K638" s="12" t="s">
        <v>4031</v>
      </c>
      <c r="L638" s="17"/>
    </row>
    <row r="639" hidden="1">
      <c r="A639" s="1" t="s">
        <v>588</v>
      </c>
      <c r="B639" s="1" t="s">
        <v>588</v>
      </c>
      <c r="C639" s="13">
        <v>45699.49444444444</v>
      </c>
      <c r="D639" s="5" t="s">
        <v>326</v>
      </c>
      <c r="E639" s="2" t="s">
        <v>327</v>
      </c>
      <c r="F639" s="14" t="s">
        <v>3486</v>
      </c>
      <c r="G639" s="14" t="s">
        <v>3487</v>
      </c>
      <c r="H639" s="15" t="s">
        <v>24</v>
      </c>
      <c r="I639" s="15" t="s">
        <v>3491</v>
      </c>
      <c r="J639" s="2">
        <v>2.0</v>
      </c>
      <c r="K639" s="12" t="s">
        <v>4032</v>
      </c>
      <c r="L639" s="17"/>
    </row>
    <row r="640" hidden="1">
      <c r="A640" s="1" t="s">
        <v>589</v>
      </c>
      <c r="B640" s="1" t="s">
        <v>589</v>
      </c>
      <c r="C640" s="13">
        <v>45700.64236111111</v>
      </c>
      <c r="D640" s="5" t="s">
        <v>20</v>
      </c>
      <c r="E640" s="2" t="s">
        <v>21</v>
      </c>
      <c r="F640" s="14" t="s">
        <v>3486</v>
      </c>
      <c r="G640" s="14" t="s">
        <v>3487</v>
      </c>
      <c r="H640" s="15" t="s">
        <v>24</v>
      </c>
      <c r="I640" s="15" t="s">
        <v>3614</v>
      </c>
      <c r="J640" s="2">
        <v>1.0</v>
      </c>
      <c r="K640" s="12" t="s">
        <v>4033</v>
      </c>
      <c r="L640" s="17"/>
    </row>
    <row r="641" hidden="1">
      <c r="A641" s="1" t="s">
        <v>590</v>
      </c>
      <c r="B641" s="1" t="s">
        <v>590</v>
      </c>
      <c r="C641" s="13">
        <v>45700.64236111111</v>
      </c>
      <c r="D641" s="22" t="s">
        <v>114</v>
      </c>
      <c r="E641" s="2" t="s">
        <v>115</v>
      </c>
      <c r="F641" s="14" t="s">
        <v>3516</v>
      </c>
      <c r="G641" s="14" t="s">
        <v>3517</v>
      </c>
      <c r="H641" s="15" t="s">
        <v>24</v>
      </c>
      <c r="I641" s="15" t="s">
        <v>3491</v>
      </c>
      <c r="J641" s="2">
        <v>1.0</v>
      </c>
      <c r="K641" s="12" t="s">
        <v>4034</v>
      </c>
      <c r="L641" s="20"/>
    </row>
    <row r="642" hidden="1">
      <c r="A642" s="1" t="s">
        <v>590</v>
      </c>
      <c r="B642" s="1" t="s">
        <v>590</v>
      </c>
      <c r="C642" s="13">
        <v>45700.643055555556</v>
      </c>
      <c r="D642" s="22" t="s">
        <v>114</v>
      </c>
      <c r="E642" s="2" t="s">
        <v>115</v>
      </c>
      <c r="F642" s="14" t="s">
        <v>3585</v>
      </c>
      <c r="G642" s="14" t="s">
        <v>3586</v>
      </c>
      <c r="H642" s="15" t="s">
        <v>24</v>
      </c>
      <c r="I642" s="15" t="s">
        <v>3491</v>
      </c>
      <c r="J642" s="2">
        <v>1.0</v>
      </c>
      <c r="K642" s="12" t="s">
        <v>4035</v>
      </c>
      <c r="L642" s="20"/>
    </row>
    <row r="643" hidden="1">
      <c r="A643" s="1" t="s">
        <v>591</v>
      </c>
      <c r="B643" s="1" t="s">
        <v>591</v>
      </c>
      <c r="C643" s="13">
        <v>45700.643055555556</v>
      </c>
      <c r="D643" s="5" t="s">
        <v>213</v>
      </c>
      <c r="E643" s="2" t="s">
        <v>214</v>
      </c>
      <c r="F643" s="14" t="s">
        <v>3486</v>
      </c>
      <c r="G643" s="14" t="s">
        <v>3487</v>
      </c>
      <c r="H643" s="15" t="s">
        <v>24</v>
      </c>
      <c r="I643" s="15" t="s">
        <v>3491</v>
      </c>
      <c r="J643" s="2">
        <v>5.0</v>
      </c>
      <c r="K643" s="12" t="s">
        <v>4036</v>
      </c>
      <c r="L643" s="20"/>
    </row>
    <row r="644" hidden="1">
      <c r="A644" s="1" t="s">
        <v>592</v>
      </c>
      <c r="B644" s="1" t="s">
        <v>592</v>
      </c>
      <c r="C644" s="13">
        <v>45701.441666666666</v>
      </c>
      <c r="D644" s="5" t="s">
        <v>326</v>
      </c>
      <c r="E644" s="2" t="s">
        <v>327</v>
      </c>
      <c r="F644" s="14" t="s">
        <v>3486</v>
      </c>
      <c r="G644" s="14" t="s">
        <v>3487</v>
      </c>
      <c r="H644" s="15" t="s">
        <v>16</v>
      </c>
      <c r="I644" s="15" t="s">
        <v>3488</v>
      </c>
      <c r="J644" s="2">
        <v>10.0</v>
      </c>
      <c r="K644" s="12" t="s">
        <v>4037</v>
      </c>
      <c r="L644" s="14">
        <v>45000.0</v>
      </c>
    </row>
    <row r="645" hidden="1">
      <c r="A645" s="1" t="s">
        <v>593</v>
      </c>
      <c r="B645" s="1" t="s">
        <v>593</v>
      </c>
      <c r="C645" s="13">
        <v>45701.62430555555</v>
      </c>
      <c r="D645" s="5" t="s">
        <v>213</v>
      </c>
      <c r="E645" s="2" t="s">
        <v>214</v>
      </c>
      <c r="F645" s="14" t="s">
        <v>3486</v>
      </c>
      <c r="G645" s="14" t="s">
        <v>3487</v>
      </c>
      <c r="H645" s="15" t="s">
        <v>24</v>
      </c>
      <c r="I645" s="15" t="s">
        <v>3491</v>
      </c>
      <c r="J645" s="2">
        <v>12.0</v>
      </c>
      <c r="K645" s="12" t="s">
        <v>4038</v>
      </c>
      <c r="L645" s="17"/>
    </row>
    <row r="646" hidden="1">
      <c r="A646" s="1" t="s">
        <v>594</v>
      </c>
      <c r="B646" s="1" t="s">
        <v>594</v>
      </c>
      <c r="C646" s="13">
        <v>45701.62569444445</v>
      </c>
      <c r="D646" s="5" t="s">
        <v>326</v>
      </c>
      <c r="E646" s="2" t="s">
        <v>327</v>
      </c>
      <c r="F646" s="14" t="s">
        <v>3486</v>
      </c>
      <c r="G646" s="14" t="s">
        <v>3487</v>
      </c>
      <c r="H646" s="15" t="s">
        <v>24</v>
      </c>
      <c r="I646" s="15" t="s">
        <v>3491</v>
      </c>
      <c r="J646" s="2">
        <v>3.0</v>
      </c>
      <c r="K646" s="12" t="s">
        <v>4039</v>
      </c>
      <c r="L646" s="17"/>
    </row>
    <row r="647" hidden="1">
      <c r="A647" s="1" t="s">
        <v>595</v>
      </c>
      <c r="B647" s="1" t="s">
        <v>595</v>
      </c>
      <c r="C647" s="13">
        <v>45702.40069444444</v>
      </c>
      <c r="D647" s="5" t="s">
        <v>131</v>
      </c>
      <c r="E647" s="2" t="s">
        <v>132</v>
      </c>
      <c r="F647" s="14" t="s">
        <v>3486</v>
      </c>
      <c r="G647" s="14" t="s">
        <v>3487</v>
      </c>
      <c r="H647" s="15" t="s">
        <v>16</v>
      </c>
      <c r="I647" s="15" t="s">
        <v>3488</v>
      </c>
      <c r="J647" s="2">
        <v>8.0</v>
      </c>
      <c r="K647" s="12" t="s">
        <v>4040</v>
      </c>
      <c r="L647" s="14">
        <v>60000.0</v>
      </c>
    </row>
    <row r="648" hidden="1">
      <c r="A648" s="1" t="s">
        <v>596</v>
      </c>
      <c r="B648" s="1" t="s">
        <v>596</v>
      </c>
      <c r="C648" s="13">
        <v>45702.402083333334</v>
      </c>
      <c r="D648" s="5" t="s">
        <v>309</v>
      </c>
      <c r="E648" s="2" t="s">
        <v>310</v>
      </c>
      <c r="F648" s="14" t="s">
        <v>3506</v>
      </c>
      <c r="G648" s="14" t="s">
        <v>3507</v>
      </c>
      <c r="H648" s="15" t="s">
        <v>16</v>
      </c>
      <c r="I648" s="15" t="s">
        <v>3488</v>
      </c>
      <c r="J648" s="2">
        <v>10.0</v>
      </c>
      <c r="K648" s="19"/>
      <c r="L648" s="14">
        <v>55000.0</v>
      </c>
    </row>
    <row r="649" hidden="1">
      <c r="A649" s="1" t="s">
        <v>597</v>
      </c>
      <c r="B649" s="1" t="s">
        <v>597</v>
      </c>
      <c r="C649" s="13">
        <v>45702.475</v>
      </c>
      <c r="D649" s="5" t="s">
        <v>49</v>
      </c>
      <c r="E649" s="2" t="s">
        <v>50</v>
      </c>
      <c r="F649" s="14" t="s">
        <v>3486</v>
      </c>
      <c r="G649" s="14" t="s">
        <v>3487</v>
      </c>
      <c r="H649" s="15" t="s">
        <v>16</v>
      </c>
      <c r="I649" s="15" t="s">
        <v>3488</v>
      </c>
      <c r="J649" s="2">
        <v>4.0</v>
      </c>
      <c r="K649" s="12" t="s">
        <v>4041</v>
      </c>
      <c r="L649" s="14">
        <v>60000.0</v>
      </c>
    </row>
    <row r="650" hidden="1">
      <c r="A650" s="1" t="s">
        <v>598</v>
      </c>
      <c r="B650" s="1" t="s">
        <v>598</v>
      </c>
      <c r="C650" s="13">
        <v>45702.48055555556</v>
      </c>
      <c r="D650" s="5" t="s">
        <v>131</v>
      </c>
      <c r="E650" s="2" t="s">
        <v>132</v>
      </c>
      <c r="F650" s="14" t="s">
        <v>3516</v>
      </c>
      <c r="G650" s="14" t="s">
        <v>3517</v>
      </c>
      <c r="H650" s="15" t="s">
        <v>24</v>
      </c>
      <c r="I650" s="15" t="s">
        <v>3491</v>
      </c>
      <c r="J650" s="2">
        <v>3.0</v>
      </c>
      <c r="K650" s="12" t="s">
        <v>4042</v>
      </c>
      <c r="L650" s="20"/>
    </row>
    <row r="651" hidden="1">
      <c r="A651" s="1" t="s">
        <v>598</v>
      </c>
      <c r="B651" s="1" t="s">
        <v>598</v>
      </c>
      <c r="C651" s="13">
        <v>45702.48125</v>
      </c>
      <c r="D651" s="5" t="s">
        <v>131</v>
      </c>
      <c r="E651" s="2" t="s">
        <v>132</v>
      </c>
      <c r="F651" s="14" t="s">
        <v>3486</v>
      </c>
      <c r="G651" s="14" t="s">
        <v>3487</v>
      </c>
      <c r="H651" s="15" t="s">
        <v>24</v>
      </c>
      <c r="I651" s="15" t="s">
        <v>3491</v>
      </c>
      <c r="J651" s="2">
        <v>6.0</v>
      </c>
      <c r="K651" s="12" t="s">
        <v>4043</v>
      </c>
      <c r="L651" s="17"/>
    </row>
    <row r="652" hidden="1">
      <c r="A652" s="1" t="s">
        <v>599</v>
      </c>
      <c r="B652" s="1" t="s">
        <v>599</v>
      </c>
      <c r="C652" s="13">
        <v>45702.48125</v>
      </c>
      <c r="D652" s="5" t="s">
        <v>49</v>
      </c>
      <c r="E652" s="2" t="s">
        <v>50</v>
      </c>
      <c r="F652" s="14" t="s">
        <v>3486</v>
      </c>
      <c r="G652" s="14" t="s">
        <v>3487</v>
      </c>
      <c r="H652" s="15" t="s">
        <v>24</v>
      </c>
      <c r="I652" s="15" t="s">
        <v>3491</v>
      </c>
      <c r="J652" s="2">
        <v>3.0</v>
      </c>
      <c r="K652" s="12" t="s">
        <v>4044</v>
      </c>
      <c r="L652" s="17"/>
    </row>
    <row r="653" hidden="1">
      <c r="A653" s="1" t="s">
        <v>600</v>
      </c>
      <c r="B653" s="1" t="s">
        <v>600</v>
      </c>
      <c r="C653" s="13">
        <v>45702.589583333334</v>
      </c>
      <c r="D653" s="5" t="s">
        <v>309</v>
      </c>
      <c r="E653" s="2" t="s">
        <v>310</v>
      </c>
      <c r="F653" s="14" t="s">
        <v>4045</v>
      </c>
      <c r="G653" s="14" t="s">
        <v>4046</v>
      </c>
      <c r="H653" s="15" t="s">
        <v>24</v>
      </c>
      <c r="I653" s="15" t="s">
        <v>3491</v>
      </c>
      <c r="J653" s="2">
        <v>1.0</v>
      </c>
      <c r="K653" s="19"/>
      <c r="L653" s="20"/>
    </row>
    <row r="654" hidden="1">
      <c r="A654" s="1" t="s">
        <v>601</v>
      </c>
      <c r="B654" s="1" t="s">
        <v>601</v>
      </c>
      <c r="C654" s="13">
        <v>45702.654861111114</v>
      </c>
      <c r="D654" s="5" t="s">
        <v>213</v>
      </c>
      <c r="E654" s="2" t="s">
        <v>214</v>
      </c>
      <c r="F654" s="14" t="s">
        <v>3486</v>
      </c>
      <c r="G654" s="14" t="s">
        <v>3487</v>
      </c>
      <c r="H654" s="15" t="s">
        <v>16</v>
      </c>
      <c r="I654" s="15" t="s">
        <v>3488</v>
      </c>
      <c r="J654" s="2">
        <v>10.0</v>
      </c>
      <c r="K654" s="12" t="s">
        <v>4047</v>
      </c>
      <c r="L654" s="16">
        <v>60000.0</v>
      </c>
    </row>
    <row r="655" hidden="1">
      <c r="A655" s="1" t="s">
        <v>602</v>
      </c>
      <c r="B655" s="1" t="s">
        <v>602</v>
      </c>
      <c r="C655" s="13">
        <v>45703.47430555556</v>
      </c>
      <c r="D655" s="5" t="s">
        <v>305</v>
      </c>
      <c r="E655" s="2" t="s">
        <v>306</v>
      </c>
      <c r="F655" s="14" t="s">
        <v>3486</v>
      </c>
      <c r="G655" s="14" t="s">
        <v>3487</v>
      </c>
      <c r="H655" s="15" t="s">
        <v>24</v>
      </c>
      <c r="I655" s="15" t="s">
        <v>3491</v>
      </c>
      <c r="J655" s="2">
        <v>4.0</v>
      </c>
      <c r="K655" s="12" t="s">
        <v>4048</v>
      </c>
      <c r="L655" s="17"/>
    </row>
    <row r="656">
      <c r="A656" s="1" t="s">
        <v>603</v>
      </c>
      <c r="B656" s="1" t="s">
        <v>603</v>
      </c>
      <c r="C656" s="13">
        <v>45705.441666666666</v>
      </c>
      <c r="D656" s="5" t="s">
        <v>45</v>
      </c>
      <c r="E656" s="2" t="s">
        <v>46</v>
      </c>
      <c r="F656" s="14" t="s">
        <v>3486</v>
      </c>
      <c r="G656" s="14" t="s">
        <v>3487</v>
      </c>
      <c r="H656" s="15" t="s">
        <v>16</v>
      </c>
      <c r="I656" s="15" t="s">
        <v>3488</v>
      </c>
      <c r="J656" s="2">
        <v>10.0</v>
      </c>
      <c r="K656" s="12" t="s">
        <v>4049</v>
      </c>
      <c r="L656" s="14">
        <v>60000.0</v>
      </c>
    </row>
    <row r="657">
      <c r="A657" s="1" t="s">
        <v>603</v>
      </c>
      <c r="B657" s="1" t="s">
        <v>603</v>
      </c>
      <c r="C657" s="13">
        <v>45705.44236111111</v>
      </c>
      <c r="D657" s="5" t="s">
        <v>45</v>
      </c>
      <c r="E657" s="2" t="s">
        <v>46</v>
      </c>
      <c r="F657" s="14" t="s">
        <v>3493</v>
      </c>
      <c r="G657" s="14" t="s">
        <v>3494</v>
      </c>
      <c r="H657" s="15" t="s">
        <v>16</v>
      </c>
      <c r="I657" s="15" t="s">
        <v>3488</v>
      </c>
      <c r="J657" s="2">
        <v>5.0</v>
      </c>
      <c r="K657" s="19"/>
      <c r="L657" s="14">
        <v>210000.0</v>
      </c>
    </row>
    <row r="658" hidden="1">
      <c r="A658" s="1" t="s">
        <v>604</v>
      </c>
      <c r="B658" s="1" t="s">
        <v>604</v>
      </c>
      <c r="C658" s="13">
        <v>45705.44375</v>
      </c>
      <c r="D658" s="5" t="s">
        <v>131</v>
      </c>
      <c r="E658" s="2" t="s">
        <v>132</v>
      </c>
      <c r="F658" s="14" t="s">
        <v>3486</v>
      </c>
      <c r="G658" s="14" t="s">
        <v>3487</v>
      </c>
      <c r="H658" s="15" t="s">
        <v>24</v>
      </c>
      <c r="I658" s="15" t="s">
        <v>3491</v>
      </c>
      <c r="J658" s="2">
        <v>4.0</v>
      </c>
      <c r="K658" s="12" t="s">
        <v>4050</v>
      </c>
      <c r="L658" s="20"/>
    </row>
    <row r="659" hidden="1">
      <c r="A659" s="1" t="s">
        <v>605</v>
      </c>
      <c r="B659" s="1" t="s">
        <v>605</v>
      </c>
      <c r="C659" s="13">
        <v>45706.475</v>
      </c>
      <c r="D659" s="5" t="s">
        <v>505</v>
      </c>
      <c r="E659" s="2" t="s">
        <v>506</v>
      </c>
      <c r="F659" s="14" t="s">
        <v>3486</v>
      </c>
      <c r="G659" s="14" t="s">
        <v>3487</v>
      </c>
      <c r="H659" s="15" t="s">
        <v>24</v>
      </c>
      <c r="I659" s="15" t="s">
        <v>3614</v>
      </c>
      <c r="J659" s="2">
        <v>7.0</v>
      </c>
      <c r="K659" s="12" t="s">
        <v>4051</v>
      </c>
      <c r="L659" s="20"/>
    </row>
    <row r="660" hidden="1">
      <c r="A660" s="1" t="s">
        <v>606</v>
      </c>
      <c r="B660" s="1" t="s">
        <v>606</v>
      </c>
      <c r="C660" s="13">
        <v>45706.47638888889</v>
      </c>
      <c r="D660" s="5" t="s">
        <v>326</v>
      </c>
      <c r="E660" s="2" t="s">
        <v>327</v>
      </c>
      <c r="F660" s="14" t="s">
        <v>3486</v>
      </c>
      <c r="G660" s="14" t="s">
        <v>3487</v>
      </c>
      <c r="H660" s="15" t="s">
        <v>24</v>
      </c>
      <c r="I660" s="15" t="s">
        <v>3491</v>
      </c>
      <c r="J660" s="2">
        <v>7.0</v>
      </c>
      <c r="K660" s="12" t="s">
        <v>4052</v>
      </c>
      <c r="L660" s="17"/>
    </row>
    <row r="661" hidden="1">
      <c r="A661" s="1" t="s">
        <v>607</v>
      </c>
      <c r="B661" s="1" t="s">
        <v>607</v>
      </c>
      <c r="C661" s="13">
        <v>45706.48402777778</v>
      </c>
      <c r="D661" s="5" t="s">
        <v>213</v>
      </c>
      <c r="E661" s="2" t="s">
        <v>214</v>
      </c>
      <c r="F661" s="14" t="s">
        <v>3486</v>
      </c>
      <c r="G661" s="14" t="s">
        <v>3487</v>
      </c>
      <c r="H661" s="15" t="s">
        <v>24</v>
      </c>
      <c r="I661" s="15" t="s">
        <v>3491</v>
      </c>
      <c r="J661" s="2">
        <v>12.0</v>
      </c>
      <c r="K661" s="12" t="s">
        <v>4053</v>
      </c>
      <c r="L661" s="17"/>
    </row>
    <row r="662">
      <c r="A662" s="1" t="s">
        <v>608</v>
      </c>
      <c r="B662" s="1" t="s">
        <v>608</v>
      </c>
      <c r="C662" s="13">
        <v>45706.48541666667</v>
      </c>
      <c r="D662" s="5" t="s">
        <v>45</v>
      </c>
      <c r="E662" s="2" t="s">
        <v>46</v>
      </c>
      <c r="F662" s="14" t="s">
        <v>3486</v>
      </c>
      <c r="G662" s="14" t="s">
        <v>3487</v>
      </c>
      <c r="H662" s="15" t="s">
        <v>24</v>
      </c>
      <c r="I662" s="15" t="s">
        <v>3491</v>
      </c>
      <c r="J662" s="2">
        <v>16.0</v>
      </c>
      <c r="K662" s="12" t="s">
        <v>4054</v>
      </c>
      <c r="L662" s="17"/>
    </row>
    <row r="663">
      <c r="A663" s="1" t="s">
        <v>608</v>
      </c>
      <c r="B663" s="1" t="s">
        <v>608</v>
      </c>
      <c r="C663" s="13">
        <v>45706.48611111111</v>
      </c>
      <c r="D663" s="5" t="s">
        <v>45</v>
      </c>
      <c r="E663" s="2" t="s">
        <v>46</v>
      </c>
      <c r="F663" s="14" t="s">
        <v>3493</v>
      </c>
      <c r="G663" s="14" t="s">
        <v>3494</v>
      </c>
      <c r="H663" s="15" t="s">
        <v>24</v>
      </c>
      <c r="I663" s="15" t="s">
        <v>3491</v>
      </c>
      <c r="J663" s="2">
        <v>2.0</v>
      </c>
      <c r="K663" s="19"/>
      <c r="L663" s="17"/>
    </row>
    <row r="664" hidden="1">
      <c r="A664" s="1" t="s">
        <v>4055</v>
      </c>
      <c r="B664" s="1" t="s">
        <v>4055</v>
      </c>
      <c r="C664" s="13">
        <v>45706.56875</v>
      </c>
      <c r="D664" s="5" t="s">
        <v>213</v>
      </c>
      <c r="E664" s="2" t="s">
        <v>214</v>
      </c>
      <c r="F664" s="14" t="s">
        <v>3486</v>
      </c>
      <c r="G664" s="14" t="s">
        <v>3487</v>
      </c>
      <c r="H664" s="15" t="s">
        <v>16</v>
      </c>
      <c r="I664" s="15" t="s">
        <v>3488</v>
      </c>
      <c r="J664" s="2">
        <v>15.0</v>
      </c>
      <c r="K664" s="19"/>
      <c r="L664" s="16">
        <v>60000.0</v>
      </c>
    </row>
    <row r="665" hidden="1">
      <c r="A665" s="1" t="s">
        <v>4055</v>
      </c>
      <c r="B665" s="1" t="s">
        <v>4055</v>
      </c>
      <c r="C665" s="13">
        <v>45706.56875</v>
      </c>
      <c r="D665" s="5" t="s">
        <v>213</v>
      </c>
      <c r="E665" s="2" t="s">
        <v>214</v>
      </c>
      <c r="F665" s="14" t="s">
        <v>3493</v>
      </c>
      <c r="G665" s="14" t="s">
        <v>3494</v>
      </c>
      <c r="H665" s="15" t="s">
        <v>16</v>
      </c>
      <c r="I665" s="15" t="s">
        <v>3488</v>
      </c>
      <c r="J665" s="2">
        <v>2.0</v>
      </c>
      <c r="K665" s="19"/>
      <c r="L665" s="14">
        <v>210000.0</v>
      </c>
    </row>
    <row r="666" hidden="1">
      <c r="A666" s="1" t="s">
        <v>4056</v>
      </c>
      <c r="B666" s="1" t="s">
        <v>4056</v>
      </c>
      <c r="C666" s="13">
        <v>45706.572916666664</v>
      </c>
      <c r="D666" s="5" t="s">
        <v>326</v>
      </c>
      <c r="E666" s="2" t="s">
        <v>327</v>
      </c>
      <c r="F666" s="14" t="s">
        <v>3486</v>
      </c>
      <c r="G666" s="14" t="s">
        <v>3487</v>
      </c>
      <c r="H666" s="15" t="s">
        <v>16</v>
      </c>
      <c r="I666" s="15" t="s">
        <v>3488</v>
      </c>
      <c r="J666" s="2">
        <v>10.0</v>
      </c>
      <c r="K666" s="12" t="s">
        <v>4057</v>
      </c>
      <c r="L666" s="14">
        <v>45000.0</v>
      </c>
    </row>
    <row r="667" hidden="1">
      <c r="A667" s="1" t="s">
        <v>607</v>
      </c>
      <c r="B667" s="1" t="s">
        <v>607</v>
      </c>
      <c r="C667" s="13">
        <v>45706.48541666667</v>
      </c>
      <c r="D667" s="5" t="s">
        <v>213</v>
      </c>
      <c r="E667" s="2" t="s">
        <v>214</v>
      </c>
      <c r="F667" s="14" t="s">
        <v>3547</v>
      </c>
      <c r="G667" s="14" t="s">
        <v>3548</v>
      </c>
      <c r="H667" s="15" t="s">
        <v>24</v>
      </c>
      <c r="I667" s="15" t="s">
        <v>3491</v>
      </c>
      <c r="J667" s="2">
        <v>1.0</v>
      </c>
      <c r="K667" s="19"/>
      <c r="L667" s="17"/>
    </row>
    <row r="668" hidden="1">
      <c r="A668" s="1" t="s">
        <v>609</v>
      </c>
      <c r="B668" s="1" t="s">
        <v>609</v>
      </c>
      <c r="C668" s="13">
        <v>45707.49444444444</v>
      </c>
      <c r="D668" s="5" t="s">
        <v>109</v>
      </c>
      <c r="E668" s="2" t="s">
        <v>110</v>
      </c>
      <c r="F668" s="14" t="s">
        <v>3516</v>
      </c>
      <c r="G668" s="14" t="s">
        <v>3517</v>
      </c>
      <c r="H668" s="15" t="s">
        <v>24</v>
      </c>
      <c r="I668" s="15" t="s">
        <v>3491</v>
      </c>
      <c r="J668" s="2">
        <v>1.0</v>
      </c>
      <c r="K668" s="12" t="s">
        <v>4058</v>
      </c>
      <c r="L668" s="20"/>
    </row>
    <row r="669" hidden="1">
      <c r="A669" s="1" t="s">
        <v>609</v>
      </c>
      <c r="B669" s="1" t="s">
        <v>609</v>
      </c>
      <c r="C669" s="13">
        <v>45707.49444444444</v>
      </c>
      <c r="D669" s="5" t="s">
        <v>109</v>
      </c>
      <c r="E669" s="2" t="s">
        <v>110</v>
      </c>
      <c r="F669" s="14" t="s">
        <v>3486</v>
      </c>
      <c r="G669" s="14" t="s">
        <v>3487</v>
      </c>
      <c r="H669" s="15" t="s">
        <v>24</v>
      </c>
      <c r="I669" s="15" t="s">
        <v>3491</v>
      </c>
      <c r="J669" s="2">
        <v>1.0</v>
      </c>
      <c r="K669" s="12" t="s">
        <v>4059</v>
      </c>
      <c r="L669" s="20"/>
    </row>
    <row r="670" hidden="1">
      <c r="A670" s="1" t="s">
        <v>610</v>
      </c>
      <c r="B670" s="1" t="s">
        <v>610</v>
      </c>
      <c r="C670" s="13">
        <v>45707.49444444444</v>
      </c>
      <c r="D670" s="5" t="s">
        <v>131</v>
      </c>
      <c r="E670" s="2" t="s">
        <v>132</v>
      </c>
      <c r="F670" s="14" t="s">
        <v>3516</v>
      </c>
      <c r="G670" s="14" t="s">
        <v>3517</v>
      </c>
      <c r="H670" s="15" t="s">
        <v>24</v>
      </c>
      <c r="I670" s="15" t="s">
        <v>3491</v>
      </c>
      <c r="J670" s="2">
        <v>2.0</v>
      </c>
      <c r="K670" s="12" t="s">
        <v>4060</v>
      </c>
      <c r="L670" s="20"/>
    </row>
    <row r="671" hidden="1">
      <c r="A671" s="1" t="s">
        <v>610</v>
      </c>
      <c r="B671" s="1" t="s">
        <v>610</v>
      </c>
      <c r="C671" s="13">
        <v>45707.49513888889</v>
      </c>
      <c r="D671" s="5" t="s">
        <v>131</v>
      </c>
      <c r="E671" s="2" t="s">
        <v>132</v>
      </c>
      <c r="F671" s="14" t="s">
        <v>3486</v>
      </c>
      <c r="G671" s="14" t="s">
        <v>3487</v>
      </c>
      <c r="H671" s="15" t="s">
        <v>24</v>
      </c>
      <c r="I671" s="15" t="s">
        <v>3491</v>
      </c>
      <c r="J671" s="2">
        <v>4.0</v>
      </c>
      <c r="K671" s="12" t="s">
        <v>4061</v>
      </c>
      <c r="L671" s="17"/>
    </row>
    <row r="672" hidden="1">
      <c r="A672" s="1" t="s">
        <v>611</v>
      </c>
      <c r="B672" s="1" t="s">
        <v>611</v>
      </c>
      <c r="C672" s="13">
        <v>45707.495833333334</v>
      </c>
      <c r="D672" s="5" t="s">
        <v>49</v>
      </c>
      <c r="E672" s="2" t="s">
        <v>50</v>
      </c>
      <c r="F672" s="14" t="s">
        <v>3486</v>
      </c>
      <c r="G672" s="14" t="s">
        <v>3487</v>
      </c>
      <c r="H672" s="15" t="s">
        <v>24</v>
      </c>
      <c r="I672" s="15" t="s">
        <v>3491</v>
      </c>
      <c r="J672" s="2">
        <v>1.0</v>
      </c>
      <c r="K672" s="12" t="s">
        <v>4062</v>
      </c>
      <c r="L672" s="17"/>
    </row>
    <row r="673" hidden="1">
      <c r="A673" s="1" t="s">
        <v>612</v>
      </c>
      <c r="B673" s="1" t="s">
        <v>612</v>
      </c>
      <c r="C673" s="13">
        <v>45708.35277777778</v>
      </c>
      <c r="D673" s="5" t="s">
        <v>305</v>
      </c>
      <c r="E673" s="2" t="s">
        <v>306</v>
      </c>
      <c r="F673" s="14" t="s">
        <v>3486</v>
      </c>
      <c r="G673" s="14" t="s">
        <v>3487</v>
      </c>
      <c r="H673" s="15" t="s">
        <v>16</v>
      </c>
      <c r="I673" s="15" t="s">
        <v>3488</v>
      </c>
      <c r="J673" s="2">
        <v>10.0</v>
      </c>
      <c r="K673" s="12" t="s">
        <v>4063</v>
      </c>
      <c r="L673" s="14">
        <v>47297.2973</v>
      </c>
    </row>
    <row r="674" hidden="1">
      <c r="A674" s="1" t="s">
        <v>613</v>
      </c>
      <c r="B674" s="1" t="s">
        <v>613</v>
      </c>
      <c r="C674" s="13">
        <v>45707.71527777778</v>
      </c>
      <c r="D674" s="5" t="s">
        <v>126</v>
      </c>
      <c r="E674" s="2" t="s">
        <v>127</v>
      </c>
      <c r="F674" s="14" t="s">
        <v>3486</v>
      </c>
      <c r="G674" s="14" t="s">
        <v>3487</v>
      </c>
      <c r="H674" s="15" t="s">
        <v>24</v>
      </c>
      <c r="I674" s="15" t="s">
        <v>3491</v>
      </c>
      <c r="J674" s="2">
        <v>1.0</v>
      </c>
      <c r="K674" s="12" t="s">
        <v>4001</v>
      </c>
      <c r="L674" s="17"/>
    </row>
    <row r="675" hidden="1">
      <c r="A675" s="1" t="s">
        <v>614</v>
      </c>
      <c r="B675" s="1" t="s">
        <v>614</v>
      </c>
      <c r="C675" s="13">
        <v>45707.71527777778</v>
      </c>
      <c r="D675" s="5" t="s">
        <v>305</v>
      </c>
      <c r="E675" s="2" t="s">
        <v>306</v>
      </c>
      <c r="F675" s="14" t="s">
        <v>3486</v>
      </c>
      <c r="G675" s="14" t="s">
        <v>3487</v>
      </c>
      <c r="H675" s="15" t="s">
        <v>24</v>
      </c>
      <c r="I675" s="15" t="s">
        <v>3491</v>
      </c>
      <c r="J675" s="2">
        <v>3.0</v>
      </c>
      <c r="K675" s="12" t="s">
        <v>4064</v>
      </c>
      <c r="L675" s="17"/>
    </row>
    <row r="676" hidden="1">
      <c r="A676" s="1" t="s">
        <v>615</v>
      </c>
      <c r="B676" s="1" t="s">
        <v>615</v>
      </c>
      <c r="C676" s="13">
        <v>45708.464583333334</v>
      </c>
      <c r="D676" s="5" t="s">
        <v>309</v>
      </c>
      <c r="E676" s="2" t="s">
        <v>310</v>
      </c>
      <c r="F676" s="14" t="s">
        <v>4045</v>
      </c>
      <c r="G676" s="14" t="s">
        <v>4046</v>
      </c>
      <c r="H676" s="15" t="s">
        <v>16</v>
      </c>
      <c r="I676" s="15" t="s">
        <v>3488</v>
      </c>
      <c r="J676" s="2">
        <v>1.0</v>
      </c>
      <c r="K676" s="12" t="s">
        <v>4065</v>
      </c>
      <c r="L676" s="16">
        <v>160000.0</v>
      </c>
    </row>
    <row r="677" hidden="1">
      <c r="A677" s="8" t="s">
        <v>616</v>
      </c>
      <c r="B677" s="8" t="s">
        <v>616</v>
      </c>
      <c r="C677" s="13">
        <v>45708.464583333334</v>
      </c>
      <c r="D677" s="5" t="s">
        <v>309</v>
      </c>
      <c r="E677" s="5" t="s">
        <v>310</v>
      </c>
      <c r="F677" s="14" t="s">
        <v>3493</v>
      </c>
      <c r="G677" s="14" t="s">
        <v>3494</v>
      </c>
      <c r="H677" s="15" t="s">
        <v>16</v>
      </c>
      <c r="I677" s="15" t="s">
        <v>3488</v>
      </c>
      <c r="J677" s="2">
        <v>6.0</v>
      </c>
      <c r="K677" s="19"/>
      <c r="L677" s="16">
        <v>200000.0</v>
      </c>
    </row>
    <row r="678" hidden="1">
      <c r="A678" s="1" t="s">
        <v>618</v>
      </c>
      <c r="B678" s="1" t="s">
        <v>618</v>
      </c>
      <c r="C678" s="13">
        <v>45708.475</v>
      </c>
      <c r="D678" s="5" t="s">
        <v>213</v>
      </c>
      <c r="E678" s="2" t="s">
        <v>214</v>
      </c>
      <c r="F678" s="14" t="s">
        <v>3486</v>
      </c>
      <c r="G678" s="14" t="s">
        <v>3487</v>
      </c>
      <c r="H678" s="15" t="s">
        <v>24</v>
      </c>
      <c r="I678" s="15" t="s">
        <v>3491</v>
      </c>
      <c r="J678" s="2">
        <v>8.0</v>
      </c>
      <c r="K678" s="12" t="s">
        <v>4066</v>
      </c>
      <c r="L678" s="20"/>
    </row>
    <row r="679" hidden="1">
      <c r="A679" s="1" t="s">
        <v>619</v>
      </c>
      <c r="B679" s="1" t="s">
        <v>619</v>
      </c>
      <c r="C679" s="13">
        <v>45708.600694444445</v>
      </c>
      <c r="D679" s="5" t="s">
        <v>309</v>
      </c>
      <c r="E679" s="2" t="s">
        <v>310</v>
      </c>
      <c r="F679" s="14" t="s">
        <v>3486</v>
      </c>
      <c r="G679" s="14" t="s">
        <v>3487</v>
      </c>
      <c r="H679" s="15" t="s">
        <v>24</v>
      </c>
      <c r="I679" s="15" t="s">
        <v>3491</v>
      </c>
      <c r="J679" s="2">
        <v>2.0</v>
      </c>
      <c r="K679" s="12" t="s">
        <v>4067</v>
      </c>
      <c r="L679" s="17"/>
    </row>
    <row r="680" hidden="1">
      <c r="A680" s="1" t="s">
        <v>620</v>
      </c>
      <c r="B680" s="1" t="s">
        <v>620</v>
      </c>
      <c r="C680" s="13">
        <v>45708.600694444445</v>
      </c>
      <c r="D680" s="5" t="s">
        <v>309</v>
      </c>
      <c r="E680" s="5" t="s">
        <v>310</v>
      </c>
      <c r="F680" s="14" t="s">
        <v>3493</v>
      </c>
      <c r="G680" s="14" t="s">
        <v>3494</v>
      </c>
      <c r="H680" s="15" t="s">
        <v>24</v>
      </c>
      <c r="I680" s="15" t="s">
        <v>3491</v>
      </c>
      <c r="J680" s="2">
        <v>6.0</v>
      </c>
      <c r="K680" s="19"/>
      <c r="L680" s="17"/>
    </row>
    <row r="681" hidden="1">
      <c r="A681" s="1" t="s">
        <v>621</v>
      </c>
      <c r="B681" s="1" t="s">
        <v>621</v>
      </c>
      <c r="C681" s="13">
        <v>45709.37152777778</v>
      </c>
      <c r="D681" s="5" t="s">
        <v>213</v>
      </c>
      <c r="E681" s="2" t="s">
        <v>214</v>
      </c>
      <c r="F681" s="14" t="s">
        <v>3486</v>
      </c>
      <c r="G681" s="14" t="s">
        <v>3487</v>
      </c>
      <c r="H681" s="15" t="s">
        <v>16</v>
      </c>
      <c r="I681" s="15" t="s">
        <v>3488</v>
      </c>
      <c r="J681" s="2">
        <v>15.0</v>
      </c>
      <c r="K681" s="12" t="s">
        <v>4068</v>
      </c>
      <c r="L681" s="14">
        <v>60000.0</v>
      </c>
    </row>
    <row r="682">
      <c r="A682" s="1" t="s">
        <v>622</v>
      </c>
      <c r="B682" s="1" t="s">
        <v>622</v>
      </c>
      <c r="C682" s="13">
        <v>45709.375</v>
      </c>
      <c r="D682" s="5" t="s">
        <v>45</v>
      </c>
      <c r="E682" s="2" t="s">
        <v>46</v>
      </c>
      <c r="F682" s="14" t="s">
        <v>3486</v>
      </c>
      <c r="G682" s="14" t="s">
        <v>3487</v>
      </c>
      <c r="H682" s="15" t="s">
        <v>16</v>
      </c>
      <c r="I682" s="15" t="s">
        <v>3488</v>
      </c>
      <c r="J682" s="2">
        <v>10.0</v>
      </c>
      <c r="K682" s="12" t="s">
        <v>4069</v>
      </c>
      <c r="L682" s="16">
        <v>60000.0</v>
      </c>
    </row>
    <row r="683" hidden="1">
      <c r="A683" s="1" t="s">
        <v>623</v>
      </c>
      <c r="B683" s="1" t="s">
        <v>623</v>
      </c>
      <c r="C683" s="13">
        <v>45709.535416666666</v>
      </c>
      <c r="D683" s="5" t="s">
        <v>213</v>
      </c>
      <c r="E683" s="2" t="s">
        <v>214</v>
      </c>
      <c r="F683" s="14" t="s">
        <v>3486</v>
      </c>
      <c r="G683" s="14" t="s">
        <v>3487</v>
      </c>
      <c r="H683" s="15" t="s">
        <v>24</v>
      </c>
      <c r="I683" s="15" t="s">
        <v>3491</v>
      </c>
      <c r="J683" s="2">
        <v>1.0</v>
      </c>
      <c r="K683" s="12" t="s">
        <v>4070</v>
      </c>
      <c r="L683" s="20"/>
    </row>
    <row r="684" hidden="1">
      <c r="A684" s="1" t="s">
        <v>624</v>
      </c>
      <c r="B684" s="1" t="s">
        <v>624</v>
      </c>
      <c r="C684" s="13">
        <v>45709.654861111114</v>
      </c>
      <c r="D684" s="5" t="s">
        <v>326</v>
      </c>
      <c r="E684" s="2" t="s">
        <v>327</v>
      </c>
      <c r="F684" s="14" t="s">
        <v>3486</v>
      </c>
      <c r="G684" s="14" t="s">
        <v>3487</v>
      </c>
      <c r="H684" s="15" t="s">
        <v>24</v>
      </c>
      <c r="I684" s="15" t="s">
        <v>3491</v>
      </c>
      <c r="J684" s="2">
        <v>4.0</v>
      </c>
      <c r="K684" s="12" t="s">
        <v>4071</v>
      </c>
      <c r="L684" s="20"/>
    </row>
    <row r="685" hidden="1">
      <c r="A685" s="1" t="s">
        <v>625</v>
      </c>
      <c r="B685" s="1" t="s">
        <v>625</v>
      </c>
      <c r="C685" s="13">
        <v>45709.65694444445</v>
      </c>
      <c r="D685" s="5" t="s">
        <v>49</v>
      </c>
      <c r="E685" s="2" t="s">
        <v>50</v>
      </c>
      <c r="F685" s="14" t="s">
        <v>3486</v>
      </c>
      <c r="G685" s="14" t="s">
        <v>3487</v>
      </c>
      <c r="H685" s="15" t="s">
        <v>24</v>
      </c>
      <c r="I685" s="15" t="s">
        <v>3491</v>
      </c>
      <c r="J685" s="2">
        <v>1.0</v>
      </c>
      <c r="K685" s="12" t="s">
        <v>4072</v>
      </c>
      <c r="L685" s="20"/>
    </row>
    <row r="686" hidden="1">
      <c r="A686" s="1" t="s">
        <v>626</v>
      </c>
      <c r="B686" s="1" t="s">
        <v>626</v>
      </c>
      <c r="C686" s="13">
        <v>45709.657638888886</v>
      </c>
      <c r="D686" s="5" t="s">
        <v>131</v>
      </c>
      <c r="E686" s="2" t="s">
        <v>132</v>
      </c>
      <c r="F686" s="14" t="s">
        <v>3486</v>
      </c>
      <c r="G686" s="14" t="s">
        <v>3487</v>
      </c>
      <c r="H686" s="15" t="s">
        <v>24</v>
      </c>
      <c r="I686" s="15" t="s">
        <v>3491</v>
      </c>
      <c r="J686" s="2">
        <v>3.0</v>
      </c>
      <c r="K686" s="12" t="s">
        <v>4073</v>
      </c>
      <c r="L686" s="20"/>
    </row>
    <row r="687" hidden="1">
      <c r="A687" s="1" t="s">
        <v>627</v>
      </c>
      <c r="B687" s="1" t="s">
        <v>627</v>
      </c>
      <c r="C687" s="13">
        <v>45710.37222222222</v>
      </c>
      <c r="D687" s="5" t="s">
        <v>109</v>
      </c>
      <c r="E687" s="2" t="s">
        <v>110</v>
      </c>
      <c r="F687" s="14" t="s">
        <v>3486</v>
      </c>
      <c r="G687" s="14" t="s">
        <v>3487</v>
      </c>
      <c r="H687" s="15" t="s">
        <v>16</v>
      </c>
      <c r="I687" s="15" t="s">
        <v>3488</v>
      </c>
      <c r="J687" s="2">
        <v>4.0</v>
      </c>
      <c r="K687" s="12" t="s">
        <v>4074</v>
      </c>
      <c r="L687" s="16">
        <v>60000.0</v>
      </c>
    </row>
    <row r="688" hidden="1">
      <c r="A688" s="1" t="s">
        <v>628</v>
      </c>
      <c r="B688" s="1" t="s">
        <v>628</v>
      </c>
      <c r="C688" s="13">
        <v>45710.459027777775</v>
      </c>
      <c r="D688" s="5" t="s">
        <v>109</v>
      </c>
      <c r="E688" s="2" t="s">
        <v>110</v>
      </c>
      <c r="F688" s="14" t="s">
        <v>3486</v>
      </c>
      <c r="G688" s="14" t="s">
        <v>3487</v>
      </c>
      <c r="H688" s="15" t="s">
        <v>24</v>
      </c>
      <c r="I688" s="15" t="s">
        <v>3491</v>
      </c>
      <c r="J688" s="2">
        <v>2.0</v>
      </c>
      <c r="K688" s="12" t="s">
        <v>4075</v>
      </c>
      <c r="L688" s="20"/>
    </row>
    <row r="689" hidden="1">
      <c r="A689" s="1" t="s">
        <v>629</v>
      </c>
      <c r="B689" s="1" t="s">
        <v>629</v>
      </c>
      <c r="C689" s="13">
        <v>45712.458333333336</v>
      </c>
      <c r="D689" s="22" t="s">
        <v>114</v>
      </c>
      <c r="E689" s="2" t="s">
        <v>115</v>
      </c>
      <c r="F689" s="14" t="s">
        <v>3486</v>
      </c>
      <c r="G689" s="14" t="s">
        <v>3487</v>
      </c>
      <c r="H689" s="15" t="s">
        <v>24</v>
      </c>
      <c r="I689" s="15" t="s">
        <v>3491</v>
      </c>
      <c r="J689" s="2">
        <v>1.0</v>
      </c>
      <c r="K689" s="12" t="s">
        <v>4076</v>
      </c>
      <c r="L689" s="20"/>
    </row>
    <row r="690" hidden="1">
      <c r="A690" s="1" t="s">
        <v>630</v>
      </c>
      <c r="B690" s="1" t="s">
        <v>630</v>
      </c>
      <c r="C690" s="13">
        <v>45712.458333333336</v>
      </c>
      <c r="D690" s="5" t="s">
        <v>213</v>
      </c>
      <c r="E690" s="2" t="s">
        <v>214</v>
      </c>
      <c r="F690" s="14" t="s">
        <v>3486</v>
      </c>
      <c r="G690" s="14" t="s">
        <v>3487</v>
      </c>
      <c r="H690" s="15" t="s">
        <v>24</v>
      </c>
      <c r="I690" s="15" t="s">
        <v>3491</v>
      </c>
      <c r="J690" s="2">
        <v>8.0</v>
      </c>
      <c r="K690" s="12" t="s">
        <v>4077</v>
      </c>
      <c r="L690" s="20"/>
    </row>
    <row r="691" hidden="1">
      <c r="A691" s="1" t="s">
        <v>631</v>
      </c>
      <c r="B691" s="1" t="s">
        <v>631</v>
      </c>
      <c r="C691" s="13">
        <v>45712.57638888889</v>
      </c>
      <c r="D691" s="5" t="s">
        <v>326</v>
      </c>
      <c r="E691" s="2" t="s">
        <v>327</v>
      </c>
      <c r="F691" s="14" t="s">
        <v>3486</v>
      </c>
      <c r="G691" s="14" t="s">
        <v>3487</v>
      </c>
      <c r="H691" s="15" t="s">
        <v>16</v>
      </c>
      <c r="I691" s="15" t="s">
        <v>3488</v>
      </c>
      <c r="J691" s="2">
        <v>10.0</v>
      </c>
      <c r="K691" s="12" t="s">
        <v>4078</v>
      </c>
      <c r="L691" s="16">
        <v>45000.0</v>
      </c>
    </row>
    <row r="692" hidden="1">
      <c r="A692" s="1" t="s">
        <v>632</v>
      </c>
      <c r="B692" s="1" t="s">
        <v>632</v>
      </c>
      <c r="C692" s="13">
        <v>45712.580555555556</v>
      </c>
      <c r="D692" s="5" t="s">
        <v>305</v>
      </c>
      <c r="E692" s="2" t="s">
        <v>306</v>
      </c>
      <c r="F692" s="14" t="s">
        <v>3486</v>
      </c>
      <c r="G692" s="14" t="s">
        <v>3487</v>
      </c>
      <c r="H692" s="15" t="s">
        <v>24</v>
      </c>
      <c r="I692" s="15" t="s">
        <v>3491</v>
      </c>
      <c r="J692" s="2">
        <v>4.0</v>
      </c>
      <c r="K692" s="12" t="s">
        <v>4079</v>
      </c>
      <c r="L692" s="16">
        <v>0.0</v>
      </c>
    </row>
    <row r="693" hidden="1">
      <c r="A693" s="1" t="s">
        <v>633</v>
      </c>
      <c r="B693" s="1" t="s">
        <v>633</v>
      </c>
      <c r="C693" s="13">
        <v>45713.42013888889</v>
      </c>
      <c r="D693" s="5" t="s">
        <v>49</v>
      </c>
      <c r="E693" s="2" t="s">
        <v>50</v>
      </c>
      <c r="F693" s="14" t="s">
        <v>3486</v>
      </c>
      <c r="G693" s="14" t="s">
        <v>3487</v>
      </c>
      <c r="H693" s="15" t="s">
        <v>16</v>
      </c>
      <c r="I693" s="15" t="s">
        <v>3488</v>
      </c>
      <c r="J693" s="2">
        <v>3.0</v>
      </c>
      <c r="K693" s="12" t="s">
        <v>4080</v>
      </c>
      <c r="L693" s="16">
        <v>60000.0</v>
      </c>
    </row>
    <row r="694" hidden="1">
      <c r="A694" s="1" t="s">
        <v>634</v>
      </c>
      <c r="B694" s="1" t="s">
        <v>634</v>
      </c>
      <c r="C694" s="13">
        <v>45713.54861111111</v>
      </c>
      <c r="D694" s="5" t="s">
        <v>505</v>
      </c>
      <c r="E694" s="2" t="s">
        <v>506</v>
      </c>
      <c r="F694" s="14" t="s">
        <v>3486</v>
      </c>
      <c r="G694" s="14" t="s">
        <v>3487</v>
      </c>
      <c r="H694" s="15" t="s">
        <v>24</v>
      </c>
      <c r="I694" s="15" t="s">
        <v>3491</v>
      </c>
      <c r="J694" s="2">
        <v>1.0</v>
      </c>
      <c r="K694" s="12" t="s">
        <v>4081</v>
      </c>
      <c r="L694" s="20"/>
    </row>
    <row r="695" hidden="1">
      <c r="A695" s="1" t="s">
        <v>634</v>
      </c>
      <c r="B695" s="1" t="s">
        <v>634</v>
      </c>
      <c r="C695" s="13">
        <v>45713.54861111111</v>
      </c>
      <c r="D695" s="5" t="s">
        <v>505</v>
      </c>
      <c r="E695" s="2" t="s">
        <v>506</v>
      </c>
      <c r="F695" s="14" t="s">
        <v>3506</v>
      </c>
      <c r="G695" s="14" t="s">
        <v>3507</v>
      </c>
      <c r="H695" s="15" t="s">
        <v>24</v>
      </c>
      <c r="I695" s="15" t="s">
        <v>3491</v>
      </c>
      <c r="J695" s="2">
        <v>2.0</v>
      </c>
      <c r="K695" s="19"/>
      <c r="L695" s="20"/>
    </row>
    <row r="696" hidden="1">
      <c r="A696" s="1" t="s">
        <v>635</v>
      </c>
      <c r="B696" s="1" t="s">
        <v>635</v>
      </c>
      <c r="C696" s="13">
        <v>45713.549305555556</v>
      </c>
      <c r="D696" s="5" t="s">
        <v>131</v>
      </c>
      <c r="E696" s="2" t="s">
        <v>132</v>
      </c>
      <c r="F696" s="14" t="s">
        <v>3486</v>
      </c>
      <c r="G696" s="14" t="s">
        <v>3487</v>
      </c>
      <c r="H696" s="15" t="s">
        <v>24</v>
      </c>
      <c r="I696" s="15" t="s">
        <v>3491</v>
      </c>
      <c r="J696" s="2">
        <v>2.0</v>
      </c>
      <c r="K696" s="12" t="s">
        <v>4082</v>
      </c>
      <c r="L696" s="20"/>
    </row>
    <row r="697" hidden="1">
      <c r="A697" s="1" t="s">
        <v>636</v>
      </c>
      <c r="B697" s="1" t="s">
        <v>636</v>
      </c>
      <c r="C697" s="13">
        <v>45713.55</v>
      </c>
      <c r="D697" s="5" t="s">
        <v>49</v>
      </c>
      <c r="E697" s="2" t="s">
        <v>50</v>
      </c>
      <c r="F697" s="14" t="s">
        <v>3486</v>
      </c>
      <c r="G697" s="14" t="s">
        <v>3487</v>
      </c>
      <c r="H697" s="15" t="s">
        <v>24</v>
      </c>
      <c r="I697" s="15" t="s">
        <v>3491</v>
      </c>
      <c r="J697" s="2">
        <v>2.0</v>
      </c>
      <c r="K697" s="12" t="s">
        <v>4083</v>
      </c>
      <c r="L697" s="20"/>
    </row>
    <row r="698" hidden="1">
      <c r="A698" s="1" t="s">
        <v>637</v>
      </c>
      <c r="B698" s="1" t="s">
        <v>637</v>
      </c>
      <c r="C698" s="13">
        <v>45713.55</v>
      </c>
      <c r="D698" s="5" t="s">
        <v>326</v>
      </c>
      <c r="E698" s="2" t="s">
        <v>327</v>
      </c>
      <c r="F698" s="14" t="s">
        <v>3486</v>
      </c>
      <c r="G698" s="14" t="s">
        <v>3487</v>
      </c>
      <c r="H698" s="15" t="s">
        <v>24</v>
      </c>
      <c r="I698" s="15" t="s">
        <v>3491</v>
      </c>
      <c r="J698" s="2">
        <v>6.0</v>
      </c>
      <c r="K698" s="12" t="s">
        <v>4084</v>
      </c>
      <c r="L698" s="20"/>
    </row>
    <row r="699" hidden="1">
      <c r="A699" s="1" t="s">
        <v>638</v>
      </c>
      <c r="B699" s="1" t="s">
        <v>638</v>
      </c>
      <c r="C699" s="13">
        <v>45713.70138888889</v>
      </c>
      <c r="D699" s="5" t="s">
        <v>213</v>
      </c>
      <c r="E699" s="2" t="s">
        <v>214</v>
      </c>
      <c r="F699" s="14" t="s">
        <v>3486</v>
      </c>
      <c r="G699" s="14" t="s">
        <v>3487</v>
      </c>
      <c r="H699" s="15" t="s">
        <v>16</v>
      </c>
      <c r="I699" s="15" t="s">
        <v>3488</v>
      </c>
      <c r="J699" s="2">
        <v>10.0</v>
      </c>
      <c r="K699" s="19"/>
      <c r="L699" s="16">
        <v>60000.0</v>
      </c>
    </row>
    <row r="700" hidden="1">
      <c r="A700" s="1" t="s">
        <v>638</v>
      </c>
      <c r="B700" s="1" t="s">
        <v>638</v>
      </c>
      <c r="C700" s="13">
        <v>45713.70208333333</v>
      </c>
      <c r="D700" s="5" t="s">
        <v>213</v>
      </c>
      <c r="E700" s="2" t="s">
        <v>214</v>
      </c>
      <c r="F700" s="14" t="s">
        <v>3493</v>
      </c>
      <c r="G700" s="14" t="s">
        <v>3494</v>
      </c>
      <c r="H700" s="15" t="s">
        <v>16</v>
      </c>
      <c r="I700" s="15" t="s">
        <v>3488</v>
      </c>
      <c r="J700" s="2">
        <v>2.0</v>
      </c>
      <c r="K700" s="19"/>
      <c r="L700" s="16">
        <v>210000.0</v>
      </c>
    </row>
    <row r="701" hidden="1">
      <c r="A701" s="1" t="s">
        <v>638</v>
      </c>
      <c r="B701" s="1" t="s">
        <v>638</v>
      </c>
      <c r="C701" s="13">
        <v>45713.70208333333</v>
      </c>
      <c r="D701" s="5" t="s">
        <v>213</v>
      </c>
      <c r="E701" s="2" t="s">
        <v>214</v>
      </c>
      <c r="F701" s="14" t="s">
        <v>3486</v>
      </c>
      <c r="G701" s="14" t="s">
        <v>3487</v>
      </c>
      <c r="H701" s="15" t="s">
        <v>16</v>
      </c>
      <c r="I701" s="15" t="s">
        <v>3488</v>
      </c>
      <c r="J701" s="2">
        <v>5.0</v>
      </c>
      <c r="K701" s="19"/>
      <c r="L701" s="16">
        <v>60000.0</v>
      </c>
    </row>
    <row r="702" hidden="1">
      <c r="A702" s="1" t="s">
        <v>639</v>
      </c>
      <c r="B702" s="1" t="s">
        <v>639</v>
      </c>
      <c r="C702" s="13">
        <v>45714.51527777778</v>
      </c>
      <c r="D702" s="5" t="s">
        <v>213</v>
      </c>
      <c r="E702" s="2" t="s">
        <v>214</v>
      </c>
      <c r="F702" s="14" t="s">
        <v>3486</v>
      </c>
      <c r="G702" s="14" t="s">
        <v>3487</v>
      </c>
      <c r="H702" s="15" t="s">
        <v>24</v>
      </c>
      <c r="I702" s="15" t="s">
        <v>3491</v>
      </c>
      <c r="J702" s="2">
        <v>8.0</v>
      </c>
      <c r="K702" s="12" t="s">
        <v>4085</v>
      </c>
      <c r="L702" s="20"/>
    </row>
    <row r="703" hidden="1">
      <c r="A703" s="1" t="s">
        <v>639</v>
      </c>
      <c r="B703" s="1" t="s">
        <v>639</v>
      </c>
      <c r="C703" s="13">
        <v>45714.51875</v>
      </c>
      <c r="D703" s="5" t="s">
        <v>213</v>
      </c>
      <c r="E703" s="2" t="s">
        <v>214</v>
      </c>
      <c r="F703" s="14" t="s">
        <v>3493</v>
      </c>
      <c r="G703" s="14" t="s">
        <v>3494</v>
      </c>
      <c r="H703" s="15" t="s">
        <v>24</v>
      </c>
      <c r="I703" s="15" t="s">
        <v>3491</v>
      </c>
      <c r="J703" s="2">
        <v>1.0</v>
      </c>
      <c r="K703" s="19"/>
      <c r="L703" s="20"/>
    </row>
    <row r="704" hidden="1">
      <c r="A704" s="1" t="s">
        <v>640</v>
      </c>
      <c r="B704" s="1" t="s">
        <v>640</v>
      </c>
      <c r="C704" s="13">
        <v>45714.67222222222</v>
      </c>
      <c r="D704" s="5" t="s">
        <v>309</v>
      </c>
      <c r="E704" s="2" t="s">
        <v>310</v>
      </c>
      <c r="F704" s="14" t="s">
        <v>3506</v>
      </c>
      <c r="G704" s="14" t="s">
        <v>3507</v>
      </c>
      <c r="H704" s="15" t="s">
        <v>24</v>
      </c>
      <c r="I704" s="15" t="s">
        <v>3491</v>
      </c>
      <c r="J704" s="2">
        <v>10.0</v>
      </c>
      <c r="K704" s="19"/>
      <c r="L704" s="20"/>
    </row>
    <row r="705" hidden="1">
      <c r="A705" s="1" t="s">
        <v>641</v>
      </c>
      <c r="B705" s="1" t="s">
        <v>641</v>
      </c>
      <c r="C705" s="13">
        <v>45714.67291666667</v>
      </c>
      <c r="D705" s="5" t="s">
        <v>305</v>
      </c>
      <c r="E705" s="2" t="s">
        <v>306</v>
      </c>
      <c r="F705" s="14" t="s">
        <v>3486</v>
      </c>
      <c r="G705" s="14" t="s">
        <v>3487</v>
      </c>
      <c r="H705" s="15" t="s">
        <v>24</v>
      </c>
      <c r="I705" s="15" t="s">
        <v>3491</v>
      </c>
      <c r="J705" s="2">
        <v>3.0</v>
      </c>
      <c r="K705" s="12" t="s">
        <v>4086</v>
      </c>
      <c r="L705" s="16">
        <v>0.0</v>
      </c>
    </row>
    <row r="706" hidden="1">
      <c r="A706" s="1" t="s">
        <v>642</v>
      </c>
      <c r="B706" s="1" t="s">
        <v>642</v>
      </c>
      <c r="C706" s="13">
        <v>45715.404861111114</v>
      </c>
      <c r="D706" s="5" t="s">
        <v>493</v>
      </c>
      <c r="E706" s="2" t="s">
        <v>494</v>
      </c>
      <c r="F706" s="14" t="s">
        <v>3486</v>
      </c>
      <c r="G706" s="14" t="s">
        <v>3487</v>
      </c>
      <c r="H706" s="15" t="s">
        <v>16</v>
      </c>
      <c r="I706" s="15" t="s">
        <v>3488</v>
      </c>
      <c r="J706" s="2">
        <v>6.0</v>
      </c>
      <c r="K706" s="12" t="s">
        <v>4087</v>
      </c>
      <c r="L706" s="16">
        <v>50000.0</v>
      </c>
    </row>
    <row r="707" hidden="1">
      <c r="A707" s="1" t="s">
        <v>643</v>
      </c>
      <c r="B707" s="1" t="s">
        <v>643</v>
      </c>
      <c r="C707" s="13">
        <v>45715.40625</v>
      </c>
      <c r="D707" s="5" t="s">
        <v>326</v>
      </c>
      <c r="E707" s="2" t="s">
        <v>327</v>
      </c>
      <c r="F707" s="14" t="s">
        <v>3486</v>
      </c>
      <c r="G707" s="14" t="s">
        <v>3487</v>
      </c>
      <c r="H707" s="15" t="s">
        <v>16</v>
      </c>
      <c r="I707" s="15" t="s">
        <v>3488</v>
      </c>
      <c r="J707" s="2">
        <v>10.0</v>
      </c>
      <c r="K707" s="12" t="s">
        <v>4088</v>
      </c>
      <c r="L707" s="16">
        <v>45000.0</v>
      </c>
    </row>
    <row r="708">
      <c r="A708" s="1" t="s">
        <v>644</v>
      </c>
      <c r="B708" s="1" t="s">
        <v>644</v>
      </c>
      <c r="C708" s="13">
        <v>45715.48611111111</v>
      </c>
      <c r="D708" s="5" t="s">
        <v>45</v>
      </c>
      <c r="E708" s="2" t="s">
        <v>46</v>
      </c>
      <c r="F708" s="14" t="s">
        <v>3486</v>
      </c>
      <c r="G708" s="14" t="s">
        <v>3487</v>
      </c>
      <c r="H708" s="15" t="s">
        <v>24</v>
      </c>
      <c r="I708" s="15" t="s">
        <v>3491</v>
      </c>
      <c r="J708" s="2">
        <v>7.0</v>
      </c>
      <c r="K708" s="12" t="s">
        <v>4089</v>
      </c>
      <c r="L708" s="16">
        <v>0.0</v>
      </c>
    </row>
    <row r="709">
      <c r="A709" s="1" t="s">
        <v>644</v>
      </c>
      <c r="B709" s="1" t="s">
        <v>644</v>
      </c>
      <c r="C709" s="13">
        <v>45715.48819444444</v>
      </c>
      <c r="D709" s="5" t="s">
        <v>45</v>
      </c>
      <c r="E709" s="2" t="s">
        <v>46</v>
      </c>
      <c r="F709" s="14" t="s">
        <v>3522</v>
      </c>
      <c r="G709" s="14" t="s">
        <v>3523</v>
      </c>
      <c r="H709" s="15" t="s">
        <v>24</v>
      </c>
      <c r="I709" s="15" t="s">
        <v>3491</v>
      </c>
      <c r="J709" s="2">
        <v>10.0</v>
      </c>
      <c r="K709" s="12" t="s">
        <v>4090</v>
      </c>
      <c r="L709" s="16">
        <v>0.0</v>
      </c>
    </row>
    <row r="710">
      <c r="A710" s="1" t="s">
        <v>644</v>
      </c>
      <c r="B710" s="1" t="s">
        <v>644</v>
      </c>
      <c r="C710" s="13">
        <v>45715.490277777775</v>
      </c>
      <c r="D710" s="5" t="s">
        <v>45</v>
      </c>
      <c r="E710" s="2" t="s">
        <v>46</v>
      </c>
      <c r="F710" s="14" t="s">
        <v>3516</v>
      </c>
      <c r="G710" s="14" t="s">
        <v>3517</v>
      </c>
      <c r="H710" s="15" t="s">
        <v>24</v>
      </c>
      <c r="I710" s="15" t="s">
        <v>3491</v>
      </c>
      <c r="J710" s="2">
        <v>2.0</v>
      </c>
      <c r="K710" s="12" t="s">
        <v>4091</v>
      </c>
      <c r="L710" s="16">
        <v>0.0</v>
      </c>
    </row>
    <row r="711">
      <c r="A711" s="1" t="s">
        <v>644</v>
      </c>
      <c r="B711" s="1" t="s">
        <v>644</v>
      </c>
      <c r="C711" s="13">
        <v>45715.49097222222</v>
      </c>
      <c r="D711" s="5" t="s">
        <v>45</v>
      </c>
      <c r="E711" s="2" t="s">
        <v>46</v>
      </c>
      <c r="F711" s="14" t="s">
        <v>3493</v>
      </c>
      <c r="G711" s="14" t="s">
        <v>3494</v>
      </c>
      <c r="H711" s="15" t="s">
        <v>24</v>
      </c>
      <c r="I711" s="15" t="s">
        <v>3491</v>
      </c>
      <c r="J711" s="2">
        <v>1.0</v>
      </c>
      <c r="K711" s="19"/>
      <c r="L711" s="16">
        <v>0.0</v>
      </c>
    </row>
    <row r="712" hidden="1">
      <c r="A712" s="1" t="s">
        <v>645</v>
      </c>
      <c r="B712" s="1" t="s">
        <v>645</v>
      </c>
      <c r="C712" s="13">
        <v>45715.65</v>
      </c>
      <c r="D712" s="5" t="s">
        <v>326</v>
      </c>
      <c r="E712" s="2" t="s">
        <v>327</v>
      </c>
      <c r="F712" s="14" t="s">
        <v>3486</v>
      </c>
      <c r="G712" s="14" t="s">
        <v>3487</v>
      </c>
      <c r="H712" s="15" t="s">
        <v>24</v>
      </c>
      <c r="I712" s="15" t="s">
        <v>3491</v>
      </c>
      <c r="J712" s="2">
        <v>5.0</v>
      </c>
      <c r="K712" s="12" t="s">
        <v>4092</v>
      </c>
      <c r="L712" s="16">
        <v>0.0</v>
      </c>
    </row>
    <row r="713" hidden="1">
      <c r="A713" s="1" t="s">
        <v>646</v>
      </c>
      <c r="B713" s="1" t="s">
        <v>646</v>
      </c>
      <c r="C713" s="13">
        <v>45715.65</v>
      </c>
      <c r="D713" s="5" t="s">
        <v>493</v>
      </c>
      <c r="E713" s="2" t="s">
        <v>494</v>
      </c>
      <c r="F713" s="14" t="s">
        <v>3486</v>
      </c>
      <c r="G713" s="14" t="s">
        <v>3487</v>
      </c>
      <c r="H713" s="15" t="s">
        <v>24</v>
      </c>
      <c r="I713" s="15" t="s">
        <v>3491</v>
      </c>
      <c r="J713" s="2">
        <v>4.0</v>
      </c>
      <c r="K713" s="12" t="s">
        <v>4093</v>
      </c>
      <c r="L713" s="16">
        <v>0.0</v>
      </c>
    </row>
    <row r="714" hidden="1">
      <c r="A714" s="1" t="s">
        <v>647</v>
      </c>
      <c r="B714" s="1" t="s">
        <v>647</v>
      </c>
      <c r="C714" s="13">
        <v>45716.3875</v>
      </c>
      <c r="D714" s="5" t="s">
        <v>213</v>
      </c>
      <c r="E714" s="2" t="s">
        <v>214</v>
      </c>
      <c r="F714" s="14" t="s">
        <v>3486</v>
      </c>
      <c r="G714" s="14" t="s">
        <v>3487</v>
      </c>
      <c r="H714" s="15" t="s">
        <v>16</v>
      </c>
      <c r="I714" s="15" t="s">
        <v>3488</v>
      </c>
      <c r="J714" s="2">
        <v>15.0</v>
      </c>
      <c r="K714" s="19"/>
      <c r="L714" s="16">
        <v>60000.0</v>
      </c>
    </row>
    <row r="715" hidden="1">
      <c r="A715" s="1" t="s">
        <v>648</v>
      </c>
      <c r="B715" s="1" t="s">
        <v>648</v>
      </c>
      <c r="C715" s="13">
        <v>45716.49791666667</v>
      </c>
      <c r="D715" s="5" t="s">
        <v>213</v>
      </c>
      <c r="E715" s="2" t="s">
        <v>214</v>
      </c>
      <c r="F715" s="14" t="s">
        <v>3486</v>
      </c>
      <c r="G715" s="14" t="s">
        <v>3487</v>
      </c>
      <c r="H715" s="15" t="s">
        <v>24</v>
      </c>
      <c r="I715" s="15" t="s">
        <v>3491</v>
      </c>
      <c r="J715" s="2">
        <v>14.0</v>
      </c>
      <c r="K715" s="12" t="s">
        <v>4094</v>
      </c>
      <c r="L715" s="16">
        <v>0.0</v>
      </c>
    </row>
    <row r="716" hidden="1">
      <c r="A716" s="1" t="s">
        <v>649</v>
      </c>
      <c r="B716" s="1" t="s">
        <v>649</v>
      </c>
      <c r="C716" s="13">
        <v>45716.688888888886</v>
      </c>
      <c r="D716" s="5" t="s">
        <v>345</v>
      </c>
      <c r="E716" s="2" t="s">
        <v>346</v>
      </c>
      <c r="F716" s="14" t="s">
        <v>3486</v>
      </c>
      <c r="G716" s="14" t="s">
        <v>3487</v>
      </c>
      <c r="H716" s="15" t="s">
        <v>24</v>
      </c>
      <c r="I716" s="15" t="s">
        <v>3491</v>
      </c>
      <c r="J716" s="2">
        <v>7.0</v>
      </c>
      <c r="K716" s="12" t="s">
        <v>4095</v>
      </c>
      <c r="L716" s="16">
        <v>0.0</v>
      </c>
    </row>
    <row r="717" hidden="1">
      <c r="A717" s="1" t="s">
        <v>650</v>
      </c>
      <c r="B717" s="1" t="s">
        <v>650</v>
      </c>
      <c r="C717" s="13">
        <v>45717.38958333333</v>
      </c>
      <c r="D717" s="5" t="s">
        <v>213</v>
      </c>
      <c r="E717" s="2" t="s">
        <v>214</v>
      </c>
      <c r="F717" s="14" t="s">
        <v>3493</v>
      </c>
      <c r="G717" s="14" t="s">
        <v>3494</v>
      </c>
      <c r="H717" s="15" t="s">
        <v>16</v>
      </c>
      <c r="I717" s="15" t="s">
        <v>3488</v>
      </c>
      <c r="J717" s="2">
        <v>2.0</v>
      </c>
      <c r="K717" s="19"/>
      <c r="L717" s="16">
        <v>210000.0</v>
      </c>
    </row>
    <row r="718">
      <c r="A718" s="1" t="s">
        <v>651</v>
      </c>
      <c r="B718" s="1" t="s">
        <v>651</v>
      </c>
      <c r="C718" s="13">
        <v>45717.40138888889</v>
      </c>
      <c r="D718" s="5" t="s">
        <v>45</v>
      </c>
      <c r="E718" s="2" t="s">
        <v>46</v>
      </c>
      <c r="F718" s="14" t="s">
        <v>3486</v>
      </c>
      <c r="G718" s="14" t="s">
        <v>3487</v>
      </c>
      <c r="H718" s="15" t="s">
        <v>16</v>
      </c>
      <c r="I718" s="15" t="s">
        <v>3488</v>
      </c>
      <c r="J718" s="2">
        <v>10.0</v>
      </c>
      <c r="K718" s="12" t="s">
        <v>4096</v>
      </c>
      <c r="L718" s="16">
        <v>60000.0</v>
      </c>
    </row>
    <row r="719">
      <c r="A719" s="1" t="s">
        <v>651</v>
      </c>
      <c r="B719" s="1" t="s">
        <v>651</v>
      </c>
      <c r="C719" s="13">
        <v>45717.40138888889</v>
      </c>
      <c r="D719" s="5" t="s">
        <v>45</v>
      </c>
      <c r="E719" s="2" t="s">
        <v>46</v>
      </c>
      <c r="F719" s="14" t="s">
        <v>3493</v>
      </c>
      <c r="G719" s="14" t="s">
        <v>3494</v>
      </c>
      <c r="H719" s="15" t="s">
        <v>16</v>
      </c>
      <c r="I719" s="15" t="s">
        <v>3488</v>
      </c>
      <c r="J719" s="2">
        <v>5.0</v>
      </c>
      <c r="K719" s="19"/>
      <c r="L719" s="16">
        <v>210000.0</v>
      </c>
    </row>
    <row r="720" hidden="1">
      <c r="A720" s="1" t="s">
        <v>652</v>
      </c>
      <c r="B720" s="1" t="s">
        <v>652</v>
      </c>
      <c r="C720" s="13">
        <v>45717.604166666664</v>
      </c>
      <c r="D720" s="5" t="s">
        <v>213</v>
      </c>
      <c r="E720" s="2" t="s">
        <v>214</v>
      </c>
      <c r="F720" s="14" t="s">
        <v>3486</v>
      </c>
      <c r="G720" s="14" t="s">
        <v>3487</v>
      </c>
      <c r="H720" s="15" t="s">
        <v>24</v>
      </c>
      <c r="I720" s="15" t="s">
        <v>3491</v>
      </c>
      <c r="J720" s="2">
        <v>10.0</v>
      </c>
      <c r="K720" s="12" t="s">
        <v>4097</v>
      </c>
      <c r="L720" s="16">
        <v>0.0</v>
      </c>
    </row>
    <row r="721" hidden="1">
      <c r="A721" s="1" t="s">
        <v>652</v>
      </c>
      <c r="B721" s="1" t="s">
        <v>652</v>
      </c>
      <c r="C721" s="13">
        <v>45717.60555555556</v>
      </c>
      <c r="D721" s="5" t="s">
        <v>213</v>
      </c>
      <c r="E721" s="2" t="s">
        <v>214</v>
      </c>
      <c r="F721" s="14" t="s">
        <v>3493</v>
      </c>
      <c r="G721" s="14" t="s">
        <v>3494</v>
      </c>
      <c r="H721" s="15" t="s">
        <v>24</v>
      </c>
      <c r="I721" s="15" t="s">
        <v>3491</v>
      </c>
      <c r="J721" s="2">
        <v>2.0</v>
      </c>
      <c r="K721" s="19"/>
      <c r="L721" s="16">
        <v>0.0</v>
      </c>
    </row>
    <row r="722" hidden="1">
      <c r="A722" s="1" t="s">
        <v>653</v>
      </c>
      <c r="B722" s="1" t="s">
        <v>653</v>
      </c>
      <c r="C722" s="13">
        <v>45719.39236111111</v>
      </c>
      <c r="D722" s="5" t="s">
        <v>654</v>
      </c>
      <c r="E722" s="2" t="s">
        <v>655</v>
      </c>
      <c r="F722" s="14" t="s">
        <v>3486</v>
      </c>
      <c r="G722" s="14" t="s">
        <v>3487</v>
      </c>
      <c r="H722" s="15" t="s">
        <v>16</v>
      </c>
      <c r="I722" s="15" t="s">
        <v>3488</v>
      </c>
      <c r="J722" s="2">
        <v>15.0</v>
      </c>
      <c r="K722" s="12" t="s">
        <v>4098</v>
      </c>
      <c r="L722" s="16">
        <v>60000.0</v>
      </c>
    </row>
    <row r="723" hidden="1">
      <c r="A723" s="1" t="s">
        <v>653</v>
      </c>
      <c r="B723" s="1" t="s">
        <v>653</v>
      </c>
      <c r="C723" s="13">
        <v>45719.393055555556</v>
      </c>
      <c r="D723" s="5" t="s">
        <v>654</v>
      </c>
      <c r="E723" s="2" t="s">
        <v>655</v>
      </c>
      <c r="F723" s="14" t="s">
        <v>3493</v>
      </c>
      <c r="G723" s="14" t="s">
        <v>3494</v>
      </c>
      <c r="H723" s="15" t="s">
        <v>16</v>
      </c>
      <c r="I723" s="15" t="s">
        <v>3488</v>
      </c>
      <c r="J723" s="2">
        <v>2.0</v>
      </c>
      <c r="K723" s="19"/>
      <c r="L723" s="16">
        <v>215000.0</v>
      </c>
    </row>
    <row r="724" hidden="1">
      <c r="A724" s="1" t="s">
        <v>657</v>
      </c>
      <c r="B724" s="1" t="s">
        <v>657</v>
      </c>
      <c r="C724" s="13">
        <v>45719.63888888889</v>
      </c>
      <c r="D724" s="5" t="s">
        <v>49</v>
      </c>
      <c r="E724" s="2" t="s">
        <v>50</v>
      </c>
      <c r="F724" s="14" t="s">
        <v>3486</v>
      </c>
      <c r="G724" s="14" t="s">
        <v>3487</v>
      </c>
      <c r="H724" s="15" t="s">
        <v>24</v>
      </c>
      <c r="I724" s="15" t="s">
        <v>3491</v>
      </c>
      <c r="J724" s="2">
        <v>1.0</v>
      </c>
      <c r="K724" s="12" t="s">
        <v>4099</v>
      </c>
      <c r="L724" s="16">
        <v>0.0</v>
      </c>
    </row>
    <row r="725" hidden="1">
      <c r="A725" s="1" t="s">
        <v>658</v>
      </c>
      <c r="B725" s="1" t="s">
        <v>658</v>
      </c>
      <c r="C725" s="13">
        <v>45719.63888888889</v>
      </c>
      <c r="D725" s="5" t="s">
        <v>131</v>
      </c>
      <c r="E725" s="2" t="s">
        <v>132</v>
      </c>
      <c r="F725" s="14" t="s">
        <v>3486</v>
      </c>
      <c r="G725" s="14" t="s">
        <v>3487</v>
      </c>
      <c r="H725" s="15" t="s">
        <v>24</v>
      </c>
      <c r="I725" s="15" t="s">
        <v>3491</v>
      </c>
      <c r="J725" s="2">
        <v>5.0</v>
      </c>
      <c r="K725" s="12" t="s">
        <v>4100</v>
      </c>
      <c r="L725" s="16">
        <v>0.0</v>
      </c>
    </row>
    <row r="726" hidden="1">
      <c r="A726" s="1" t="s">
        <v>659</v>
      </c>
      <c r="B726" s="1" t="s">
        <v>659</v>
      </c>
      <c r="C726" s="13">
        <v>45719.63958333333</v>
      </c>
      <c r="D726" s="5" t="s">
        <v>109</v>
      </c>
      <c r="E726" s="2" t="s">
        <v>110</v>
      </c>
      <c r="F726" s="14" t="s">
        <v>3486</v>
      </c>
      <c r="G726" s="14" t="s">
        <v>3487</v>
      </c>
      <c r="H726" s="15" t="s">
        <v>24</v>
      </c>
      <c r="I726" s="15" t="s">
        <v>3491</v>
      </c>
      <c r="J726" s="2">
        <v>1.0</v>
      </c>
      <c r="K726" s="12" t="s">
        <v>4101</v>
      </c>
      <c r="L726" s="16">
        <v>0.0</v>
      </c>
    </row>
    <row r="727" hidden="1">
      <c r="A727" s="1" t="s">
        <v>659</v>
      </c>
      <c r="B727" s="1" t="s">
        <v>659</v>
      </c>
      <c r="C727" s="13">
        <v>45719.63958333333</v>
      </c>
      <c r="D727" s="5" t="s">
        <v>109</v>
      </c>
      <c r="E727" s="2" t="s">
        <v>110</v>
      </c>
      <c r="F727" s="14" t="s">
        <v>3522</v>
      </c>
      <c r="G727" s="14" t="s">
        <v>3523</v>
      </c>
      <c r="H727" s="15" t="s">
        <v>24</v>
      </c>
      <c r="I727" s="15" t="s">
        <v>3491</v>
      </c>
      <c r="J727" s="2">
        <v>2.0</v>
      </c>
      <c r="K727" s="12" t="s">
        <v>4102</v>
      </c>
      <c r="L727" s="16">
        <v>0.0</v>
      </c>
    </row>
    <row r="728">
      <c r="A728" s="1" t="s">
        <v>660</v>
      </c>
      <c r="B728" s="1" t="s">
        <v>660</v>
      </c>
      <c r="C728" s="13">
        <v>45720.427777777775</v>
      </c>
      <c r="D728" s="5" t="s">
        <v>45</v>
      </c>
      <c r="E728" s="2" t="s">
        <v>46</v>
      </c>
      <c r="F728" s="14" t="s">
        <v>3486</v>
      </c>
      <c r="G728" s="14" t="s">
        <v>3487</v>
      </c>
      <c r="H728" s="15" t="s">
        <v>16</v>
      </c>
      <c r="I728" s="15" t="s">
        <v>3488</v>
      </c>
      <c r="J728" s="2">
        <v>10.0</v>
      </c>
      <c r="K728" s="12" t="s">
        <v>4103</v>
      </c>
      <c r="L728" s="16">
        <v>60000.0</v>
      </c>
    </row>
    <row r="729" hidden="1">
      <c r="A729" s="1" t="s">
        <v>661</v>
      </c>
      <c r="B729" s="1" t="s">
        <v>661</v>
      </c>
      <c r="C729" s="13">
        <v>45720.430555555555</v>
      </c>
      <c r="D729" s="5" t="s">
        <v>309</v>
      </c>
      <c r="E729" s="2" t="s">
        <v>310</v>
      </c>
      <c r="F729" s="14" t="s">
        <v>3506</v>
      </c>
      <c r="G729" s="14" t="s">
        <v>3507</v>
      </c>
      <c r="H729" s="15" t="s">
        <v>16</v>
      </c>
      <c r="I729" s="15" t="s">
        <v>3488</v>
      </c>
      <c r="J729" s="2">
        <v>10.0</v>
      </c>
      <c r="K729" s="19"/>
      <c r="L729" s="16">
        <v>55000.0</v>
      </c>
    </row>
    <row r="730" hidden="1">
      <c r="A730" s="1" t="s">
        <v>662</v>
      </c>
      <c r="B730" s="1" t="s">
        <v>662</v>
      </c>
      <c r="C730" s="13">
        <v>45720.52222222222</v>
      </c>
      <c r="D730" s="5" t="s">
        <v>309</v>
      </c>
      <c r="E730" s="2" t="s">
        <v>310</v>
      </c>
      <c r="F730" s="14" t="s">
        <v>4045</v>
      </c>
      <c r="G730" s="14" t="s">
        <v>4046</v>
      </c>
      <c r="H730" s="15" t="s">
        <v>24</v>
      </c>
      <c r="I730" s="15" t="s">
        <v>3491</v>
      </c>
      <c r="J730" s="2">
        <v>1.0</v>
      </c>
      <c r="K730" s="19"/>
      <c r="L730" s="16">
        <v>0.0</v>
      </c>
    </row>
    <row r="731" hidden="1">
      <c r="A731" s="1" t="s">
        <v>663</v>
      </c>
      <c r="B731" s="1" t="s">
        <v>663</v>
      </c>
      <c r="C731" s="13">
        <v>45720.52222222222</v>
      </c>
      <c r="D731" s="5" t="s">
        <v>213</v>
      </c>
      <c r="E731" s="2" t="s">
        <v>214</v>
      </c>
      <c r="F731" s="14" t="s">
        <v>3493</v>
      </c>
      <c r="G731" s="14" t="s">
        <v>3494</v>
      </c>
      <c r="H731" s="15" t="s">
        <v>24</v>
      </c>
      <c r="I731" s="15" t="s">
        <v>3491</v>
      </c>
      <c r="J731" s="2">
        <v>2.0</v>
      </c>
      <c r="K731" s="19"/>
      <c r="L731" s="16">
        <v>0.0</v>
      </c>
    </row>
    <row r="732" hidden="1">
      <c r="A732" s="1" t="s">
        <v>4104</v>
      </c>
      <c r="B732" s="1" t="s">
        <v>4104</v>
      </c>
      <c r="C732" s="13">
        <v>45720.52569444444</v>
      </c>
      <c r="D732" s="5" t="s">
        <v>213</v>
      </c>
      <c r="E732" s="2" t="s">
        <v>214</v>
      </c>
      <c r="F732" s="14" t="s">
        <v>3486</v>
      </c>
      <c r="G732" s="14" t="s">
        <v>3487</v>
      </c>
      <c r="H732" s="15" t="s">
        <v>16</v>
      </c>
      <c r="I732" s="15" t="s">
        <v>3488</v>
      </c>
      <c r="J732" s="2">
        <v>5.0</v>
      </c>
      <c r="K732" s="12" t="s">
        <v>4105</v>
      </c>
      <c r="L732" s="16">
        <v>60000.0</v>
      </c>
    </row>
    <row r="733" hidden="1">
      <c r="A733" s="1" t="s">
        <v>4104</v>
      </c>
      <c r="B733" s="1" t="s">
        <v>4104</v>
      </c>
      <c r="C733" s="13">
        <v>45720.52638888889</v>
      </c>
      <c r="D733" s="5" t="s">
        <v>213</v>
      </c>
      <c r="E733" s="2" t="s">
        <v>214</v>
      </c>
      <c r="F733" s="14" t="s">
        <v>3493</v>
      </c>
      <c r="G733" s="14" t="s">
        <v>3494</v>
      </c>
      <c r="H733" s="15" t="s">
        <v>16</v>
      </c>
      <c r="I733" s="15" t="s">
        <v>3488</v>
      </c>
      <c r="J733" s="2">
        <v>2.0</v>
      </c>
      <c r="K733" s="19"/>
      <c r="L733" s="16">
        <v>210000.0</v>
      </c>
    </row>
    <row r="734" hidden="1">
      <c r="A734" s="1" t="s">
        <v>664</v>
      </c>
      <c r="B734" s="1" t="s">
        <v>664</v>
      </c>
      <c r="C734" s="13">
        <v>45720.52638888889</v>
      </c>
      <c r="D734" s="5" t="s">
        <v>55</v>
      </c>
      <c r="E734" s="2" t="s">
        <v>56</v>
      </c>
      <c r="F734" s="14" t="s">
        <v>3486</v>
      </c>
      <c r="G734" s="14" t="s">
        <v>3487</v>
      </c>
      <c r="H734" s="15" t="s">
        <v>16</v>
      </c>
      <c r="I734" s="15" t="s">
        <v>3488</v>
      </c>
      <c r="J734" s="2">
        <v>3.0</v>
      </c>
      <c r="K734" s="12" t="s">
        <v>4106</v>
      </c>
      <c r="L734" s="16">
        <v>60000.0</v>
      </c>
    </row>
    <row r="735" hidden="1">
      <c r="A735" s="1" t="s">
        <v>665</v>
      </c>
      <c r="B735" s="1" t="s">
        <v>665</v>
      </c>
      <c r="C735" s="13">
        <v>45720.65277777778</v>
      </c>
      <c r="D735" s="5" t="s">
        <v>55</v>
      </c>
      <c r="E735" s="2" t="s">
        <v>56</v>
      </c>
      <c r="F735" s="14" t="s">
        <v>3486</v>
      </c>
      <c r="G735" s="14" t="s">
        <v>3487</v>
      </c>
      <c r="H735" s="15" t="s">
        <v>24</v>
      </c>
      <c r="I735" s="15" t="s">
        <v>3491</v>
      </c>
      <c r="J735" s="2">
        <v>1.0</v>
      </c>
      <c r="K735" s="12" t="s">
        <v>4107</v>
      </c>
      <c r="L735" s="16">
        <v>0.0</v>
      </c>
    </row>
    <row r="736" hidden="1">
      <c r="A736" s="1" t="s">
        <v>666</v>
      </c>
      <c r="B736" s="1" t="s">
        <v>666</v>
      </c>
      <c r="C736" s="13">
        <v>45720.65833333333</v>
      </c>
      <c r="D736" s="5" t="s">
        <v>326</v>
      </c>
      <c r="E736" s="2" t="s">
        <v>327</v>
      </c>
      <c r="F736" s="14" t="s">
        <v>3486</v>
      </c>
      <c r="G736" s="14" t="s">
        <v>3487</v>
      </c>
      <c r="H736" s="15" t="s">
        <v>24</v>
      </c>
      <c r="I736" s="15" t="s">
        <v>3491</v>
      </c>
      <c r="J736" s="2">
        <v>4.0</v>
      </c>
      <c r="K736" s="12" t="s">
        <v>4108</v>
      </c>
      <c r="L736" s="16">
        <v>0.0</v>
      </c>
    </row>
    <row r="737">
      <c r="A737" s="1" t="s">
        <v>667</v>
      </c>
      <c r="B737" s="1" t="s">
        <v>667</v>
      </c>
      <c r="C737" s="13">
        <v>45720.65833333333</v>
      </c>
      <c r="D737" s="5" t="s">
        <v>45</v>
      </c>
      <c r="E737" s="2" t="s">
        <v>46</v>
      </c>
      <c r="F737" s="14" t="s">
        <v>3486</v>
      </c>
      <c r="G737" s="14" t="s">
        <v>3487</v>
      </c>
      <c r="H737" s="15" t="s">
        <v>24</v>
      </c>
      <c r="I737" s="15" t="s">
        <v>3491</v>
      </c>
      <c r="J737" s="2">
        <v>9.0</v>
      </c>
      <c r="K737" s="12" t="s">
        <v>4109</v>
      </c>
      <c r="L737" s="16">
        <v>0.0</v>
      </c>
    </row>
    <row r="738">
      <c r="A738" s="1" t="s">
        <v>667</v>
      </c>
      <c r="B738" s="1" t="s">
        <v>667</v>
      </c>
      <c r="C738" s="13">
        <v>45720.65902777778</v>
      </c>
      <c r="D738" s="5" t="s">
        <v>45</v>
      </c>
      <c r="E738" s="2" t="s">
        <v>46</v>
      </c>
      <c r="F738" s="14" t="s">
        <v>3522</v>
      </c>
      <c r="G738" s="14" t="s">
        <v>3523</v>
      </c>
      <c r="H738" s="15" t="s">
        <v>24</v>
      </c>
      <c r="I738" s="15" t="s">
        <v>3491</v>
      </c>
      <c r="J738" s="2">
        <v>5.0</v>
      </c>
      <c r="K738" s="12" t="s">
        <v>4110</v>
      </c>
      <c r="L738" s="16">
        <v>0.0</v>
      </c>
    </row>
    <row r="739" hidden="1">
      <c r="A739" s="1" t="s">
        <v>668</v>
      </c>
      <c r="B739" s="1" t="s">
        <v>668</v>
      </c>
      <c r="C739" s="13">
        <v>45720.660416666666</v>
      </c>
      <c r="D739" s="5" t="s">
        <v>305</v>
      </c>
      <c r="E739" s="2" t="s">
        <v>306</v>
      </c>
      <c r="F739" s="14" t="s">
        <v>3486</v>
      </c>
      <c r="G739" s="14" t="s">
        <v>3487</v>
      </c>
      <c r="H739" s="15" t="s">
        <v>24</v>
      </c>
      <c r="I739" s="15" t="s">
        <v>3491</v>
      </c>
      <c r="J739" s="2">
        <v>3.0</v>
      </c>
      <c r="K739" s="12" t="s">
        <v>4111</v>
      </c>
      <c r="L739" s="16">
        <v>0.0</v>
      </c>
    </row>
    <row r="740" hidden="1">
      <c r="A740" s="1" t="s">
        <v>669</v>
      </c>
      <c r="B740" s="1" t="s">
        <v>669</v>
      </c>
      <c r="C740" s="13">
        <v>45721.42569444444</v>
      </c>
      <c r="D740" s="5" t="s">
        <v>326</v>
      </c>
      <c r="E740" s="2" t="s">
        <v>327</v>
      </c>
      <c r="F740" s="14" t="s">
        <v>3486</v>
      </c>
      <c r="G740" s="14" t="s">
        <v>3487</v>
      </c>
      <c r="H740" s="15" t="s">
        <v>16</v>
      </c>
      <c r="I740" s="15" t="s">
        <v>3488</v>
      </c>
      <c r="J740" s="2">
        <v>10.0</v>
      </c>
      <c r="K740" s="12" t="s">
        <v>4112</v>
      </c>
      <c r="L740" s="16">
        <v>45000.0</v>
      </c>
    </row>
    <row r="741" hidden="1">
      <c r="A741" s="1" t="s">
        <v>670</v>
      </c>
      <c r="B741" s="1" t="s">
        <v>670</v>
      </c>
      <c r="C741" s="13">
        <v>45721.51944444444</v>
      </c>
      <c r="D741" s="5" t="s">
        <v>213</v>
      </c>
      <c r="E741" s="2" t="s">
        <v>214</v>
      </c>
      <c r="F741" s="14" t="s">
        <v>3486</v>
      </c>
      <c r="G741" s="14" t="s">
        <v>3487</v>
      </c>
      <c r="H741" s="15" t="s">
        <v>16</v>
      </c>
      <c r="I741" s="15" t="s">
        <v>3488</v>
      </c>
      <c r="J741" s="2">
        <v>7.0</v>
      </c>
      <c r="K741" s="12" t="s">
        <v>4113</v>
      </c>
      <c r="L741" s="16">
        <v>60000.0</v>
      </c>
    </row>
    <row r="742" hidden="1">
      <c r="A742" s="1" t="s">
        <v>670</v>
      </c>
      <c r="B742" s="1" t="s">
        <v>670</v>
      </c>
      <c r="C742" s="13">
        <v>45721.52013888889</v>
      </c>
      <c r="D742" s="5" t="s">
        <v>213</v>
      </c>
      <c r="E742" s="2" t="s">
        <v>214</v>
      </c>
      <c r="F742" s="14" t="s">
        <v>3493</v>
      </c>
      <c r="G742" s="14" t="s">
        <v>3494</v>
      </c>
      <c r="H742" s="15" t="s">
        <v>16</v>
      </c>
      <c r="I742" s="15" t="s">
        <v>3488</v>
      </c>
      <c r="J742" s="2">
        <v>2.0</v>
      </c>
      <c r="K742" s="19"/>
      <c r="L742" s="16">
        <v>210000.0</v>
      </c>
    </row>
    <row r="743">
      <c r="A743" s="1" t="s">
        <v>671</v>
      </c>
      <c r="B743" s="1" t="s">
        <v>671</v>
      </c>
      <c r="C743" s="13">
        <v>45721.646527777775</v>
      </c>
      <c r="D743" s="5" t="s">
        <v>45</v>
      </c>
      <c r="E743" s="2" t="s">
        <v>46</v>
      </c>
      <c r="F743" s="14" t="s">
        <v>3522</v>
      </c>
      <c r="G743" s="14" t="s">
        <v>3523</v>
      </c>
      <c r="H743" s="15" t="s">
        <v>24</v>
      </c>
      <c r="I743" s="15" t="s">
        <v>3491</v>
      </c>
      <c r="J743" s="2">
        <v>2.0</v>
      </c>
      <c r="K743" s="12" t="s">
        <v>4114</v>
      </c>
      <c r="L743" s="16">
        <v>0.0</v>
      </c>
    </row>
    <row r="744">
      <c r="A744" s="1" t="s">
        <v>671</v>
      </c>
      <c r="B744" s="1" t="s">
        <v>671</v>
      </c>
      <c r="C744" s="13">
        <v>45721.64722222222</v>
      </c>
      <c r="D744" s="5" t="s">
        <v>45</v>
      </c>
      <c r="E744" s="2" t="s">
        <v>46</v>
      </c>
      <c r="F744" s="14" t="s">
        <v>3493</v>
      </c>
      <c r="G744" s="14" t="s">
        <v>3494</v>
      </c>
      <c r="H744" s="15" t="s">
        <v>24</v>
      </c>
      <c r="I744" s="15" t="s">
        <v>3491</v>
      </c>
      <c r="J744" s="2">
        <v>1.0</v>
      </c>
      <c r="K744" s="19"/>
      <c r="L744" s="16">
        <v>0.0</v>
      </c>
    </row>
    <row r="745" hidden="1">
      <c r="A745" s="1" t="s">
        <v>672</v>
      </c>
      <c r="B745" s="1" t="s">
        <v>672</v>
      </c>
      <c r="C745" s="13">
        <v>45721.677083333336</v>
      </c>
      <c r="D745" s="5" t="s">
        <v>326</v>
      </c>
      <c r="E745" s="2" t="s">
        <v>327</v>
      </c>
      <c r="F745" s="14" t="s">
        <v>3486</v>
      </c>
      <c r="G745" s="14" t="s">
        <v>3487</v>
      </c>
      <c r="H745" s="15" t="s">
        <v>24</v>
      </c>
      <c r="I745" s="15" t="s">
        <v>3491</v>
      </c>
      <c r="J745" s="2">
        <v>14.0</v>
      </c>
      <c r="K745" s="12" t="s">
        <v>4115</v>
      </c>
      <c r="L745" s="16">
        <v>0.0</v>
      </c>
    </row>
    <row r="746" hidden="1">
      <c r="A746" s="1" t="s">
        <v>673</v>
      </c>
      <c r="B746" s="1" t="s">
        <v>673</v>
      </c>
      <c r="C746" s="13">
        <v>45722.35555555556</v>
      </c>
      <c r="D746" s="5" t="s">
        <v>305</v>
      </c>
      <c r="E746" s="2" t="s">
        <v>306</v>
      </c>
      <c r="F746" s="14" t="s">
        <v>3486</v>
      </c>
      <c r="G746" s="14" t="s">
        <v>3487</v>
      </c>
      <c r="H746" s="15" t="s">
        <v>16</v>
      </c>
      <c r="I746" s="15" t="s">
        <v>3488</v>
      </c>
      <c r="J746" s="2">
        <v>10.0</v>
      </c>
      <c r="K746" s="12" t="s">
        <v>4116</v>
      </c>
      <c r="L746" s="16">
        <v>47297.0</v>
      </c>
    </row>
    <row r="747" hidden="1">
      <c r="A747" s="1" t="s">
        <v>674</v>
      </c>
      <c r="B747" s="1" t="s">
        <v>674</v>
      </c>
      <c r="C747" s="13">
        <v>45722.51111111111</v>
      </c>
      <c r="D747" s="5" t="s">
        <v>213</v>
      </c>
      <c r="E747" s="2" t="s">
        <v>214</v>
      </c>
      <c r="F747" s="14" t="s">
        <v>3486</v>
      </c>
      <c r="G747" s="14" t="s">
        <v>3487</v>
      </c>
      <c r="H747" s="15" t="s">
        <v>24</v>
      </c>
      <c r="I747" s="15" t="s">
        <v>3491</v>
      </c>
      <c r="J747" s="2">
        <v>21.0</v>
      </c>
      <c r="K747" s="12" t="s">
        <v>4117</v>
      </c>
      <c r="L747" s="16">
        <v>0.0</v>
      </c>
    </row>
    <row r="748" hidden="1">
      <c r="A748" s="1" t="s">
        <v>675</v>
      </c>
      <c r="B748" s="1" t="s">
        <v>675</v>
      </c>
      <c r="C748" s="13">
        <v>45722.518055555556</v>
      </c>
      <c r="D748" s="5" t="s">
        <v>349</v>
      </c>
      <c r="E748" s="2" t="s">
        <v>350</v>
      </c>
      <c r="F748" s="14" t="s">
        <v>3516</v>
      </c>
      <c r="G748" s="14" t="s">
        <v>3517</v>
      </c>
      <c r="H748" s="15" t="s">
        <v>16</v>
      </c>
      <c r="I748" s="15" t="s">
        <v>3488</v>
      </c>
      <c r="J748" s="2">
        <v>4.0</v>
      </c>
      <c r="K748" s="12" t="s">
        <v>4118</v>
      </c>
      <c r="L748" s="16">
        <v>167000.0</v>
      </c>
    </row>
    <row r="749" hidden="1">
      <c r="A749" s="1" t="s">
        <v>676</v>
      </c>
      <c r="B749" s="1" t="s">
        <v>676</v>
      </c>
      <c r="C749" s="13">
        <v>45722.55694444444</v>
      </c>
      <c r="D749" s="5" t="s">
        <v>654</v>
      </c>
      <c r="E749" s="2" t="s">
        <v>655</v>
      </c>
      <c r="F749" s="14" t="s">
        <v>3486</v>
      </c>
      <c r="G749" s="14" t="s">
        <v>3487</v>
      </c>
      <c r="H749" s="15" t="s">
        <v>16</v>
      </c>
      <c r="I749" s="15" t="s">
        <v>3488</v>
      </c>
      <c r="J749" s="2">
        <v>5.0</v>
      </c>
      <c r="K749" s="12" t="s">
        <v>4119</v>
      </c>
      <c r="L749" s="16">
        <v>60000.0</v>
      </c>
    </row>
    <row r="750" hidden="1">
      <c r="A750" s="1" t="s">
        <v>676</v>
      </c>
      <c r="B750" s="1" t="s">
        <v>676</v>
      </c>
      <c r="C750" s="13">
        <v>45722.55763888889</v>
      </c>
      <c r="D750" s="5" t="s">
        <v>654</v>
      </c>
      <c r="E750" s="2" t="s">
        <v>655</v>
      </c>
      <c r="F750" s="14" t="s">
        <v>3493</v>
      </c>
      <c r="G750" s="14" t="s">
        <v>3494</v>
      </c>
      <c r="H750" s="15" t="s">
        <v>16</v>
      </c>
      <c r="I750" s="15" t="s">
        <v>3488</v>
      </c>
      <c r="J750" s="2">
        <v>2.0</v>
      </c>
      <c r="K750" s="19"/>
      <c r="L750" s="16">
        <v>215000.0</v>
      </c>
    </row>
    <row r="751" hidden="1">
      <c r="A751" s="1" t="s">
        <v>4120</v>
      </c>
      <c r="B751" s="1" t="s">
        <v>4120</v>
      </c>
      <c r="C751" s="13">
        <v>45722.65694444445</v>
      </c>
      <c r="D751" s="5" t="s">
        <v>213</v>
      </c>
      <c r="E751" s="2" t="s">
        <v>214</v>
      </c>
      <c r="F751" s="14" t="s">
        <v>3486</v>
      </c>
      <c r="G751" s="14" t="s">
        <v>3487</v>
      </c>
      <c r="H751" s="15" t="s">
        <v>16</v>
      </c>
      <c r="I751" s="15" t="s">
        <v>3488</v>
      </c>
      <c r="J751" s="2">
        <v>15.0</v>
      </c>
      <c r="K751" s="19"/>
      <c r="L751" s="16">
        <v>60000.0</v>
      </c>
    </row>
    <row r="752" hidden="1">
      <c r="A752" s="1" t="s">
        <v>677</v>
      </c>
      <c r="B752" s="1" t="s">
        <v>677</v>
      </c>
      <c r="C752" s="13">
        <v>45723.35208333333</v>
      </c>
      <c r="D752" s="5" t="s">
        <v>654</v>
      </c>
      <c r="E752" s="2" t="s">
        <v>655</v>
      </c>
      <c r="F752" s="14" t="s">
        <v>3486</v>
      </c>
      <c r="G752" s="14" t="s">
        <v>3487</v>
      </c>
      <c r="H752" s="15" t="s">
        <v>16</v>
      </c>
      <c r="I752" s="15" t="s">
        <v>3488</v>
      </c>
      <c r="J752" s="2">
        <v>20.0</v>
      </c>
      <c r="K752" s="19"/>
      <c r="L752" s="16">
        <v>60000.0</v>
      </c>
    </row>
    <row r="753" hidden="1">
      <c r="A753" s="1" t="s">
        <v>678</v>
      </c>
      <c r="B753" s="1" t="s">
        <v>678</v>
      </c>
      <c r="C753" s="13">
        <v>45723.37152777778</v>
      </c>
      <c r="D753" s="5" t="s">
        <v>679</v>
      </c>
      <c r="E753" s="2" t="s">
        <v>680</v>
      </c>
      <c r="F753" s="14" t="s">
        <v>3486</v>
      </c>
      <c r="G753" s="14" t="s">
        <v>3487</v>
      </c>
      <c r="H753" s="15" t="s">
        <v>16</v>
      </c>
      <c r="I753" s="15" t="s">
        <v>3488</v>
      </c>
      <c r="J753" s="2">
        <v>1.0</v>
      </c>
      <c r="K753" s="12" t="s">
        <v>4121</v>
      </c>
      <c r="L753" s="16">
        <v>65000.0</v>
      </c>
    </row>
    <row r="754" hidden="1">
      <c r="A754" s="1" t="s">
        <v>682</v>
      </c>
      <c r="B754" s="1" t="s">
        <v>682</v>
      </c>
      <c r="C754" s="13">
        <v>45723.44513888889</v>
      </c>
      <c r="D754" s="5" t="s">
        <v>654</v>
      </c>
      <c r="E754" s="2" t="s">
        <v>655</v>
      </c>
      <c r="F754" s="14" t="s">
        <v>3486</v>
      </c>
      <c r="G754" s="14" t="s">
        <v>3487</v>
      </c>
      <c r="H754" s="15" t="s">
        <v>24</v>
      </c>
      <c r="I754" s="15" t="s">
        <v>3491</v>
      </c>
      <c r="J754" s="2">
        <v>15.0</v>
      </c>
      <c r="K754" s="19"/>
      <c r="L754" s="16">
        <v>0.0</v>
      </c>
    </row>
    <row r="755" hidden="1">
      <c r="A755" s="1" t="s">
        <v>683</v>
      </c>
      <c r="B755" s="1" t="s">
        <v>683</v>
      </c>
      <c r="C755" s="13">
        <v>45723.44583333333</v>
      </c>
      <c r="D755" s="5" t="s">
        <v>305</v>
      </c>
      <c r="E755" s="2" t="s">
        <v>306</v>
      </c>
      <c r="F755" s="14" t="s">
        <v>3486</v>
      </c>
      <c r="G755" s="14" t="s">
        <v>3487</v>
      </c>
      <c r="H755" s="15" t="s">
        <v>24</v>
      </c>
      <c r="I755" s="15" t="s">
        <v>3491</v>
      </c>
      <c r="J755" s="2">
        <v>7.0</v>
      </c>
      <c r="K755" s="12" t="s">
        <v>4122</v>
      </c>
      <c r="L755" s="16">
        <v>0.0</v>
      </c>
    </row>
    <row r="756" hidden="1">
      <c r="A756" s="1" t="s">
        <v>682</v>
      </c>
      <c r="B756" s="1" t="s">
        <v>682</v>
      </c>
      <c r="C756" s="13">
        <v>45723.475694444445</v>
      </c>
      <c r="D756" s="5" t="s">
        <v>654</v>
      </c>
      <c r="E756" s="2" t="s">
        <v>655</v>
      </c>
      <c r="F756" s="14" t="s">
        <v>3486</v>
      </c>
      <c r="G756" s="14" t="s">
        <v>3487</v>
      </c>
      <c r="H756" s="15" t="s">
        <v>24</v>
      </c>
      <c r="I756" s="15" t="s">
        <v>3491</v>
      </c>
      <c r="J756" s="2">
        <v>5.0</v>
      </c>
      <c r="K756" s="12" t="s">
        <v>4123</v>
      </c>
      <c r="L756" s="16">
        <v>0.0</v>
      </c>
    </row>
    <row r="757" hidden="1">
      <c r="A757" s="1" t="s">
        <v>677</v>
      </c>
      <c r="B757" s="1" t="s">
        <v>677</v>
      </c>
      <c r="C757" s="13">
        <v>45723.55486111111</v>
      </c>
      <c r="D757" s="5" t="s">
        <v>654</v>
      </c>
      <c r="E757" s="2" t="s">
        <v>655</v>
      </c>
      <c r="F757" s="14" t="s">
        <v>3486</v>
      </c>
      <c r="G757" s="14" t="s">
        <v>3487</v>
      </c>
      <c r="H757" s="15" t="s">
        <v>16</v>
      </c>
      <c r="I757" s="15" t="s">
        <v>3488</v>
      </c>
      <c r="J757" s="2">
        <v>17.0</v>
      </c>
      <c r="K757" s="19"/>
      <c r="L757" s="16">
        <v>60000.0</v>
      </c>
    </row>
    <row r="758" hidden="1">
      <c r="A758" s="1" t="s">
        <v>684</v>
      </c>
      <c r="B758" s="1" t="s">
        <v>684</v>
      </c>
      <c r="C758" s="13">
        <v>45723.57777777778</v>
      </c>
      <c r="D758" s="5" t="s">
        <v>685</v>
      </c>
      <c r="E758" s="2" t="s">
        <v>686</v>
      </c>
      <c r="F758" s="14" t="s">
        <v>3493</v>
      </c>
      <c r="G758" s="14" t="s">
        <v>3494</v>
      </c>
      <c r="H758" s="15" t="s">
        <v>16</v>
      </c>
      <c r="I758" s="15" t="s">
        <v>3488</v>
      </c>
      <c r="J758" s="2">
        <v>3.0</v>
      </c>
      <c r="K758" s="19"/>
      <c r="L758" s="16">
        <v>189189.19</v>
      </c>
    </row>
    <row r="759" hidden="1">
      <c r="A759" s="1" t="s">
        <v>677</v>
      </c>
      <c r="B759" s="1" t="s">
        <v>677</v>
      </c>
      <c r="C759" s="13">
        <v>45723.58541666667</v>
      </c>
      <c r="D759" s="5" t="s">
        <v>654</v>
      </c>
      <c r="E759" s="2" t="s">
        <v>655</v>
      </c>
      <c r="F759" s="14" t="s">
        <v>3493</v>
      </c>
      <c r="G759" s="14" t="s">
        <v>3494</v>
      </c>
      <c r="H759" s="15" t="s">
        <v>16</v>
      </c>
      <c r="I759" s="15" t="s">
        <v>3488</v>
      </c>
      <c r="J759" s="2">
        <v>2.0</v>
      </c>
      <c r="K759" s="19"/>
      <c r="L759" s="16">
        <v>215000.0</v>
      </c>
    </row>
    <row r="760" hidden="1">
      <c r="A760" s="1" t="s">
        <v>688</v>
      </c>
      <c r="B760" s="1" t="s">
        <v>688</v>
      </c>
      <c r="C760" s="13">
        <v>45723.63402777778</v>
      </c>
      <c r="D760" s="5" t="s">
        <v>685</v>
      </c>
      <c r="E760" s="2" t="s">
        <v>686</v>
      </c>
      <c r="F760" s="14" t="s">
        <v>3493</v>
      </c>
      <c r="G760" s="14" t="s">
        <v>3494</v>
      </c>
      <c r="H760" s="15" t="s">
        <v>24</v>
      </c>
      <c r="I760" s="15" t="s">
        <v>3491</v>
      </c>
      <c r="J760" s="2">
        <v>3.0</v>
      </c>
      <c r="K760" s="19"/>
      <c r="L760" s="16">
        <v>0.0</v>
      </c>
    </row>
    <row r="761" hidden="1">
      <c r="A761" s="1" t="s">
        <v>689</v>
      </c>
      <c r="B761" s="1" t="s">
        <v>689</v>
      </c>
      <c r="C761" s="13">
        <v>45723.63888888889</v>
      </c>
      <c r="D761" s="2" t="s">
        <v>690</v>
      </c>
      <c r="E761" s="2" t="s">
        <v>691</v>
      </c>
      <c r="F761" s="14" t="s">
        <v>3486</v>
      </c>
      <c r="G761" s="14" t="s">
        <v>3487</v>
      </c>
      <c r="H761" s="15" t="s">
        <v>16</v>
      </c>
      <c r="I761" s="15" t="s">
        <v>3488</v>
      </c>
      <c r="J761" s="2">
        <v>1.0</v>
      </c>
      <c r="K761" s="19"/>
      <c r="L761" s="16">
        <v>80000.0</v>
      </c>
    </row>
    <row r="762" hidden="1">
      <c r="A762" s="1" t="s">
        <v>692</v>
      </c>
      <c r="B762" s="1" t="s">
        <v>692</v>
      </c>
      <c r="C762" s="13">
        <v>45724.36944444444</v>
      </c>
      <c r="D762" s="5" t="s">
        <v>654</v>
      </c>
      <c r="E762" s="2" t="s">
        <v>655</v>
      </c>
      <c r="F762" s="14" t="s">
        <v>3486</v>
      </c>
      <c r="G762" s="14" t="s">
        <v>3487</v>
      </c>
      <c r="H762" s="15" t="s">
        <v>16</v>
      </c>
      <c r="I762" s="15" t="s">
        <v>3488</v>
      </c>
      <c r="J762" s="2">
        <v>20.0</v>
      </c>
      <c r="K762" s="19"/>
      <c r="L762" s="16">
        <v>60000.0</v>
      </c>
    </row>
    <row r="763" hidden="1">
      <c r="A763" s="1" t="s">
        <v>693</v>
      </c>
      <c r="B763" s="1" t="s">
        <v>693</v>
      </c>
      <c r="C763" s="13">
        <v>45724.461805555555</v>
      </c>
      <c r="D763" s="5" t="s">
        <v>213</v>
      </c>
      <c r="E763" s="2" t="s">
        <v>214</v>
      </c>
      <c r="F763" s="14" t="s">
        <v>3486</v>
      </c>
      <c r="G763" s="14" t="s">
        <v>3487</v>
      </c>
      <c r="H763" s="15" t="s">
        <v>24</v>
      </c>
      <c r="I763" s="15" t="s">
        <v>3491</v>
      </c>
      <c r="J763" s="2">
        <v>11.0</v>
      </c>
      <c r="K763" s="12" t="s">
        <v>4124</v>
      </c>
      <c r="L763" s="16">
        <v>0.0</v>
      </c>
    </row>
    <row r="764" hidden="1">
      <c r="A764" s="1" t="s">
        <v>682</v>
      </c>
      <c r="B764" s="1" t="s">
        <v>682</v>
      </c>
      <c r="C764" s="13">
        <v>45723.47430555556</v>
      </c>
      <c r="D764" s="5" t="s">
        <v>654</v>
      </c>
      <c r="E764" s="2" t="s">
        <v>655</v>
      </c>
      <c r="F764" s="14" t="s">
        <v>3486</v>
      </c>
      <c r="G764" s="14" t="s">
        <v>3487</v>
      </c>
      <c r="H764" s="15" t="s">
        <v>24</v>
      </c>
      <c r="I764" s="15" t="s">
        <v>3491</v>
      </c>
      <c r="J764" s="2">
        <v>8.0</v>
      </c>
      <c r="K764" s="12" t="s">
        <v>4125</v>
      </c>
      <c r="L764" s="16">
        <v>0.0</v>
      </c>
    </row>
    <row r="765" hidden="1">
      <c r="A765" s="1" t="s">
        <v>682</v>
      </c>
      <c r="B765" s="1" t="s">
        <v>682</v>
      </c>
      <c r="C765" s="13">
        <v>45723.475694444445</v>
      </c>
      <c r="D765" s="5" t="s">
        <v>654</v>
      </c>
      <c r="E765" s="2" t="s">
        <v>655</v>
      </c>
      <c r="F765" s="14" t="s">
        <v>3493</v>
      </c>
      <c r="G765" s="14" t="s">
        <v>3494</v>
      </c>
      <c r="H765" s="15" t="s">
        <v>24</v>
      </c>
      <c r="I765" s="15" t="s">
        <v>3491</v>
      </c>
      <c r="J765" s="2">
        <v>2.0</v>
      </c>
      <c r="K765" s="19"/>
      <c r="L765" s="16">
        <v>0.0</v>
      </c>
    </row>
    <row r="766" hidden="1">
      <c r="A766" s="1" t="s">
        <v>4126</v>
      </c>
      <c r="B766" s="1" t="s">
        <v>4126</v>
      </c>
      <c r="C766" s="13">
        <v>45724.55138888889</v>
      </c>
      <c r="D766" s="5" t="s">
        <v>213</v>
      </c>
      <c r="E766" s="2" t="s">
        <v>214</v>
      </c>
      <c r="F766" s="14" t="s">
        <v>3486</v>
      </c>
      <c r="G766" s="14" t="s">
        <v>3487</v>
      </c>
      <c r="H766" s="15" t="s">
        <v>16</v>
      </c>
      <c r="I766" s="15" t="s">
        <v>3488</v>
      </c>
      <c r="J766" s="2">
        <v>15.0</v>
      </c>
      <c r="K766" s="12" t="s">
        <v>4127</v>
      </c>
      <c r="L766" s="16">
        <v>60000.0</v>
      </c>
    </row>
    <row r="767" hidden="1">
      <c r="A767" s="1" t="s">
        <v>694</v>
      </c>
      <c r="B767" s="1" t="s">
        <v>694</v>
      </c>
      <c r="C767" s="13">
        <v>45724.589583333334</v>
      </c>
      <c r="D767" s="5" t="s">
        <v>679</v>
      </c>
      <c r="E767" s="2" t="s">
        <v>680</v>
      </c>
      <c r="F767" s="14" t="s">
        <v>3486</v>
      </c>
      <c r="G767" s="14" t="s">
        <v>3487</v>
      </c>
      <c r="H767" s="15" t="s">
        <v>16</v>
      </c>
      <c r="I767" s="15" t="s">
        <v>3488</v>
      </c>
      <c r="J767" s="2">
        <v>2.0</v>
      </c>
      <c r="K767" s="12" t="s">
        <v>4128</v>
      </c>
      <c r="L767" s="16">
        <v>65000.0</v>
      </c>
    </row>
    <row r="768" hidden="1">
      <c r="A768" s="1" t="s">
        <v>695</v>
      </c>
      <c r="B768" s="1" t="s">
        <v>695</v>
      </c>
      <c r="C768" s="13">
        <v>45724.65347222222</v>
      </c>
      <c r="D768" s="5" t="s">
        <v>654</v>
      </c>
      <c r="E768" s="2" t="s">
        <v>655</v>
      </c>
      <c r="F768" s="14" t="s">
        <v>3486</v>
      </c>
      <c r="G768" s="14" t="s">
        <v>3487</v>
      </c>
      <c r="H768" s="15" t="s">
        <v>24</v>
      </c>
      <c r="I768" s="15" t="s">
        <v>3491</v>
      </c>
      <c r="J768" s="2">
        <v>8.0</v>
      </c>
      <c r="K768" s="19"/>
      <c r="L768" s="16">
        <v>0.0</v>
      </c>
    </row>
    <row r="769" hidden="1">
      <c r="A769" s="1" t="s">
        <v>695</v>
      </c>
      <c r="B769" s="1" t="s">
        <v>695</v>
      </c>
      <c r="C769" s="13">
        <v>45724.65416666667</v>
      </c>
      <c r="D769" s="5" t="s">
        <v>654</v>
      </c>
      <c r="E769" s="2" t="s">
        <v>655</v>
      </c>
      <c r="F769" s="14" t="s">
        <v>3493</v>
      </c>
      <c r="G769" s="14" t="s">
        <v>3494</v>
      </c>
      <c r="H769" s="15" t="s">
        <v>24</v>
      </c>
      <c r="I769" s="15" t="s">
        <v>3491</v>
      </c>
      <c r="J769" s="2">
        <v>1.0</v>
      </c>
      <c r="K769" s="19"/>
      <c r="L769" s="16">
        <v>0.0</v>
      </c>
    </row>
    <row r="770" hidden="1">
      <c r="A770" s="1" t="s">
        <v>696</v>
      </c>
      <c r="B770" s="1" t="s">
        <v>696</v>
      </c>
      <c r="C770" s="13">
        <v>45726.48055555556</v>
      </c>
      <c r="D770" s="5" t="s">
        <v>326</v>
      </c>
      <c r="E770" s="2" t="s">
        <v>327</v>
      </c>
      <c r="F770" s="14" t="s">
        <v>3486</v>
      </c>
      <c r="G770" s="14" t="s">
        <v>3487</v>
      </c>
      <c r="H770" s="15" t="s">
        <v>16</v>
      </c>
      <c r="I770" s="15" t="s">
        <v>3488</v>
      </c>
      <c r="J770" s="2">
        <v>15.0</v>
      </c>
      <c r="K770" s="12" t="s">
        <v>4129</v>
      </c>
      <c r="L770" s="16">
        <v>45000.0</v>
      </c>
    </row>
    <row r="771" hidden="1">
      <c r="A771" s="1" t="s">
        <v>697</v>
      </c>
      <c r="B771" s="1" t="s">
        <v>697</v>
      </c>
      <c r="C771" s="13">
        <v>45726.48333333333</v>
      </c>
      <c r="D771" s="5" t="s">
        <v>320</v>
      </c>
      <c r="E771" s="2" t="s">
        <v>321</v>
      </c>
      <c r="F771" s="14" t="s">
        <v>3486</v>
      </c>
      <c r="G771" s="14" t="s">
        <v>3487</v>
      </c>
      <c r="H771" s="15" t="s">
        <v>16</v>
      </c>
      <c r="I771" s="15" t="s">
        <v>3488</v>
      </c>
      <c r="J771" s="2">
        <v>2.0</v>
      </c>
      <c r="K771" s="12" t="s">
        <v>4130</v>
      </c>
      <c r="L771" s="16">
        <v>70000.0</v>
      </c>
    </row>
    <row r="772" hidden="1">
      <c r="A772" s="1" t="s">
        <v>698</v>
      </c>
      <c r="B772" s="1" t="s">
        <v>698</v>
      </c>
      <c r="C772" s="13">
        <v>45726.541666666664</v>
      </c>
      <c r="D772" s="5" t="s">
        <v>654</v>
      </c>
      <c r="E772" s="2" t="s">
        <v>655</v>
      </c>
      <c r="F772" s="14" t="s">
        <v>3486</v>
      </c>
      <c r="G772" s="14" t="s">
        <v>3487</v>
      </c>
      <c r="H772" s="15" t="s">
        <v>24</v>
      </c>
      <c r="I772" s="15" t="s">
        <v>3491</v>
      </c>
      <c r="J772" s="2">
        <v>16.0</v>
      </c>
      <c r="K772" s="19"/>
      <c r="L772" s="16">
        <v>0.0</v>
      </c>
    </row>
    <row r="773" hidden="1">
      <c r="A773" s="1" t="s">
        <v>699</v>
      </c>
      <c r="B773" s="1" t="s">
        <v>699</v>
      </c>
      <c r="C773" s="13">
        <v>45726.541666666664</v>
      </c>
      <c r="D773" s="5" t="s">
        <v>493</v>
      </c>
      <c r="E773" s="2" t="s">
        <v>494</v>
      </c>
      <c r="F773" s="14" t="s">
        <v>3486</v>
      </c>
      <c r="G773" s="14" t="s">
        <v>3487</v>
      </c>
      <c r="H773" s="15" t="s">
        <v>24</v>
      </c>
      <c r="I773" s="15" t="s">
        <v>3491</v>
      </c>
      <c r="J773" s="2">
        <v>6.0</v>
      </c>
      <c r="K773" s="12" t="s">
        <v>4131</v>
      </c>
      <c r="L773" s="16">
        <v>0.0</v>
      </c>
    </row>
    <row r="774" hidden="1">
      <c r="A774" s="1" t="s">
        <v>699</v>
      </c>
      <c r="B774" s="1" t="s">
        <v>699</v>
      </c>
      <c r="C774" s="13">
        <v>45726.54236111111</v>
      </c>
      <c r="D774" s="5" t="s">
        <v>493</v>
      </c>
      <c r="E774" s="2" t="s">
        <v>494</v>
      </c>
      <c r="F774" s="14" t="s">
        <v>3486</v>
      </c>
      <c r="G774" s="14" t="s">
        <v>3487</v>
      </c>
      <c r="H774" s="15" t="s">
        <v>24</v>
      </c>
      <c r="I774" s="15" t="s">
        <v>3614</v>
      </c>
      <c r="J774" s="2">
        <v>1.0</v>
      </c>
      <c r="K774" s="12" t="s">
        <v>4132</v>
      </c>
      <c r="L774" s="16">
        <v>0.0</v>
      </c>
    </row>
    <row r="775" hidden="1">
      <c r="A775" s="1" t="s">
        <v>699</v>
      </c>
      <c r="B775" s="1" t="s">
        <v>699</v>
      </c>
      <c r="C775" s="13">
        <v>45726.54236111111</v>
      </c>
      <c r="D775" s="5" t="s">
        <v>493</v>
      </c>
      <c r="E775" s="2" t="s">
        <v>494</v>
      </c>
      <c r="F775" s="14" t="s">
        <v>3493</v>
      </c>
      <c r="G775" s="14" t="s">
        <v>3494</v>
      </c>
      <c r="H775" s="15" t="s">
        <v>24</v>
      </c>
      <c r="I775" s="15" t="s">
        <v>3491</v>
      </c>
      <c r="J775" s="2">
        <v>1.0</v>
      </c>
      <c r="K775" s="19"/>
      <c r="L775" s="16">
        <v>0.0</v>
      </c>
    </row>
    <row r="776" hidden="1">
      <c r="A776" s="1" t="s">
        <v>700</v>
      </c>
      <c r="B776" s="1" t="s">
        <v>700</v>
      </c>
      <c r="C776" s="13">
        <v>45726.64027777778</v>
      </c>
      <c r="D776" s="5" t="s">
        <v>213</v>
      </c>
      <c r="E776" s="2" t="s">
        <v>214</v>
      </c>
      <c r="F776" s="14" t="s">
        <v>3486</v>
      </c>
      <c r="G776" s="14" t="s">
        <v>3487</v>
      </c>
      <c r="H776" s="15" t="s">
        <v>24</v>
      </c>
      <c r="I776" s="15" t="s">
        <v>3491</v>
      </c>
      <c r="J776" s="2">
        <v>6.0</v>
      </c>
      <c r="K776" s="12" t="s">
        <v>4133</v>
      </c>
      <c r="L776" s="16">
        <v>0.0</v>
      </c>
    </row>
    <row r="777" hidden="1">
      <c r="A777" s="1" t="s">
        <v>701</v>
      </c>
      <c r="B777" s="1" t="s">
        <v>701</v>
      </c>
      <c r="C777" s="13">
        <v>45726.64097222222</v>
      </c>
      <c r="D777" s="5" t="s">
        <v>109</v>
      </c>
      <c r="E777" s="2" t="s">
        <v>110</v>
      </c>
      <c r="F777" s="14" t="s">
        <v>3486</v>
      </c>
      <c r="G777" s="14" t="s">
        <v>3487</v>
      </c>
      <c r="H777" s="15" t="s">
        <v>24</v>
      </c>
      <c r="I777" s="15" t="s">
        <v>3491</v>
      </c>
      <c r="J777" s="2">
        <v>1.0</v>
      </c>
      <c r="K777" s="12" t="s">
        <v>4134</v>
      </c>
      <c r="L777" s="16">
        <v>0.0</v>
      </c>
    </row>
    <row r="778" hidden="1">
      <c r="A778" s="1" t="s">
        <v>702</v>
      </c>
      <c r="B778" s="1" t="s">
        <v>702</v>
      </c>
      <c r="C778" s="13">
        <v>45726.64236111111</v>
      </c>
      <c r="D778" s="5" t="s">
        <v>320</v>
      </c>
      <c r="E778" s="2" t="s">
        <v>321</v>
      </c>
      <c r="F778" s="14" t="s">
        <v>3486</v>
      </c>
      <c r="G778" s="14" t="s">
        <v>3487</v>
      </c>
      <c r="H778" s="15" t="s">
        <v>24</v>
      </c>
      <c r="I778" s="15" t="s">
        <v>3491</v>
      </c>
      <c r="J778" s="2">
        <v>1.0</v>
      </c>
      <c r="K778" s="12" t="s">
        <v>4135</v>
      </c>
      <c r="L778" s="16">
        <v>0.0</v>
      </c>
    </row>
    <row r="779" hidden="1">
      <c r="A779" s="1" t="s">
        <v>703</v>
      </c>
      <c r="B779" s="1" t="s">
        <v>703</v>
      </c>
      <c r="C779" s="13">
        <v>45726.6625</v>
      </c>
      <c r="D779" s="5" t="s">
        <v>326</v>
      </c>
      <c r="E779" s="2" t="s">
        <v>327</v>
      </c>
      <c r="F779" s="14" t="s">
        <v>3486</v>
      </c>
      <c r="G779" s="14" t="s">
        <v>3487</v>
      </c>
      <c r="H779" s="15" t="s">
        <v>24</v>
      </c>
      <c r="I779" s="15" t="s">
        <v>3491</v>
      </c>
      <c r="J779" s="2">
        <v>7.0</v>
      </c>
      <c r="K779" s="12" t="s">
        <v>4136</v>
      </c>
      <c r="L779" s="16">
        <v>0.0</v>
      </c>
    </row>
    <row r="780" hidden="1">
      <c r="A780" s="1" t="s">
        <v>704</v>
      </c>
      <c r="B780" s="1" t="s">
        <v>704</v>
      </c>
      <c r="C780" s="13">
        <v>45727.37430555555</v>
      </c>
      <c r="D780" s="5" t="s">
        <v>309</v>
      </c>
      <c r="E780" s="2" t="s">
        <v>310</v>
      </c>
      <c r="F780" s="14" t="s">
        <v>4045</v>
      </c>
      <c r="G780" s="14" t="s">
        <v>4046</v>
      </c>
      <c r="H780" s="15" t="s">
        <v>16</v>
      </c>
      <c r="I780" s="15" t="s">
        <v>3488</v>
      </c>
      <c r="J780" s="2">
        <v>1.0</v>
      </c>
      <c r="K780" s="19"/>
      <c r="L780" s="16">
        <v>160000.0</v>
      </c>
    </row>
    <row r="781" hidden="1">
      <c r="A781" s="1" t="s">
        <v>705</v>
      </c>
      <c r="B781" s="1" t="s">
        <v>705</v>
      </c>
      <c r="C781" s="13">
        <v>45727.33541666667</v>
      </c>
      <c r="D781" s="5" t="s">
        <v>505</v>
      </c>
      <c r="E781" s="2" t="s">
        <v>506</v>
      </c>
      <c r="F781" s="14" t="s">
        <v>3506</v>
      </c>
      <c r="G781" s="14" t="s">
        <v>3507</v>
      </c>
      <c r="H781" s="15" t="s">
        <v>16</v>
      </c>
      <c r="I781" s="15" t="s">
        <v>3488</v>
      </c>
      <c r="J781" s="2">
        <v>2.0</v>
      </c>
      <c r="K781" s="12" t="s">
        <v>4137</v>
      </c>
      <c r="L781" s="16">
        <v>45000.0</v>
      </c>
    </row>
    <row r="782" hidden="1">
      <c r="A782" s="1" t="s">
        <v>706</v>
      </c>
      <c r="B782" s="1" t="s">
        <v>706</v>
      </c>
      <c r="C782" s="13">
        <v>45727.342361111114</v>
      </c>
      <c r="D782" s="5" t="s">
        <v>493</v>
      </c>
      <c r="E782" s="2" t="s">
        <v>494</v>
      </c>
      <c r="F782" s="14" t="s">
        <v>3486</v>
      </c>
      <c r="G782" s="14" t="s">
        <v>3487</v>
      </c>
      <c r="H782" s="15" t="s">
        <v>16</v>
      </c>
      <c r="I782" s="15" t="s">
        <v>3488</v>
      </c>
      <c r="J782" s="2">
        <v>10.0</v>
      </c>
      <c r="K782" s="12" t="s">
        <v>4138</v>
      </c>
      <c r="L782" s="16">
        <v>50000.0</v>
      </c>
    </row>
    <row r="783" hidden="1">
      <c r="A783" s="1" t="s">
        <v>706</v>
      </c>
      <c r="B783" s="1" t="s">
        <v>706</v>
      </c>
      <c r="C783" s="13">
        <v>45727.342361111114</v>
      </c>
      <c r="D783" s="5" t="s">
        <v>493</v>
      </c>
      <c r="E783" s="2" t="s">
        <v>494</v>
      </c>
      <c r="F783" s="14" t="s">
        <v>3493</v>
      </c>
      <c r="G783" s="14" t="s">
        <v>3494</v>
      </c>
      <c r="H783" s="15" t="s">
        <v>16</v>
      </c>
      <c r="I783" s="15" t="s">
        <v>3488</v>
      </c>
      <c r="J783" s="2">
        <v>1.0</v>
      </c>
      <c r="K783" s="19"/>
      <c r="L783" s="16">
        <v>215000.0</v>
      </c>
    </row>
    <row r="784" hidden="1">
      <c r="A784" s="1" t="s">
        <v>707</v>
      </c>
      <c r="B784" s="1" t="s">
        <v>707</v>
      </c>
      <c r="C784" s="13">
        <v>45727.56736111111</v>
      </c>
      <c r="D784" s="5" t="s">
        <v>654</v>
      </c>
      <c r="E784" s="2" t="s">
        <v>655</v>
      </c>
      <c r="F784" s="14" t="s">
        <v>3486</v>
      </c>
      <c r="G784" s="14" t="s">
        <v>3487</v>
      </c>
      <c r="H784" s="15" t="s">
        <v>16</v>
      </c>
      <c r="I784" s="15" t="s">
        <v>3488</v>
      </c>
      <c r="J784" s="2">
        <v>30.0</v>
      </c>
      <c r="K784" s="19"/>
      <c r="L784" s="16">
        <v>60000.0</v>
      </c>
    </row>
    <row r="785" hidden="1">
      <c r="A785" s="1" t="s">
        <v>707</v>
      </c>
      <c r="B785" s="1" t="s">
        <v>707</v>
      </c>
      <c r="C785" s="13">
        <v>45727.57083333333</v>
      </c>
      <c r="D785" s="5" t="s">
        <v>654</v>
      </c>
      <c r="E785" s="2" t="s">
        <v>655</v>
      </c>
      <c r="F785" s="14" t="s">
        <v>3493</v>
      </c>
      <c r="G785" s="14" t="s">
        <v>3494</v>
      </c>
      <c r="H785" s="15" t="s">
        <v>16</v>
      </c>
      <c r="I785" s="15" t="s">
        <v>3488</v>
      </c>
      <c r="J785" s="2">
        <v>2.0</v>
      </c>
      <c r="K785" s="19"/>
      <c r="L785" s="16">
        <v>215000.0</v>
      </c>
    </row>
    <row r="786" hidden="1">
      <c r="A786" s="1" t="s">
        <v>708</v>
      </c>
      <c r="B786" s="1" t="s">
        <v>708</v>
      </c>
      <c r="C786" s="13">
        <v>45727.57708333333</v>
      </c>
      <c r="D786" s="5" t="s">
        <v>309</v>
      </c>
      <c r="E786" s="2" t="s">
        <v>310</v>
      </c>
      <c r="F786" s="14" t="s">
        <v>3506</v>
      </c>
      <c r="G786" s="14" t="s">
        <v>3507</v>
      </c>
      <c r="H786" s="15" t="s">
        <v>24</v>
      </c>
      <c r="I786" s="15" t="s">
        <v>3491</v>
      </c>
      <c r="J786" s="2">
        <v>4.0</v>
      </c>
      <c r="K786" s="19"/>
      <c r="L786" s="16">
        <v>0.0</v>
      </c>
    </row>
    <row r="787" hidden="1">
      <c r="A787" s="1" t="s">
        <v>708</v>
      </c>
      <c r="B787" s="1" t="s">
        <v>708</v>
      </c>
      <c r="C787" s="13">
        <v>45727.57777777778</v>
      </c>
      <c r="D787" s="5" t="s">
        <v>309</v>
      </c>
      <c r="E787" s="2" t="s">
        <v>310</v>
      </c>
      <c r="F787" s="14" t="s">
        <v>4045</v>
      </c>
      <c r="G787" s="14" t="s">
        <v>4046</v>
      </c>
      <c r="H787" s="15" t="s">
        <v>24</v>
      </c>
      <c r="I787" s="15" t="s">
        <v>3491</v>
      </c>
      <c r="J787" s="2">
        <v>1.0</v>
      </c>
      <c r="K787" s="19"/>
      <c r="L787" s="16">
        <v>0.0</v>
      </c>
    </row>
    <row r="788" hidden="1">
      <c r="A788" s="1" t="s">
        <v>709</v>
      </c>
      <c r="B788" s="1" t="s">
        <v>709</v>
      </c>
      <c r="C788" s="13">
        <v>45727.57777777778</v>
      </c>
      <c r="D788" s="5" t="s">
        <v>505</v>
      </c>
      <c r="E788" s="2" t="s">
        <v>506</v>
      </c>
      <c r="F788" s="14" t="s">
        <v>3506</v>
      </c>
      <c r="G788" s="14" t="s">
        <v>3507</v>
      </c>
      <c r="H788" s="15" t="s">
        <v>24</v>
      </c>
      <c r="I788" s="15" t="s">
        <v>3491</v>
      </c>
      <c r="J788" s="2">
        <v>4.0</v>
      </c>
      <c r="K788" s="19"/>
      <c r="L788" s="16">
        <v>0.0</v>
      </c>
    </row>
    <row r="789" hidden="1">
      <c r="A789" s="1" t="s">
        <v>710</v>
      </c>
      <c r="B789" s="1" t="s">
        <v>710</v>
      </c>
      <c r="C789" s="13">
        <v>45727.64722222222</v>
      </c>
      <c r="D789" s="5" t="s">
        <v>685</v>
      </c>
      <c r="E789" s="2" t="s">
        <v>686</v>
      </c>
      <c r="F789" s="14" t="s">
        <v>3493</v>
      </c>
      <c r="G789" s="14" t="s">
        <v>3494</v>
      </c>
      <c r="H789" s="15" t="s">
        <v>24</v>
      </c>
      <c r="I789" s="15" t="s">
        <v>3614</v>
      </c>
      <c r="J789" s="2">
        <v>2.0</v>
      </c>
      <c r="K789" s="19"/>
      <c r="L789" s="16">
        <v>0.0</v>
      </c>
    </row>
    <row r="790">
      <c r="A790" s="1" t="s">
        <v>711</v>
      </c>
      <c r="B790" s="1" t="s">
        <v>711</v>
      </c>
      <c r="C790" s="13">
        <v>45727.67847222222</v>
      </c>
      <c r="D790" s="5" t="s">
        <v>45</v>
      </c>
      <c r="E790" s="2" t="s">
        <v>46</v>
      </c>
      <c r="F790" s="14" t="s">
        <v>3486</v>
      </c>
      <c r="G790" s="14" t="s">
        <v>3487</v>
      </c>
      <c r="H790" s="15" t="s">
        <v>24</v>
      </c>
      <c r="I790" s="15" t="s">
        <v>3491</v>
      </c>
      <c r="J790" s="2">
        <v>20.0</v>
      </c>
      <c r="K790" s="12" t="s">
        <v>4139</v>
      </c>
      <c r="L790" s="16">
        <v>0.0</v>
      </c>
    </row>
    <row r="791">
      <c r="A791" s="1" t="s">
        <v>711</v>
      </c>
      <c r="B791" s="1" t="s">
        <v>711</v>
      </c>
      <c r="C791" s="13">
        <v>45727.67986111111</v>
      </c>
      <c r="D791" s="5" t="s">
        <v>45</v>
      </c>
      <c r="E791" s="2" t="s">
        <v>46</v>
      </c>
      <c r="F791" s="14" t="s">
        <v>3493</v>
      </c>
      <c r="G791" s="14" t="s">
        <v>3494</v>
      </c>
      <c r="H791" s="15" t="s">
        <v>24</v>
      </c>
      <c r="I791" s="15" t="s">
        <v>3491</v>
      </c>
      <c r="J791" s="2">
        <v>7.0</v>
      </c>
      <c r="K791" s="19"/>
      <c r="L791" s="16">
        <v>0.0</v>
      </c>
    </row>
    <row r="792">
      <c r="A792" s="1" t="s">
        <v>711</v>
      </c>
      <c r="B792" s="1" t="s">
        <v>711</v>
      </c>
      <c r="C792" s="13">
        <v>45727.68125</v>
      </c>
      <c r="D792" s="5" t="s">
        <v>45</v>
      </c>
      <c r="E792" s="2" t="s">
        <v>46</v>
      </c>
      <c r="F792" s="14" t="s">
        <v>3522</v>
      </c>
      <c r="G792" s="14" t="s">
        <v>3523</v>
      </c>
      <c r="H792" s="15" t="s">
        <v>24</v>
      </c>
      <c r="I792" s="15" t="s">
        <v>3491</v>
      </c>
      <c r="J792" s="2">
        <v>2.0</v>
      </c>
      <c r="K792" s="12" t="s">
        <v>4140</v>
      </c>
      <c r="L792" s="16">
        <v>0.0</v>
      </c>
    </row>
    <row r="793" hidden="1">
      <c r="A793" s="1" t="s">
        <v>712</v>
      </c>
      <c r="B793" s="1" t="s">
        <v>712</v>
      </c>
      <c r="C793" s="13">
        <v>45728.35763888889</v>
      </c>
      <c r="D793" s="5" t="s">
        <v>505</v>
      </c>
      <c r="E793" s="2" t="s">
        <v>506</v>
      </c>
      <c r="F793" s="14" t="s">
        <v>3506</v>
      </c>
      <c r="G793" s="14" t="s">
        <v>3507</v>
      </c>
      <c r="H793" s="15" t="s">
        <v>159</v>
      </c>
      <c r="I793" s="15" t="s">
        <v>3619</v>
      </c>
      <c r="J793" s="2">
        <v>4.0</v>
      </c>
      <c r="K793" s="19"/>
      <c r="L793" s="16">
        <v>0.0</v>
      </c>
    </row>
    <row r="794" hidden="1">
      <c r="A794" s="1" t="s">
        <v>713</v>
      </c>
      <c r="B794" s="1" t="s">
        <v>713</v>
      </c>
      <c r="C794" s="13">
        <v>45728.464583333334</v>
      </c>
      <c r="D794" s="5" t="s">
        <v>654</v>
      </c>
      <c r="E794" s="2" t="s">
        <v>655</v>
      </c>
      <c r="F794" s="14" t="s">
        <v>3486</v>
      </c>
      <c r="G794" s="14" t="s">
        <v>3487</v>
      </c>
      <c r="H794" s="15" t="s">
        <v>24</v>
      </c>
      <c r="I794" s="15" t="s">
        <v>3491</v>
      </c>
      <c r="J794" s="2">
        <v>24.0</v>
      </c>
      <c r="K794" s="19"/>
      <c r="L794" s="16">
        <v>0.0</v>
      </c>
    </row>
    <row r="795" hidden="1">
      <c r="A795" s="1" t="s">
        <v>713</v>
      </c>
      <c r="B795" s="1" t="s">
        <v>713</v>
      </c>
      <c r="C795" s="13">
        <v>45728.464583333334</v>
      </c>
      <c r="D795" s="5" t="s">
        <v>654</v>
      </c>
      <c r="E795" s="2" t="s">
        <v>655</v>
      </c>
      <c r="F795" s="14" t="s">
        <v>3486</v>
      </c>
      <c r="G795" s="14" t="s">
        <v>3487</v>
      </c>
      <c r="H795" s="15" t="s">
        <v>24</v>
      </c>
      <c r="I795" s="15" t="s">
        <v>3614</v>
      </c>
      <c r="J795" s="2">
        <v>1.0</v>
      </c>
      <c r="K795" s="12" t="s">
        <v>4132</v>
      </c>
      <c r="L795" s="16">
        <v>0.0</v>
      </c>
    </row>
    <row r="796" hidden="1">
      <c r="A796" s="1" t="s">
        <v>713</v>
      </c>
      <c r="B796" s="1" t="s">
        <v>713</v>
      </c>
      <c r="C796" s="13">
        <v>45728.46527777778</v>
      </c>
      <c r="D796" s="5" t="s">
        <v>654</v>
      </c>
      <c r="E796" s="2" t="s">
        <v>655</v>
      </c>
      <c r="F796" s="14" t="s">
        <v>3493</v>
      </c>
      <c r="G796" s="14" t="s">
        <v>3494</v>
      </c>
      <c r="H796" s="15" t="s">
        <v>24</v>
      </c>
      <c r="I796" s="15" t="s">
        <v>3491</v>
      </c>
      <c r="J796" s="2">
        <v>1.0</v>
      </c>
      <c r="K796" s="19"/>
      <c r="L796" s="16">
        <v>0.0</v>
      </c>
    </row>
    <row r="797" hidden="1">
      <c r="A797" s="1" t="s">
        <v>714</v>
      </c>
      <c r="B797" s="1" t="s">
        <v>714</v>
      </c>
      <c r="C797" s="13">
        <v>45726.48263888889</v>
      </c>
      <c r="D797" s="5" t="s">
        <v>493</v>
      </c>
      <c r="E797" s="2" t="s">
        <v>494</v>
      </c>
      <c r="F797" s="14" t="s">
        <v>3486</v>
      </c>
      <c r="G797" s="14" t="s">
        <v>3487</v>
      </c>
      <c r="H797" s="15" t="s">
        <v>159</v>
      </c>
      <c r="I797" s="15" t="s">
        <v>3619</v>
      </c>
      <c r="J797" s="2">
        <v>1.0</v>
      </c>
      <c r="K797" s="19"/>
      <c r="L797" s="16">
        <v>0.0</v>
      </c>
    </row>
    <row r="798" hidden="1">
      <c r="A798" s="1" t="s">
        <v>715</v>
      </c>
      <c r="B798" s="1" t="s">
        <v>715</v>
      </c>
      <c r="C798" s="13">
        <v>45728.51597222222</v>
      </c>
      <c r="D798" s="5" t="s">
        <v>213</v>
      </c>
      <c r="E798" s="2" t="s">
        <v>214</v>
      </c>
      <c r="F798" s="14" t="s">
        <v>3486</v>
      </c>
      <c r="G798" s="14" t="s">
        <v>3487</v>
      </c>
      <c r="H798" s="15" t="s">
        <v>16</v>
      </c>
      <c r="I798" s="15" t="s">
        <v>3488</v>
      </c>
      <c r="J798" s="2">
        <v>15.0</v>
      </c>
      <c r="K798" s="19"/>
      <c r="L798" s="16">
        <v>60000.0</v>
      </c>
    </row>
    <row r="799" hidden="1">
      <c r="A799" s="1" t="s">
        <v>716</v>
      </c>
      <c r="B799" s="1" t="s">
        <v>716</v>
      </c>
      <c r="C799" s="13">
        <v>45729.35208333333</v>
      </c>
      <c r="D799" s="5" t="s">
        <v>305</v>
      </c>
      <c r="E799" s="2" t="s">
        <v>306</v>
      </c>
      <c r="F799" s="14" t="s">
        <v>3486</v>
      </c>
      <c r="G799" s="14" t="s">
        <v>3487</v>
      </c>
      <c r="H799" s="15" t="s">
        <v>16</v>
      </c>
      <c r="I799" s="15" t="s">
        <v>3488</v>
      </c>
      <c r="J799" s="2">
        <v>10.0</v>
      </c>
      <c r="K799" s="12" t="s">
        <v>4141</v>
      </c>
      <c r="L799" s="16">
        <v>47297.3</v>
      </c>
    </row>
    <row r="800" hidden="1">
      <c r="A800" s="1" t="s">
        <v>717</v>
      </c>
      <c r="B800" s="1" t="s">
        <v>717</v>
      </c>
      <c r="C800" s="13">
        <v>45728.68680555555</v>
      </c>
      <c r="D800" s="5" t="s">
        <v>326</v>
      </c>
      <c r="E800" s="2" t="s">
        <v>327</v>
      </c>
      <c r="F800" s="14" t="s">
        <v>3486</v>
      </c>
      <c r="G800" s="14" t="s">
        <v>3487</v>
      </c>
      <c r="H800" s="15" t="s">
        <v>24</v>
      </c>
      <c r="I800" s="15" t="s">
        <v>3491</v>
      </c>
      <c r="J800" s="2">
        <v>2.0</v>
      </c>
      <c r="K800" s="12" t="s">
        <v>4142</v>
      </c>
      <c r="L800" s="16">
        <v>0.0</v>
      </c>
    </row>
    <row r="801" hidden="1">
      <c r="A801" s="1" t="s">
        <v>718</v>
      </c>
      <c r="B801" s="1" t="s">
        <v>718</v>
      </c>
      <c r="C801" s="13">
        <v>45728.6875</v>
      </c>
      <c r="D801" s="5" t="s">
        <v>213</v>
      </c>
      <c r="E801" s="2" t="s">
        <v>214</v>
      </c>
      <c r="F801" s="14" t="s">
        <v>3486</v>
      </c>
      <c r="G801" s="14" t="s">
        <v>3487</v>
      </c>
      <c r="H801" s="15" t="s">
        <v>24</v>
      </c>
      <c r="I801" s="15" t="s">
        <v>3491</v>
      </c>
      <c r="J801" s="2">
        <v>10.0</v>
      </c>
      <c r="K801" s="12" t="s">
        <v>4143</v>
      </c>
      <c r="L801" s="16">
        <v>0.0</v>
      </c>
    </row>
    <row r="802" hidden="1">
      <c r="A802" s="1" t="s">
        <v>718</v>
      </c>
      <c r="B802" s="1" t="s">
        <v>718</v>
      </c>
      <c r="C802" s="13">
        <v>45728.68819444445</v>
      </c>
      <c r="D802" s="5" t="s">
        <v>213</v>
      </c>
      <c r="E802" s="2" t="s">
        <v>214</v>
      </c>
      <c r="F802" s="14" t="s">
        <v>3493</v>
      </c>
      <c r="G802" s="14" t="s">
        <v>3494</v>
      </c>
      <c r="H802" s="15" t="s">
        <v>24</v>
      </c>
      <c r="I802" s="15" t="s">
        <v>3491</v>
      </c>
      <c r="J802" s="2">
        <v>1.0</v>
      </c>
      <c r="K802" s="19"/>
      <c r="L802" s="16">
        <v>0.0</v>
      </c>
    </row>
    <row r="803" hidden="1">
      <c r="A803" s="1" t="s">
        <v>719</v>
      </c>
      <c r="B803" s="1" t="s">
        <v>719</v>
      </c>
      <c r="C803" s="13">
        <v>45728.688888888886</v>
      </c>
      <c r="D803" s="5" t="s">
        <v>49</v>
      </c>
      <c r="E803" s="2" t="s">
        <v>50</v>
      </c>
      <c r="F803" s="14" t="s">
        <v>3486</v>
      </c>
      <c r="G803" s="14" t="s">
        <v>3487</v>
      </c>
      <c r="H803" s="15" t="s">
        <v>24</v>
      </c>
      <c r="I803" s="15" t="s">
        <v>3491</v>
      </c>
      <c r="J803" s="2">
        <v>2.0</v>
      </c>
      <c r="K803" s="12" t="s">
        <v>4144</v>
      </c>
      <c r="L803" s="16">
        <v>0.0</v>
      </c>
    </row>
    <row r="804" hidden="1">
      <c r="A804" s="1" t="s">
        <v>720</v>
      </c>
      <c r="B804" s="1" t="s">
        <v>720</v>
      </c>
      <c r="C804" s="13">
        <v>45729.354166666664</v>
      </c>
      <c r="D804" s="5" t="s">
        <v>49</v>
      </c>
      <c r="E804" s="2" t="s">
        <v>50</v>
      </c>
      <c r="F804" s="14" t="s">
        <v>3486</v>
      </c>
      <c r="G804" s="14" t="s">
        <v>3487</v>
      </c>
      <c r="H804" s="15" t="s">
        <v>16</v>
      </c>
      <c r="I804" s="15" t="s">
        <v>3488</v>
      </c>
      <c r="J804" s="2">
        <v>3.0</v>
      </c>
      <c r="K804" s="12" t="s">
        <v>4145</v>
      </c>
      <c r="L804" s="16">
        <v>60000.0</v>
      </c>
    </row>
    <row r="805" hidden="1">
      <c r="A805" s="1" t="s">
        <v>721</v>
      </c>
      <c r="B805" s="1" t="s">
        <v>721</v>
      </c>
      <c r="C805" s="13">
        <v>45729.36111111111</v>
      </c>
      <c r="D805" s="5" t="s">
        <v>654</v>
      </c>
      <c r="E805" s="2" t="s">
        <v>655</v>
      </c>
      <c r="F805" s="14" t="s">
        <v>3486</v>
      </c>
      <c r="G805" s="14" t="s">
        <v>3487</v>
      </c>
      <c r="H805" s="15" t="s">
        <v>16</v>
      </c>
      <c r="I805" s="15" t="s">
        <v>3488</v>
      </c>
      <c r="J805" s="2">
        <v>13.0</v>
      </c>
      <c r="K805" s="19"/>
      <c r="L805" s="16">
        <v>60000.0</v>
      </c>
    </row>
    <row r="806" hidden="1">
      <c r="A806" s="1" t="s">
        <v>721</v>
      </c>
      <c r="B806" s="1" t="s">
        <v>721</v>
      </c>
      <c r="C806" s="13">
        <v>45729.36111111111</v>
      </c>
      <c r="D806" s="5" t="s">
        <v>654</v>
      </c>
      <c r="E806" s="2" t="s">
        <v>655</v>
      </c>
      <c r="F806" s="14" t="s">
        <v>3493</v>
      </c>
      <c r="G806" s="14" t="s">
        <v>3494</v>
      </c>
      <c r="H806" s="15" t="s">
        <v>16</v>
      </c>
      <c r="I806" s="15" t="s">
        <v>3488</v>
      </c>
      <c r="J806" s="2">
        <v>2.0</v>
      </c>
      <c r="K806" s="19"/>
      <c r="L806" s="16">
        <v>215000.0</v>
      </c>
    </row>
    <row r="807" hidden="1">
      <c r="A807" s="1" t="s">
        <v>722</v>
      </c>
      <c r="B807" s="1" t="s">
        <v>722</v>
      </c>
      <c r="C807" s="13">
        <v>45729.36111111111</v>
      </c>
      <c r="D807" s="5" t="s">
        <v>654</v>
      </c>
      <c r="E807" s="2" t="s">
        <v>655</v>
      </c>
      <c r="F807" s="14" t="s">
        <v>3486</v>
      </c>
      <c r="G807" s="14" t="s">
        <v>3487</v>
      </c>
      <c r="H807" s="15" t="s">
        <v>159</v>
      </c>
      <c r="I807" s="15" t="s">
        <v>3619</v>
      </c>
      <c r="J807" s="2">
        <v>1.0</v>
      </c>
      <c r="K807" s="19"/>
      <c r="L807" s="16">
        <v>0.0</v>
      </c>
    </row>
    <row r="808" hidden="1">
      <c r="A808" s="1" t="s">
        <v>723</v>
      </c>
      <c r="B808" s="1" t="s">
        <v>723</v>
      </c>
      <c r="C808" s="13">
        <v>45729.470138888886</v>
      </c>
      <c r="D808" s="5" t="s">
        <v>149</v>
      </c>
      <c r="E808" s="2" t="s">
        <v>150</v>
      </c>
      <c r="F808" s="14" t="s">
        <v>3486</v>
      </c>
      <c r="G808" s="14" t="s">
        <v>3487</v>
      </c>
      <c r="H808" s="15" t="s">
        <v>24</v>
      </c>
      <c r="I808" s="15" t="s">
        <v>3491</v>
      </c>
      <c r="J808" s="2">
        <v>2.0</v>
      </c>
      <c r="K808" s="12" t="s">
        <v>4146</v>
      </c>
      <c r="L808" s="16">
        <v>0.0</v>
      </c>
    </row>
    <row r="809" hidden="1">
      <c r="A809" s="1" t="s">
        <v>723</v>
      </c>
      <c r="B809" s="1" t="s">
        <v>723</v>
      </c>
      <c r="C809" s="13">
        <v>45729.47083333333</v>
      </c>
      <c r="D809" s="5" t="s">
        <v>149</v>
      </c>
      <c r="E809" s="2" t="s">
        <v>150</v>
      </c>
      <c r="F809" s="14" t="s">
        <v>3486</v>
      </c>
      <c r="G809" s="14" t="s">
        <v>3487</v>
      </c>
      <c r="H809" s="15" t="s">
        <v>24</v>
      </c>
      <c r="I809" s="15" t="s">
        <v>3491</v>
      </c>
      <c r="J809" s="2">
        <v>1.0</v>
      </c>
      <c r="K809" s="12" t="s">
        <v>4147</v>
      </c>
      <c r="L809" s="16">
        <v>0.0</v>
      </c>
    </row>
    <row r="810" hidden="1">
      <c r="A810" s="1" t="s">
        <v>724</v>
      </c>
      <c r="B810" s="1" t="s">
        <v>724</v>
      </c>
      <c r="C810" s="13">
        <v>45729.50902777778</v>
      </c>
      <c r="D810" s="5" t="s">
        <v>392</v>
      </c>
      <c r="E810" s="2" t="s">
        <v>393</v>
      </c>
      <c r="F810" s="14" t="s">
        <v>3506</v>
      </c>
      <c r="G810" s="14" t="s">
        <v>3507</v>
      </c>
      <c r="H810" s="15" t="s">
        <v>24</v>
      </c>
      <c r="I810" s="15" t="s">
        <v>3491</v>
      </c>
      <c r="J810" s="2">
        <v>6.0</v>
      </c>
      <c r="K810" s="19"/>
      <c r="L810" s="16">
        <v>0.0</v>
      </c>
    </row>
    <row r="811" hidden="1">
      <c r="A811" s="1" t="s">
        <v>725</v>
      </c>
      <c r="B811" s="1" t="s">
        <v>725</v>
      </c>
      <c r="C811" s="13">
        <v>45729.61944444444</v>
      </c>
      <c r="D811" s="5" t="s">
        <v>654</v>
      </c>
      <c r="E811" s="2" t="s">
        <v>655</v>
      </c>
      <c r="F811" s="14" t="s">
        <v>3486</v>
      </c>
      <c r="G811" s="14" t="s">
        <v>3487</v>
      </c>
      <c r="H811" s="15" t="s">
        <v>24</v>
      </c>
      <c r="I811" s="15" t="s">
        <v>3491</v>
      </c>
      <c r="J811" s="2">
        <v>14.0</v>
      </c>
      <c r="K811" s="19"/>
      <c r="L811" s="16">
        <v>0.0</v>
      </c>
    </row>
    <row r="812" hidden="1">
      <c r="A812" s="1"/>
      <c r="B812" s="1"/>
      <c r="C812" s="13"/>
      <c r="E812" s="2"/>
      <c r="F812" s="14"/>
      <c r="G812" s="14"/>
      <c r="H812" s="15"/>
      <c r="I812" s="15"/>
      <c r="J812" s="2"/>
      <c r="K812" s="12"/>
      <c r="L812" s="16"/>
    </row>
    <row r="813" hidden="1">
      <c r="A813" s="1" t="s">
        <v>727</v>
      </c>
      <c r="B813" s="1" t="s">
        <v>727</v>
      </c>
      <c r="C813" s="13">
        <v>45730.39166666667</v>
      </c>
      <c r="D813" s="5" t="s">
        <v>392</v>
      </c>
      <c r="E813" s="2" t="s">
        <v>393</v>
      </c>
      <c r="F813" s="14" t="s">
        <v>3506</v>
      </c>
      <c r="G813" s="14" t="s">
        <v>3507</v>
      </c>
      <c r="H813" s="15" t="s">
        <v>16</v>
      </c>
      <c r="I813" s="15" t="s">
        <v>3488</v>
      </c>
      <c r="J813" s="2">
        <v>6.0</v>
      </c>
      <c r="K813" s="19"/>
      <c r="L813" s="16">
        <v>50000.0</v>
      </c>
    </row>
    <row r="814" hidden="1">
      <c r="A814" s="1" t="s">
        <v>728</v>
      </c>
      <c r="B814" s="1" t="s">
        <v>728</v>
      </c>
      <c r="C814" s="13">
        <v>45730.39236111111</v>
      </c>
      <c r="D814" s="5" t="s">
        <v>213</v>
      </c>
      <c r="E814" s="2" t="s">
        <v>214</v>
      </c>
      <c r="F814" s="14" t="s">
        <v>3486</v>
      </c>
      <c r="G814" s="14" t="s">
        <v>3487</v>
      </c>
      <c r="H814" s="15" t="s">
        <v>16</v>
      </c>
      <c r="I814" s="15" t="s">
        <v>3488</v>
      </c>
      <c r="J814" s="2">
        <v>15.0</v>
      </c>
      <c r="K814" s="19"/>
      <c r="L814" s="16">
        <v>60000.0</v>
      </c>
    </row>
    <row r="815" hidden="1">
      <c r="A815" s="1" t="s">
        <v>729</v>
      </c>
      <c r="B815" s="1" t="s">
        <v>729</v>
      </c>
      <c r="C815" s="13">
        <v>45730.39236111111</v>
      </c>
      <c r="D815" s="5" t="s">
        <v>505</v>
      </c>
      <c r="E815" s="2" t="s">
        <v>506</v>
      </c>
      <c r="F815" s="14" t="s">
        <v>3506</v>
      </c>
      <c r="G815" s="14" t="s">
        <v>3507</v>
      </c>
      <c r="H815" s="15" t="s">
        <v>159</v>
      </c>
      <c r="I815" s="15" t="s">
        <v>3619</v>
      </c>
      <c r="J815" s="2">
        <v>3.0</v>
      </c>
      <c r="K815" s="19"/>
      <c r="L815" s="16">
        <v>0.0</v>
      </c>
    </row>
    <row r="816" hidden="1">
      <c r="A816" s="1" t="s">
        <v>730</v>
      </c>
      <c r="B816" s="1" t="s">
        <v>730</v>
      </c>
      <c r="C816" s="13">
        <v>45730.35833333333</v>
      </c>
      <c r="D816" s="5" t="s">
        <v>505</v>
      </c>
      <c r="E816" s="2" t="s">
        <v>506</v>
      </c>
      <c r="F816" s="14" t="s">
        <v>3506</v>
      </c>
      <c r="G816" s="14" t="s">
        <v>3507</v>
      </c>
      <c r="H816" s="15" t="s">
        <v>24</v>
      </c>
      <c r="I816" s="15" t="s">
        <v>3491</v>
      </c>
      <c r="J816" s="2">
        <v>3.0</v>
      </c>
      <c r="K816" s="19"/>
      <c r="L816" s="16">
        <v>0.0</v>
      </c>
    </row>
    <row r="817" hidden="1">
      <c r="A817" s="1" t="s">
        <v>731</v>
      </c>
      <c r="B817" s="1" t="s">
        <v>731</v>
      </c>
      <c r="C817" s="13">
        <v>45730.52291666667</v>
      </c>
      <c r="D817" s="5" t="s">
        <v>213</v>
      </c>
      <c r="E817" s="2" t="s">
        <v>214</v>
      </c>
      <c r="F817" s="14" t="s">
        <v>3486</v>
      </c>
      <c r="G817" s="14" t="s">
        <v>3487</v>
      </c>
      <c r="H817" s="15" t="s">
        <v>24</v>
      </c>
      <c r="I817" s="15" t="s">
        <v>3491</v>
      </c>
      <c r="J817" s="2">
        <v>15.0</v>
      </c>
      <c r="K817" s="12" t="s">
        <v>4148</v>
      </c>
      <c r="L817" s="16">
        <v>0.0</v>
      </c>
    </row>
    <row r="818" hidden="1">
      <c r="A818" s="1" t="s">
        <v>732</v>
      </c>
      <c r="B818" s="1" t="s">
        <v>732</v>
      </c>
      <c r="C818" s="13">
        <v>45730.66111111111</v>
      </c>
      <c r="D818" s="5" t="s">
        <v>326</v>
      </c>
      <c r="E818" s="2" t="s">
        <v>327</v>
      </c>
      <c r="F818" s="14" t="s">
        <v>3486</v>
      </c>
      <c r="G818" s="14" t="s">
        <v>3487</v>
      </c>
      <c r="H818" s="15" t="s">
        <v>24</v>
      </c>
      <c r="I818" s="15" t="s">
        <v>3491</v>
      </c>
      <c r="J818" s="2">
        <v>3.0</v>
      </c>
      <c r="K818" s="12" t="s">
        <v>4149</v>
      </c>
      <c r="L818" s="16">
        <v>0.0</v>
      </c>
    </row>
    <row r="819" hidden="1">
      <c r="A819" s="1" t="s">
        <v>733</v>
      </c>
      <c r="B819" s="1" t="s">
        <v>733</v>
      </c>
      <c r="C819" s="13">
        <v>45731.42291666667</v>
      </c>
      <c r="D819" s="5" t="s">
        <v>464</v>
      </c>
      <c r="E819" s="2" t="s">
        <v>465</v>
      </c>
      <c r="F819" s="14" t="s">
        <v>3486</v>
      </c>
      <c r="G819" s="14" t="s">
        <v>3487</v>
      </c>
      <c r="H819" s="15" t="s">
        <v>16</v>
      </c>
      <c r="I819" s="15" t="s">
        <v>3488</v>
      </c>
      <c r="J819" s="2">
        <v>3.0</v>
      </c>
      <c r="K819" s="12" t="s">
        <v>4150</v>
      </c>
      <c r="L819" s="16">
        <v>55000.0</v>
      </c>
    </row>
    <row r="820" hidden="1">
      <c r="A820" s="1" t="s">
        <v>734</v>
      </c>
      <c r="B820" s="1" t="s">
        <v>734</v>
      </c>
      <c r="C820" s="13">
        <v>45731.467361111114</v>
      </c>
      <c r="D820" s="5" t="s">
        <v>654</v>
      </c>
      <c r="E820" s="2" t="s">
        <v>655</v>
      </c>
      <c r="F820" s="14" t="s">
        <v>3486</v>
      </c>
      <c r="G820" s="14" t="s">
        <v>3487</v>
      </c>
      <c r="H820" s="15" t="s">
        <v>24</v>
      </c>
      <c r="I820" s="15" t="s">
        <v>3491</v>
      </c>
      <c r="J820" s="2">
        <v>12.0</v>
      </c>
      <c r="K820" s="12" t="s">
        <v>4151</v>
      </c>
      <c r="L820" s="16">
        <v>0.0</v>
      </c>
    </row>
    <row r="821" hidden="1">
      <c r="A821" s="1" t="s">
        <v>735</v>
      </c>
      <c r="B821" s="1" t="s">
        <v>735</v>
      </c>
      <c r="C821" s="13">
        <v>45731.572222222225</v>
      </c>
      <c r="D821" s="5" t="s">
        <v>464</v>
      </c>
      <c r="E821" s="2" t="s">
        <v>465</v>
      </c>
      <c r="F821" s="14" t="s">
        <v>3486</v>
      </c>
      <c r="G821" s="14" t="s">
        <v>3487</v>
      </c>
      <c r="H821" s="15" t="s">
        <v>24</v>
      </c>
      <c r="I821" s="15" t="s">
        <v>3491</v>
      </c>
      <c r="J821" s="2">
        <v>5.0</v>
      </c>
      <c r="K821" s="12" t="s">
        <v>4152</v>
      </c>
      <c r="L821" s="16">
        <v>0.0</v>
      </c>
    </row>
    <row r="822" hidden="1">
      <c r="A822" s="1" t="s">
        <v>735</v>
      </c>
      <c r="B822" s="1" t="s">
        <v>735</v>
      </c>
      <c r="C822" s="13">
        <v>45731.57083333333</v>
      </c>
      <c r="D822" s="5" t="s">
        <v>464</v>
      </c>
      <c r="E822" s="2" t="s">
        <v>465</v>
      </c>
      <c r="F822" s="14" t="s">
        <v>3506</v>
      </c>
      <c r="G822" s="14" t="s">
        <v>3507</v>
      </c>
      <c r="H822" s="15" t="s">
        <v>24</v>
      </c>
      <c r="I822" s="15" t="s">
        <v>3491</v>
      </c>
      <c r="J822" s="2">
        <v>1.0</v>
      </c>
      <c r="K822" s="19"/>
      <c r="L822" s="16">
        <v>0.0</v>
      </c>
    </row>
    <row r="823" hidden="1">
      <c r="A823" s="1" t="s">
        <v>736</v>
      </c>
      <c r="B823" s="1" t="s">
        <v>736</v>
      </c>
      <c r="C823" s="13">
        <v>45733.48472222222</v>
      </c>
      <c r="D823" s="5" t="s">
        <v>654</v>
      </c>
      <c r="E823" s="2" t="s">
        <v>655</v>
      </c>
      <c r="F823" s="14" t="s">
        <v>3486</v>
      </c>
      <c r="G823" s="14" t="s">
        <v>3487</v>
      </c>
      <c r="H823" s="15" t="s">
        <v>24</v>
      </c>
      <c r="I823" s="15" t="s">
        <v>3491</v>
      </c>
      <c r="J823" s="2">
        <v>20.0</v>
      </c>
      <c r="K823" s="19"/>
      <c r="L823" s="16">
        <v>0.0</v>
      </c>
    </row>
    <row r="824" hidden="1">
      <c r="A824" s="1" t="s">
        <v>736</v>
      </c>
      <c r="B824" s="1" t="s">
        <v>736</v>
      </c>
      <c r="C824" s="13">
        <v>45733.48402777778</v>
      </c>
      <c r="D824" s="5" t="s">
        <v>654</v>
      </c>
      <c r="E824" s="2" t="s">
        <v>655</v>
      </c>
      <c r="F824" s="14" t="s">
        <v>3493</v>
      </c>
      <c r="G824" s="14" t="s">
        <v>3494</v>
      </c>
      <c r="H824" s="15" t="s">
        <v>24</v>
      </c>
      <c r="I824" s="15" t="s">
        <v>3491</v>
      </c>
      <c r="J824" s="2">
        <v>6.0</v>
      </c>
      <c r="K824" s="19"/>
      <c r="L824" s="16">
        <v>0.0</v>
      </c>
    </row>
    <row r="825" hidden="1">
      <c r="A825" s="1" t="s">
        <v>737</v>
      </c>
      <c r="B825" s="1" t="s">
        <v>737</v>
      </c>
      <c r="C825" s="13">
        <v>45733.51458333333</v>
      </c>
      <c r="D825" s="5" t="s">
        <v>213</v>
      </c>
      <c r="E825" s="2" t="s">
        <v>214</v>
      </c>
      <c r="F825" s="14" t="s">
        <v>3493</v>
      </c>
      <c r="G825" s="14" t="s">
        <v>3494</v>
      </c>
      <c r="H825" s="15" t="s">
        <v>16</v>
      </c>
      <c r="I825" s="15" t="s">
        <v>3488</v>
      </c>
      <c r="J825" s="2">
        <v>2.0</v>
      </c>
      <c r="K825" s="19"/>
      <c r="L825" s="16">
        <v>210000.0</v>
      </c>
    </row>
    <row r="826" hidden="1">
      <c r="A826" s="1" t="s">
        <v>738</v>
      </c>
      <c r="B826" s="1" t="s">
        <v>738</v>
      </c>
      <c r="C826" s="13">
        <v>45733.51527777778</v>
      </c>
      <c r="D826" s="5" t="s">
        <v>309</v>
      </c>
      <c r="E826" s="2" t="s">
        <v>310</v>
      </c>
      <c r="F826" s="14" t="s">
        <v>3506</v>
      </c>
      <c r="G826" s="14" t="s">
        <v>3507</v>
      </c>
      <c r="H826" s="15" t="s">
        <v>16</v>
      </c>
      <c r="I826" s="15" t="s">
        <v>3488</v>
      </c>
      <c r="J826" s="2">
        <v>4.0</v>
      </c>
      <c r="K826" s="19"/>
      <c r="L826" s="16">
        <v>55000.0</v>
      </c>
    </row>
    <row r="827" hidden="1">
      <c r="A827" s="8" t="s">
        <v>739</v>
      </c>
      <c r="B827" s="8" t="s">
        <v>739</v>
      </c>
      <c r="C827" s="13">
        <v>45733.51527777778</v>
      </c>
      <c r="D827" s="5" t="s">
        <v>309</v>
      </c>
      <c r="E827" s="5" t="s">
        <v>310</v>
      </c>
      <c r="F827" s="14" t="s">
        <v>3493</v>
      </c>
      <c r="G827" s="14" t="s">
        <v>3494</v>
      </c>
      <c r="H827" s="15" t="s">
        <v>16</v>
      </c>
      <c r="I827" s="15" t="s">
        <v>3488</v>
      </c>
      <c r="J827" s="2">
        <v>2.0</v>
      </c>
      <c r="K827" s="19"/>
      <c r="L827" s="16">
        <v>200000.0</v>
      </c>
    </row>
    <row r="828" hidden="1">
      <c r="A828" s="1" t="s">
        <v>739</v>
      </c>
      <c r="B828" s="1" t="s">
        <v>739</v>
      </c>
      <c r="C828" s="13">
        <v>45733.51597222222</v>
      </c>
      <c r="D828" s="5" t="s">
        <v>309</v>
      </c>
      <c r="E828" s="5" t="s">
        <v>310</v>
      </c>
      <c r="F828" s="14" t="s">
        <v>3516</v>
      </c>
      <c r="G828" s="14" t="s">
        <v>3517</v>
      </c>
      <c r="H828" s="15" t="s">
        <v>16</v>
      </c>
      <c r="I828" s="15" t="s">
        <v>3488</v>
      </c>
      <c r="J828" s="2">
        <v>1.0</v>
      </c>
      <c r="K828" s="12" t="s">
        <v>4153</v>
      </c>
      <c r="L828" s="16">
        <v>160000.0</v>
      </c>
    </row>
    <row r="829" hidden="1">
      <c r="A829" s="1" t="s">
        <v>740</v>
      </c>
      <c r="B829" s="1" t="s">
        <v>740</v>
      </c>
      <c r="C829" s="13">
        <v>45733.51597222222</v>
      </c>
      <c r="D829" s="5" t="s">
        <v>349</v>
      </c>
      <c r="E829" s="2" t="s">
        <v>350</v>
      </c>
      <c r="F829" s="14" t="s">
        <v>3516</v>
      </c>
      <c r="G829" s="14" t="s">
        <v>3517</v>
      </c>
      <c r="H829" s="15" t="s">
        <v>16</v>
      </c>
      <c r="I829" s="15" t="s">
        <v>3488</v>
      </c>
      <c r="J829" s="2">
        <v>4.0</v>
      </c>
      <c r="K829" s="12" t="s">
        <v>4154</v>
      </c>
      <c r="L829" s="16">
        <v>162162.16</v>
      </c>
    </row>
    <row r="830" hidden="1">
      <c r="A830" s="1" t="s">
        <v>741</v>
      </c>
      <c r="B830" s="1" t="s">
        <v>741</v>
      </c>
      <c r="C830" s="13">
        <v>45734.368055555555</v>
      </c>
      <c r="D830" s="5" t="s">
        <v>326</v>
      </c>
      <c r="E830" s="2" t="s">
        <v>327</v>
      </c>
      <c r="F830" s="14" t="s">
        <v>3486</v>
      </c>
      <c r="G830" s="14" t="s">
        <v>3487</v>
      </c>
      <c r="H830" s="15" t="s">
        <v>16</v>
      </c>
      <c r="I830" s="15" t="s">
        <v>3488</v>
      </c>
      <c r="J830" s="2">
        <v>15.0</v>
      </c>
      <c r="K830" s="12" t="s">
        <v>4155</v>
      </c>
      <c r="L830" s="16">
        <v>45000.0</v>
      </c>
    </row>
    <row r="831" hidden="1">
      <c r="A831" s="1" t="s">
        <v>742</v>
      </c>
      <c r="B831" s="1" t="s">
        <v>742</v>
      </c>
      <c r="C831" s="13">
        <v>45734.34583333333</v>
      </c>
      <c r="D831" s="5" t="s">
        <v>685</v>
      </c>
      <c r="E831" s="2" t="s">
        <v>686</v>
      </c>
      <c r="F831" s="14" t="s">
        <v>3493</v>
      </c>
      <c r="G831" s="14" t="s">
        <v>3494</v>
      </c>
      <c r="H831" s="15" t="s">
        <v>159</v>
      </c>
      <c r="I831" s="15" t="s">
        <v>3619</v>
      </c>
      <c r="J831" s="2">
        <v>2.0</v>
      </c>
      <c r="K831" s="19"/>
      <c r="L831" s="16">
        <v>0.0</v>
      </c>
    </row>
    <row r="832" hidden="1">
      <c r="A832" s="1" t="s">
        <v>743</v>
      </c>
      <c r="B832" s="1" t="s">
        <v>743</v>
      </c>
      <c r="C832" s="13">
        <v>45733.70694444444</v>
      </c>
      <c r="D832" s="5" t="s">
        <v>309</v>
      </c>
      <c r="E832" s="2" t="s">
        <v>310</v>
      </c>
      <c r="F832" s="14" t="s">
        <v>3506</v>
      </c>
      <c r="G832" s="14" t="s">
        <v>3507</v>
      </c>
      <c r="H832" s="15" t="s">
        <v>24</v>
      </c>
      <c r="I832" s="15" t="s">
        <v>3491</v>
      </c>
      <c r="J832" s="2">
        <v>4.0</v>
      </c>
      <c r="K832" s="19"/>
      <c r="L832" s="16">
        <v>0.0</v>
      </c>
    </row>
    <row r="833" hidden="1">
      <c r="A833" s="1" t="s">
        <v>743</v>
      </c>
      <c r="B833" s="1" t="s">
        <v>743</v>
      </c>
      <c r="C833" s="13">
        <v>45733.70972222222</v>
      </c>
      <c r="D833" s="5" t="s">
        <v>309</v>
      </c>
      <c r="E833" s="2" t="s">
        <v>310</v>
      </c>
      <c r="F833" s="14" t="s">
        <v>4045</v>
      </c>
      <c r="G833" s="14" t="s">
        <v>4046</v>
      </c>
      <c r="H833" s="15" t="s">
        <v>24</v>
      </c>
      <c r="I833" s="15" t="s">
        <v>3491</v>
      </c>
      <c r="J833" s="2">
        <v>1.0</v>
      </c>
      <c r="K833" s="19"/>
      <c r="L833" s="16">
        <v>0.0</v>
      </c>
    </row>
    <row r="834" hidden="1">
      <c r="A834" s="1" t="s">
        <v>744</v>
      </c>
      <c r="B834" s="1" t="s">
        <v>744</v>
      </c>
      <c r="C834" s="13">
        <v>45733.70972222222</v>
      </c>
      <c r="D834" s="5" t="s">
        <v>309</v>
      </c>
      <c r="E834" s="5" t="s">
        <v>310</v>
      </c>
      <c r="F834" s="14" t="s">
        <v>3493</v>
      </c>
      <c r="G834" s="14" t="s">
        <v>3494</v>
      </c>
      <c r="H834" s="15" t="s">
        <v>24</v>
      </c>
      <c r="I834" s="15" t="s">
        <v>3491</v>
      </c>
      <c r="J834" s="2">
        <v>2.0</v>
      </c>
      <c r="K834" s="19"/>
      <c r="L834" s="16">
        <v>0.0</v>
      </c>
    </row>
    <row r="835" hidden="1">
      <c r="A835" s="1" t="s">
        <v>745</v>
      </c>
      <c r="B835" s="1" t="s">
        <v>745</v>
      </c>
      <c r="C835" s="13">
        <v>45733.711805555555</v>
      </c>
      <c r="D835" s="5" t="s">
        <v>349</v>
      </c>
      <c r="E835" s="2" t="s">
        <v>350</v>
      </c>
      <c r="F835" s="14" t="s">
        <v>3516</v>
      </c>
      <c r="G835" s="14" t="s">
        <v>3517</v>
      </c>
      <c r="H835" s="15" t="s">
        <v>24</v>
      </c>
      <c r="I835" s="15" t="s">
        <v>3491</v>
      </c>
      <c r="J835" s="2">
        <v>1.0</v>
      </c>
      <c r="K835" s="12" t="s">
        <v>4156</v>
      </c>
      <c r="L835" s="16">
        <v>0.0</v>
      </c>
    </row>
    <row r="836" hidden="1">
      <c r="A836" s="1" t="s">
        <v>746</v>
      </c>
      <c r="B836" s="1" t="s">
        <v>746</v>
      </c>
      <c r="C836" s="13">
        <v>45733.71388888889</v>
      </c>
      <c r="D836" s="5" t="s">
        <v>213</v>
      </c>
      <c r="E836" s="2" t="s">
        <v>214</v>
      </c>
      <c r="F836" s="14" t="s">
        <v>3486</v>
      </c>
      <c r="G836" s="14" t="s">
        <v>3487</v>
      </c>
      <c r="H836" s="15" t="s">
        <v>24</v>
      </c>
      <c r="I836" s="15" t="s">
        <v>3491</v>
      </c>
      <c r="J836" s="2">
        <v>9.0</v>
      </c>
      <c r="K836" s="12" t="s">
        <v>4157</v>
      </c>
      <c r="L836" s="16">
        <v>0.0</v>
      </c>
    </row>
    <row r="837" hidden="1">
      <c r="A837" s="1" t="s">
        <v>747</v>
      </c>
      <c r="B837" s="1" t="s">
        <v>747</v>
      </c>
      <c r="C837" s="13">
        <v>45734.447916666664</v>
      </c>
      <c r="D837" s="5" t="s">
        <v>685</v>
      </c>
      <c r="E837" s="2" t="s">
        <v>686</v>
      </c>
      <c r="F837" s="14" t="s">
        <v>3493</v>
      </c>
      <c r="G837" s="14" t="s">
        <v>3494</v>
      </c>
      <c r="H837" s="15" t="s">
        <v>24</v>
      </c>
      <c r="I837" s="15" t="s">
        <v>3491</v>
      </c>
      <c r="J837" s="2">
        <v>1.0</v>
      </c>
      <c r="K837" s="19"/>
      <c r="L837" s="16">
        <v>0.0</v>
      </c>
    </row>
    <row r="838" hidden="1">
      <c r="A838" s="1" t="s">
        <v>726</v>
      </c>
      <c r="B838" s="1" t="s">
        <v>726</v>
      </c>
      <c r="C838" s="13">
        <v>45729.46527777778</v>
      </c>
      <c r="D838" s="5" t="s">
        <v>349</v>
      </c>
      <c r="E838" s="2" t="s">
        <v>350</v>
      </c>
      <c r="F838" s="14" t="s">
        <v>3516</v>
      </c>
      <c r="G838" s="14" t="s">
        <v>3517</v>
      </c>
      <c r="H838" s="15" t="s">
        <v>24</v>
      </c>
      <c r="I838" s="15" t="s">
        <v>3491</v>
      </c>
      <c r="J838" s="2">
        <v>3.0</v>
      </c>
      <c r="K838" s="12" t="s">
        <v>4158</v>
      </c>
      <c r="L838" s="16">
        <v>0.0</v>
      </c>
    </row>
    <row r="839" hidden="1">
      <c r="A839" s="1" t="s">
        <v>748</v>
      </c>
      <c r="B839" s="1" t="s">
        <v>748</v>
      </c>
      <c r="C839" s="13">
        <v>45735.34930555556</v>
      </c>
      <c r="D839" s="5" t="s">
        <v>305</v>
      </c>
      <c r="E839" s="2" t="s">
        <v>306</v>
      </c>
      <c r="F839" s="14" t="s">
        <v>3486</v>
      </c>
      <c r="G839" s="14" t="s">
        <v>3487</v>
      </c>
      <c r="H839" s="15" t="s">
        <v>16</v>
      </c>
      <c r="I839" s="15" t="s">
        <v>3488</v>
      </c>
      <c r="J839" s="2">
        <v>10.0</v>
      </c>
      <c r="K839" s="12" t="s">
        <v>4159</v>
      </c>
      <c r="L839" s="16">
        <v>47297.2973</v>
      </c>
    </row>
    <row r="840" hidden="1">
      <c r="A840" s="1" t="s">
        <v>749</v>
      </c>
      <c r="B840" s="1" t="s">
        <v>749</v>
      </c>
      <c r="C840" s="13">
        <v>45734.64791666667</v>
      </c>
      <c r="D840" s="5" t="s">
        <v>326</v>
      </c>
      <c r="E840" s="2" t="s">
        <v>327</v>
      </c>
      <c r="F840" s="14" t="s">
        <v>3486</v>
      </c>
      <c r="G840" s="14" t="s">
        <v>3487</v>
      </c>
      <c r="H840" s="15" t="s">
        <v>24</v>
      </c>
      <c r="I840" s="15" t="s">
        <v>3491</v>
      </c>
      <c r="J840" s="2">
        <v>11.0</v>
      </c>
      <c r="K840" s="12" t="s">
        <v>4160</v>
      </c>
      <c r="L840" s="16">
        <v>0.0</v>
      </c>
    </row>
    <row r="841" hidden="1">
      <c r="A841" s="1" t="s">
        <v>750</v>
      </c>
      <c r="B841" s="1" t="s">
        <v>750</v>
      </c>
      <c r="C841" s="13">
        <v>45735.370833333334</v>
      </c>
      <c r="D841" s="5" t="s">
        <v>213</v>
      </c>
      <c r="E841" s="2" t="s">
        <v>214</v>
      </c>
      <c r="F841" s="14" t="s">
        <v>3486</v>
      </c>
      <c r="G841" s="14" t="s">
        <v>3487</v>
      </c>
      <c r="H841" s="15" t="s">
        <v>16</v>
      </c>
      <c r="I841" s="15" t="s">
        <v>3488</v>
      </c>
      <c r="J841" s="2">
        <v>10.0</v>
      </c>
      <c r="K841" s="12" t="s">
        <v>4161</v>
      </c>
      <c r="L841" s="14">
        <v>60000.0</v>
      </c>
    </row>
    <row r="842" hidden="1">
      <c r="A842" s="1" t="s">
        <v>751</v>
      </c>
      <c r="B842" s="1" t="s">
        <v>751</v>
      </c>
      <c r="C842" s="13">
        <v>45735.69861111111</v>
      </c>
      <c r="D842" s="5" t="s">
        <v>679</v>
      </c>
      <c r="E842" s="2" t="s">
        <v>680</v>
      </c>
      <c r="F842" s="14" t="s">
        <v>3486</v>
      </c>
      <c r="G842" s="14" t="s">
        <v>3487</v>
      </c>
      <c r="H842" s="15" t="s">
        <v>24</v>
      </c>
      <c r="I842" s="15" t="s">
        <v>3491</v>
      </c>
      <c r="J842" s="2">
        <v>2.0</v>
      </c>
      <c r="K842" s="12" t="s">
        <v>4162</v>
      </c>
      <c r="L842" s="16">
        <v>0.0</v>
      </c>
    </row>
    <row r="843" hidden="1">
      <c r="A843" s="1" t="s">
        <v>752</v>
      </c>
      <c r="B843" s="1" t="s">
        <v>752</v>
      </c>
      <c r="C843" s="13">
        <v>45735.69861111111</v>
      </c>
      <c r="D843" s="5" t="s">
        <v>213</v>
      </c>
      <c r="E843" s="2" t="s">
        <v>214</v>
      </c>
      <c r="F843" s="14" t="s">
        <v>3486</v>
      </c>
      <c r="G843" s="14" t="s">
        <v>3487</v>
      </c>
      <c r="H843" s="15" t="s">
        <v>24</v>
      </c>
      <c r="I843" s="15" t="s">
        <v>3491</v>
      </c>
      <c r="J843" s="2">
        <v>7.0</v>
      </c>
      <c r="K843" s="12" t="s">
        <v>4163</v>
      </c>
      <c r="L843" s="16">
        <v>0.0</v>
      </c>
    </row>
    <row r="844" hidden="1">
      <c r="A844" s="1" t="s">
        <v>752</v>
      </c>
      <c r="B844" s="1" t="s">
        <v>752</v>
      </c>
      <c r="C844" s="13">
        <v>45735.700694444444</v>
      </c>
      <c r="D844" s="5" t="s">
        <v>213</v>
      </c>
      <c r="E844" s="2" t="s">
        <v>214</v>
      </c>
      <c r="F844" s="14" t="s">
        <v>3493</v>
      </c>
      <c r="G844" s="14" t="s">
        <v>3494</v>
      </c>
      <c r="H844" s="15" t="s">
        <v>24</v>
      </c>
      <c r="I844" s="15" t="s">
        <v>3491</v>
      </c>
      <c r="J844" s="2">
        <v>3.0</v>
      </c>
      <c r="K844" s="19"/>
      <c r="L844" s="16">
        <v>0.0</v>
      </c>
    </row>
    <row r="845" hidden="1">
      <c r="A845" s="1" t="s">
        <v>753</v>
      </c>
      <c r="B845" s="1" t="s">
        <v>753</v>
      </c>
      <c r="C845" s="13">
        <v>45736.37013888889</v>
      </c>
      <c r="D845" s="5" t="s">
        <v>309</v>
      </c>
      <c r="E845" s="2" t="s">
        <v>310</v>
      </c>
      <c r="F845" s="14" t="s">
        <v>3506</v>
      </c>
      <c r="G845" s="14" t="s">
        <v>3507</v>
      </c>
      <c r="H845" s="15" t="s">
        <v>16</v>
      </c>
      <c r="I845" s="15" t="s">
        <v>3488</v>
      </c>
      <c r="J845" s="2">
        <v>4.0</v>
      </c>
      <c r="K845" s="19"/>
      <c r="L845" s="16">
        <v>55000.0</v>
      </c>
    </row>
    <row r="846" hidden="1">
      <c r="A846" s="1" t="s">
        <v>753</v>
      </c>
      <c r="B846" s="1" t="s">
        <v>753</v>
      </c>
      <c r="C846" s="13">
        <v>45736.37013888889</v>
      </c>
      <c r="D846" s="5" t="s">
        <v>309</v>
      </c>
      <c r="E846" s="2" t="s">
        <v>310</v>
      </c>
      <c r="F846" s="14" t="s">
        <v>4045</v>
      </c>
      <c r="G846" s="14" t="s">
        <v>4046</v>
      </c>
      <c r="H846" s="15" t="s">
        <v>16</v>
      </c>
      <c r="I846" s="15" t="s">
        <v>3488</v>
      </c>
      <c r="J846" s="2">
        <v>2.0</v>
      </c>
      <c r="K846" s="19"/>
      <c r="L846" s="16">
        <v>160000.0</v>
      </c>
    </row>
    <row r="847" hidden="1">
      <c r="A847" s="1" t="s">
        <v>754</v>
      </c>
      <c r="B847" s="1" t="s">
        <v>754</v>
      </c>
      <c r="C847" s="13">
        <v>45736.46805555555</v>
      </c>
      <c r="D847" s="5" t="s">
        <v>305</v>
      </c>
      <c r="E847" s="2" t="s">
        <v>306</v>
      </c>
      <c r="F847" s="14" t="s">
        <v>3486</v>
      </c>
      <c r="G847" s="14" t="s">
        <v>3487</v>
      </c>
      <c r="H847" s="15" t="s">
        <v>24</v>
      </c>
      <c r="I847" s="15" t="s">
        <v>3491</v>
      </c>
      <c r="J847" s="2">
        <v>9.0</v>
      </c>
      <c r="K847" s="12" t="s">
        <v>4164</v>
      </c>
      <c r="L847" s="16">
        <v>0.0</v>
      </c>
    </row>
    <row r="848" hidden="1">
      <c r="A848" s="1" t="s">
        <v>755</v>
      </c>
      <c r="B848" s="1" t="s">
        <v>755</v>
      </c>
      <c r="C848" s="13">
        <v>45736.475694444445</v>
      </c>
      <c r="D848" s="5" t="s">
        <v>373</v>
      </c>
      <c r="E848" s="2" t="s">
        <v>374</v>
      </c>
      <c r="F848" s="14" t="s">
        <v>3522</v>
      </c>
      <c r="G848" s="14" t="s">
        <v>3523</v>
      </c>
      <c r="H848" s="15" t="s">
        <v>24</v>
      </c>
      <c r="I848" s="15" t="s">
        <v>3491</v>
      </c>
      <c r="J848" s="2">
        <v>1.0</v>
      </c>
      <c r="K848" s="12" t="s">
        <v>3854</v>
      </c>
      <c r="L848" s="16">
        <v>0.0</v>
      </c>
    </row>
    <row r="849" hidden="1">
      <c r="A849" s="1" t="s">
        <v>756</v>
      </c>
      <c r="B849" s="1" t="s">
        <v>756</v>
      </c>
      <c r="C849" s="13">
        <v>45736.47638888889</v>
      </c>
      <c r="D849" s="5" t="s">
        <v>679</v>
      </c>
      <c r="E849" s="2" t="s">
        <v>680</v>
      </c>
      <c r="F849" s="14" t="s">
        <v>3486</v>
      </c>
      <c r="G849" s="14" t="s">
        <v>3487</v>
      </c>
      <c r="H849" s="15" t="s">
        <v>24</v>
      </c>
      <c r="I849" s="15" t="s">
        <v>3491</v>
      </c>
      <c r="J849" s="2">
        <v>1.0</v>
      </c>
      <c r="K849" s="12" t="s">
        <v>4165</v>
      </c>
      <c r="L849" s="16">
        <v>0.0</v>
      </c>
    </row>
    <row r="850" hidden="1">
      <c r="A850" s="1" t="s">
        <v>757</v>
      </c>
      <c r="B850" s="1" t="s">
        <v>757</v>
      </c>
      <c r="C850" s="13">
        <v>45736.47638888889</v>
      </c>
      <c r="D850" s="5" t="s">
        <v>213</v>
      </c>
      <c r="E850" s="2" t="s">
        <v>214</v>
      </c>
      <c r="F850" s="14" t="s">
        <v>3486</v>
      </c>
      <c r="G850" s="14" t="s">
        <v>3487</v>
      </c>
      <c r="H850" s="15" t="s">
        <v>24</v>
      </c>
      <c r="I850" s="15" t="s">
        <v>3491</v>
      </c>
      <c r="J850" s="2">
        <v>4.0</v>
      </c>
      <c r="K850" s="12" t="s">
        <v>4166</v>
      </c>
      <c r="L850" s="16">
        <v>0.0</v>
      </c>
    </row>
    <row r="851" hidden="1">
      <c r="A851" s="1" t="s">
        <v>757</v>
      </c>
      <c r="B851" s="1" t="s">
        <v>757</v>
      </c>
      <c r="C851" s="13">
        <v>45736.47638888889</v>
      </c>
      <c r="D851" s="5" t="s">
        <v>213</v>
      </c>
      <c r="E851" s="2" t="s">
        <v>214</v>
      </c>
      <c r="F851" s="14" t="s">
        <v>3493</v>
      </c>
      <c r="G851" s="14" t="s">
        <v>3494</v>
      </c>
      <c r="H851" s="15" t="s">
        <v>24</v>
      </c>
      <c r="I851" s="15" t="s">
        <v>3491</v>
      </c>
      <c r="J851" s="2">
        <v>1.0</v>
      </c>
      <c r="K851" s="19"/>
      <c r="L851" s="16">
        <v>0.0</v>
      </c>
    </row>
    <row r="852">
      <c r="A852" s="1" t="s">
        <v>758</v>
      </c>
      <c r="B852" s="1" t="s">
        <v>758</v>
      </c>
      <c r="C852" s="13">
        <v>45736.50763888889</v>
      </c>
      <c r="D852" s="5" t="s">
        <v>45</v>
      </c>
      <c r="E852" s="2" t="s">
        <v>46</v>
      </c>
      <c r="F852" s="14" t="s">
        <v>3486</v>
      </c>
      <c r="G852" s="14" t="s">
        <v>3487</v>
      </c>
      <c r="H852" s="15" t="s">
        <v>16</v>
      </c>
      <c r="I852" s="15" t="s">
        <v>3488</v>
      </c>
      <c r="J852" s="2">
        <v>10.0</v>
      </c>
      <c r="K852" s="12" t="s">
        <v>4167</v>
      </c>
      <c r="L852" s="16">
        <v>60000.0</v>
      </c>
    </row>
    <row r="853">
      <c r="A853" s="1" t="s">
        <v>758</v>
      </c>
      <c r="B853" s="1" t="s">
        <v>758</v>
      </c>
      <c r="C853" s="13">
        <v>45736.50763888889</v>
      </c>
      <c r="D853" s="5" t="s">
        <v>45</v>
      </c>
      <c r="E853" s="2" t="s">
        <v>46</v>
      </c>
      <c r="F853" s="14" t="s">
        <v>3493</v>
      </c>
      <c r="G853" s="14" t="s">
        <v>3494</v>
      </c>
      <c r="H853" s="15" t="s">
        <v>16</v>
      </c>
      <c r="I853" s="15" t="s">
        <v>3488</v>
      </c>
      <c r="J853" s="2">
        <v>7.0</v>
      </c>
      <c r="K853" s="19"/>
      <c r="L853" s="16">
        <v>210000.0</v>
      </c>
    </row>
    <row r="854" hidden="1">
      <c r="A854" s="1" t="s">
        <v>759</v>
      </c>
      <c r="B854" s="1" t="s">
        <v>759</v>
      </c>
      <c r="C854" s="13">
        <v>45737.34097222222</v>
      </c>
      <c r="D854" s="5" t="s">
        <v>49</v>
      </c>
      <c r="E854" s="2" t="s">
        <v>50</v>
      </c>
      <c r="F854" s="14" t="s">
        <v>3486</v>
      </c>
      <c r="G854" s="14" t="s">
        <v>3487</v>
      </c>
      <c r="H854" s="15" t="s">
        <v>16</v>
      </c>
      <c r="I854" s="15" t="s">
        <v>3488</v>
      </c>
      <c r="J854" s="2">
        <v>5.0</v>
      </c>
      <c r="K854" s="12" t="s">
        <v>4168</v>
      </c>
      <c r="L854" s="16">
        <v>60000.0</v>
      </c>
    </row>
    <row r="855" hidden="1">
      <c r="A855" s="1" t="s">
        <v>760</v>
      </c>
      <c r="B855" s="1" t="s">
        <v>760</v>
      </c>
      <c r="C855" s="13">
        <v>45736.61319444444</v>
      </c>
      <c r="D855" s="5" t="s">
        <v>109</v>
      </c>
      <c r="E855" s="2" t="s">
        <v>110</v>
      </c>
      <c r="F855" s="14" t="s">
        <v>3486</v>
      </c>
      <c r="G855" s="14" t="s">
        <v>3487</v>
      </c>
      <c r="H855" s="15" t="s">
        <v>16</v>
      </c>
      <c r="I855" s="15" t="s">
        <v>3488</v>
      </c>
      <c r="J855" s="2">
        <v>3.0</v>
      </c>
      <c r="K855" s="12" t="s">
        <v>4169</v>
      </c>
      <c r="L855" s="16">
        <v>60000.0</v>
      </c>
    </row>
    <row r="856" hidden="1">
      <c r="A856" s="1" t="s">
        <v>761</v>
      </c>
      <c r="B856" s="1" t="s">
        <v>761</v>
      </c>
      <c r="C856" s="13">
        <v>45737.48611111111</v>
      </c>
      <c r="D856" s="5" t="s">
        <v>49</v>
      </c>
      <c r="E856" s="2" t="s">
        <v>50</v>
      </c>
      <c r="F856" s="14" t="s">
        <v>3486</v>
      </c>
      <c r="G856" s="14" t="s">
        <v>3487</v>
      </c>
      <c r="H856" s="15" t="s">
        <v>24</v>
      </c>
      <c r="I856" s="15" t="s">
        <v>3491</v>
      </c>
      <c r="J856" s="2">
        <v>1.0</v>
      </c>
      <c r="K856" s="12" t="s">
        <v>4170</v>
      </c>
      <c r="L856" s="16">
        <v>0.0</v>
      </c>
    </row>
    <row r="857" hidden="1">
      <c r="A857" s="1" t="s">
        <v>762</v>
      </c>
      <c r="B857" s="1" t="s">
        <v>762</v>
      </c>
      <c r="C857" s="13">
        <v>45740.33888888889</v>
      </c>
      <c r="D857" s="5" t="s">
        <v>305</v>
      </c>
      <c r="E857" s="2" t="s">
        <v>306</v>
      </c>
      <c r="F857" s="14" t="s">
        <v>3486</v>
      </c>
      <c r="G857" s="14" t="s">
        <v>3487</v>
      </c>
      <c r="H857" s="15" t="s">
        <v>16</v>
      </c>
      <c r="I857" s="15" t="s">
        <v>3488</v>
      </c>
      <c r="J857" s="2">
        <v>10.0</v>
      </c>
      <c r="K857" s="12" t="s">
        <v>4171</v>
      </c>
      <c r="L857" s="16">
        <v>47297.2973</v>
      </c>
    </row>
    <row r="858" hidden="1">
      <c r="A858" s="1" t="s">
        <v>763</v>
      </c>
      <c r="B858" s="1" t="s">
        <v>763</v>
      </c>
      <c r="C858" s="13">
        <v>45738.57430555556</v>
      </c>
      <c r="D858" s="5" t="s">
        <v>213</v>
      </c>
      <c r="E858" s="2" t="s">
        <v>214</v>
      </c>
      <c r="F858" s="14" t="s">
        <v>3486</v>
      </c>
      <c r="G858" s="14" t="s">
        <v>3487</v>
      </c>
      <c r="H858" s="15" t="s">
        <v>24</v>
      </c>
      <c r="I858" s="15" t="s">
        <v>3491</v>
      </c>
      <c r="J858" s="2">
        <v>7.0</v>
      </c>
      <c r="K858" s="12" t="s">
        <v>4172</v>
      </c>
      <c r="L858" s="16">
        <v>0.0</v>
      </c>
    </row>
    <row r="859" hidden="1">
      <c r="A859" s="1" t="s">
        <v>763</v>
      </c>
      <c r="B859" s="1" t="s">
        <v>763</v>
      </c>
      <c r="C859" s="13">
        <v>45738.57430555556</v>
      </c>
      <c r="D859" s="5" t="s">
        <v>213</v>
      </c>
      <c r="E859" s="2" t="s">
        <v>214</v>
      </c>
      <c r="F859" s="14" t="s">
        <v>3493</v>
      </c>
      <c r="G859" s="14" t="s">
        <v>3494</v>
      </c>
      <c r="H859" s="15" t="s">
        <v>24</v>
      </c>
      <c r="I859" s="15" t="s">
        <v>3491</v>
      </c>
      <c r="J859" s="2">
        <v>1.0</v>
      </c>
      <c r="K859" s="19"/>
      <c r="L859" s="16">
        <v>0.0</v>
      </c>
    </row>
    <row r="860" hidden="1">
      <c r="A860" s="1" t="s">
        <v>764</v>
      </c>
      <c r="B860" s="1" t="s">
        <v>764</v>
      </c>
      <c r="C860" s="13">
        <v>45740.37777777778</v>
      </c>
      <c r="D860" s="5" t="s">
        <v>213</v>
      </c>
      <c r="E860" s="2" t="s">
        <v>214</v>
      </c>
      <c r="F860" s="14" t="s">
        <v>3486</v>
      </c>
      <c r="G860" s="14" t="s">
        <v>3487</v>
      </c>
      <c r="H860" s="15" t="s">
        <v>16</v>
      </c>
      <c r="I860" s="15" t="s">
        <v>3488</v>
      </c>
      <c r="J860" s="2">
        <v>15.0</v>
      </c>
      <c r="K860" s="12" t="s">
        <v>4173</v>
      </c>
      <c r="L860" s="16">
        <v>60000.0</v>
      </c>
    </row>
    <row r="861" hidden="1">
      <c r="A861" s="1" t="s">
        <v>764</v>
      </c>
      <c r="B861" s="1" t="s">
        <v>764</v>
      </c>
      <c r="C861" s="13">
        <v>45740.37777777778</v>
      </c>
      <c r="D861" s="5" t="s">
        <v>213</v>
      </c>
      <c r="E861" s="2" t="s">
        <v>214</v>
      </c>
      <c r="F861" s="14" t="s">
        <v>3493</v>
      </c>
      <c r="G861" s="14" t="s">
        <v>3494</v>
      </c>
      <c r="H861" s="15" t="s">
        <v>16</v>
      </c>
      <c r="I861" s="15" t="s">
        <v>3488</v>
      </c>
      <c r="J861" s="2">
        <v>1.0</v>
      </c>
      <c r="K861" s="19"/>
      <c r="L861" s="16">
        <v>210000.0</v>
      </c>
    </row>
    <row r="862" hidden="1">
      <c r="A862" s="1" t="s">
        <v>765</v>
      </c>
      <c r="B862" s="1" t="s">
        <v>765</v>
      </c>
      <c r="C862" s="13">
        <v>45740.49444444444</v>
      </c>
      <c r="D862" s="5" t="s">
        <v>309</v>
      </c>
      <c r="E862" s="2" t="s">
        <v>310</v>
      </c>
      <c r="F862" s="14" t="s">
        <v>3506</v>
      </c>
      <c r="G862" s="14" t="s">
        <v>3507</v>
      </c>
      <c r="H862" s="15" t="s">
        <v>24</v>
      </c>
      <c r="I862" s="15" t="s">
        <v>3491</v>
      </c>
      <c r="J862" s="2">
        <v>10.0</v>
      </c>
      <c r="K862" s="19"/>
      <c r="L862" s="16">
        <v>0.0</v>
      </c>
    </row>
    <row r="863" hidden="1">
      <c r="A863" s="1" t="s">
        <v>766</v>
      </c>
      <c r="B863" s="1" t="s">
        <v>766</v>
      </c>
      <c r="C863" s="13">
        <v>45740.49513888889</v>
      </c>
      <c r="D863" s="5" t="s">
        <v>213</v>
      </c>
      <c r="E863" s="2" t="s">
        <v>214</v>
      </c>
      <c r="F863" s="14" t="s">
        <v>3486</v>
      </c>
      <c r="G863" s="14" t="s">
        <v>3487</v>
      </c>
      <c r="H863" s="15" t="s">
        <v>24</v>
      </c>
      <c r="I863" s="15" t="s">
        <v>3491</v>
      </c>
      <c r="J863" s="2">
        <v>4.0</v>
      </c>
      <c r="K863" s="12" t="s">
        <v>4174</v>
      </c>
      <c r="L863" s="16">
        <v>0.0</v>
      </c>
    </row>
    <row r="864">
      <c r="A864" s="1" t="s">
        <v>767</v>
      </c>
      <c r="B864" s="1" t="s">
        <v>767</v>
      </c>
      <c r="C864" s="13">
        <v>45741.65069444444</v>
      </c>
      <c r="D864" s="5" t="s">
        <v>45</v>
      </c>
      <c r="E864" s="2" t="s">
        <v>46</v>
      </c>
      <c r="F864" s="14" t="s">
        <v>3486</v>
      </c>
      <c r="G864" s="14" t="s">
        <v>3487</v>
      </c>
      <c r="H864" s="15" t="s">
        <v>24</v>
      </c>
      <c r="I864" s="15" t="s">
        <v>3491</v>
      </c>
      <c r="J864" s="2">
        <v>14.0</v>
      </c>
      <c r="K864" s="12" t="s">
        <v>4175</v>
      </c>
      <c r="L864" s="16">
        <v>0.0</v>
      </c>
    </row>
    <row r="865">
      <c r="A865" s="1" t="s">
        <v>767</v>
      </c>
      <c r="B865" s="1" t="s">
        <v>767</v>
      </c>
      <c r="C865" s="13">
        <v>45741.65069444444</v>
      </c>
      <c r="D865" s="5" t="s">
        <v>45</v>
      </c>
      <c r="E865" s="2" t="s">
        <v>46</v>
      </c>
      <c r="F865" s="14" t="s">
        <v>3493</v>
      </c>
      <c r="G865" s="14" t="s">
        <v>3494</v>
      </c>
      <c r="H865" s="15" t="s">
        <v>24</v>
      </c>
      <c r="I865" s="15" t="s">
        <v>3491</v>
      </c>
      <c r="J865" s="2">
        <v>4.0</v>
      </c>
      <c r="K865" s="19"/>
      <c r="L865" s="16">
        <v>0.0</v>
      </c>
    </row>
    <row r="866">
      <c r="A866" s="1" t="s">
        <v>767</v>
      </c>
      <c r="B866" s="1" t="s">
        <v>767</v>
      </c>
      <c r="C866" s="13">
        <v>45741.65</v>
      </c>
      <c r="D866" s="5" t="s">
        <v>45</v>
      </c>
      <c r="E866" s="2" t="s">
        <v>46</v>
      </c>
      <c r="F866" s="14" t="s">
        <v>3522</v>
      </c>
      <c r="G866" s="14" t="s">
        <v>3523</v>
      </c>
      <c r="H866" s="15" t="s">
        <v>24</v>
      </c>
      <c r="I866" s="15" t="s">
        <v>3491</v>
      </c>
      <c r="J866" s="2">
        <v>1.0</v>
      </c>
      <c r="K866" s="12" t="s">
        <v>4176</v>
      </c>
      <c r="L866" s="16">
        <v>0.0</v>
      </c>
    </row>
    <row r="867" hidden="1">
      <c r="A867" s="1" t="s">
        <v>768</v>
      </c>
      <c r="B867" s="1" t="s">
        <v>768</v>
      </c>
      <c r="C867" s="13">
        <v>45742.399305555555</v>
      </c>
      <c r="D867" s="5" t="s">
        <v>309</v>
      </c>
      <c r="E867" s="2" t="s">
        <v>310</v>
      </c>
      <c r="F867" s="14" t="s">
        <v>3506</v>
      </c>
      <c r="G867" s="14" t="s">
        <v>3507</v>
      </c>
      <c r="H867" s="15" t="s">
        <v>16</v>
      </c>
      <c r="I867" s="15" t="s">
        <v>3488</v>
      </c>
      <c r="J867" s="2">
        <v>10.0</v>
      </c>
      <c r="K867" s="19"/>
      <c r="L867" s="16">
        <v>55000.0</v>
      </c>
    </row>
    <row r="868" hidden="1">
      <c r="A868" s="1" t="s">
        <v>769</v>
      </c>
      <c r="B868" s="1" t="s">
        <v>769</v>
      </c>
      <c r="C868" s="13">
        <v>45743.34305555555</v>
      </c>
      <c r="D868" s="5" t="s">
        <v>349</v>
      </c>
      <c r="E868" s="2" t="s">
        <v>350</v>
      </c>
      <c r="F868" s="14" t="s">
        <v>3516</v>
      </c>
      <c r="G868" s="14" t="s">
        <v>3517</v>
      </c>
      <c r="H868" s="15" t="s">
        <v>16</v>
      </c>
      <c r="I868" s="15" t="s">
        <v>3488</v>
      </c>
      <c r="J868" s="2">
        <v>2.0</v>
      </c>
      <c r="K868" s="12" t="s">
        <v>4177</v>
      </c>
      <c r="L868" s="16">
        <v>167000.0</v>
      </c>
    </row>
    <row r="869" hidden="1">
      <c r="A869" s="1" t="s">
        <v>770</v>
      </c>
      <c r="B869" s="1" t="s">
        <v>770</v>
      </c>
      <c r="C869" s="13">
        <v>45742.498611111114</v>
      </c>
      <c r="D869" s="5" t="s">
        <v>213</v>
      </c>
      <c r="E869" s="2" t="s">
        <v>214</v>
      </c>
      <c r="F869" s="14" t="s">
        <v>3486</v>
      </c>
      <c r="G869" s="14" t="s">
        <v>3487</v>
      </c>
      <c r="H869" s="15" t="s">
        <v>24</v>
      </c>
      <c r="I869" s="15" t="s">
        <v>3491</v>
      </c>
      <c r="J869" s="2">
        <v>6.0</v>
      </c>
      <c r="K869" s="12" t="s">
        <v>4178</v>
      </c>
      <c r="L869" s="16">
        <v>0.0</v>
      </c>
    </row>
    <row r="870" hidden="1">
      <c r="A870" s="1" t="s">
        <v>771</v>
      </c>
      <c r="B870" s="1" t="s">
        <v>771</v>
      </c>
      <c r="C870" s="13">
        <v>45742.49930555555</v>
      </c>
      <c r="D870" s="5" t="s">
        <v>305</v>
      </c>
      <c r="E870" s="2" t="s">
        <v>306</v>
      </c>
      <c r="F870" s="14" t="s">
        <v>3486</v>
      </c>
      <c r="G870" s="14" t="s">
        <v>3487</v>
      </c>
      <c r="H870" s="15" t="s">
        <v>24</v>
      </c>
      <c r="I870" s="15" t="s">
        <v>3491</v>
      </c>
      <c r="J870" s="2">
        <v>2.0</v>
      </c>
      <c r="K870" s="12" t="s">
        <v>4179</v>
      </c>
      <c r="L870" s="16">
        <v>0.0</v>
      </c>
    </row>
    <row r="871" hidden="1">
      <c r="A871" s="1" t="s">
        <v>772</v>
      </c>
      <c r="B871" s="1" t="s">
        <v>772</v>
      </c>
      <c r="C871" s="13">
        <v>45742.53125</v>
      </c>
      <c r="D871" s="5" t="s">
        <v>552</v>
      </c>
      <c r="E871" s="2" t="s">
        <v>553</v>
      </c>
      <c r="F871" s="14" t="s">
        <v>3493</v>
      </c>
      <c r="G871" s="14" t="s">
        <v>3494</v>
      </c>
      <c r="H871" s="15" t="s">
        <v>16</v>
      </c>
      <c r="I871" s="15" t="s">
        <v>3488</v>
      </c>
      <c r="J871" s="2">
        <v>1.0</v>
      </c>
      <c r="K871" s="19"/>
      <c r="L871" s="16">
        <v>450000.0</v>
      </c>
    </row>
    <row r="872" hidden="1">
      <c r="A872" s="1" t="s">
        <v>773</v>
      </c>
      <c r="B872" s="1" t="s">
        <v>773</v>
      </c>
      <c r="C872" s="13">
        <v>45743.45208333333</v>
      </c>
      <c r="D872" s="2" t="s">
        <v>774</v>
      </c>
      <c r="E872" s="2" t="s">
        <v>775</v>
      </c>
      <c r="F872" s="14" t="s">
        <v>3486</v>
      </c>
      <c r="G872" s="14" t="s">
        <v>3487</v>
      </c>
      <c r="H872" s="15" t="s">
        <v>16</v>
      </c>
      <c r="I872" s="15" t="s">
        <v>3488</v>
      </c>
      <c r="J872" s="2">
        <v>1.0</v>
      </c>
      <c r="K872" s="12" t="s">
        <v>4180</v>
      </c>
      <c r="L872" s="20"/>
    </row>
    <row r="873" hidden="1">
      <c r="A873" s="1" t="s">
        <v>776</v>
      </c>
      <c r="B873" s="1" t="s">
        <v>776</v>
      </c>
      <c r="C873" s="13">
        <v>45743.49097222222</v>
      </c>
      <c r="D873" s="5" t="s">
        <v>464</v>
      </c>
      <c r="E873" s="2" t="s">
        <v>465</v>
      </c>
      <c r="F873" s="14" t="s">
        <v>3486</v>
      </c>
      <c r="G873" s="14" t="s">
        <v>3487</v>
      </c>
      <c r="H873" s="15" t="s">
        <v>24</v>
      </c>
      <c r="I873" s="15" t="s">
        <v>3491</v>
      </c>
      <c r="J873" s="2">
        <v>3.0</v>
      </c>
      <c r="K873" s="12" t="s">
        <v>4181</v>
      </c>
      <c r="L873" s="16">
        <v>0.0</v>
      </c>
    </row>
    <row r="874" hidden="1">
      <c r="A874" s="1" t="s">
        <v>776</v>
      </c>
      <c r="B874" s="1" t="s">
        <v>776</v>
      </c>
      <c r="C874" s="13">
        <v>45743.49097222222</v>
      </c>
      <c r="D874" s="5" t="s">
        <v>464</v>
      </c>
      <c r="E874" s="2" t="s">
        <v>465</v>
      </c>
      <c r="F874" s="14" t="s">
        <v>3506</v>
      </c>
      <c r="G874" s="14" t="s">
        <v>3507</v>
      </c>
      <c r="H874" s="15" t="s">
        <v>24</v>
      </c>
      <c r="I874" s="15" t="s">
        <v>3491</v>
      </c>
      <c r="J874" s="2">
        <v>1.0</v>
      </c>
      <c r="K874" s="19"/>
      <c r="L874" s="16">
        <v>0.0</v>
      </c>
    </row>
    <row r="875" hidden="1">
      <c r="A875" s="1" t="s">
        <v>777</v>
      </c>
      <c r="B875" s="1" t="s">
        <v>777</v>
      </c>
      <c r="C875" s="13">
        <v>45743.49097222222</v>
      </c>
      <c r="D875" s="5" t="s">
        <v>349</v>
      </c>
      <c r="E875" s="2" t="s">
        <v>350</v>
      </c>
      <c r="F875" s="14" t="s">
        <v>3516</v>
      </c>
      <c r="G875" s="14" t="s">
        <v>3517</v>
      </c>
      <c r="H875" s="15" t="s">
        <v>24</v>
      </c>
      <c r="I875" s="15" t="s">
        <v>3491</v>
      </c>
      <c r="J875" s="2">
        <v>2.0</v>
      </c>
      <c r="K875" s="12" t="s">
        <v>4182</v>
      </c>
      <c r="L875" s="16">
        <v>0.0</v>
      </c>
    </row>
    <row r="876" hidden="1">
      <c r="A876" s="1" t="s">
        <v>778</v>
      </c>
      <c r="B876" s="1" t="s">
        <v>778</v>
      </c>
      <c r="C876" s="13">
        <v>45754.3375</v>
      </c>
      <c r="D876" s="5" t="s">
        <v>383</v>
      </c>
      <c r="E876" s="2" t="s">
        <v>384</v>
      </c>
      <c r="F876" s="14" t="s">
        <v>3486</v>
      </c>
      <c r="G876" s="14" t="s">
        <v>3487</v>
      </c>
      <c r="H876" s="15" t="s">
        <v>16</v>
      </c>
      <c r="I876" s="15" t="s">
        <v>3488</v>
      </c>
      <c r="J876" s="2">
        <v>1.0</v>
      </c>
      <c r="K876" s="12" t="s">
        <v>4183</v>
      </c>
      <c r="L876" s="16">
        <v>70000.0</v>
      </c>
    </row>
    <row r="877" hidden="1">
      <c r="A877" s="1" t="s">
        <v>779</v>
      </c>
      <c r="B877" s="1" t="s">
        <v>779</v>
      </c>
      <c r="C877" s="13">
        <v>45755.45347222222</v>
      </c>
      <c r="D877" s="5" t="s">
        <v>109</v>
      </c>
      <c r="E877" s="2" t="s">
        <v>110</v>
      </c>
      <c r="F877" s="14" t="s">
        <v>3522</v>
      </c>
      <c r="G877" s="14" t="s">
        <v>3523</v>
      </c>
      <c r="H877" s="15" t="s">
        <v>16</v>
      </c>
      <c r="I877" s="15" t="s">
        <v>3488</v>
      </c>
      <c r="J877" s="2">
        <v>4.0</v>
      </c>
      <c r="K877" s="12" t="s">
        <v>4184</v>
      </c>
      <c r="L877" s="16">
        <v>190000.0</v>
      </c>
    </row>
    <row r="878" hidden="1">
      <c r="A878" s="1" t="s">
        <v>779</v>
      </c>
      <c r="B878" s="1" t="s">
        <v>779</v>
      </c>
      <c r="C878" s="13">
        <v>45755.45416666667</v>
      </c>
      <c r="D878" s="5" t="s">
        <v>109</v>
      </c>
      <c r="E878" s="2" t="s">
        <v>110</v>
      </c>
      <c r="F878" s="14" t="s">
        <v>3516</v>
      </c>
      <c r="G878" s="14" t="s">
        <v>3517</v>
      </c>
      <c r="H878" s="15" t="s">
        <v>16</v>
      </c>
      <c r="I878" s="15" t="s">
        <v>3488</v>
      </c>
      <c r="J878" s="2">
        <v>3.0</v>
      </c>
      <c r="K878" s="12" t="s">
        <v>4185</v>
      </c>
      <c r="L878" s="16">
        <v>160000.0</v>
      </c>
    </row>
    <row r="879" hidden="1">
      <c r="A879" s="1" t="s">
        <v>779</v>
      </c>
      <c r="B879" s="1" t="s">
        <v>779</v>
      </c>
      <c r="C879" s="13">
        <v>45755.45416666667</v>
      </c>
      <c r="D879" s="5" t="s">
        <v>109</v>
      </c>
      <c r="E879" s="2" t="s">
        <v>110</v>
      </c>
      <c r="F879" s="14" t="s">
        <v>3486</v>
      </c>
      <c r="G879" s="14" t="s">
        <v>3487</v>
      </c>
      <c r="H879" s="15" t="s">
        <v>16</v>
      </c>
      <c r="I879" s="15" t="s">
        <v>3488</v>
      </c>
      <c r="J879" s="2">
        <v>2.0</v>
      </c>
      <c r="K879" s="12" t="s">
        <v>4186</v>
      </c>
      <c r="L879" s="16">
        <v>60000.0</v>
      </c>
    </row>
    <row r="880" hidden="1">
      <c r="A880" s="1" t="s">
        <v>780</v>
      </c>
      <c r="B880" s="1" t="s">
        <v>780</v>
      </c>
      <c r="C880" s="13">
        <v>45755.50625</v>
      </c>
      <c r="D880" s="5" t="s">
        <v>109</v>
      </c>
      <c r="E880" s="2" t="s">
        <v>110</v>
      </c>
      <c r="F880" s="14" t="s">
        <v>3486</v>
      </c>
      <c r="G880" s="14" t="s">
        <v>3487</v>
      </c>
      <c r="H880" s="15" t="s">
        <v>24</v>
      </c>
      <c r="I880" s="15" t="s">
        <v>3491</v>
      </c>
      <c r="J880" s="2">
        <v>1.0</v>
      </c>
      <c r="K880" s="12" t="s">
        <v>4187</v>
      </c>
      <c r="L880" s="16">
        <v>0.0</v>
      </c>
    </row>
    <row r="881" hidden="1">
      <c r="A881" s="1" t="s">
        <v>780</v>
      </c>
      <c r="B881" s="1" t="s">
        <v>780</v>
      </c>
      <c r="C881" s="13">
        <v>45755.50625</v>
      </c>
      <c r="D881" s="5" t="s">
        <v>109</v>
      </c>
      <c r="E881" s="2" t="s">
        <v>110</v>
      </c>
      <c r="F881" s="14" t="s">
        <v>3522</v>
      </c>
      <c r="G881" s="14" t="s">
        <v>3523</v>
      </c>
      <c r="H881" s="15" t="s">
        <v>24</v>
      </c>
      <c r="I881" s="15" t="s">
        <v>3491</v>
      </c>
      <c r="J881" s="2">
        <v>2.0</v>
      </c>
      <c r="K881" s="12" t="s">
        <v>4188</v>
      </c>
      <c r="L881" s="16">
        <v>0.0</v>
      </c>
    </row>
    <row r="882" hidden="1">
      <c r="A882" s="1" t="s">
        <v>781</v>
      </c>
      <c r="B882" s="1" t="s">
        <v>781</v>
      </c>
      <c r="C882" s="13">
        <v>45755.584027777775</v>
      </c>
      <c r="D882" s="5" t="s">
        <v>345</v>
      </c>
      <c r="E882" s="2" t="s">
        <v>346</v>
      </c>
      <c r="F882" s="14" t="s">
        <v>3486</v>
      </c>
      <c r="G882" s="14" t="s">
        <v>3487</v>
      </c>
      <c r="H882" s="15" t="s">
        <v>16</v>
      </c>
      <c r="I882" s="15" t="s">
        <v>3488</v>
      </c>
      <c r="J882" s="2">
        <v>10.0</v>
      </c>
      <c r="K882" s="12" t="s">
        <v>4189</v>
      </c>
      <c r="L882" s="16">
        <v>45045.045</v>
      </c>
    </row>
    <row r="883" hidden="1">
      <c r="A883" s="1" t="s">
        <v>782</v>
      </c>
      <c r="B883" s="1" t="s">
        <v>782</v>
      </c>
      <c r="C883" s="13">
        <v>45755.625</v>
      </c>
      <c r="D883" s="2" t="s">
        <v>690</v>
      </c>
      <c r="E883" s="2" t="s">
        <v>691</v>
      </c>
      <c r="F883" s="14" t="s">
        <v>3486</v>
      </c>
      <c r="G883" s="14" t="s">
        <v>3487</v>
      </c>
      <c r="H883" s="15" t="s">
        <v>24</v>
      </c>
      <c r="I883" s="15" t="s">
        <v>3491</v>
      </c>
      <c r="J883" s="2">
        <v>1.0</v>
      </c>
      <c r="K883" s="19"/>
      <c r="L883" s="16">
        <v>0.0</v>
      </c>
    </row>
    <row r="884" hidden="1">
      <c r="A884" s="1" t="s">
        <v>4190</v>
      </c>
      <c r="B884" s="1" t="s">
        <v>4190</v>
      </c>
      <c r="C884" s="13">
        <v>45755.62569444445</v>
      </c>
      <c r="D884" s="2" t="s">
        <v>690</v>
      </c>
      <c r="E884" s="2" t="s">
        <v>691</v>
      </c>
      <c r="F884" s="14" t="s">
        <v>3486</v>
      </c>
      <c r="G884" s="14" t="s">
        <v>3487</v>
      </c>
      <c r="H884" s="15" t="s">
        <v>16</v>
      </c>
      <c r="I884" s="15" t="s">
        <v>3488</v>
      </c>
      <c r="J884" s="2">
        <v>1.0</v>
      </c>
      <c r="K884" s="19"/>
      <c r="L884" s="16">
        <v>80000.0</v>
      </c>
    </row>
    <row r="885" hidden="1">
      <c r="A885" s="1" t="s">
        <v>783</v>
      </c>
      <c r="B885" s="1" t="s">
        <v>783</v>
      </c>
      <c r="C885" s="13">
        <v>45756.32708333333</v>
      </c>
      <c r="D885" s="5" t="s">
        <v>305</v>
      </c>
      <c r="E885" s="2" t="s">
        <v>306</v>
      </c>
      <c r="F885" s="14" t="s">
        <v>3486</v>
      </c>
      <c r="G885" s="14" t="s">
        <v>3487</v>
      </c>
      <c r="H885" s="15" t="s">
        <v>16</v>
      </c>
      <c r="I885" s="15" t="s">
        <v>3488</v>
      </c>
      <c r="J885" s="2">
        <v>10.0</v>
      </c>
      <c r="K885" s="12" t="s">
        <v>4191</v>
      </c>
      <c r="L885" s="16">
        <v>47297.2973</v>
      </c>
    </row>
    <row r="886" hidden="1">
      <c r="A886" s="1" t="s">
        <v>784</v>
      </c>
      <c r="B886" s="1" t="s">
        <v>784</v>
      </c>
      <c r="C886" s="13">
        <v>45755.70277777778</v>
      </c>
      <c r="D886" s="5" t="s">
        <v>345</v>
      </c>
      <c r="E886" s="2" t="s">
        <v>346</v>
      </c>
      <c r="F886" s="14" t="s">
        <v>3486</v>
      </c>
      <c r="G886" s="14" t="s">
        <v>3487</v>
      </c>
      <c r="H886" s="15" t="s">
        <v>24</v>
      </c>
      <c r="I886" s="15" t="s">
        <v>3491</v>
      </c>
      <c r="J886" s="2">
        <v>9.0</v>
      </c>
      <c r="K886" s="12" t="s">
        <v>4192</v>
      </c>
      <c r="L886" s="16">
        <v>0.0</v>
      </c>
    </row>
    <row r="887" hidden="1">
      <c r="A887" s="1" t="s">
        <v>785</v>
      </c>
      <c r="B887" s="1" t="s">
        <v>785</v>
      </c>
      <c r="C887" s="13">
        <v>45756.38402777778</v>
      </c>
      <c r="D887" s="5" t="s">
        <v>786</v>
      </c>
      <c r="E887" s="2" t="s">
        <v>787</v>
      </c>
      <c r="F887" s="14" t="s">
        <v>3486</v>
      </c>
      <c r="G887" s="14" t="s">
        <v>3487</v>
      </c>
      <c r="H887" s="15" t="s">
        <v>16</v>
      </c>
      <c r="I887" s="15" t="s">
        <v>3488</v>
      </c>
      <c r="J887" s="2">
        <v>5.0</v>
      </c>
      <c r="K887" s="12" t="s">
        <v>4193</v>
      </c>
      <c r="L887" s="16">
        <v>60000.0</v>
      </c>
    </row>
    <row r="888" hidden="1">
      <c r="A888" s="1" t="s">
        <v>789</v>
      </c>
      <c r="B888" s="1" t="s">
        <v>789</v>
      </c>
      <c r="C888" s="13">
        <v>45756.42847222222</v>
      </c>
      <c r="D888" s="5" t="s">
        <v>326</v>
      </c>
      <c r="E888" s="2" t="s">
        <v>327</v>
      </c>
      <c r="F888" s="14" t="s">
        <v>3486</v>
      </c>
      <c r="G888" s="14" t="s">
        <v>3487</v>
      </c>
      <c r="H888" s="15" t="s">
        <v>16</v>
      </c>
      <c r="I888" s="15" t="s">
        <v>3488</v>
      </c>
      <c r="J888" s="2">
        <v>10.0</v>
      </c>
      <c r="K888" s="12" t="s">
        <v>4194</v>
      </c>
      <c r="L888" s="16">
        <v>45000.0</v>
      </c>
    </row>
    <row r="889" hidden="1">
      <c r="A889" s="1" t="s">
        <v>790</v>
      </c>
      <c r="B889" s="1" t="s">
        <v>790</v>
      </c>
      <c r="C889" s="13">
        <v>45756.625</v>
      </c>
      <c r="D889" s="5" t="s">
        <v>326</v>
      </c>
      <c r="E889" s="2" t="s">
        <v>327</v>
      </c>
      <c r="F889" s="14" t="s">
        <v>3486</v>
      </c>
      <c r="G889" s="14" t="s">
        <v>3487</v>
      </c>
      <c r="H889" s="15" t="s">
        <v>24</v>
      </c>
      <c r="I889" s="15" t="s">
        <v>3491</v>
      </c>
      <c r="J889" s="2">
        <v>16.0</v>
      </c>
      <c r="K889" s="12" t="s">
        <v>4195</v>
      </c>
      <c r="L889" s="16">
        <v>0.0</v>
      </c>
    </row>
    <row r="890" hidden="1">
      <c r="A890" s="1" t="s">
        <v>791</v>
      </c>
      <c r="B890" s="1" t="s">
        <v>791</v>
      </c>
      <c r="C890" s="13">
        <v>45757.37847222222</v>
      </c>
      <c r="D890" s="5" t="s">
        <v>464</v>
      </c>
      <c r="E890" s="2" t="s">
        <v>465</v>
      </c>
      <c r="F890" s="14" t="s">
        <v>3486</v>
      </c>
      <c r="G890" s="14" t="s">
        <v>3487</v>
      </c>
      <c r="H890" s="15" t="s">
        <v>16</v>
      </c>
      <c r="I890" s="15" t="s">
        <v>3488</v>
      </c>
      <c r="J890" s="2">
        <v>2.0</v>
      </c>
      <c r="K890" s="12" t="s">
        <v>4196</v>
      </c>
      <c r="L890" s="16">
        <v>55000.0</v>
      </c>
    </row>
    <row r="891" hidden="1">
      <c r="A891" s="1" t="s">
        <v>791</v>
      </c>
      <c r="B891" s="1" t="s">
        <v>791</v>
      </c>
      <c r="C891" s="13">
        <v>45757.37847222222</v>
      </c>
      <c r="D891" s="5" t="s">
        <v>464</v>
      </c>
      <c r="E891" s="2" t="s">
        <v>465</v>
      </c>
      <c r="F891" s="14" t="s">
        <v>3506</v>
      </c>
      <c r="G891" s="14" t="s">
        <v>3507</v>
      </c>
      <c r="H891" s="15" t="s">
        <v>16</v>
      </c>
      <c r="I891" s="15" t="s">
        <v>3488</v>
      </c>
      <c r="J891" s="2">
        <v>2.0</v>
      </c>
      <c r="K891" s="12" t="s">
        <v>4197</v>
      </c>
      <c r="L891" s="16">
        <v>55000.0</v>
      </c>
    </row>
    <row r="892" hidden="1">
      <c r="A892" s="1" t="s">
        <v>792</v>
      </c>
      <c r="B892" s="1" t="s">
        <v>792</v>
      </c>
      <c r="C892" s="13">
        <v>45757.518055555556</v>
      </c>
      <c r="D892" s="5" t="s">
        <v>383</v>
      </c>
      <c r="E892" s="2" t="s">
        <v>384</v>
      </c>
      <c r="F892" s="14" t="s">
        <v>3486</v>
      </c>
      <c r="G892" s="14" t="s">
        <v>3487</v>
      </c>
      <c r="H892" s="15" t="s">
        <v>16</v>
      </c>
      <c r="I892" s="15" t="s">
        <v>3488</v>
      </c>
      <c r="J892" s="2">
        <v>1.0</v>
      </c>
      <c r="K892" s="12" t="s">
        <v>4198</v>
      </c>
      <c r="L892" s="16">
        <v>70000.0</v>
      </c>
    </row>
    <row r="893" hidden="1">
      <c r="A893" s="1" t="s">
        <v>793</v>
      </c>
      <c r="B893" s="1" t="s">
        <v>793</v>
      </c>
      <c r="C893" s="13">
        <v>45757.64027777778</v>
      </c>
      <c r="D893" s="5" t="s">
        <v>383</v>
      </c>
      <c r="E893" s="2" t="s">
        <v>384</v>
      </c>
      <c r="F893" s="14" t="s">
        <v>3486</v>
      </c>
      <c r="G893" s="14" t="s">
        <v>3487</v>
      </c>
      <c r="H893" s="15" t="s">
        <v>24</v>
      </c>
      <c r="I893" s="15" t="s">
        <v>3491</v>
      </c>
      <c r="J893" s="2">
        <v>1.0</v>
      </c>
      <c r="K893" s="12" t="s">
        <v>4183</v>
      </c>
      <c r="L893" s="16">
        <v>0.0</v>
      </c>
    </row>
    <row r="894" hidden="1">
      <c r="A894" s="1" t="s">
        <v>794</v>
      </c>
      <c r="B894" s="1" t="s">
        <v>794</v>
      </c>
      <c r="C894" s="13">
        <v>45757.64097222222</v>
      </c>
      <c r="D894" s="5" t="s">
        <v>305</v>
      </c>
      <c r="E894" s="2" t="s">
        <v>306</v>
      </c>
      <c r="F894" s="14" t="s">
        <v>3486</v>
      </c>
      <c r="G894" s="14" t="s">
        <v>3487</v>
      </c>
      <c r="H894" s="15" t="s">
        <v>24</v>
      </c>
      <c r="I894" s="15" t="s">
        <v>3491</v>
      </c>
      <c r="J894" s="2">
        <v>4.0</v>
      </c>
      <c r="K894" s="12" t="s">
        <v>4199</v>
      </c>
      <c r="L894" s="16">
        <v>0.0</v>
      </c>
    </row>
    <row r="895">
      <c r="A895" s="1" t="s">
        <v>795</v>
      </c>
      <c r="B895" s="1" t="s">
        <v>795</v>
      </c>
      <c r="C895" s="13">
        <v>45758.35833333333</v>
      </c>
      <c r="D895" s="5" t="s">
        <v>45</v>
      </c>
      <c r="E895" s="2" t="s">
        <v>46</v>
      </c>
      <c r="F895" s="14" t="s">
        <v>3522</v>
      </c>
      <c r="G895" s="14" t="s">
        <v>3523</v>
      </c>
      <c r="H895" s="15" t="s">
        <v>16</v>
      </c>
      <c r="I895" s="15" t="s">
        <v>3488</v>
      </c>
      <c r="J895" s="2">
        <v>4.0</v>
      </c>
      <c r="K895" s="12" t="s">
        <v>4200</v>
      </c>
      <c r="L895" s="16">
        <v>185000.0</v>
      </c>
    </row>
    <row r="896">
      <c r="A896" s="1" t="s">
        <v>796</v>
      </c>
      <c r="B896" s="1" t="s">
        <v>796</v>
      </c>
      <c r="C896" s="13">
        <v>45761.48402777778</v>
      </c>
      <c r="D896" s="5" t="s">
        <v>45</v>
      </c>
      <c r="E896" s="2" t="s">
        <v>46</v>
      </c>
      <c r="F896" s="14" t="s">
        <v>3522</v>
      </c>
      <c r="G896" s="14" t="s">
        <v>3523</v>
      </c>
      <c r="H896" s="15" t="s">
        <v>16</v>
      </c>
      <c r="I896" s="15" t="s">
        <v>3488</v>
      </c>
      <c r="J896" s="2">
        <v>11.0</v>
      </c>
      <c r="K896" s="12" t="s">
        <v>4201</v>
      </c>
      <c r="L896" s="16">
        <v>185000.0</v>
      </c>
    </row>
    <row r="897" hidden="1">
      <c r="A897" s="1" t="s">
        <v>797</v>
      </c>
      <c r="B897" s="1" t="s">
        <v>797</v>
      </c>
      <c r="C897" s="13">
        <v>45762.34027777778</v>
      </c>
      <c r="D897" s="5" t="s">
        <v>349</v>
      </c>
      <c r="E897" s="2" t="s">
        <v>350</v>
      </c>
      <c r="F897" s="14" t="s">
        <v>3516</v>
      </c>
      <c r="G897" s="14" t="s">
        <v>3517</v>
      </c>
      <c r="H897" s="15" t="s">
        <v>16</v>
      </c>
      <c r="I897" s="15" t="s">
        <v>3488</v>
      </c>
      <c r="J897" s="2">
        <v>4.0</v>
      </c>
      <c r="K897" s="12" t="s">
        <v>4202</v>
      </c>
      <c r="L897" s="16">
        <v>167000.0</v>
      </c>
    </row>
    <row r="898" hidden="1">
      <c r="A898" s="1" t="s">
        <v>798</v>
      </c>
      <c r="B898" s="1" t="s">
        <v>798</v>
      </c>
      <c r="C898" s="13">
        <v>45762.38888888889</v>
      </c>
      <c r="D898" s="5" t="s">
        <v>799</v>
      </c>
      <c r="E898" s="2" t="s">
        <v>800</v>
      </c>
      <c r="F898" s="14" t="s">
        <v>4203</v>
      </c>
      <c r="G898" s="14" t="s">
        <v>4204</v>
      </c>
      <c r="H898" s="15" t="s">
        <v>16</v>
      </c>
      <c r="I898" s="15" t="s">
        <v>3488</v>
      </c>
      <c r="J898" s="2">
        <v>10.0</v>
      </c>
      <c r="K898" s="12" t="s">
        <v>4205</v>
      </c>
      <c r="L898" s="16">
        <v>60000.0</v>
      </c>
    </row>
    <row r="899" hidden="1">
      <c r="A899" s="1" t="s">
        <v>798</v>
      </c>
      <c r="B899" s="1" t="s">
        <v>798</v>
      </c>
      <c r="C899" s="13">
        <v>45762.38958333333</v>
      </c>
      <c r="D899" s="5" t="s">
        <v>799</v>
      </c>
      <c r="E899" s="2" t="s">
        <v>800</v>
      </c>
      <c r="F899" s="14" t="s">
        <v>3493</v>
      </c>
      <c r="G899" s="14" t="s">
        <v>3494</v>
      </c>
      <c r="H899" s="15" t="s">
        <v>16</v>
      </c>
      <c r="I899" s="15" t="s">
        <v>3488</v>
      </c>
      <c r="J899" s="2">
        <v>3.0</v>
      </c>
      <c r="K899" s="19"/>
      <c r="L899" s="16">
        <v>200000.0</v>
      </c>
    </row>
    <row r="900" hidden="1">
      <c r="A900" s="1" t="s">
        <v>802</v>
      </c>
      <c r="B900" s="1" t="s">
        <v>802</v>
      </c>
      <c r="C900" s="13">
        <v>45762.45208333333</v>
      </c>
      <c r="D900" s="5" t="s">
        <v>349</v>
      </c>
      <c r="E900" s="2" t="s">
        <v>350</v>
      </c>
      <c r="F900" s="14" t="s">
        <v>3516</v>
      </c>
      <c r="G900" s="14" t="s">
        <v>3517</v>
      </c>
      <c r="H900" s="15" t="s">
        <v>24</v>
      </c>
      <c r="I900" s="15" t="s">
        <v>3491</v>
      </c>
      <c r="J900" s="2">
        <v>4.0</v>
      </c>
      <c r="K900" s="12" t="s">
        <v>4206</v>
      </c>
      <c r="L900" s="16">
        <v>0.0</v>
      </c>
    </row>
    <row r="901" hidden="1">
      <c r="A901" s="1" t="s">
        <v>803</v>
      </c>
      <c r="B901" s="1" t="s">
        <v>803</v>
      </c>
      <c r="C901" s="13">
        <v>45762.45277777778</v>
      </c>
      <c r="D901" s="5" t="s">
        <v>799</v>
      </c>
      <c r="E901" s="2" t="s">
        <v>800</v>
      </c>
      <c r="F901" s="14" t="s">
        <v>3493</v>
      </c>
      <c r="G901" s="14" t="s">
        <v>3494</v>
      </c>
      <c r="H901" s="15" t="s">
        <v>24</v>
      </c>
      <c r="I901" s="15" t="s">
        <v>3491</v>
      </c>
      <c r="J901" s="2">
        <v>3.0</v>
      </c>
      <c r="K901" s="19"/>
      <c r="L901" s="16">
        <v>0.0</v>
      </c>
    </row>
    <row r="902" hidden="1">
      <c r="A902" s="1" t="s">
        <v>797</v>
      </c>
      <c r="B902" s="1" t="s">
        <v>797</v>
      </c>
      <c r="C902" s="13">
        <v>45762.45347222222</v>
      </c>
      <c r="D902" s="5" t="s">
        <v>349</v>
      </c>
      <c r="E902" s="2" t="s">
        <v>350</v>
      </c>
      <c r="F902" s="14" t="s">
        <v>3547</v>
      </c>
      <c r="G902" s="14" t="s">
        <v>3548</v>
      </c>
      <c r="H902" s="15" t="s">
        <v>16</v>
      </c>
      <c r="I902" s="15" t="s">
        <v>3488</v>
      </c>
      <c r="J902" s="2">
        <v>6.0</v>
      </c>
      <c r="K902" s="19"/>
      <c r="L902" s="16">
        <v>909909.9099</v>
      </c>
    </row>
    <row r="903" hidden="1">
      <c r="A903" s="1" t="s">
        <v>804</v>
      </c>
      <c r="B903" s="1" t="s">
        <v>804</v>
      </c>
      <c r="C903" s="13">
        <v>45762.46041666667</v>
      </c>
      <c r="D903" s="2" t="s">
        <v>805</v>
      </c>
      <c r="E903" s="2" t="s">
        <v>806</v>
      </c>
      <c r="F903" s="14" t="s">
        <v>3486</v>
      </c>
      <c r="G903" s="14" t="s">
        <v>3487</v>
      </c>
      <c r="H903" s="15" t="s">
        <v>16</v>
      </c>
      <c r="I903" s="15" t="s">
        <v>3488</v>
      </c>
      <c r="J903" s="2">
        <v>1.0</v>
      </c>
      <c r="K903" s="12" t="s">
        <v>4207</v>
      </c>
      <c r="L903" s="16">
        <v>60000.0</v>
      </c>
    </row>
    <row r="904" hidden="1">
      <c r="A904" s="1" t="s">
        <v>804</v>
      </c>
      <c r="B904" s="1" t="s">
        <v>804</v>
      </c>
      <c r="C904" s="13">
        <v>45762.46111111111</v>
      </c>
      <c r="D904" s="2" t="s">
        <v>805</v>
      </c>
      <c r="E904" s="2" t="s">
        <v>806</v>
      </c>
      <c r="F904" s="14" t="s">
        <v>3506</v>
      </c>
      <c r="G904" s="14" t="s">
        <v>3507</v>
      </c>
      <c r="H904" s="15" t="s">
        <v>16</v>
      </c>
      <c r="I904" s="15" t="s">
        <v>3488</v>
      </c>
      <c r="J904" s="2">
        <v>1.0</v>
      </c>
      <c r="K904" s="19"/>
      <c r="L904" s="16">
        <v>60000.0</v>
      </c>
    </row>
    <row r="905" hidden="1">
      <c r="A905" s="1" t="s">
        <v>807</v>
      </c>
      <c r="B905" s="1" t="s">
        <v>807</v>
      </c>
      <c r="C905" s="13">
        <v>45762.46319444444</v>
      </c>
      <c r="D905" s="2" t="s">
        <v>805</v>
      </c>
      <c r="E905" s="2" t="s">
        <v>806</v>
      </c>
      <c r="F905" s="14" t="s">
        <v>3506</v>
      </c>
      <c r="G905" s="14" t="s">
        <v>3507</v>
      </c>
      <c r="H905" s="15" t="s">
        <v>24</v>
      </c>
      <c r="I905" s="15" t="s">
        <v>3491</v>
      </c>
      <c r="J905" s="2">
        <v>1.0</v>
      </c>
      <c r="K905" s="19"/>
      <c r="L905" s="16">
        <v>0.0</v>
      </c>
    </row>
    <row r="906" hidden="1">
      <c r="A906" s="1" t="s">
        <v>802</v>
      </c>
      <c r="B906" s="1" t="s">
        <v>802</v>
      </c>
      <c r="C906" s="13">
        <v>45762.60138888889</v>
      </c>
      <c r="D906" s="5" t="s">
        <v>349</v>
      </c>
      <c r="E906" s="2" t="s">
        <v>350</v>
      </c>
      <c r="F906" s="14" t="s">
        <v>3547</v>
      </c>
      <c r="G906" s="14" t="s">
        <v>3548</v>
      </c>
      <c r="H906" s="15" t="s">
        <v>24</v>
      </c>
      <c r="I906" s="15" t="s">
        <v>3491</v>
      </c>
      <c r="J906" s="2">
        <v>6.0</v>
      </c>
      <c r="K906" s="19"/>
      <c r="L906" s="16">
        <v>0.0</v>
      </c>
    </row>
    <row r="907" hidden="1">
      <c r="A907" s="1" t="s">
        <v>808</v>
      </c>
      <c r="B907" s="1" t="s">
        <v>808</v>
      </c>
      <c r="C907" s="13">
        <v>45763.3625</v>
      </c>
      <c r="D907" s="5" t="s">
        <v>786</v>
      </c>
      <c r="E907" s="2" t="s">
        <v>787</v>
      </c>
      <c r="F907" s="14" t="s">
        <v>3516</v>
      </c>
      <c r="G907" s="14" t="s">
        <v>3517</v>
      </c>
      <c r="H907" s="15" t="s">
        <v>16</v>
      </c>
      <c r="I907" s="15" t="s">
        <v>3488</v>
      </c>
      <c r="J907" s="2">
        <v>2.0</v>
      </c>
      <c r="K907" s="12" t="s">
        <v>4208</v>
      </c>
      <c r="L907" s="16">
        <v>170000.0</v>
      </c>
    </row>
    <row r="908" hidden="1">
      <c r="A908" s="1" t="s">
        <v>808</v>
      </c>
      <c r="B908" s="1" t="s">
        <v>808</v>
      </c>
      <c r="C908" s="13">
        <v>45763.36319444444</v>
      </c>
      <c r="D908" s="5" t="s">
        <v>786</v>
      </c>
      <c r="E908" s="2" t="s">
        <v>787</v>
      </c>
      <c r="F908" s="14" t="s">
        <v>3486</v>
      </c>
      <c r="G908" s="14" t="s">
        <v>3487</v>
      </c>
      <c r="H908" s="15" t="s">
        <v>16</v>
      </c>
      <c r="I908" s="15" t="s">
        <v>3488</v>
      </c>
      <c r="J908" s="2">
        <v>3.0</v>
      </c>
      <c r="K908" s="12" t="s">
        <v>4209</v>
      </c>
      <c r="L908" s="16">
        <v>60000.0</v>
      </c>
    </row>
    <row r="909" hidden="1">
      <c r="A909" s="1" t="s">
        <v>809</v>
      </c>
      <c r="B909" s="1" t="s">
        <v>809</v>
      </c>
      <c r="C909" s="13">
        <v>45763.39861111111</v>
      </c>
      <c r="D909" s="5" t="s">
        <v>49</v>
      </c>
      <c r="E909" s="2" t="s">
        <v>50</v>
      </c>
      <c r="F909" s="14" t="s">
        <v>3486</v>
      </c>
      <c r="G909" s="14" t="s">
        <v>3487</v>
      </c>
      <c r="H909" s="15" t="s">
        <v>16</v>
      </c>
      <c r="I909" s="15" t="s">
        <v>3488</v>
      </c>
      <c r="J909" s="2">
        <v>4.0</v>
      </c>
      <c r="K909" s="12" t="s">
        <v>4210</v>
      </c>
      <c r="L909" s="16">
        <v>60000.0</v>
      </c>
    </row>
    <row r="910" hidden="1">
      <c r="A910" s="1" t="s">
        <v>810</v>
      </c>
      <c r="B910" s="1" t="s">
        <v>810</v>
      </c>
      <c r="C910" s="13">
        <v>45763.450694444444</v>
      </c>
      <c r="D910" s="5" t="s">
        <v>49</v>
      </c>
      <c r="E910" s="2" t="s">
        <v>50</v>
      </c>
      <c r="F910" s="14" t="s">
        <v>3486</v>
      </c>
      <c r="G910" s="14" t="s">
        <v>3487</v>
      </c>
      <c r="H910" s="15" t="s">
        <v>24</v>
      </c>
      <c r="I910" s="15" t="s">
        <v>3491</v>
      </c>
      <c r="J910" s="2">
        <v>6.0</v>
      </c>
      <c r="K910" s="12" t="s">
        <v>4211</v>
      </c>
      <c r="L910" s="16">
        <v>0.0</v>
      </c>
    </row>
    <row r="911" hidden="1">
      <c r="A911" s="1" t="s">
        <v>811</v>
      </c>
      <c r="B911" s="1" t="s">
        <v>811</v>
      </c>
      <c r="C911" s="13">
        <v>45763.51875</v>
      </c>
      <c r="D911" s="5" t="s">
        <v>812</v>
      </c>
      <c r="E911" s="2" t="s">
        <v>813</v>
      </c>
      <c r="F911" s="14" t="s">
        <v>3506</v>
      </c>
      <c r="G911" s="14" t="s">
        <v>3507</v>
      </c>
      <c r="H911" s="15" t="s">
        <v>24</v>
      </c>
      <c r="I911" s="15" t="s">
        <v>3491</v>
      </c>
      <c r="J911" s="2">
        <v>30.0</v>
      </c>
      <c r="K911" s="19"/>
      <c r="L911" s="16">
        <v>0.0</v>
      </c>
    </row>
    <row r="912" hidden="1">
      <c r="A912" s="1" t="s">
        <v>4212</v>
      </c>
      <c r="B912" s="1" t="s">
        <v>4212</v>
      </c>
      <c r="C912" s="13">
        <v>45763.64444444444</v>
      </c>
      <c r="D912" s="5" t="s">
        <v>812</v>
      </c>
      <c r="E912" s="2" t="s">
        <v>813</v>
      </c>
      <c r="F912" s="14" t="s">
        <v>3506</v>
      </c>
      <c r="G912" s="14" t="s">
        <v>3507</v>
      </c>
      <c r="H912" s="15" t="s">
        <v>16</v>
      </c>
      <c r="I912" s="15" t="s">
        <v>3488</v>
      </c>
      <c r="J912" s="2">
        <v>30.0</v>
      </c>
      <c r="K912" s="19"/>
      <c r="L912" s="16">
        <v>50000.0</v>
      </c>
    </row>
    <row r="913" hidden="1">
      <c r="A913" s="1" t="s">
        <v>815</v>
      </c>
      <c r="B913" s="1" t="s">
        <v>815</v>
      </c>
      <c r="C913" s="13">
        <v>45763.52777777778</v>
      </c>
      <c r="D913" s="5" t="s">
        <v>786</v>
      </c>
      <c r="E913" s="2" t="s">
        <v>787</v>
      </c>
      <c r="F913" s="14" t="s">
        <v>3486</v>
      </c>
      <c r="G913" s="14" t="s">
        <v>3487</v>
      </c>
      <c r="H913" s="15" t="s">
        <v>24</v>
      </c>
      <c r="I913" s="15" t="s">
        <v>3491</v>
      </c>
      <c r="J913" s="2">
        <v>3.0</v>
      </c>
      <c r="K913" s="12" t="s">
        <v>4213</v>
      </c>
      <c r="L913" s="16">
        <v>0.0</v>
      </c>
    </row>
    <row r="914" hidden="1">
      <c r="A914" s="1" t="s">
        <v>816</v>
      </c>
      <c r="B914" s="1" t="s">
        <v>816</v>
      </c>
      <c r="C914" s="13">
        <v>45763.569444444445</v>
      </c>
      <c r="D914" s="5" t="s">
        <v>213</v>
      </c>
      <c r="E914" s="2" t="s">
        <v>214</v>
      </c>
      <c r="F914" s="14" t="s">
        <v>3486</v>
      </c>
      <c r="G914" s="14" t="s">
        <v>3487</v>
      </c>
      <c r="H914" s="15" t="s">
        <v>16</v>
      </c>
      <c r="I914" s="15" t="s">
        <v>3488</v>
      </c>
      <c r="J914" s="2">
        <v>10.0</v>
      </c>
      <c r="K914" s="12" t="s">
        <v>4214</v>
      </c>
      <c r="L914" s="16">
        <v>60000.0</v>
      </c>
    </row>
    <row r="915" hidden="1">
      <c r="A915" s="1" t="s">
        <v>817</v>
      </c>
      <c r="B915" s="1" t="s">
        <v>817</v>
      </c>
      <c r="C915" s="13">
        <v>45764.34444444445</v>
      </c>
      <c r="D915" s="5" t="s">
        <v>305</v>
      </c>
      <c r="E915" s="2" t="s">
        <v>306</v>
      </c>
      <c r="F915" s="14" t="s">
        <v>3486</v>
      </c>
      <c r="G915" s="14" t="s">
        <v>3487</v>
      </c>
      <c r="H915" s="15" t="s">
        <v>16</v>
      </c>
      <c r="I915" s="15" t="s">
        <v>3488</v>
      </c>
      <c r="J915" s="2">
        <v>5.0</v>
      </c>
      <c r="K915" s="12" t="s">
        <v>4215</v>
      </c>
      <c r="L915" s="16">
        <v>47297.2973</v>
      </c>
    </row>
    <row r="916" hidden="1">
      <c r="A916" s="1" t="s">
        <v>818</v>
      </c>
      <c r="B916" s="1" t="s">
        <v>818</v>
      </c>
      <c r="C916" s="13">
        <v>45764.39791666667</v>
      </c>
      <c r="D916" s="5" t="s">
        <v>493</v>
      </c>
      <c r="E916" s="2" t="s">
        <v>494</v>
      </c>
      <c r="F916" s="14" t="s">
        <v>3486</v>
      </c>
      <c r="G916" s="14" t="s">
        <v>3487</v>
      </c>
      <c r="H916" s="15" t="s">
        <v>16</v>
      </c>
      <c r="I916" s="15" t="s">
        <v>3488</v>
      </c>
      <c r="J916" s="2">
        <v>5.0</v>
      </c>
      <c r="K916" s="12" t="s">
        <v>4216</v>
      </c>
      <c r="L916" s="16">
        <v>50000.0</v>
      </c>
    </row>
    <row r="917" hidden="1">
      <c r="A917" s="1" t="s">
        <v>818</v>
      </c>
      <c r="B917" s="1" t="s">
        <v>818</v>
      </c>
      <c r="C917" s="13">
        <v>45764.39791666667</v>
      </c>
      <c r="D917" s="5" t="s">
        <v>493</v>
      </c>
      <c r="E917" s="2" t="s">
        <v>494</v>
      </c>
      <c r="F917" s="14" t="s">
        <v>3493</v>
      </c>
      <c r="G917" s="14" t="s">
        <v>3494</v>
      </c>
      <c r="H917" s="15" t="s">
        <v>16</v>
      </c>
      <c r="I917" s="15" t="s">
        <v>3488</v>
      </c>
      <c r="J917" s="2">
        <v>2.0</v>
      </c>
      <c r="K917" s="19"/>
      <c r="L917" s="16">
        <v>215000.0</v>
      </c>
    </row>
    <row r="918" hidden="1">
      <c r="A918" s="1" t="s">
        <v>819</v>
      </c>
      <c r="B918" s="1" t="s">
        <v>819</v>
      </c>
      <c r="C918" s="13">
        <v>45764.49930555555</v>
      </c>
      <c r="D918" s="5" t="s">
        <v>383</v>
      </c>
      <c r="E918" s="2" t="s">
        <v>384</v>
      </c>
      <c r="F918" s="14" t="s">
        <v>3486</v>
      </c>
      <c r="G918" s="14" t="s">
        <v>3487</v>
      </c>
      <c r="H918" s="15" t="s">
        <v>24</v>
      </c>
      <c r="I918" s="15" t="s">
        <v>3491</v>
      </c>
      <c r="J918" s="2">
        <v>1.0</v>
      </c>
      <c r="K918" s="12" t="s">
        <v>4198</v>
      </c>
      <c r="L918" s="16">
        <v>0.0</v>
      </c>
    </row>
    <row r="919" hidden="1">
      <c r="A919" s="1" t="s">
        <v>820</v>
      </c>
      <c r="B919" s="1" t="s">
        <v>820</v>
      </c>
      <c r="C919" s="13">
        <v>45764.49930555555</v>
      </c>
      <c r="D919" s="5" t="s">
        <v>326</v>
      </c>
      <c r="E919" s="2" t="s">
        <v>327</v>
      </c>
      <c r="F919" s="14" t="s">
        <v>3486</v>
      </c>
      <c r="G919" s="14" t="s">
        <v>3487</v>
      </c>
      <c r="H919" s="15" t="s">
        <v>24</v>
      </c>
      <c r="I919" s="15" t="s">
        <v>3491</v>
      </c>
      <c r="J919" s="2">
        <v>5.0</v>
      </c>
      <c r="K919" s="12" t="s">
        <v>4217</v>
      </c>
      <c r="L919" s="16">
        <v>0.0</v>
      </c>
    </row>
    <row r="920" hidden="1">
      <c r="A920" s="1" t="s">
        <v>821</v>
      </c>
      <c r="B920" s="1" t="s">
        <v>821</v>
      </c>
      <c r="C920" s="13">
        <v>45764.50069444445</v>
      </c>
      <c r="D920" s="5" t="s">
        <v>305</v>
      </c>
      <c r="E920" s="2" t="s">
        <v>306</v>
      </c>
      <c r="F920" s="14" t="s">
        <v>3486</v>
      </c>
      <c r="G920" s="14" t="s">
        <v>3487</v>
      </c>
      <c r="H920" s="15" t="s">
        <v>24</v>
      </c>
      <c r="I920" s="15" t="s">
        <v>3491</v>
      </c>
      <c r="J920" s="2">
        <v>2.0</v>
      </c>
      <c r="K920" s="12" t="s">
        <v>4218</v>
      </c>
      <c r="L920" s="16">
        <v>0.0</v>
      </c>
    </row>
    <row r="921" hidden="1">
      <c r="A921" s="1" t="s">
        <v>822</v>
      </c>
      <c r="B921" s="1" t="s">
        <v>822</v>
      </c>
      <c r="C921" s="13">
        <v>45763.71041666667</v>
      </c>
      <c r="D921" s="5" t="s">
        <v>213</v>
      </c>
      <c r="E921" s="2" t="s">
        <v>214</v>
      </c>
      <c r="F921" s="14" t="s">
        <v>3486</v>
      </c>
      <c r="G921" s="14" t="s">
        <v>3487</v>
      </c>
      <c r="H921" s="15" t="s">
        <v>24</v>
      </c>
      <c r="I921" s="15" t="s">
        <v>3491</v>
      </c>
      <c r="J921" s="2">
        <v>12.0</v>
      </c>
      <c r="K921" s="12" t="s">
        <v>4219</v>
      </c>
      <c r="L921" s="16">
        <v>0.0</v>
      </c>
    </row>
    <row r="922" hidden="1">
      <c r="A922" s="1" t="s">
        <v>822</v>
      </c>
      <c r="B922" s="1" t="s">
        <v>822</v>
      </c>
      <c r="C922" s="13">
        <v>45763.71111111111</v>
      </c>
      <c r="D922" s="5" t="s">
        <v>213</v>
      </c>
      <c r="E922" s="2" t="s">
        <v>214</v>
      </c>
      <c r="F922" s="14" t="s">
        <v>3493</v>
      </c>
      <c r="G922" s="14" t="s">
        <v>3494</v>
      </c>
      <c r="H922" s="15" t="s">
        <v>24</v>
      </c>
      <c r="I922" s="15" t="s">
        <v>3491</v>
      </c>
      <c r="J922" s="2">
        <v>2.0</v>
      </c>
      <c r="K922" s="19"/>
      <c r="L922" s="16">
        <v>0.0</v>
      </c>
    </row>
    <row r="923" hidden="1">
      <c r="A923" s="1" t="s">
        <v>823</v>
      </c>
      <c r="B923" s="1" t="s">
        <v>823</v>
      </c>
      <c r="C923" s="13">
        <v>45766.410416666666</v>
      </c>
      <c r="D923" s="5" t="s">
        <v>326</v>
      </c>
      <c r="E923" s="2" t="s">
        <v>327</v>
      </c>
      <c r="F923" s="14" t="s">
        <v>3486</v>
      </c>
      <c r="G923" s="14" t="s">
        <v>3487</v>
      </c>
      <c r="H923" s="15" t="s">
        <v>16</v>
      </c>
      <c r="I923" s="15" t="s">
        <v>3488</v>
      </c>
      <c r="J923" s="2">
        <v>15.0</v>
      </c>
      <c r="K923" s="12" t="s">
        <v>4220</v>
      </c>
      <c r="L923" s="16">
        <v>45000.0</v>
      </c>
    </row>
    <row r="924" hidden="1">
      <c r="A924" s="1" t="s">
        <v>823</v>
      </c>
      <c r="B924" s="1" t="s">
        <v>823</v>
      </c>
      <c r="C924" s="13">
        <v>45766.4125</v>
      </c>
      <c r="D924" s="5" t="s">
        <v>326</v>
      </c>
      <c r="E924" s="2" t="s">
        <v>327</v>
      </c>
      <c r="F924" s="14" t="s">
        <v>3522</v>
      </c>
      <c r="G924" s="14" t="s">
        <v>3523</v>
      </c>
      <c r="H924" s="15" t="s">
        <v>16</v>
      </c>
      <c r="I924" s="15" t="s">
        <v>3488</v>
      </c>
      <c r="J924" s="2">
        <v>3.0</v>
      </c>
      <c r="K924" s="12" t="s">
        <v>4221</v>
      </c>
      <c r="L924" s="16">
        <v>200000.0</v>
      </c>
    </row>
    <row r="925" hidden="1">
      <c r="A925" s="1" t="s">
        <v>824</v>
      </c>
      <c r="B925" s="1" t="s">
        <v>824</v>
      </c>
      <c r="C925" s="13">
        <v>45766.41388888889</v>
      </c>
      <c r="D925" s="5" t="s">
        <v>786</v>
      </c>
      <c r="E925" s="2" t="s">
        <v>787</v>
      </c>
      <c r="F925" s="14" t="s">
        <v>3486</v>
      </c>
      <c r="G925" s="14" t="s">
        <v>3487</v>
      </c>
      <c r="H925" s="15" t="s">
        <v>16</v>
      </c>
      <c r="I925" s="15" t="s">
        <v>3488</v>
      </c>
      <c r="J925" s="2">
        <v>5.0</v>
      </c>
      <c r="K925" s="12" t="s">
        <v>4222</v>
      </c>
      <c r="L925" s="16">
        <v>60000.0</v>
      </c>
    </row>
    <row r="926" hidden="1">
      <c r="A926" s="1" t="s">
        <v>825</v>
      </c>
      <c r="B926" s="1" t="s">
        <v>825</v>
      </c>
      <c r="C926" s="13">
        <v>45766.4875</v>
      </c>
      <c r="D926" s="5" t="s">
        <v>493</v>
      </c>
      <c r="E926" s="2" t="s">
        <v>494</v>
      </c>
      <c r="F926" s="14" t="s">
        <v>3486</v>
      </c>
      <c r="G926" s="14" t="s">
        <v>3487</v>
      </c>
      <c r="H926" s="15" t="s">
        <v>24</v>
      </c>
      <c r="I926" s="15" t="s">
        <v>3491</v>
      </c>
      <c r="J926" s="2">
        <v>11.0</v>
      </c>
      <c r="K926" s="12" t="s">
        <v>4223</v>
      </c>
      <c r="L926" s="16">
        <v>0.0</v>
      </c>
    </row>
    <row r="927" hidden="1">
      <c r="A927" s="1" t="s">
        <v>826</v>
      </c>
      <c r="B927" s="1" t="s">
        <v>826</v>
      </c>
      <c r="C927" s="13">
        <v>45766.57361111111</v>
      </c>
      <c r="D927" s="5" t="s">
        <v>326</v>
      </c>
      <c r="E927" s="2" t="s">
        <v>327</v>
      </c>
      <c r="F927" s="14" t="s">
        <v>3486</v>
      </c>
      <c r="G927" s="14" t="s">
        <v>3487</v>
      </c>
      <c r="H927" s="15" t="s">
        <v>24</v>
      </c>
      <c r="I927" s="15" t="s">
        <v>3491</v>
      </c>
      <c r="J927" s="2">
        <v>2.0</v>
      </c>
      <c r="K927" s="12" t="s">
        <v>4224</v>
      </c>
      <c r="L927" s="16">
        <v>0.0</v>
      </c>
    </row>
    <row r="928" hidden="1">
      <c r="A928" s="1" t="s">
        <v>827</v>
      </c>
      <c r="B928" s="1" t="s">
        <v>827</v>
      </c>
      <c r="C928" s="13">
        <v>45766.57361111111</v>
      </c>
      <c r="D928" s="5" t="s">
        <v>786</v>
      </c>
      <c r="E928" s="2" t="s">
        <v>787</v>
      </c>
      <c r="F928" s="14" t="s">
        <v>3486</v>
      </c>
      <c r="G928" s="14" t="s">
        <v>3487</v>
      </c>
      <c r="H928" s="15" t="s">
        <v>24</v>
      </c>
      <c r="I928" s="15" t="s">
        <v>3491</v>
      </c>
      <c r="J928" s="2">
        <v>3.0</v>
      </c>
      <c r="K928" s="12" t="s">
        <v>4225</v>
      </c>
      <c r="L928" s="16">
        <v>0.0</v>
      </c>
    </row>
    <row r="929" hidden="1">
      <c r="A929" s="1" t="s">
        <v>828</v>
      </c>
      <c r="B929" s="1" t="s">
        <v>828</v>
      </c>
      <c r="C929" s="13">
        <v>45768.33611111111</v>
      </c>
      <c r="D929" s="5" t="s">
        <v>349</v>
      </c>
      <c r="E929" s="2" t="s">
        <v>350</v>
      </c>
      <c r="F929" s="14" t="s">
        <v>3547</v>
      </c>
      <c r="G929" s="14" t="s">
        <v>3548</v>
      </c>
      <c r="H929" s="15" t="s">
        <v>16</v>
      </c>
      <c r="I929" s="15" t="s">
        <v>3488</v>
      </c>
      <c r="J929" s="2">
        <v>5.0</v>
      </c>
      <c r="K929" s="19"/>
      <c r="L929" s="16">
        <v>909909.9099</v>
      </c>
    </row>
    <row r="930" hidden="1">
      <c r="A930" s="1" t="s">
        <v>829</v>
      </c>
      <c r="B930" s="1" t="s">
        <v>829</v>
      </c>
      <c r="C930" s="13">
        <v>45768.37708333333</v>
      </c>
      <c r="D930" s="5" t="s">
        <v>464</v>
      </c>
      <c r="E930" s="2" t="s">
        <v>465</v>
      </c>
      <c r="F930" s="14" t="s">
        <v>3486</v>
      </c>
      <c r="G930" s="14" t="s">
        <v>3487</v>
      </c>
      <c r="H930" s="15" t="s">
        <v>16</v>
      </c>
      <c r="I930" s="15" t="s">
        <v>3488</v>
      </c>
      <c r="J930" s="2">
        <v>2.0</v>
      </c>
      <c r="K930" s="12" t="s">
        <v>4226</v>
      </c>
      <c r="L930" s="16">
        <v>55000.0</v>
      </c>
    </row>
    <row r="931" hidden="1">
      <c r="A931" s="1" t="s">
        <v>830</v>
      </c>
      <c r="B931" s="1" t="s">
        <v>830</v>
      </c>
      <c r="C931" s="13">
        <v>45768.4375</v>
      </c>
      <c r="D931" s="5" t="s">
        <v>349</v>
      </c>
      <c r="E931" s="2" t="s">
        <v>350</v>
      </c>
      <c r="F931" s="14" t="s">
        <v>3547</v>
      </c>
      <c r="G931" s="14" t="s">
        <v>3548</v>
      </c>
      <c r="H931" s="15" t="s">
        <v>24</v>
      </c>
      <c r="I931" s="15" t="s">
        <v>3491</v>
      </c>
      <c r="J931" s="2">
        <v>5.0</v>
      </c>
      <c r="K931" s="19"/>
      <c r="L931" s="16">
        <v>0.0</v>
      </c>
    </row>
    <row r="932">
      <c r="A932" s="1" t="s">
        <v>831</v>
      </c>
      <c r="B932" s="1" t="s">
        <v>831</v>
      </c>
      <c r="C932" s="13">
        <v>45768.509722222225</v>
      </c>
      <c r="D932" s="5" t="s">
        <v>45</v>
      </c>
      <c r="E932" s="2" t="s">
        <v>46</v>
      </c>
      <c r="F932" s="14" t="s">
        <v>3486</v>
      </c>
      <c r="G932" s="14" t="s">
        <v>3487</v>
      </c>
      <c r="H932" s="15" t="s">
        <v>24</v>
      </c>
      <c r="I932" s="15" t="s">
        <v>3491</v>
      </c>
      <c r="J932" s="2">
        <v>15.0</v>
      </c>
      <c r="K932" s="12" t="s">
        <v>4227</v>
      </c>
      <c r="L932" s="16">
        <v>0.0</v>
      </c>
    </row>
    <row r="933">
      <c r="A933" s="1" t="s">
        <v>831</v>
      </c>
      <c r="B933" s="1" t="s">
        <v>831</v>
      </c>
      <c r="C933" s="13">
        <v>45768.51180555556</v>
      </c>
      <c r="D933" s="5" t="s">
        <v>45</v>
      </c>
      <c r="E933" s="2" t="s">
        <v>46</v>
      </c>
      <c r="F933" s="14" t="s">
        <v>3522</v>
      </c>
      <c r="G933" s="14" t="s">
        <v>3523</v>
      </c>
      <c r="H933" s="15" t="s">
        <v>24</v>
      </c>
      <c r="I933" s="15" t="s">
        <v>3491</v>
      </c>
      <c r="J933" s="2">
        <v>1.0</v>
      </c>
      <c r="K933" s="12" t="s">
        <v>4228</v>
      </c>
      <c r="L933" s="16">
        <v>0.0</v>
      </c>
    </row>
    <row r="934">
      <c r="A934" s="1" t="s">
        <v>831</v>
      </c>
      <c r="B934" s="1" t="s">
        <v>831</v>
      </c>
      <c r="C934" s="13">
        <v>45768.51180555556</v>
      </c>
      <c r="D934" s="5" t="s">
        <v>45</v>
      </c>
      <c r="E934" s="2" t="s">
        <v>46</v>
      </c>
      <c r="F934" s="14" t="s">
        <v>3493</v>
      </c>
      <c r="G934" s="14" t="s">
        <v>3494</v>
      </c>
      <c r="H934" s="15" t="s">
        <v>24</v>
      </c>
      <c r="I934" s="15" t="s">
        <v>3491</v>
      </c>
      <c r="J934" s="2">
        <v>3.0</v>
      </c>
      <c r="K934" s="19"/>
      <c r="L934" s="16">
        <v>0.0</v>
      </c>
    </row>
    <row r="935" hidden="1">
      <c r="A935" s="1" t="s">
        <v>832</v>
      </c>
      <c r="B935" s="1" t="s">
        <v>832</v>
      </c>
      <c r="C935" s="13">
        <v>45768.51180555556</v>
      </c>
      <c r="D935" s="5" t="s">
        <v>464</v>
      </c>
      <c r="E935" s="2" t="s">
        <v>465</v>
      </c>
      <c r="F935" s="14" t="s">
        <v>3486</v>
      </c>
      <c r="G935" s="14" t="s">
        <v>3487</v>
      </c>
      <c r="H935" s="15" t="s">
        <v>24</v>
      </c>
      <c r="I935" s="15" t="s">
        <v>3491</v>
      </c>
      <c r="J935" s="2">
        <v>1.0</v>
      </c>
      <c r="K935" s="12" t="s">
        <v>3940</v>
      </c>
      <c r="L935" s="16">
        <v>0.0</v>
      </c>
    </row>
    <row r="936" hidden="1">
      <c r="A936" s="1" t="s">
        <v>832</v>
      </c>
      <c r="B936" s="1" t="s">
        <v>832</v>
      </c>
      <c r="C936" s="13">
        <v>45768.51180555556</v>
      </c>
      <c r="D936" s="5" t="s">
        <v>464</v>
      </c>
      <c r="E936" s="2" t="s">
        <v>465</v>
      </c>
      <c r="F936" s="14" t="s">
        <v>3506</v>
      </c>
      <c r="G936" s="14" t="s">
        <v>3507</v>
      </c>
      <c r="H936" s="15" t="s">
        <v>24</v>
      </c>
      <c r="I936" s="15" t="s">
        <v>3491</v>
      </c>
      <c r="J936" s="2">
        <v>2.0</v>
      </c>
      <c r="K936" s="19"/>
      <c r="L936" s="16">
        <v>0.0</v>
      </c>
    </row>
    <row r="937" hidden="1">
      <c r="A937" s="1" t="s">
        <v>833</v>
      </c>
      <c r="B937" s="1" t="s">
        <v>833</v>
      </c>
      <c r="C937" s="13">
        <v>45768.5125</v>
      </c>
      <c r="D937" s="5" t="s">
        <v>441</v>
      </c>
      <c r="E937" s="2" t="s">
        <v>442</v>
      </c>
      <c r="F937" s="14" t="s">
        <v>3486</v>
      </c>
      <c r="G937" s="14" t="s">
        <v>3487</v>
      </c>
      <c r="H937" s="15" t="s">
        <v>24</v>
      </c>
      <c r="I937" s="15" t="s">
        <v>3491</v>
      </c>
      <c r="J937" s="2">
        <v>2.0</v>
      </c>
      <c r="K937" s="12" t="s">
        <v>4229</v>
      </c>
      <c r="L937" s="16">
        <v>0.0</v>
      </c>
    </row>
    <row r="938" hidden="1">
      <c r="A938" s="1" t="s">
        <v>834</v>
      </c>
      <c r="B938" s="1" t="s">
        <v>834</v>
      </c>
      <c r="C938" s="13">
        <v>45768.618055555555</v>
      </c>
      <c r="D938" s="5" t="s">
        <v>685</v>
      </c>
      <c r="E938" s="2" t="s">
        <v>686</v>
      </c>
      <c r="F938" s="14" t="s">
        <v>3493</v>
      </c>
      <c r="G938" s="14" t="s">
        <v>3494</v>
      </c>
      <c r="H938" s="15" t="s">
        <v>16</v>
      </c>
      <c r="I938" s="15" t="s">
        <v>3488</v>
      </c>
      <c r="J938" s="2">
        <v>1.0</v>
      </c>
      <c r="K938" s="19"/>
      <c r="L938" s="16">
        <v>189189.19</v>
      </c>
    </row>
    <row r="939" hidden="1">
      <c r="A939" s="1" t="s">
        <v>835</v>
      </c>
      <c r="B939" s="1" t="s">
        <v>835</v>
      </c>
      <c r="C939" s="13">
        <v>45768.71319444444</v>
      </c>
      <c r="D939" s="5" t="s">
        <v>685</v>
      </c>
      <c r="E939" s="2" t="s">
        <v>686</v>
      </c>
      <c r="F939" s="14" t="s">
        <v>3493</v>
      </c>
      <c r="G939" s="14" t="s">
        <v>3494</v>
      </c>
      <c r="H939" s="15" t="s">
        <v>24</v>
      </c>
      <c r="I939" s="15" t="s">
        <v>3491</v>
      </c>
      <c r="J939" s="2">
        <v>1.0</v>
      </c>
      <c r="K939" s="19"/>
      <c r="L939" s="16">
        <v>0.0</v>
      </c>
    </row>
    <row r="940" hidden="1">
      <c r="A940" s="1" t="s">
        <v>836</v>
      </c>
      <c r="B940" s="1" t="s">
        <v>836</v>
      </c>
      <c r="C940" s="13">
        <v>45769.39722222222</v>
      </c>
      <c r="D940" s="5" t="s">
        <v>464</v>
      </c>
      <c r="E940" s="2" t="s">
        <v>465</v>
      </c>
      <c r="F940" s="14" t="s">
        <v>3506</v>
      </c>
      <c r="G940" s="14" t="s">
        <v>3507</v>
      </c>
      <c r="H940" s="15" t="s">
        <v>16</v>
      </c>
      <c r="I940" s="15" t="s">
        <v>3488</v>
      </c>
      <c r="J940" s="2">
        <v>2.0</v>
      </c>
      <c r="K940" s="12" t="s">
        <v>4230</v>
      </c>
      <c r="L940" s="16">
        <v>55000.0</v>
      </c>
    </row>
    <row r="941" hidden="1">
      <c r="A941" s="1" t="s">
        <v>837</v>
      </c>
      <c r="B941" s="1" t="s">
        <v>837</v>
      </c>
      <c r="C941" s="13">
        <v>45769.5125</v>
      </c>
      <c r="D941" s="5" t="s">
        <v>55</v>
      </c>
      <c r="E941" s="2" t="s">
        <v>56</v>
      </c>
      <c r="F941" s="14" t="s">
        <v>3486</v>
      </c>
      <c r="G941" s="14" t="s">
        <v>3487</v>
      </c>
      <c r="H941" s="15" t="s">
        <v>16</v>
      </c>
      <c r="I941" s="15" t="s">
        <v>3488</v>
      </c>
      <c r="J941" s="2">
        <v>5.0</v>
      </c>
      <c r="K941" s="12" t="s">
        <v>4231</v>
      </c>
      <c r="L941" s="16">
        <v>60000.0</v>
      </c>
    </row>
    <row r="942" hidden="1">
      <c r="A942" s="1" t="s">
        <v>838</v>
      </c>
      <c r="B942" s="1" t="s">
        <v>838</v>
      </c>
      <c r="C942" s="13">
        <v>45769.59722222222</v>
      </c>
      <c r="D942" s="5" t="s">
        <v>55</v>
      </c>
      <c r="E942" s="2" t="s">
        <v>56</v>
      </c>
      <c r="F942" s="14" t="s">
        <v>3486</v>
      </c>
      <c r="G942" s="14" t="s">
        <v>3487</v>
      </c>
      <c r="H942" s="15" t="s">
        <v>24</v>
      </c>
      <c r="I942" s="15" t="s">
        <v>3491</v>
      </c>
      <c r="J942" s="2">
        <v>1.0</v>
      </c>
      <c r="K942" s="12" t="s">
        <v>3738</v>
      </c>
      <c r="L942" s="16">
        <v>0.0</v>
      </c>
    </row>
    <row r="943" hidden="1">
      <c r="A943" s="1" t="s">
        <v>839</v>
      </c>
      <c r="B943" s="1" t="s">
        <v>839</v>
      </c>
      <c r="C943" s="13">
        <v>45769.75902777778</v>
      </c>
      <c r="D943" s="5" t="s">
        <v>309</v>
      </c>
      <c r="E943" s="2" t="s">
        <v>310</v>
      </c>
      <c r="F943" s="14" t="s">
        <v>3506</v>
      </c>
      <c r="G943" s="14" t="s">
        <v>3507</v>
      </c>
      <c r="H943" s="15" t="s">
        <v>24</v>
      </c>
      <c r="I943" s="15" t="s">
        <v>3491</v>
      </c>
      <c r="J943" s="2">
        <v>4.0</v>
      </c>
      <c r="K943" s="19"/>
      <c r="L943" s="16">
        <v>0.0</v>
      </c>
    </row>
    <row r="944" hidden="1">
      <c r="A944" s="1" t="s">
        <v>840</v>
      </c>
      <c r="B944" s="1" t="s">
        <v>840</v>
      </c>
      <c r="C944" s="13">
        <v>45769.75902777778</v>
      </c>
      <c r="D944" s="5" t="s">
        <v>213</v>
      </c>
      <c r="E944" s="2" t="s">
        <v>214</v>
      </c>
      <c r="F944" s="14" t="s">
        <v>3486</v>
      </c>
      <c r="G944" s="14" t="s">
        <v>3487</v>
      </c>
      <c r="H944" s="15" t="s">
        <v>24</v>
      </c>
      <c r="I944" s="15" t="s">
        <v>3491</v>
      </c>
      <c r="J944" s="2">
        <v>7.0</v>
      </c>
      <c r="K944" s="12" t="s">
        <v>4232</v>
      </c>
      <c r="L944" s="16">
        <v>0.0</v>
      </c>
    </row>
    <row r="945" hidden="1">
      <c r="A945" s="1" t="s">
        <v>841</v>
      </c>
      <c r="B945" s="1" t="s">
        <v>841</v>
      </c>
      <c r="C945" s="13">
        <v>45770.35555555556</v>
      </c>
      <c r="D945" s="5" t="s">
        <v>109</v>
      </c>
      <c r="E945" s="2" t="s">
        <v>110</v>
      </c>
      <c r="F945" s="14" t="s">
        <v>3486</v>
      </c>
      <c r="G945" s="14" t="s">
        <v>3487</v>
      </c>
      <c r="H945" s="15" t="s">
        <v>16</v>
      </c>
      <c r="I945" s="15" t="s">
        <v>3488</v>
      </c>
      <c r="J945" s="2">
        <v>3.0</v>
      </c>
      <c r="K945" s="12" t="s">
        <v>4233</v>
      </c>
      <c r="L945" s="16">
        <v>60000.0</v>
      </c>
    </row>
    <row r="946" hidden="1">
      <c r="A946" s="1" t="s">
        <v>842</v>
      </c>
      <c r="B946" s="1" t="s">
        <v>842</v>
      </c>
      <c r="C946" s="13">
        <v>45770.3625</v>
      </c>
      <c r="D946" s="5" t="s">
        <v>326</v>
      </c>
      <c r="E946" s="2" t="s">
        <v>327</v>
      </c>
      <c r="F946" s="14" t="s">
        <v>3522</v>
      </c>
      <c r="G946" s="14" t="s">
        <v>3523</v>
      </c>
      <c r="H946" s="15" t="s">
        <v>159</v>
      </c>
      <c r="I946" s="15" t="s">
        <v>3619</v>
      </c>
      <c r="J946" s="2">
        <v>1.0</v>
      </c>
      <c r="K946" s="12" t="s">
        <v>4234</v>
      </c>
      <c r="L946" s="16">
        <v>0.0</v>
      </c>
    </row>
    <row r="947" hidden="1">
      <c r="A947" s="1" t="s">
        <v>843</v>
      </c>
      <c r="B947" s="1" t="s">
        <v>843</v>
      </c>
      <c r="C947" s="13">
        <v>45770.37569444445</v>
      </c>
      <c r="D947" s="5" t="s">
        <v>309</v>
      </c>
      <c r="E947" s="2" t="s">
        <v>310</v>
      </c>
      <c r="F947" s="14" t="s">
        <v>3506</v>
      </c>
      <c r="G947" s="14" t="s">
        <v>3507</v>
      </c>
      <c r="H947" s="15" t="s">
        <v>16</v>
      </c>
      <c r="I947" s="15" t="s">
        <v>3488</v>
      </c>
      <c r="J947" s="2">
        <v>4.0</v>
      </c>
      <c r="K947" s="19"/>
      <c r="L947" s="16">
        <v>55000.0</v>
      </c>
    </row>
    <row r="948" hidden="1">
      <c r="A948" s="1" t="s">
        <v>844</v>
      </c>
      <c r="B948" s="1" t="s">
        <v>844</v>
      </c>
      <c r="C948" s="13">
        <v>45770.52777777778</v>
      </c>
      <c r="D948" s="5" t="s">
        <v>109</v>
      </c>
      <c r="E948" s="2" t="s">
        <v>110</v>
      </c>
      <c r="F948" s="14" t="s">
        <v>3486</v>
      </c>
      <c r="G948" s="14" t="s">
        <v>3487</v>
      </c>
      <c r="H948" s="15" t="s">
        <v>24</v>
      </c>
      <c r="I948" s="15" t="s">
        <v>3491</v>
      </c>
      <c r="J948" s="2">
        <v>5.0</v>
      </c>
      <c r="K948" s="12" t="s">
        <v>4235</v>
      </c>
      <c r="L948" s="16">
        <v>0.0</v>
      </c>
    </row>
    <row r="949" hidden="1">
      <c r="A949" s="1" t="s">
        <v>844</v>
      </c>
      <c r="B949" s="1" t="s">
        <v>844</v>
      </c>
      <c r="C949" s="13">
        <v>45770.52847222222</v>
      </c>
      <c r="D949" s="5" t="s">
        <v>109</v>
      </c>
      <c r="E949" s="2" t="s">
        <v>110</v>
      </c>
      <c r="F949" s="14" t="s">
        <v>3516</v>
      </c>
      <c r="G949" s="14" t="s">
        <v>3517</v>
      </c>
      <c r="H949" s="15" t="s">
        <v>24</v>
      </c>
      <c r="I949" s="15" t="s">
        <v>3491</v>
      </c>
      <c r="J949" s="2">
        <v>1.0</v>
      </c>
      <c r="K949" s="12" t="s">
        <v>4236</v>
      </c>
      <c r="L949" s="16">
        <v>0.0</v>
      </c>
    </row>
    <row r="950" hidden="1">
      <c r="A950" s="1" t="s">
        <v>844</v>
      </c>
      <c r="B950" s="1" t="s">
        <v>844</v>
      </c>
      <c r="C950" s="13">
        <v>45770.52847222222</v>
      </c>
      <c r="D950" s="5" t="s">
        <v>109</v>
      </c>
      <c r="E950" s="2" t="s">
        <v>110</v>
      </c>
      <c r="F950" s="14" t="s">
        <v>3522</v>
      </c>
      <c r="G950" s="14" t="s">
        <v>3523</v>
      </c>
      <c r="H950" s="15" t="s">
        <v>24</v>
      </c>
      <c r="I950" s="15" t="s">
        <v>3491</v>
      </c>
      <c r="J950" s="2">
        <v>1.0</v>
      </c>
      <c r="K950" s="12" t="s">
        <v>4237</v>
      </c>
      <c r="L950" s="16">
        <v>0.0</v>
      </c>
    </row>
    <row r="951" hidden="1">
      <c r="A951" s="1" t="s">
        <v>845</v>
      </c>
      <c r="B951" s="1" t="s">
        <v>845</v>
      </c>
      <c r="C951" s="13">
        <v>45770.52847222222</v>
      </c>
      <c r="D951" s="5" t="s">
        <v>326</v>
      </c>
      <c r="E951" s="2" t="s">
        <v>327</v>
      </c>
      <c r="F951" s="14" t="s">
        <v>3486</v>
      </c>
      <c r="G951" s="14" t="s">
        <v>3487</v>
      </c>
      <c r="H951" s="15" t="s">
        <v>24</v>
      </c>
      <c r="I951" s="15" t="s">
        <v>3491</v>
      </c>
      <c r="J951" s="2">
        <v>3.0</v>
      </c>
      <c r="K951" s="12" t="s">
        <v>4238</v>
      </c>
      <c r="L951" s="16">
        <v>0.0</v>
      </c>
    </row>
    <row r="952" hidden="1">
      <c r="A952" s="1" t="s">
        <v>846</v>
      </c>
      <c r="B952" s="1" t="s">
        <v>846</v>
      </c>
      <c r="C952" s="13">
        <v>45771.47083333333</v>
      </c>
      <c r="D952" s="5" t="s">
        <v>149</v>
      </c>
      <c r="E952" s="2" t="s">
        <v>150</v>
      </c>
      <c r="F952" s="14" t="s">
        <v>3486</v>
      </c>
      <c r="G952" s="14" t="s">
        <v>3487</v>
      </c>
      <c r="H952" s="15" t="s">
        <v>24</v>
      </c>
      <c r="I952" s="15" t="s">
        <v>3491</v>
      </c>
      <c r="J952" s="2">
        <v>1.0</v>
      </c>
      <c r="K952" s="12" t="s">
        <v>4239</v>
      </c>
      <c r="L952" s="16">
        <v>0.0</v>
      </c>
    </row>
    <row r="953" hidden="1">
      <c r="A953" s="1" t="s">
        <v>847</v>
      </c>
      <c r="B953" s="1" t="s">
        <v>847</v>
      </c>
      <c r="C953" s="13">
        <v>45772.32638888889</v>
      </c>
      <c r="D953" s="5" t="s">
        <v>349</v>
      </c>
      <c r="E953" s="2" t="s">
        <v>350</v>
      </c>
      <c r="F953" s="14" t="s">
        <v>3547</v>
      </c>
      <c r="G953" s="14" t="s">
        <v>3548</v>
      </c>
      <c r="H953" s="15" t="s">
        <v>16</v>
      </c>
      <c r="I953" s="15" t="s">
        <v>3488</v>
      </c>
      <c r="J953" s="2">
        <v>5.0</v>
      </c>
      <c r="K953" s="19"/>
      <c r="L953" s="16">
        <v>909909.9099</v>
      </c>
    </row>
    <row r="954" hidden="1">
      <c r="A954" s="1" t="s">
        <v>848</v>
      </c>
      <c r="B954" s="1" t="s">
        <v>848</v>
      </c>
      <c r="C954" s="13">
        <v>45772.35208333333</v>
      </c>
      <c r="D954" s="2" t="s">
        <v>849</v>
      </c>
      <c r="E954" s="2" t="s">
        <v>850</v>
      </c>
      <c r="F954" s="14" t="s">
        <v>3493</v>
      </c>
      <c r="G954" s="14" t="s">
        <v>3494</v>
      </c>
      <c r="H954" s="15" t="s">
        <v>16</v>
      </c>
      <c r="I954" s="15" t="s">
        <v>3488</v>
      </c>
      <c r="J954" s="2">
        <v>1.0</v>
      </c>
      <c r="K954" s="19"/>
      <c r="L954" s="16">
        <v>210000.0</v>
      </c>
    </row>
    <row r="955" hidden="1">
      <c r="A955" s="1" t="s">
        <v>848</v>
      </c>
      <c r="B955" s="1" t="s">
        <v>848</v>
      </c>
      <c r="C955" s="13">
        <v>45772.370833333334</v>
      </c>
      <c r="D955" s="2" t="s">
        <v>849</v>
      </c>
      <c r="E955" s="2" t="s">
        <v>850</v>
      </c>
      <c r="F955" s="14" t="s">
        <v>3493</v>
      </c>
      <c r="G955" s="14" t="s">
        <v>3494</v>
      </c>
      <c r="H955" s="15" t="s">
        <v>16</v>
      </c>
      <c r="I955" s="15" t="s">
        <v>3488</v>
      </c>
      <c r="J955" s="2">
        <v>1.0</v>
      </c>
      <c r="K955" s="19"/>
      <c r="L955" s="16">
        <v>210000.0</v>
      </c>
    </row>
    <row r="956" hidden="1">
      <c r="A956" s="1" t="s">
        <v>851</v>
      </c>
      <c r="B956" s="1" t="s">
        <v>851</v>
      </c>
      <c r="C956" s="13">
        <v>45772.43958333333</v>
      </c>
      <c r="D956" s="5" t="s">
        <v>213</v>
      </c>
      <c r="E956" s="2" t="s">
        <v>214</v>
      </c>
      <c r="F956" s="14" t="s">
        <v>3486</v>
      </c>
      <c r="G956" s="14" t="s">
        <v>3487</v>
      </c>
      <c r="H956" s="15" t="s">
        <v>16</v>
      </c>
      <c r="I956" s="15" t="s">
        <v>3488</v>
      </c>
      <c r="J956" s="2">
        <v>10.0</v>
      </c>
      <c r="K956" s="12" t="s">
        <v>4240</v>
      </c>
      <c r="L956" s="16">
        <v>60000.0</v>
      </c>
    </row>
    <row r="957" hidden="1">
      <c r="A957" s="1" t="s">
        <v>852</v>
      </c>
      <c r="B957" s="1" t="s">
        <v>852</v>
      </c>
      <c r="C957" s="13">
        <v>45772.455555555556</v>
      </c>
      <c r="D957" s="2" t="s">
        <v>849</v>
      </c>
      <c r="E957" s="2" t="s">
        <v>850</v>
      </c>
      <c r="F957" s="14" t="s">
        <v>3493</v>
      </c>
      <c r="G957" s="14" t="s">
        <v>3494</v>
      </c>
      <c r="H957" s="15" t="s">
        <v>24</v>
      </c>
      <c r="I957" s="15" t="s">
        <v>3491</v>
      </c>
      <c r="J957" s="2">
        <v>2.0</v>
      </c>
      <c r="K957" s="19"/>
      <c r="L957" s="16">
        <v>0.0</v>
      </c>
    </row>
    <row r="958" hidden="1">
      <c r="A958" s="1" t="s">
        <v>853</v>
      </c>
      <c r="B958" s="1" t="s">
        <v>853</v>
      </c>
      <c r="C958" s="13">
        <v>45772.455555555556</v>
      </c>
      <c r="D958" s="5" t="s">
        <v>349</v>
      </c>
      <c r="E958" s="2" t="s">
        <v>350</v>
      </c>
      <c r="F958" s="14" t="s">
        <v>3547</v>
      </c>
      <c r="G958" s="14" t="s">
        <v>3548</v>
      </c>
      <c r="H958" s="15" t="s">
        <v>24</v>
      </c>
      <c r="I958" s="15" t="s">
        <v>3491</v>
      </c>
      <c r="J958" s="2">
        <v>5.0</v>
      </c>
      <c r="K958" s="19"/>
      <c r="L958" s="16">
        <v>0.0</v>
      </c>
    </row>
    <row r="959" hidden="1">
      <c r="A959" s="1" t="s">
        <v>854</v>
      </c>
      <c r="B959" s="1" t="s">
        <v>854</v>
      </c>
      <c r="C959" s="13">
        <v>45773.333333333336</v>
      </c>
      <c r="D959" s="5" t="s">
        <v>685</v>
      </c>
      <c r="E959" s="2" t="s">
        <v>686</v>
      </c>
      <c r="F959" s="14" t="s">
        <v>3493</v>
      </c>
      <c r="G959" s="14" t="s">
        <v>3494</v>
      </c>
      <c r="H959" s="15" t="s">
        <v>16</v>
      </c>
      <c r="I959" s="15" t="s">
        <v>3488</v>
      </c>
      <c r="J959" s="2">
        <v>1.0</v>
      </c>
      <c r="K959" s="19"/>
      <c r="L959" s="16">
        <v>189189.19</v>
      </c>
    </row>
    <row r="960">
      <c r="A960" s="1" t="s">
        <v>855</v>
      </c>
      <c r="B960" s="1" t="s">
        <v>855</v>
      </c>
      <c r="C960" s="13">
        <v>45773.438888888886</v>
      </c>
      <c r="D960" s="5" t="s">
        <v>45</v>
      </c>
      <c r="E960" s="2" t="s">
        <v>46</v>
      </c>
      <c r="F960" s="14" t="s">
        <v>3486</v>
      </c>
      <c r="G960" s="14" t="s">
        <v>3487</v>
      </c>
      <c r="H960" s="15" t="s">
        <v>16</v>
      </c>
      <c r="I960" s="15" t="s">
        <v>3488</v>
      </c>
      <c r="J960" s="2">
        <v>15.0</v>
      </c>
      <c r="K960" s="12" t="s">
        <v>4241</v>
      </c>
      <c r="L960" s="16">
        <v>60000.0</v>
      </c>
    </row>
    <row r="961">
      <c r="A961" s="1" t="s">
        <v>855</v>
      </c>
      <c r="B961" s="1" t="s">
        <v>855</v>
      </c>
      <c r="C961" s="13">
        <v>45773.438888888886</v>
      </c>
      <c r="D961" s="5" t="s">
        <v>45</v>
      </c>
      <c r="E961" s="2" t="s">
        <v>46</v>
      </c>
      <c r="F961" s="14" t="s">
        <v>3493</v>
      </c>
      <c r="G961" s="14" t="s">
        <v>3494</v>
      </c>
      <c r="H961" s="15" t="s">
        <v>16</v>
      </c>
      <c r="I961" s="15" t="s">
        <v>3488</v>
      </c>
      <c r="J961" s="2">
        <v>3.0</v>
      </c>
      <c r="K961" s="19"/>
      <c r="L961" s="16">
        <v>210000.0</v>
      </c>
    </row>
    <row r="962" hidden="1">
      <c r="A962" s="1" t="s">
        <v>856</v>
      </c>
      <c r="B962" s="1" t="s">
        <v>856</v>
      </c>
      <c r="C962" s="13">
        <v>45773.444444444445</v>
      </c>
      <c r="D962" s="5" t="s">
        <v>685</v>
      </c>
      <c r="E962" s="2" t="s">
        <v>686</v>
      </c>
      <c r="F962" s="14" t="s">
        <v>3493</v>
      </c>
      <c r="G962" s="14" t="s">
        <v>3494</v>
      </c>
      <c r="H962" s="15" t="s">
        <v>24</v>
      </c>
      <c r="I962" s="15" t="s">
        <v>3491</v>
      </c>
      <c r="J962" s="2">
        <v>1.0</v>
      </c>
      <c r="K962" s="19"/>
      <c r="L962" s="16">
        <v>0.0</v>
      </c>
    </row>
    <row r="963">
      <c r="A963" s="1" t="s">
        <v>857</v>
      </c>
      <c r="B963" s="1" t="s">
        <v>857</v>
      </c>
      <c r="C963" s="13">
        <v>45773.51875</v>
      </c>
      <c r="D963" s="5" t="s">
        <v>45</v>
      </c>
      <c r="E963" s="2" t="s">
        <v>46</v>
      </c>
      <c r="F963" s="14" t="s">
        <v>3486</v>
      </c>
      <c r="G963" s="14" t="s">
        <v>3487</v>
      </c>
      <c r="H963" s="15" t="s">
        <v>24</v>
      </c>
      <c r="I963" s="15" t="s">
        <v>3491</v>
      </c>
      <c r="J963" s="2">
        <v>3.0</v>
      </c>
      <c r="K963" s="12" t="s">
        <v>4242</v>
      </c>
      <c r="L963" s="16">
        <v>0.0</v>
      </c>
    </row>
    <row r="964">
      <c r="A964" s="1" t="s">
        <v>857</v>
      </c>
      <c r="B964" s="1" t="s">
        <v>857</v>
      </c>
      <c r="C964" s="13">
        <v>45773.51944444444</v>
      </c>
      <c r="D964" s="5" t="s">
        <v>45</v>
      </c>
      <c r="E964" s="2" t="s">
        <v>46</v>
      </c>
      <c r="F964" s="14" t="s">
        <v>3522</v>
      </c>
      <c r="G964" s="14" t="s">
        <v>3523</v>
      </c>
      <c r="H964" s="15" t="s">
        <v>24</v>
      </c>
      <c r="I964" s="15" t="s">
        <v>3491</v>
      </c>
      <c r="J964" s="2">
        <v>2.0</v>
      </c>
      <c r="K964" s="12" t="s">
        <v>4243</v>
      </c>
      <c r="L964" s="16">
        <v>0.0</v>
      </c>
    </row>
    <row r="965">
      <c r="A965" s="1" t="s">
        <v>857</v>
      </c>
      <c r="B965" s="1" t="s">
        <v>857</v>
      </c>
      <c r="C965" s="13">
        <v>45773.51944444444</v>
      </c>
      <c r="D965" s="5" t="s">
        <v>45</v>
      </c>
      <c r="E965" s="2" t="s">
        <v>46</v>
      </c>
      <c r="F965" s="14" t="s">
        <v>3493</v>
      </c>
      <c r="G965" s="14" t="s">
        <v>3494</v>
      </c>
      <c r="H965" s="15" t="s">
        <v>24</v>
      </c>
      <c r="I965" s="15" t="s">
        <v>3491</v>
      </c>
      <c r="J965" s="2">
        <v>3.0</v>
      </c>
      <c r="K965" s="19"/>
      <c r="L965" s="16">
        <v>0.0</v>
      </c>
    </row>
    <row r="966" hidden="1">
      <c r="A966" s="1" t="s">
        <v>858</v>
      </c>
      <c r="B966" s="1" t="s">
        <v>858</v>
      </c>
      <c r="C966" s="13">
        <v>45773.59583333333</v>
      </c>
      <c r="D966" s="5" t="s">
        <v>464</v>
      </c>
      <c r="E966" s="2" t="s">
        <v>465</v>
      </c>
      <c r="F966" s="14" t="s">
        <v>3486</v>
      </c>
      <c r="G966" s="14" t="s">
        <v>3487</v>
      </c>
      <c r="H966" s="15" t="s">
        <v>16</v>
      </c>
      <c r="I966" s="15" t="s">
        <v>3488</v>
      </c>
      <c r="J966" s="2">
        <v>5.0</v>
      </c>
      <c r="K966" s="12" t="s">
        <v>4244</v>
      </c>
      <c r="L966" s="16">
        <v>55000.0</v>
      </c>
    </row>
    <row r="967" hidden="1">
      <c r="A967" s="1" t="s">
        <v>859</v>
      </c>
      <c r="B967" s="1" t="s">
        <v>859</v>
      </c>
      <c r="C967" s="13">
        <v>45773.63333333333</v>
      </c>
      <c r="D967" s="5" t="s">
        <v>464</v>
      </c>
      <c r="E967" s="2" t="s">
        <v>465</v>
      </c>
      <c r="F967" s="14" t="s">
        <v>3486</v>
      </c>
      <c r="G967" s="14" t="s">
        <v>3487</v>
      </c>
      <c r="H967" s="15" t="s">
        <v>24</v>
      </c>
      <c r="I967" s="15" t="s">
        <v>3491</v>
      </c>
      <c r="J967" s="2">
        <v>2.0</v>
      </c>
      <c r="K967" s="12" t="s">
        <v>4245</v>
      </c>
      <c r="L967" s="16">
        <v>0.0</v>
      </c>
    </row>
    <row r="968" hidden="1">
      <c r="A968" s="1" t="s">
        <v>860</v>
      </c>
      <c r="B968" s="1" t="s">
        <v>860</v>
      </c>
      <c r="C968" s="13">
        <v>45774.34930555556</v>
      </c>
      <c r="D968" s="5" t="s">
        <v>75</v>
      </c>
      <c r="E968" s="2" t="s">
        <v>76</v>
      </c>
      <c r="F968" s="14" t="s">
        <v>3522</v>
      </c>
      <c r="G968" s="14" t="s">
        <v>3523</v>
      </c>
      <c r="H968" s="15" t="s">
        <v>16</v>
      </c>
      <c r="I968" s="15" t="s">
        <v>3488</v>
      </c>
      <c r="J968" s="2">
        <v>1.0</v>
      </c>
      <c r="K968" s="12" t="s">
        <v>3671</v>
      </c>
      <c r="L968" s="16">
        <v>270000.0</v>
      </c>
    </row>
    <row r="969" hidden="1">
      <c r="A969" s="1" t="s">
        <v>861</v>
      </c>
      <c r="B969" s="1" t="s">
        <v>861</v>
      </c>
      <c r="C969" s="13">
        <v>45775.475</v>
      </c>
      <c r="D969" s="5" t="s">
        <v>75</v>
      </c>
      <c r="E969" s="2" t="s">
        <v>76</v>
      </c>
      <c r="F969" s="14" t="s">
        <v>3522</v>
      </c>
      <c r="G969" s="14" t="s">
        <v>3523</v>
      </c>
      <c r="H969" s="15" t="s">
        <v>24</v>
      </c>
      <c r="I969" s="15" t="s">
        <v>3491</v>
      </c>
      <c r="J969" s="2">
        <v>1.0</v>
      </c>
      <c r="K969" s="12" t="s">
        <v>4246</v>
      </c>
      <c r="L969" s="16">
        <v>0.0</v>
      </c>
    </row>
    <row r="970" hidden="1">
      <c r="A970" s="1" t="s">
        <v>862</v>
      </c>
      <c r="B970" s="1" t="s">
        <v>862</v>
      </c>
      <c r="C970" s="13">
        <v>45775.55972222222</v>
      </c>
      <c r="D970" s="5" t="s">
        <v>345</v>
      </c>
      <c r="E970" s="2" t="s">
        <v>346</v>
      </c>
      <c r="F970" s="14" t="s">
        <v>3486</v>
      </c>
      <c r="G970" s="14" t="s">
        <v>3487</v>
      </c>
      <c r="H970" s="15" t="s">
        <v>16</v>
      </c>
      <c r="I970" s="15" t="s">
        <v>3488</v>
      </c>
      <c r="J970" s="2">
        <v>10.0</v>
      </c>
      <c r="K970" s="12" t="s">
        <v>4247</v>
      </c>
      <c r="L970" s="16">
        <v>45045.045</v>
      </c>
    </row>
    <row r="971">
      <c r="A971" s="1" t="s">
        <v>863</v>
      </c>
      <c r="B971" s="1" t="s">
        <v>863</v>
      </c>
      <c r="C971" s="13">
        <v>45776.35902777778</v>
      </c>
      <c r="D971" s="5" t="s">
        <v>45</v>
      </c>
      <c r="E971" s="2" t="s">
        <v>46</v>
      </c>
      <c r="F971" s="14" t="s">
        <v>3486</v>
      </c>
      <c r="G971" s="14" t="s">
        <v>3487</v>
      </c>
      <c r="H971" s="15" t="s">
        <v>16</v>
      </c>
      <c r="I971" s="15" t="s">
        <v>3488</v>
      </c>
      <c r="J971" s="2">
        <v>15.0</v>
      </c>
      <c r="K971" s="12" t="s">
        <v>4248</v>
      </c>
      <c r="L971" s="16">
        <v>60000.0</v>
      </c>
    </row>
    <row r="972" hidden="1">
      <c r="A972" s="1" t="s">
        <v>864</v>
      </c>
      <c r="B972" s="1" t="s">
        <v>864</v>
      </c>
      <c r="C972" s="13">
        <v>45775.73055555556</v>
      </c>
      <c r="D972" s="5" t="s">
        <v>345</v>
      </c>
      <c r="E972" s="2" t="s">
        <v>346</v>
      </c>
      <c r="F972" s="14" t="s">
        <v>3486</v>
      </c>
      <c r="G972" s="14" t="s">
        <v>3487</v>
      </c>
      <c r="H972" s="15" t="s">
        <v>24</v>
      </c>
      <c r="I972" s="15" t="s">
        <v>3491</v>
      </c>
      <c r="J972" s="2">
        <v>6.0</v>
      </c>
      <c r="K972" s="12" t="s">
        <v>4249</v>
      </c>
      <c r="L972" s="16">
        <v>0.0</v>
      </c>
    </row>
    <row r="973" hidden="1">
      <c r="A973" s="1" t="s">
        <v>865</v>
      </c>
      <c r="B973" s="1" t="s">
        <v>865</v>
      </c>
      <c r="C973" s="13">
        <v>45779.40694444445</v>
      </c>
      <c r="D973" s="5" t="s">
        <v>326</v>
      </c>
      <c r="E973" s="2" t="s">
        <v>327</v>
      </c>
      <c r="F973" s="14" t="s">
        <v>3486</v>
      </c>
      <c r="G973" s="14" t="s">
        <v>3487</v>
      </c>
      <c r="H973" s="15" t="s">
        <v>16</v>
      </c>
      <c r="I973" s="15" t="s">
        <v>3488</v>
      </c>
      <c r="J973" s="2">
        <v>15.0</v>
      </c>
      <c r="K973" s="12" t="s">
        <v>4250</v>
      </c>
      <c r="L973" s="16">
        <v>45000.0</v>
      </c>
    </row>
    <row r="974">
      <c r="A974" s="1" t="s">
        <v>866</v>
      </c>
      <c r="B974" s="1" t="s">
        <v>866</v>
      </c>
      <c r="C974" s="13">
        <v>45776.458333333336</v>
      </c>
      <c r="D974" s="5" t="s">
        <v>45</v>
      </c>
      <c r="E974" s="2" t="s">
        <v>46</v>
      </c>
      <c r="F974" s="14" t="s">
        <v>3486</v>
      </c>
      <c r="G974" s="14" t="s">
        <v>3487</v>
      </c>
      <c r="H974" s="15" t="s">
        <v>24</v>
      </c>
      <c r="I974" s="15" t="s">
        <v>3491</v>
      </c>
      <c r="J974" s="2">
        <v>2.0</v>
      </c>
      <c r="K974" s="12" t="s">
        <v>4251</v>
      </c>
      <c r="L974" s="16">
        <v>0.0</v>
      </c>
    </row>
    <row r="975" hidden="1">
      <c r="A975" s="1" t="s">
        <v>867</v>
      </c>
      <c r="B975" s="1" t="s">
        <v>867</v>
      </c>
      <c r="C975" s="13">
        <v>45776.45972222222</v>
      </c>
      <c r="D975" s="5" t="s">
        <v>305</v>
      </c>
      <c r="E975" s="2" t="s">
        <v>306</v>
      </c>
      <c r="F975" s="14" t="s">
        <v>3486</v>
      </c>
      <c r="G975" s="14" t="s">
        <v>3487</v>
      </c>
      <c r="H975" s="15" t="s">
        <v>24</v>
      </c>
      <c r="I975" s="15" t="s">
        <v>3491</v>
      </c>
      <c r="J975" s="2">
        <v>9.0</v>
      </c>
      <c r="K975" s="12" t="s">
        <v>4252</v>
      </c>
      <c r="L975" s="16">
        <v>0.0</v>
      </c>
    </row>
    <row r="976" hidden="1">
      <c r="A976" s="1" t="s">
        <v>868</v>
      </c>
      <c r="B976" s="1" t="s">
        <v>868</v>
      </c>
      <c r="C976" s="13">
        <v>45776.46041666667</v>
      </c>
      <c r="D976" s="5" t="s">
        <v>213</v>
      </c>
      <c r="E976" s="2" t="s">
        <v>214</v>
      </c>
      <c r="F976" s="14" t="s">
        <v>3486</v>
      </c>
      <c r="G976" s="14" t="s">
        <v>3487</v>
      </c>
      <c r="H976" s="15" t="s">
        <v>24</v>
      </c>
      <c r="I976" s="15" t="s">
        <v>3491</v>
      </c>
      <c r="J976" s="2">
        <v>5.0</v>
      </c>
      <c r="K976" s="12" t="s">
        <v>4253</v>
      </c>
      <c r="L976" s="16">
        <v>0.0</v>
      </c>
    </row>
    <row r="977" hidden="1">
      <c r="A977" s="1" t="s">
        <v>869</v>
      </c>
      <c r="B977" s="1" t="s">
        <v>869</v>
      </c>
      <c r="C977" s="13">
        <v>45776.46111111111</v>
      </c>
      <c r="D977" s="5" t="s">
        <v>49</v>
      </c>
      <c r="E977" s="2" t="s">
        <v>50</v>
      </c>
      <c r="F977" s="14" t="s">
        <v>3486</v>
      </c>
      <c r="G977" s="14" t="s">
        <v>3487</v>
      </c>
      <c r="H977" s="15" t="s">
        <v>24</v>
      </c>
      <c r="I977" s="15" t="s">
        <v>3491</v>
      </c>
      <c r="J977" s="2">
        <v>3.0</v>
      </c>
      <c r="K977" s="12" t="s">
        <v>4254</v>
      </c>
      <c r="L977" s="16">
        <v>0.0</v>
      </c>
    </row>
    <row r="978" hidden="1">
      <c r="A978" s="1" t="s">
        <v>870</v>
      </c>
      <c r="B978" s="1" t="s">
        <v>870</v>
      </c>
      <c r="C978" s="13">
        <v>45776.461805555555</v>
      </c>
      <c r="D978" s="5" t="s">
        <v>20</v>
      </c>
      <c r="E978" s="2" t="s">
        <v>21</v>
      </c>
      <c r="F978" s="14" t="s">
        <v>3486</v>
      </c>
      <c r="G978" s="14" t="s">
        <v>3487</v>
      </c>
      <c r="H978" s="15" t="s">
        <v>24</v>
      </c>
      <c r="I978" s="15" t="s">
        <v>3491</v>
      </c>
      <c r="J978" s="2">
        <v>1.0</v>
      </c>
      <c r="K978" s="19"/>
      <c r="L978" s="16">
        <v>0.0</v>
      </c>
    </row>
    <row r="979" hidden="1">
      <c r="A979" s="1" t="s">
        <v>871</v>
      </c>
      <c r="B979" s="1" t="s">
        <v>871</v>
      </c>
      <c r="C979" s="13">
        <v>45777.4625</v>
      </c>
      <c r="D979" s="5" t="s">
        <v>367</v>
      </c>
      <c r="E979" s="2" t="s">
        <v>368</v>
      </c>
      <c r="F979" s="14" t="s">
        <v>3486</v>
      </c>
      <c r="G979" s="14" t="s">
        <v>3487</v>
      </c>
      <c r="H979" s="15" t="s">
        <v>24</v>
      </c>
      <c r="I979" s="15" t="s">
        <v>3491</v>
      </c>
      <c r="J979" s="2">
        <v>5.0</v>
      </c>
      <c r="K979" s="19"/>
      <c r="L979" s="16">
        <v>0.0</v>
      </c>
    </row>
    <row r="980" hidden="1">
      <c r="A980" s="1" t="s">
        <v>872</v>
      </c>
      <c r="B980" s="1" t="s">
        <v>872</v>
      </c>
      <c r="C980" s="13">
        <v>45776.46527777778</v>
      </c>
      <c r="D980" s="5" t="e">
        <v>#N/A</v>
      </c>
      <c r="E980" s="2" t="s">
        <v>806</v>
      </c>
      <c r="F980" s="14" t="s">
        <v>3486</v>
      </c>
      <c r="G980" s="14" t="s">
        <v>3487</v>
      </c>
      <c r="H980" s="15" t="s">
        <v>24</v>
      </c>
      <c r="I980" s="15" t="s">
        <v>3491</v>
      </c>
      <c r="J980" s="2">
        <v>1.0</v>
      </c>
      <c r="K980" s="12" t="s">
        <v>4207</v>
      </c>
      <c r="L980" s="16">
        <v>0.0</v>
      </c>
    </row>
    <row r="981" hidden="1">
      <c r="A981" s="1" t="s">
        <v>871</v>
      </c>
      <c r="B981" s="1" t="s">
        <v>871</v>
      </c>
      <c r="C981" s="13">
        <v>45777.47152777778</v>
      </c>
      <c r="D981" s="5" t="s">
        <v>367</v>
      </c>
      <c r="E981" s="2" t="s">
        <v>368</v>
      </c>
      <c r="F981" s="14" t="s">
        <v>3493</v>
      </c>
      <c r="G981" s="14" t="s">
        <v>3494</v>
      </c>
      <c r="H981" s="15" t="s">
        <v>24</v>
      </c>
      <c r="I981" s="15" t="s">
        <v>3491</v>
      </c>
      <c r="J981" s="2">
        <v>1.0</v>
      </c>
      <c r="K981" s="19"/>
      <c r="L981" s="16">
        <v>0.0</v>
      </c>
    </row>
    <row r="982">
      <c r="A982" s="1" t="s">
        <v>873</v>
      </c>
      <c r="B982" s="1" t="s">
        <v>873</v>
      </c>
      <c r="C982" s="13">
        <v>45782.354166666664</v>
      </c>
      <c r="D982" s="5" t="s">
        <v>45</v>
      </c>
      <c r="E982" s="2" t="s">
        <v>46</v>
      </c>
      <c r="F982" s="14" t="s">
        <v>3486</v>
      </c>
      <c r="G982" s="14" t="s">
        <v>3487</v>
      </c>
      <c r="H982" s="15" t="s">
        <v>16</v>
      </c>
      <c r="I982" s="15" t="s">
        <v>3488</v>
      </c>
      <c r="J982" s="2">
        <v>15.0</v>
      </c>
      <c r="K982" s="12" t="s">
        <v>4255</v>
      </c>
      <c r="L982" s="16">
        <v>60000.0</v>
      </c>
    </row>
    <row r="983" hidden="1">
      <c r="A983" s="1" t="s">
        <v>874</v>
      </c>
      <c r="B983" s="1" t="s">
        <v>874</v>
      </c>
      <c r="C983" s="13">
        <v>45782.388194444444</v>
      </c>
      <c r="D983" s="5" t="e">
        <v>#N/A</v>
      </c>
      <c r="E983" s="2" t="s">
        <v>875</v>
      </c>
      <c r="F983" s="14" t="s">
        <v>3486</v>
      </c>
      <c r="G983" s="14" t="s">
        <v>3487</v>
      </c>
      <c r="H983" s="15" t="s">
        <v>16</v>
      </c>
      <c r="I983" s="15" t="s">
        <v>3488</v>
      </c>
      <c r="J983" s="2">
        <v>4.0</v>
      </c>
      <c r="K983" s="12" t="s">
        <v>4256</v>
      </c>
      <c r="L983" s="16">
        <v>70000.0</v>
      </c>
    </row>
    <row r="984" hidden="1">
      <c r="A984" s="8" t="s">
        <v>876</v>
      </c>
      <c r="B984" s="8" t="s">
        <v>876</v>
      </c>
      <c r="C984" s="13">
        <v>45782.407638888886</v>
      </c>
      <c r="D984" s="5" t="s">
        <v>309</v>
      </c>
      <c r="E984" s="5" t="s">
        <v>310</v>
      </c>
      <c r="F984" s="14" t="s">
        <v>3493</v>
      </c>
      <c r="G984" s="14" t="s">
        <v>3494</v>
      </c>
      <c r="H984" s="15" t="s">
        <v>16</v>
      </c>
      <c r="I984" s="15" t="s">
        <v>3488</v>
      </c>
      <c r="J984" s="2">
        <v>6.0</v>
      </c>
      <c r="K984" s="19"/>
      <c r="L984" s="16">
        <v>200000.0</v>
      </c>
    </row>
    <row r="985" hidden="1">
      <c r="A985" s="1" t="s">
        <v>877</v>
      </c>
      <c r="B985" s="1" t="s">
        <v>877</v>
      </c>
      <c r="C985" s="13">
        <v>45782.48819444444</v>
      </c>
      <c r="D985" s="5" t="s">
        <v>49</v>
      </c>
      <c r="E985" s="2" t="s">
        <v>50</v>
      </c>
      <c r="F985" s="14" t="s">
        <v>3486</v>
      </c>
      <c r="G985" s="14" t="s">
        <v>3487</v>
      </c>
      <c r="H985" s="15" t="s">
        <v>16</v>
      </c>
      <c r="I985" s="15" t="s">
        <v>3488</v>
      </c>
      <c r="J985" s="2">
        <v>5.0</v>
      </c>
      <c r="K985" s="12" t="s">
        <v>4257</v>
      </c>
      <c r="L985" s="16">
        <v>60000.0</v>
      </c>
    </row>
    <row r="986" hidden="1">
      <c r="A986" s="1" t="s">
        <v>878</v>
      </c>
      <c r="B986" s="1" t="s">
        <v>878</v>
      </c>
      <c r="C986" s="13">
        <v>45782.490277777775</v>
      </c>
      <c r="D986" s="5" t="s">
        <v>309</v>
      </c>
      <c r="E986" s="5" t="s">
        <v>310</v>
      </c>
      <c r="F986" s="14" t="s">
        <v>3516</v>
      </c>
      <c r="G986" s="14" t="s">
        <v>3517</v>
      </c>
      <c r="H986" s="15" t="s">
        <v>24</v>
      </c>
      <c r="I986" s="15" t="s">
        <v>3491</v>
      </c>
      <c r="J986" s="2">
        <v>1.0</v>
      </c>
      <c r="K986" s="12" t="s">
        <v>4153</v>
      </c>
      <c r="L986" s="16">
        <v>0.0</v>
      </c>
    </row>
    <row r="987" hidden="1">
      <c r="A987" s="1" t="s">
        <v>879</v>
      </c>
      <c r="B987" s="1" t="s">
        <v>879</v>
      </c>
      <c r="C987" s="13">
        <v>45782.490277777775</v>
      </c>
      <c r="D987" s="5" t="s">
        <v>309</v>
      </c>
      <c r="E987" s="2" t="s">
        <v>310</v>
      </c>
      <c r="F987" s="14" t="s">
        <v>4045</v>
      </c>
      <c r="G987" s="14" t="s">
        <v>4046</v>
      </c>
      <c r="H987" s="15" t="s">
        <v>24</v>
      </c>
      <c r="I987" s="15" t="s">
        <v>3491</v>
      </c>
      <c r="J987" s="2">
        <v>1.0</v>
      </c>
      <c r="K987" s="19"/>
      <c r="L987" s="16">
        <v>0.0</v>
      </c>
    </row>
    <row r="988" hidden="1">
      <c r="A988" s="1" t="s">
        <v>878</v>
      </c>
      <c r="B988" s="1" t="s">
        <v>878</v>
      </c>
      <c r="C988" s="13">
        <v>45782.49097222222</v>
      </c>
      <c r="D988" s="5" t="s">
        <v>309</v>
      </c>
      <c r="E988" s="5" t="s">
        <v>310</v>
      </c>
      <c r="F988" s="14" t="s">
        <v>3493</v>
      </c>
      <c r="G988" s="14" t="s">
        <v>3494</v>
      </c>
      <c r="H988" s="15" t="s">
        <v>24</v>
      </c>
      <c r="I988" s="15" t="s">
        <v>3491</v>
      </c>
      <c r="J988" s="2">
        <v>6.0</v>
      </c>
      <c r="K988" s="19"/>
      <c r="L988" s="16">
        <v>0.0</v>
      </c>
    </row>
    <row r="989" hidden="1">
      <c r="A989" s="1" t="s">
        <v>880</v>
      </c>
      <c r="B989" s="1" t="s">
        <v>880</v>
      </c>
      <c r="C989" s="13">
        <v>45782.5</v>
      </c>
      <c r="D989" s="5" t="s">
        <v>464</v>
      </c>
      <c r="E989" s="2" t="s">
        <v>465</v>
      </c>
      <c r="F989" s="14" t="s">
        <v>3486</v>
      </c>
      <c r="G989" s="14" t="s">
        <v>3487</v>
      </c>
      <c r="H989" s="15" t="s">
        <v>16</v>
      </c>
      <c r="I989" s="15" t="s">
        <v>3488</v>
      </c>
      <c r="J989" s="2">
        <v>3.0</v>
      </c>
      <c r="K989" s="12" t="s">
        <v>4258</v>
      </c>
      <c r="L989" s="16">
        <v>55000.0</v>
      </c>
    </row>
    <row r="990" hidden="1">
      <c r="A990" s="1" t="s">
        <v>881</v>
      </c>
      <c r="B990" s="1" t="s">
        <v>881</v>
      </c>
      <c r="C990" s="13">
        <v>45782.5</v>
      </c>
      <c r="D990" s="5" t="s">
        <v>349</v>
      </c>
      <c r="E990" s="2" t="s">
        <v>350</v>
      </c>
      <c r="F990" s="14" t="s">
        <v>3547</v>
      </c>
      <c r="G990" s="14" t="s">
        <v>3548</v>
      </c>
      <c r="H990" s="15" t="s">
        <v>16</v>
      </c>
      <c r="I990" s="15" t="s">
        <v>3488</v>
      </c>
      <c r="J990" s="2">
        <v>5.0</v>
      </c>
      <c r="K990" s="19"/>
      <c r="L990" s="16">
        <v>909909.9099</v>
      </c>
    </row>
    <row r="991">
      <c r="A991" s="1" t="s">
        <v>882</v>
      </c>
      <c r="B991" s="1" t="s">
        <v>882</v>
      </c>
      <c r="C991" s="13">
        <v>45782.50069444445</v>
      </c>
      <c r="D991" s="5" t="s">
        <v>45</v>
      </c>
      <c r="E991" s="2" t="s">
        <v>46</v>
      </c>
      <c r="F991" s="14" t="s">
        <v>3486</v>
      </c>
      <c r="G991" s="14" t="s">
        <v>3487</v>
      </c>
      <c r="H991" s="15" t="s">
        <v>24</v>
      </c>
      <c r="I991" s="15" t="s">
        <v>3491</v>
      </c>
      <c r="J991" s="2">
        <v>9.0</v>
      </c>
      <c r="K991" s="12" t="s">
        <v>4259</v>
      </c>
      <c r="L991" s="16">
        <v>0.0</v>
      </c>
    </row>
    <row r="992" hidden="1">
      <c r="A992" s="1" t="s">
        <v>883</v>
      </c>
      <c r="B992" s="1" t="s">
        <v>883</v>
      </c>
      <c r="C992" s="13">
        <v>45782.501388888886</v>
      </c>
      <c r="D992" s="5" t="s">
        <v>326</v>
      </c>
      <c r="E992" s="2" t="s">
        <v>327</v>
      </c>
      <c r="F992" s="14" t="s">
        <v>3486</v>
      </c>
      <c r="G992" s="14" t="s">
        <v>3487</v>
      </c>
      <c r="H992" s="15" t="s">
        <v>24</v>
      </c>
      <c r="I992" s="15" t="s">
        <v>3491</v>
      </c>
      <c r="J992" s="2">
        <v>17.0</v>
      </c>
      <c r="K992" s="12" t="s">
        <v>4260</v>
      </c>
      <c r="L992" s="16">
        <v>0.0</v>
      </c>
    </row>
    <row r="993" hidden="1">
      <c r="A993" s="1" t="s">
        <v>884</v>
      </c>
      <c r="B993" s="1" t="s">
        <v>884</v>
      </c>
      <c r="C993" s="13">
        <v>45782.652083333334</v>
      </c>
      <c r="D993" s="5" t="s">
        <v>885</v>
      </c>
      <c r="E993" s="2" t="s">
        <v>886</v>
      </c>
      <c r="F993" s="14" t="s">
        <v>4203</v>
      </c>
      <c r="G993" s="14" t="s">
        <v>4204</v>
      </c>
      <c r="H993" s="15" t="s">
        <v>16</v>
      </c>
      <c r="I993" s="15" t="s">
        <v>3488</v>
      </c>
      <c r="J993" s="2">
        <v>2.0</v>
      </c>
      <c r="K993" s="12" t="s">
        <v>4261</v>
      </c>
      <c r="L993" s="16">
        <v>60000.0</v>
      </c>
    </row>
    <row r="994" hidden="1">
      <c r="A994" s="1" t="s">
        <v>884</v>
      </c>
      <c r="B994" s="1" t="s">
        <v>884</v>
      </c>
      <c r="C994" s="13">
        <v>45782.65277777778</v>
      </c>
      <c r="D994" s="5" t="s">
        <v>885</v>
      </c>
      <c r="E994" s="2" t="s">
        <v>886</v>
      </c>
      <c r="F994" s="14" t="s">
        <v>3522</v>
      </c>
      <c r="G994" s="14" t="s">
        <v>3523</v>
      </c>
      <c r="H994" s="15" t="s">
        <v>16</v>
      </c>
      <c r="I994" s="15" t="s">
        <v>3488</v>
      </c>
      <c r="J994" s="2">
        <v>1.0</v>
      </c>
      <c r="K994" s="12" t="s">
        <v>3854</v>
      </c>
      <c r="L994" s="16">
        <v>195000.0</v>
      </c>
    </row>
    <row r="995" hidden="1">
      <c r="A995" s="1" t="s">
        <v>888</v>
      </c>
      <c r="B995" s="1" t="s">
        <v>888</v>
      </c>
      <c r="C995" s="13">
        <v>45782.654861111114</v>
      </c>
      <c r="D995" s="5" t="s">
        <v>464</v>
      </c>
      <c r="E995" s="2" t="s">
        <v>465</v>
      </c>
      <c r="F995" s="14" t="s">
        <v>3486</v>
      </c>
      <c r="G995" s="14" t="s">
        <v>3487</v>
      </c>
      <c r="H995" s="15" t="s">
        <v>24</v>
      </c>
      <c r="I995" s="15" t="s">
        <v>3491</v>
      </c>
      <c r="J995" s="2">
        <v>4.0</v>
      </c>
      <c r="K995" s="12" t="s">
        <v>4262</v>
      </c>
      <c r="L995" s="16">
        <v>0.0</v>
      </c>
    </row>
    <row r="996" hidden="1">
      <c r="A996" s="1" t="s">
        <v>888</v>
      </c>
      <c r="B996" s="1" t="s">
        <v>888</v>
      </c>
      <c r="C996" s="13">
        <v>45782.65555555555</v>
      </c>
      <c r="D996" s="5" t="s">
        <v>464</v>
      </c>
      <c r="E996" s="2" t="s">
        <v>465</v>
      </c>
      <c r="F996" s="14" t="s">
        <v>3506</v>
      </c>
      <c r="G996" s="14" t="s">
        <v>3507</v>
      </c>
      <c r="H996" s="15" t="s">
        <v>24</v>
      </c>
      <c r="I996" s="15" t="s">
        <v>3491</v>
      </c>
      <c r="J996" s="2">
        <v>1.0</v>
      </c>
      <c r="K996" s="19"/>
      <c r="L996" s="16">
        <v>0.0</v>
      </c>
    </row>
    <row r="997" hidden="1">
      <c r="A997" s="1" t="s">
        <v>889</v>
      </c>
      <c r="B997" s="1" t="s">
        <v>889</v>
      </c>
      <c r="C997" s="13">
        <v>45782.65555555555</v>
      </c>
      <c r="D997" s="5" t="s">
        <v>349</v>
      </c>
      <c r="E997" s="2" t="s">
        <v>350</v>
      </c>
      <c r="F997" s="14" t="s">
        <v>3547</v>
      </c>
      <c r="G997" s="14" t="s">
        <v>3548</v>
      </c>
      <c r="H997" s="15" t="s">
        <v>24</v>
      </c>
      <c r="I997" s="15" t="s">
        <v>3491</v>
      </c>
      <c r="J997" s="2">
        <v>5.0</v>
      </c>
      <c r="K997" s="19"/>
      <c r="L997" s="16">
        <v>0.0</v>
      </c>
    </row>
    <row r="998" hidden="1">
      <c r="A998" s="1" t="s">
        <v>890</v>
      </c>
      <c r="B998" s="1" t="s">
        <v>890</v>
      </c>
      <c r="C998" s="13">
        <v>45782.70763888889</v>
      </c>
      <c r="D998" s="5" t="s">
        <v>49</v>
      </c>
      <c r="E998" s="2" t="s">
        <v>50</v>
      </c>
      <c r="F998" s="14" t="s">
        <v>3486</v>
      </c>
      <c r="G998" s="14" t="s">
        <v>3487</v>
      </c>
      <c r="H998" s="15" t="s">
        <v>24</v>
      </c>
      <c r="I998" s="15" t="s">
        <v>3491</v>
      </c>
      <c r="J998" s="2">
        <v>3.0</v>
      </c>
      <c r="K998" s="12" t="s">
        <v>4263</v>
      </c>
      <c r="L998" s="16">
        <v>0.0</v>
      </c>
    </row>
    <row r="999">
      <c r="A999" s="1" t="s">
        <v>891</v>
      </c>
      <c r="B999" s="1" t="s">
        <v>891</v>
      </c>
      <c r="C999" s="13">
        <v>45783.3375</v>
      </c>
      <c r="D999" s="5" t="s">
        <v>45</v>
      </c>
      <c r="E999" s="2" t="s">
        <v>46</v>
      </c>
      <c r="F999" s="14" t="s">
        <v>3522</v>
      </c>
      <c r="G999" s="14" t="s">
        <v>3523</v>
      </c>
      <c r="H999" s="15" t="s">
        <v>16</v>
      </c>
      <c r="I999" s="15" t="s">
        <v>3488</v>
      </c>
      <c r="J999" s="2">
        <v>2.0</v>
      </c>
      <c r="K999" s="12" t="s">
        <v>4264</v>
      </c>
      <c r="L999" s="16">
        <v>185000.0</v>
      </c>
    </row>
    <row r="1000">
      <c r="A1000" s="1" t="s">
        <v>891</v>
      </c>
      <c r="B1000" s="1" t="s">
        <v>891</v>
      </c>
      <c r="C1000" s="13">
        <v>45783.33888888889</v>
      </c>
      <c r="D1000" s="5" t="s">
        <v>45</v>
      </c>
      <c r="E1000" s="2" t="s">
        <v>46</v>
      </c>
      <c r="F1000" s="14" t="s">
        <v>3516</v>
      </c>
      <c r="G1000" s="14" t="s">
        <v>3517</v>
      </c>
      <c r="H1000" s="15" t="s">
        <v>16</v>
      </c>
      <c r="I1000" s="15" t="s">
        <v>3488</v>
      </c>
      <c r="J1000" s="2">
        <v>5.0</v>
      </c>
      <c r="K1000" s="12" t="s">
        <v>4265</v>
      </c>
      <c r="L1000" s="16">
        <v>167000.0</v>
      </c>
    </row>
    <row r="1001" hidden="1">
      <c r="A1001" s="1" t="s">
        <v>892</v>
      </c>
      <c r="B1001" s="1" t="s">
        <v>892</v>
      </c>
      <c r="C1001" s="13">
        <v>45783.33888888889</v>
      </c>
      <c r="D1001" s="5" t="s">
        <v>326</v>
      </c>
      <c r="E1001" s="2" t="s">
        <v>327</v>
      </c>
      <c r="F1001" s="14" t="s">
        <v>3522</v>
      </c>
      <c r="G1001" s="14" t="s">
        <v>3523</v>
      </c>
      <c r="H1001" s="15" t="s">
        <v>16</v>
      </c>
      <c r="I1001" s="15" t="s">
        <v>3488</v>
      </c>
      <c r="J1001" s="2">
        <v>2.0</v>
      </c>
      <c r="K1001" s="12" t="s">
        <v>4266</v>
      </c>
      <c r="L1001" s="16">
        <v>200000.0</v>
      </c>
    </row>
    <row r="1002" hidden="1">
      <c r="A1002" s="1" t="s">
        <v>893</v>
      </c>
      <c r="B1002" s="1" t="s">
        <v>893</v>
      </c>
      <c r="C1002" s="13">
        <v>45783.22777777778</v>
      </c>
      <c r="D1002" s="2" t="s">
        <v>353</v>
      </c>
      <c r="E1002" s="2" t="s">
        <v>354</v>
      </c>
      <c r="F1002" s="14" t="s">
        <v>3486</v>
      </c>
      <c r="G1002" s="14" t="s">
        <v>3487</v>
      </c>
      <c r="H1002" s="15" t="s">
        <v>16</v>
      </c>
      <c r="I1002" s="15" t="s">
        <v>3488</v>
      </c>
      <c r="J1002" s="2">
        <v>1.0</v>
      </c>
      <c r="K1002" s="12" t="s">
        <v>4062</v>
      </c>
      <c r="L1002" s="16">
        <v>80000.0</v>
      </c>
    </row>
    <row r="1003" hidden="1">
      <c r="A1003" s="1" t="s">
        <v>894</v>
      </c>
      <c r="B1003" s="1" t="s">
        <v>894</v>
      </c>
      <c r="C1003" s="13">
        <v>45783.40902777778</v>
      </c>
      <c r="D1003" s="2" t="s">
        <v>213</v>
      </c>
      <c r="E1003" s="2" t="s">
        <v>214</v>
      </c>
      <c r="F1003" s="14" t="s">
        <v>3486</v>
      </c>
      <c r="G1003" s="14" t="s">
        <v>3487</v>
      </c>
      <c r="H1003" s="15" t="s">
        <v>16</v>
      </c>
      <c r="I1003" s="15" t="s">
        <v>3488</v>
      </c>
      <c r="J1003" s="2">
        <v>5.0</v>
      </c>
      <c r="K1003" s="12" t="s">
        <v>4267</v>
      </c>
      <c r="L1003" s="16">
        <v>60000.0</v>
      </c>
    </row>
    <row r="1004" hidden="1">
      <c r="A1004" s="1" t="s">
        <v>895</v>
      </c>
      <c r="B1004" s="1" t="s">
        <v>895</v>
      </c>
      <c r="C1004" s="13">
        <v>45783.48125</v>
      </c>
      <c r="D1004" s="2" t="s">
        <v>305</v>
      </c>
      <c r="E1004" s="2" t="s">
        <v>306</v>
      </c>
      <c r="F1004" s="14" t="s">
        <v>3486</v>
      </c>
      <c r="G1004" s="14" t="s">
        <v>3487</v>
      </c>
      <c r="H1004" s="15" t="s">
        <v>24</v>
      </c>
      <c r="I1004" s="15" t="s">
        <v>3491</v>
      </c>
      <c r="J1004" s="2">
        <v>4.0</v>
      </c>
      <c r="K1004" s="12" t="s">
        <v>4268</v>
      </c>
      <c r="L1004" s="16">
        <v>0.0</v>
      </c>
    </row>
    <row r="1005" hidden="1">
      <c r="A1005" s="1" t="s">
        <v>896</v>
      </c>
      <c r="B1005" s="1" t="s">
        <v>896</v>
      </c>
      <c r="C1005" s="13">
        <v>45783.643055555556</v>
      </c>
      <c r="D1005" s="2" t="s">
        <v>109</v>
      </c>
      <c r="E1005" s="2" t="s">
        <v>110</v>
      </c>
      <c r="F1005" s="14" t="s">
        <v>3486</v>
      </c>
      <c r="G1005" s="14" t="s">
        <v>3487</v>
      </c>
      <c r="H1005" s="15" t="s">
        <v>24</v>
      </c>
      <c r="I1005" s="15" t="s">
        <v>3491</v>
      </c>
      <c r="J1005" s="2">
        <v>3.0</v>
      </c>
      <c r="K1005" s="12" t="s">
        <v>4269</v>
      </c>
      <c r="L1005" s="16">
        <v>0.0</v>
      </c>
    </row>
    <row r="1006" hidden="1">
      <c r="A1006" s="1" t="s">
        <v>897</v>
      </c>
      <c r="B1006" s="1" t="s">
        <v>897</v>
      </c>
      <c r="C1006" s="13">
        <v>45783.64375</v>
      </c>
      <c r="D1006" s="2" t="s">
        <v>213</v>
      </c>
      <c r="E1006" s="2" t="s">
        <v>214</v>
      </c>
      <c r="F1006" s="14" t="s">
        <v>3486</v>
      </c>
      <c r="G1006" s="14" t="s">
        <v>3487</v>
      </c>
      <c r="H1006" s="15" t="s">
        <v>24</v>
      </c>
      <c r="I1006" s="15" t="s">
        <v>3491</v>
      </c>
      <c r="J1006" s="2">
        <v>3.0</v>
      </c>
      <c r="K1006" s="12" t="s">
        <v>4270</v>
      </c>
      <c r="L1006" s="16">
        <v>0.0</v>
      </c>
    </row>
    <row r="1007" hidden="1">
      <c r="A1007" s="1" t="s">
        <v>898</v>
      </c>
      <c r="B1007" s="1" t="s">
        <v>898</v>
      </c>
      <c r="C1007" s="13">
        <v>45783.75277777778</v>
      </c>
      <c r="D1007" s="2" t="s">
        <v>786</v>
      </c>
      <c r="E1007" s="2" t="s">
        <v>787</v>
      </c>
      <c r="F1007" s="14" t="s">
        <v>3486</v>
      </c>
      <c r="G1007" s="14" t="s">
        <v>3487</v>
      </c>
      <c r="H1007" s="15" t="s">
        <v>24</v>
      </c>
      <c r="I1007" s="15" t="s">
        <v>3491</v>
      </c>
      <c r="J1007" s="2">
        <v>5.0</v>
      </c>
      <c r="K1007" s="12" t="s">
        <v>4271</v>
      </c>
      <c r="L1007" s="16">
        <v>0.0</v>
      </c>
    </row>
    <row r="1008" hidden="1">
      <c r="A1008" s="1" t="s">
        <v>898</v>
      </c>
      <c r="B1008" s="1" t="s">
        <v>898</v>
      </c>
      <c r="C1008" s="13">
        <v>45783.75486111111</v>
      </c>
      <c r="D1008" s="2" t="s">
        <v>786</v>
      </c>
      <c r="E1008" s="2" t="s">
        <v>787</v>
      </c>
      <c r="F1008" s="14" t="s">
        <v>3516</v>
      </c>
      <c r="G1008" s="14" t="s">
        <v>3517</v>
      </c>
      <c r="H1008" s="15" t="s">
        <v>24</v>
      </c>
      <c r="I1008" s="15" t="s">
        <v>3491</v>
      </c>
      <c r="J1008" s="2">
        <v>1.0</v>
      </c>
      <c r="K1008" s="12" t="s">
        <v>4272</v>
      </c>
      <c r="L1008" s="16">
        <v>0.0</v>
      </c>
    </row>
    <row r="1009" hidden="1">
      <c r="A1009" s="1" t="s">
        <v>899</v>
      </c>
      <c r="B1009" s="1" t="s">
        <v>899</v>
      </c>
      <c r="C1009" s="13">
        <v>45784.38055555556</v>
      </c>
      <c r="D1009" s="2" t="s">
        <v>109</v>
      </c>
      <c r="E1009" s="2" t="s">
        <v>110</v>
      </c>
      <c r="F1009" s="14" t="s">
        <v>3522</v>
      </c>
      <c r="G1009" s="14" t="s">
        <v>3523</v>
      </c>
      <c r="H1009" s="15" t="s">
        <v>16</v>
      </c>
      <c r="I1009" s="15" t="s">
        <v>3488</v>
      </c>
      <c r="J1009" s="2">
        <v>2.0</v>
      </c>
      <c r="K1009" s="12" t="s">
        <v>4273</v>
      </c>
      <c r="L1009" s="16">
        <v>190000.0</v>
      </c>
    </row>
    <row r="1010" hidden="1">
      <c r="A1010" s="1" t="s">
        <v>899</v>
      </c>
      <c r="B1010" s="1" t="s">
        <v>899</v>
      </c>
      <c r="C1010" s="13">
        <v>45784.38125</v>
      </c>
      <c r="D1010" s="2" t="s">
        <v>109</v>
      </c>
      <c r="E1010" s="2" t="s">
        <v>110</v>
      </c>
      <c r="F1010" s="14" t="s">
        <v>3486</v>
      </c>
      <c r="G1010" s="14" t="s">
        <v>3487</v>
      </c>
      <c r="H1010" s="15" t="s">
        <v>16</v>
      </c>
      <c r="I1010" s="15" t="s">
        <v>3488</v>
      </c>
      <c r="J1010" s="2">
        <v>4.0</v>
      </c>
      <c r="K1010" s="12" t="s">
        <v>4274</v>
      </c>
      <c r="L1010" s="16">
        <v>60000.0</v>
      </c>
    </row>
    <row r="1011" hidden="1">
      <c r="A1011" s="1" t="s">
        <v>900</v>
      </c>
      <c r="B1011" s="1" t="s">
        <v>900</v>
      </c>
      <c r="C1011" s="13">
        <v>45785.35625</v>
      </c>
      <c r="D1011" s="2" t="s">
        <v>309</v>
      </c>
      <c r="E1011" s="2" t="s">
        <v>310</v>
      </c>
      <c r="F1011" s="14" t="s">
        <v>4045</v>
      </c>
      <c r="G1011" s="14" t="s">
        <v>4046</v>
      </c>
      <c r="H1011" s="15" t="s">
        <v>16</v>
      </c>
      <c r="I1011" s="15" t="s">
        <v>3488</v>
      </c>
      <c r="J1011" s="2">
        <v>1.0</v>
      </c>
      <c r="K1011" s="19"/>
      <c r="L1011" s="16">
        <v>160000.0</v>
      </c>
    </row>
    <row r="1012">
      <c r="A1012" s="1" t="s">
        <v>901</v>
      </c>
      <c r="B1012" s="1" t="s">
        <v>901</v>
      </c>
      <c r="C1012" s="13">
        <v>45784.407638888886</v>
      </c>
      <c r="D1012" s="2" t="s">
        <v>45</v>
      </c>
      <c r="E1012" s="2" t="s">
        <v>46</v>
      </c>
      <c r="F1012" s="14" t="s">
        <v>3522</v>
      </c>
      <c r="G1012" s="14" t="s">
        <v>3523</v>
      </c>
      <c r="H1012" s="15" t="s">
        <v>16</v>
      </c>
      <c r="I1012" s="15" t="s">
        <v>3488</v>
      </c>
      <c r="J1012" s="2">
        <v>3.0</v>
      </c>
      <c r="K1012" s="12" t="s">
        <v>4275</v>
      </c>
      <c r="L1012" s="16">
        <v>185000.0</v>
      </c>
    </row>
    <row r="1013" hidden="1">
      <c r="A1013" s="1" t="s">
        <v>902</v>
      </c>
      <c r="B1013" s="1" t="s">
        <v>902</v>
      </c>
      <c r="C1013" s="13">
        <v>45784.40833333333</v>
      </c>
      <c r="D1013" s="2" t="s">
        <v>464</v>
      </c>
      <c r="E1013" s="2" t="s">
        <v>465</v>
      </c>
      <c r="F1013" s="14" t="s">
        <v>3506</v>
      </c>
      <c r="G1013" s="14" t="s">
        <v>3507</v>
      </c>
      <c r="H1013" s="15" t="s">
        <v>16</v>
      </c>
      <c r="I1013" s="15" t="s">
        <v>3488</v>
      </c>
      <c r="J1013" s="2">
        <v>1.0</v>
      </c>
      <c r="K1013" s="19"/>
      <c r="L1013" s="16">
        <v>55000.0</v>
      </c>
    </row>
    <row r="1014" hidden="1">
      <c r="A1014" s="1" t="s">
        <v>903</v>
      </c>
      <c r="B1014" s="1" t="s">
        <v>903</v>
      </c>
      <c r="C1014" s="13">
        <v>45784.45972222222</v>
      </c>
      <c r="D1014" s="2" t="s">
        <v>904</v>
      </c>
      <c r="E1014" s="2" t="s">
        <v>905</v>
      </c>
      <c r="F1014" s="14" t="s">
        <v>4203</v>
      </c>
      <c r="G1014" s="14" t="s">
        <v>4204</v>
      </c>
      <c r="H1014" s="15" t="s">
        <v>16</v>
      </c>
      <c r="I1014" s="15" t="s">
        <v>3488</v>
      </c>
      <c r="J1014" s="2">
        <v>2.0</v>
      </c>
      <c r="K1014" s="12" t="s">
        <v>4276</v>
      </c>
      <c r="L1014" s="16">
        <v>75000.0</v>
      </c>
    </row>
    <row r="1015" hidden="1">
      <c r="A1015" s="1" t="s">
        <v>907</v>
      </c>
      <c r="B1015" s="1" t="s">
        <v>907</v>
      </c>
      <c r="C1015" s="13">
        <v>45784.464583333334</v>
      </c>
      <c r="D1015" s="2" t="s">
        <v>685</v>
      </c>
      <c r="E1015" s="2" t="s">
        <v>686</v>
      </c>
      <c r="F1015" s="14" t="s">
        <v>3493</v>
      </c>
      <c r="G1015" s="14" t="s">
        <v>3494</v>
      </c>
      <c r="H1015" s="15" t="s">
        <v>24</v>
      </c>
      <c r="I1015" s="15" t="s">
        <v>3491</v>
      </c>
      <c r="J1015" s="2">
        <v>1.0</v>
      </c>
      <c r="K1015" s="19"/>
      <c r="L1015" s="16">
        <v>0.0</v>
      </c>
    </row>
    <row r="1016" hidden="1">
      <c r="A1016" s="1" t="s">
        <v>908</v>
      </c>
      <c r="B1016" s="1" t="s">
        <v>908</v>
      </c>
      <c r="C1016" s="13">
        <v>45784.464583333334</v>
      </c>
      <c r="D1016" s="2" t="s">
        <v>320</v>
      </c>
      <c r="E1016" s="2" t="s">
        <v>321</v>
      </c>
      <c r="F1016" s="14" t="s">
        <v>3486</v>
      </c>
      <c r="G1016" s="14" t="s">
        <v>3487</v>
      </c>
      <c r="H1016" s="15" t="s">
        <v>24</v>
      </c>
      <c r="I1016" s="15" t="s">
        <v>3491</v>
      </c>
      <c r="J1016" s="2">
        <v>1.0</v>
      </c>
      <c r="K1016" s="12" t="s">
        <v>4277</v>
      </c>
      <c r="L1016" s="16">
        <v>0.0</v>
      </c>
    </row>
    <row r="1017">
      <c r="A1017" s="1" t="s">
        <v>909</v>
      </c>
      <c r="B1017" s="1" t="s">
        <v>909</v>
      </c>
      <c r="C1017" s="13">
        <v>45784.58472222222</v>
      </c>
      <c r="D1017" s="2" t="s">
        <v>45</v>
      </c>
      <c r="E1017" s="2" t="s">
        <v>46</v>
      </c>
      <c r="F1017" s="14" t="s">
        <v>3516</v>
      </c>
      <c r="G1017" s="14" t="s">
        <v>3517</v>
      </c>
      <c r="H1017" s="15" t="s">
        <v>24</v>
      </c>
      <c r="I1017" s="15" t="s">
        <v>3491</v>
      </c>
      <c r="J1017" s="2">
        <v>1.0</v>
      </c>
      <c r="K1017" s="12" t="s">
        <v>4278</v>
      </c>
      <c r="L1017" s="16">
        <v>0.0</v>
      </c>
    </row>
    <row r="1018" hidden="1">
      <c r="A1018" s="1" t="s">
        <v>900</v>
      </c>
      <c r="B1018" s="1" t="s">
        <v>900</v>
      </c>
      <c r="C1018" s="13">
        <v>45785.35555555556</v>
      </c>
      <c r="D1018" s="2" t="s">
        <v>309</v>
      </c>
      <c r="E1018" s="2" t="s">
        <v>310</v>
      </c>
      <c r="F1018" s="14" t="s">
        <v>4279</v>
      </c>
      <c r="G1018" s="14" t="s">
        <v>4280</v>
      </c>
      <c r="H1018" s="15" t="s">
        <v>16</v>
      </c>
      <c r="I1018" s="15" t="s">
        <v>3488</v>
      </c>
      <c r="J1018" s="2">
        <v>1.0</v>
      </c>
      <c r="K1018" s="19"/>
      <c r="L1018" s="16">
        <v>200000.0</v>
      </c>
    </row>
    <row r="1019" hidden="1">
      <c r="A1019" s="1" t="s">
        <v>910</v>
      </c>
      <c r="B1019" s="1" t="s">
        <v>910</v>
      </c>
      <c r="C1019" s="13">
        <v>45785.46944444445</v>
      </c>
      <c r="D1019" s="2" t="s">
        <v>213</v>
      </c>
      <c r="E1019" s="2" t="s">
        <v>214</v>
      </c>
      <c r="F1019" s="14" t="s">
        <v>3486</v>
      </c>
      <c r="G1019" s="14" t="s">
        <v>3487</v>
      </c>
      <c r="H1019" s="15" t="s">
        <v>24</v>
      </c>
      <c r="I1019" s="15" t="s">
        <v>3491</v>
      </c>
      <c r="J1019" s="2">
        <v>6.0</v>
      </c>
      <c r="K1019" s="12" t="s">
        <v>4281</v>
      </c>
      <c r="L1019" s="16">
        <v>0.0</v>
      </c>
    </row>
    <row r="1020" hidden="1">
      <c r="A1020" s="1" t="s">
        <v>911</v>
      </c>
      <c r="B1020" s="1" t="s">
        <v>911</v>
      </c>
      <c r="C1020" s="13">
        <v>45785.657638888886</v>
      </c>
      <c r="D1020" s="2" t="s">
        <v>493</v>
      </c>
      <c r="E1020" s="2" t="s">
        <v>494</v>
      </c>
      <c r="F1020" s="14" t="s">
        <v>3486</v>
      </c>
      <c r="G1020" s="14" t="s">
        <v>3487</v>
      </c>
      <c r="H1020" s="15" t="s">
        <v>24</v>
      </c>
      <c r="I1020" s="15" t="s">
        <v>3491</v>
      </c>
      <c r="J1020" s="2">
        <v>5.0</v>
      </c>
      <c r="K1020" s="12" t="s">
        <v>4282</v>
      </c>
      <c r="L1020" s="16">
        <v>0.0</v>
      </c>
    </row>
    <row r="1021" hidden="1">
      <c r="A1021" s="1" t="s">
        <v>911</v>
      </c>
      <c r="B1021" s="1" t="s">
        <v>911</v>
      </c>
      <c r="C1021" s="13">
        <v>45785.65833333333</v>
      </c>
      <c r="D1021" s="2" t="s">
        <v>493</v>
      </c>
      <c r="E1021" s="2" t="s">
        <v>494</v>
      </c>
      <c r="F1021" s="14" t="s">
        <v>3493</v>
      </c>
      <c r="G1021" s="14" t="s">
        <v>3494</v>
      </c>
      <c r="H1021" s="15" t="s">
        <v>24</v>
      </c>
      <c r="I1021" s="15" t="s">
        <v>3491</v>
      </c>
      <c r="J1021" s="2">
        <v>2.0</v>
      </c>
      <c r="K1021" s="19"/>
      <c r="L1021" s="16">
        <v>0.0</v>
      </c>
    </row>
    <row r="1022" hidden="1">
      <c r="A1022" s="1" t="s">
        <v>912</v>
      </c>
      <c r="B1022" s="1" t="s">
        <v>912</v>
      </c>
      <c r="C1022" s="13">
        <v>45786.33819444444</v>
      </c>
      <c r="D1022" s="2" t="s">
        <v>493</v>
      </c>
      <c r="E1022" s="2" t="s">
        <v>494</v>
      </c>
      <c r="F1022" s="14" t="s">
        <v>3486</v>
      </c>
      <c r="G1022" s="14" t="s">
        <v>3487</v>
      </c>
      <c r="H1022" s="15" t="s">
        <v>16</v>
      </c>
      <c r="I1022" s="15" t="s">
        <v>3488</v>
      </c>
      <c r="J1022" s="2">
        <v>5.0</v>
      </c>
      <c r="K1022" s="12" t="s">
        <v>4283</v>
      </c>
      <c r="L1022" s="16">
        <v>50000.0</v>
      </c>
    </row>
    <row r="1023" hidden="1">
      <c r="A1023" s="1" t="s">
        <v>912</v>
      </c>
      <c r="B1023" s="1" t="s">
        <v>912</v>
      </c>
      <c r="C1023" s="13">
        <v>45786.33819444444</v>
      </c>
      <c r="D1023" s="2" t="s">
        <v>493</v>
      </c>
      <c r="E1023" s="2" t="s">
        <v>494</v>
      </c>
      <c r="F1023" s="14" t="s">
        <v>3493</v>
      </c>
      <c r="G1023" s="14" t="s">
        <v>3494</v>
      </c>
      <c r="H1023" s="15" t="s">
        <v>16</v>
      </c>
      <c r="I1023" s="15" t="s">
        <v>3488</v>
      </c>
      <c r="J1023" s="2">
        <v>2.0</v>
      </c>
      <c r="K1023" s="19"/>
      <c r="L1023" s="16">
        <v>215000.0</v>
      </c>
    </row>
    <row r="1024" hidden="1">
      <c r="A1024" s="1" t="s">
        <v>913</v>
      </c>
      <c r="B1024" s="1" t="s">
        <v>913</v>
      </c>
      <c r="C1024" s="13">
        <v>45786.45763888889</v>
      </c>
      <c r="D1024" s="2" t="s">
        <v>213</v>
      </c>
      <c r="E1024" s="2" t="s">
        <v>214</v>
      </c>
      <c r="F1024" s="14" t="s">
        <v>3486</v>
      </c>
      <c r="G1024" s="14" t="s">
        <v>3487</v>
      </c>
      <c r="H1024" s="15" t="s">
        <v>16</v>
      </c>
      <c r="I1024" s="15" t="s">
        <v>3488</v>
      </c>
      <c r="J1024" s="2">
        <v>10.0</v>
      </c>
      <c r="K1024" s="12" t="s">
        <v>4284</v>
      </c>
      <c r="L1024" s="16">
        <v>60000.0</v>
      </c>
    </row>
    <row r="1025" hidden="1">
      <c r="A1025" s="1" t="s">
        <v>913</v>
      </c>
      <c r="B1025" s="1" t="s">
        <v>913</v>
      </c>
      <c r="C1025" s="13">
        <v>45786.458333333336</v>
      </c>
      <c r="D1025" s="2" t="s">
        <v>213</v>
      </c>
      <c r="E1025" s="2" t="s">
        <v>214</v>
      </c>
      <c r="F1025" s="14" t="s">
        <v>3547</v>
      </c>
      <c r="G1025" s="14" t="s">
        <v>3548</v>
      </c>
      <c r="H1025" s="15" t="s">
        <v>16</v>
      </c>
      <c r="I1025" s="15" t="s">
        <v>3488</v>
      </c>
      <c r="J1025" s="2">
        <v>1.0</v>
      </c>
      <c r="K1025" s="19"/>
      <c r="L1025" s="16">
        <v>950000.0</v>
      </c>
    </row>
    <row r="1026" hidden="1">
      <c r="A1026" s="1" t="s">
        <v>914</v>
      </c>
      <c r="B1026" s="1" t="s">
        <v>914</v>
      </c>
      <c r="C1026" s="13">
        <v>45786.614583333336</v>
      </c>
      <c r="D1026" s="2" t="s">
        <v>213</v>
      </c>
      <c r="E1026" s="2" t="s">
        <v>214</v>
      </c>
      <c r="F1026" s="14" t="s">
        <v>3486</v>
      </c>
      <c r="G1026" s="14" t="s">
        <v>3487</v>
      </c>
      <c r="H1026" s="15" t="s">
        <v>24</v>
      </c>
      <c r="I1026" s="15" t="s">
        <v>3491</v>
      </c>
      <c r="J1026" s="2">
        <v>2.0</v>
      </c>
      <c r="K1026" s="12" t="s">
        <v>4285</v>
      </c>
      <c r="L1026" s="16">
        <v>0.0</v>
      </c>
    </row>
    <row r="1027" hidden="1">
      <c r="A1027" s="1" t="s">
        <v>914</v>
      </c>
      <c r="B1027" s="1" t="s">
        <v>914</v>
      </c>
      <c r="C1027" s="13">
        <v>45786.614583333336</v>
      </c>
      <c r="D1027" s="2" t="s">
        <v>213</v>
      </c>
      <c r="E1027" s="2" t="s">
        <v>214</v>
      </c>
      <c r="F1027" s="14" t="s">
        <v>3547</v>
      </c>
      <c r="G1027" s="14" t="s">
        <v>3548</v>
      </c>
      <c r="H1027" s="15" t="s">
        <v>24</v>
      </c>
      <c r="I1027" s="15" t="s">
        <v>3491</v>
      </c>
      <c r="J1027" s="2">
        <v>1.0</v>
      </c>
      <c r="K1027" s="19"/>
      <c r="L1027" s="16">
        <v>0.0</v>
      </c>
    </row>
    <row r="1028" hidden="1">
      <c r="A1028" s="1" t="s">
        <v>915</v>
      </c>
      <c r="B1028" s="1" t="s">
        <v>915</v>
      </c>
      <c r="C1028" s="13">
        <v>45787.478472222225</v>
      </c>
      <c r="D1028" s="2" t="s">
        <v>799</v>
      </c>
      <c r="E1028" s="2" t="s">
        <v>800</v>
      </c>
      <c r="F1028" s="14" t="s">
        <v>4203</v>
      </c>
      <c r="G1028" s="14" t="s">
        <v>4204</v>
      </c>
      <c r="H1028" s="15" t="s">
        <v>24</v>
      </c>
      <c r="I1028" s="15" t="s">
        <v>3491</v>
      </c>
      <c r="J1028" s="2">
        <v>6.0</v>
      </c>
      <c r="K1028" s="12" t="s">
        <v>4286</v>
      </c>
      <c r="L1028" s="16">
        <v>0.0</v>
      </c>
    </row>
    <row r="1029" hidden="1">
      <c r="A1029" s="1" t="s">
        <v>915</v>
      </c>
      <c r="B1029" s="1" t="s">
        <v>915</v>
      </c>
      <c r="C1029" s="13">
        <v>45787.478472222225</v>
      </c>
      <c r="D1029" s="2" t="s">
        <v>799</v>
      </c>
      <c r="E1029" s="2" t="s">
        <v>800</v>
      </c>
      <c r="F1029" s="14" t="s">
        <v>4203</v>
      </c>
      <c r="G1029" s="14" t="s">
        <v>4204</v>
      </c>
      <c r="H1029" s="15" t="s">
        <v>24</v>
      </c>
      <c r="I1029" s="15" t="s">
        <v>3614</v>
      </c>
      <c r="J1029" s="2">
        <v>1.0</v>
      </c>
      <c r="K1029" s="12" t="s">
        <v>4287</v>
      </c>
      <c r="L1029" s="16">
        <v>0.0</v>
      </c>
    </row>
    <row r="1030" hidden="1">
      <c r="A1030" s="1" t="s">
        <v>916</v>
      </c>
      <c r="B1030" s="1" t="s">
        <v>916</v>
      </c>
      <c r="C1030" s="13">
        <v>45787.479166666664</v>
      </c>
      <c r="D1030" s="2" t="s">
        <v>799</v>
      </c>
      <c r="E1030" s="2" t="s">
        <v>800</v>
      </c>
      <c r="F1030" s="14" t="s">
        <v>4203</v>
      </c>
      <c r="G1030" s="14" t="s">
        <v>4204</v>
      </c>
      <c r="H1030" s="15" t="s">
        <v>159</v>
      </c>
      <c r="I1030" s="15" t="s">
        <v>3619</v>
      </c>
      <c r="J1030" s="2">
        <v>1.0</v>
      </c>
      <c r="K1030" s="19"/>
      <c r="L1030" s="16">
        <v>0.0</v>
      </c>
    </row>
    <row r="1031" hidden="1">
      <c r="A1031" s="1" t="s">
        <v>917</v>
      </c>
      <c r="B1031" s="1" t="s">
        <v>917</v>
      </c>
      <c r="C1031" s="13">
        <v>45790.35902777778</v>
      </c>
      <c r="D1031" s="2" t="s">
        <v>464</v>
      </c>
      <c r="E1031" s="2" t="s">
        <v>465</v>
      </c>
      <c r="F1031" s="14" t="s">
        <v>3486</v>
      </c>
      <c r="G1031" s="14" t="s">
        <v>3487</v>
      </c>
      <c r="H1031" s="15" t="s">
        <v>16</v>
      </c>
      <c r="I1031" s="15" t="s">
        <v>3488</v>
      </c>
      <c r="J1031" s="2">
        <v>5.0</v>
      </c>
      <c r="K1031" s="12" t="s">
        <v>4288</v>
      </c>
      <c r="L1031" s="16">
        <v>55000.0</v>
      </c>
    </row>
    <row r="1032" hidden="1">
      <c r="A1032" s="1" t="s">
        <v>918</v>
      </c>
      <c r="B1032" s="1" t="s">
        <v>918</v>
      </c>
      <c r="C1032" s="13">
        <v>45790.35972222222</v>
      </c>
      <c r="D1032" s="2" t="s">
        <v>349</v>
      </c>
      <c r="E1032" s="2" t="s">
        <v>350</v>
      </c>
      <c r="F1032" s="14" t="s">
        <v>3547</v>
      </c>
      <c r="G1032" s="14" t="s">
        <v>3548</v>
      </c>
      <c r="H1032" s="15" t="s">
        <v>16</v>
      </c>
      <c r="I1032" s="15" t="s">
        <v>3488</v>
      </c>
      <c r="J1032" s="2">
        <v>5.0</v>
      </c>
      <c r="K1032" s="19"/>
      <c r="L1032" s="16">
        <v>909909.9099</v>
      </c>
    </row>
    <row r="1033" hidden="1">
      <c r="A1033" s="1" t="s">
        <v>919</v>
      </c>
      <c r="B1033" s="1" t="s">
        <v>919</v>
      </c>
      <c r="C1033" s="13">
        <v>45790.35972222222</v>
      </c>
      <c r="D1033" s="2" t="s">
        <v>786</v>
      </c>
      <c r="E1033" s="2" t="s">
        <v>787</v>
      </c>
      <c r="F1033" s="14" t="s">
        <v>3486</v>
      </c>
      <c r="G1033" s="14" t="s">
        <v>3487</v>
      </c>
      <c r="H1033" s="15" t="s">
        <v>16</v>
      </c>
      <c r="I1033" s="15" t="s">
        <v>3488</v>
      </c>
      <c r="J1033" s="2">
        <v>3.0</v>
      </c>
      <c r="K1033" s="12" t="s">
        <v>4289</v>
      </c>
      <c r="L1033" s="16">
        <v>60000.0</v>
      </c>
    </row>
    <row r="1034" hidden="1">
      <c r="A1034" s="1" t="s">
        <v>920</v>
      </c>
      <c r="B1034" s="1" t="s">
        <v>920</v>
      </c>
      <c r="C1034" s="13">
        <v>45790.40625</v>
      </c>
      <c r="D1034" s="2" t="s">
        <v>326</v>
      </c>
      <c r="E1034" s="2" t="s">
        <v>327</v>
      </c>
      <c r="F1034" s="14" t="s">
        <v>3486</v>
      </c>
      <c r="G1034" s="14" t="s">
        <v>3487</v>
      </c>
      <c r="H1034" s="15" t="s">
        <v>16</v>
      </c>
      <c r="I1034" s="15" t="s">
        <v>3488</v>
      </c>
      <c r="J1034" s="2">
        <v>15.0</v>
      </c>
      <c r="K1034" s="12" t="s">
        <v>4290</v>
      </c>
      <c r="L1034" s="16">
        <v>45000.0</v>
      </c>
    </row>
    <row r="1035" hidden="1">
      <c r="A1035" s="1" t="s">
        <v>921</v>
      </c>
      <c r="B1035" s="1" t="s">
        <v>921</v>
      </c>
      <c r="C1035" s="13">
        <v>45791.388194444444</v>
      </c>
      <c r="D1035" s="2" t="s">
        <v>685</v>
      </c>
      <c r="E1035" s="2" t="s">
        <v>686</v>
      </c>
      <c r="F1035" s="14" t="s">
        <v>3493</v>
      </c>
      <c r="G1035" s="14" t="s">
        <v>3494</v>
      </c>
      <c r="H1035" s="15" t="s">
        <v>16</v>
      </c>
      <c r="I1035" s="15" t="s">
        <v>3488</v>
      </c>
      <c r="J1035" s="2">
        <v>1.0</v>
      </c>
      <c r="K1035" s="19"/>
      <c r="L1035" s="16">
        <v>189189.19</v>
      </c>
    </row>
    <row r="1036" hidden="1">
      <c r="A1036" s="1" t="s">
        <v>922</v>
      </c>
      <c r="B1036" s="1" t="s">
        <v>922</v>
      </c>
      <c r="C1036" s="13">
        <v>45791.459027777775</v>
      </c>
      <c r="D1036" s="2" t="s">
        <v>685</v>
      </c>
      <c r="E1036" s="2" t="s">
        <v>686</v>
      </c>
      <c r="F1036" s="14" t="s">
        <v>3493</v>
      </c>
      <c r="G1036" s="14" t="s">
        <v>3494</v>
      </c>
      <c r="H1036" s="15" t="s">
        <v>24</v>
      </c>
      <c r="I1036" s="15" t="s">
        <v>3491</v>
      </c>
      <c r="J1036" s="2">
        <v>1.0</v>
      </c>
      <c r="K1036" s="19"/>
      <c r="L1036" s="16">
        <v>0.0</v>
      </c>
    </row>
    <row r="1037" hidden="1">
      <c r="A1037" s="1" t="s">
        <v>923</v>
      </c>
      <c r="B1037" s="1" t="s">
        <v>923</v>
      </c>
      <c r="C1037" s="13">
        <v>45791.46319444444</v>
      </c>
      <c r="D1037" s="2" t="s">
        <v>149</v>
      </c>
      <c r="E1037" s="2" t="s">
        <v>150</v>
      </c>
      <c r="F1037" s="14" t="s">
        <v>3516</v>
      </c>
      <c r="G1037" s="14" t="s">
        <v>3517</v>
      </c>
      <c r="H1037" s="15" t="s">
        <v>24</v>
      </c>
      <c r="I1037" s="15" t="s">
        <v>3491</v>
      </c>
      <c r="J1037" s="2">
        <v>1.0</v>
      </c>
      <c r="K1037" s="12" t="s">
        <v>4291</v>
      </c>
      <c r="L1037" s="16">
        <v>0.0</v>
      </c>
    </row>
    <row r="1038" hidden="1">
      <c r="A1038" s="1" t="s">
        <v>924</v>
      </c>
      <c r="B1038" s="1" t="s">
        <v>924</v>
      </c>
      <c r="C1038" s="13">
        <v>45790.46319444444</v>
      </c>
      <c r="D1038" s="2" t="s">
        <v>786</v>
      </c>
      <c r="E1038" s="2" t="s">
        <v>787</v>
      </c>
      <c r="F1038" s="14" t="s">
        <v>3486</v>
      </c>
      <c r="G1038" s="14" t="s">
        <v>3487</v>
      </c>
      <c r="H1038" s="15" t="s">
        <v>24</v>
      </c>
      <c r="I1038" s="15" t="s">
        <v>3491</v>
      </c>
      <c r="J1038" s="2">
        <v>1.0</v>
      </c>
      <c r="K1038" s="12" t="s">
        <v>4292</v>
      </c>
      <c r="L1038" s="16">
        <v>0.0</v>
      </c>
    </row>
    <row r="1039" hidden="1">
      <c r="A1039" s="1" t="s">
        <v>925</v>
      </c>
      <c r="B1039" s="1" t="s">
        <v>925</v>
      </c>
      <c r="C1039" s="13">
        <v>45790.46388888889</v>
      </c>
      <c r="D1039" s="2" t="s">
        <v>326</v>
      </c>
      <c r="E1039" s="2" t="s">
        <v>327</v>
      </c>
      <c r="F1039" s="14" t="s">
        <v>3486</v>
      </c>
      <c r="G1039" s="14" t="s">
        <v>3487</v>
      </c>
      <c r="H1039" s="15" t="s">
        <v>24</v>
      </c>
      <c r="I1039" s="15" t="s">
        <v>3491</v>
      </c>
      <c r="J1039" s="2">
        <v>10.0</v>
      </c>
      <c r="K1039" s="12" t="s">
        <v>4293</v>
      </c>
      <c r="L1039" s="16">
        <v>0.0</v>
      </c>
    </row>
    <row r="1040" hidden="1">
      <c r="A1040" s="1" t="s">
        <v>926</v>
      </c>
      <c r="B1040" s="1" t="s">
        <v>926</v>
      </c>
      <c r="C1040" s="13">
        <v>45790.46666666667</v>
      </c>
      <c r="D1040" s="2" t="s">
        <v>464</v>
      </c>
      <c r="E1040" s="2" t="s">
        <v>465</v>
      </c>
      <c r="F1040" s="14" t="s">
        <v>3486</v>
      </c>
      <c r="G1040" s="14" t="s">
        <v>3487</v>
      </c>
      <c r="H1040" s="15" t="s">
        <v>24</v>
      </c>
      <c r="I1040" s="15" t="s">
        <v>3491</v>
      </c>
      <c r="J1040" s="2">
        <v>4.0</v>
      </c>
      <c r="K1040" s="12" t="s">
        <v>4294</v>
      </c>
      <c r="L1040" s="16">
        <v>0.0</v>
      </c>
    </row>
    <row r="1041" hidden="1">
      <c r="A1041" s="1" t="s">
        <v>926</v>
      </c>
      <c r="B1041" s="1" t="s">
        <v>926</v>
      </c>
      <c r="C1041" s="13">
        <v>45790.467361111114</v>
      </c>
      <c r="D1041" s="2" t="s">
        <v>464</v>
      </c>
      <c r="E1041" s="2" t="s">
        <v>465</v>
      </c>
      <c r="F1041" s="14" t="s">
        <v>3506</v>
      </c>
      <c r="G1041" s="14" t="s">
        <v>3507</v>
      </c>
      <c r="H1041" s="15" t="s">
        <v>24</v>
      </c>
      <c r="I1041" s="15" t="s">
        <v>3491</v>
      </c>
      <c r="J1041" s="2">
        <v>1.0</v>
      </c>
      <c r="K1041" s="12" t="s">
        <v>4295</v>
      </c>
      <c r="L1041" s="16">
        <v>0.0</v>
      </c>
    </row>
    <row r="1042" hidden="1">
      <c r="A1042" s="1" t="s">
        <v>927</v>
      </c>
      <c r="B1042" s="1" t="s">
        <v>927</v>
      </c>
      <c r="C1042" s="13">
        <v>45790.46805555555</v>
      </c>
      <c r="D1042" s="2" t="s">
        <v>349</v>
      </c>
      <c r="E1042" s="2" t="s">
        <v>350</v>
      </c>
      <c r="F1042" s="14" t="s">
        <v>3547</v>
      </c>
      <c r="G1042" s="14" t="s">
        <v>3548</v>
      </c>
      <c r="H1042" s="15" t="s">
        <v>24</v>
      </c>
      <c r="I1042" s="15" t="s">
        <v>3491</v>
      </c>
      <c r="J1042" s="2">
        <v>5.0</v>
      </c>
      <c r="K1042" s="19"/>
      <c r="L1042" s="16">
        <v>0.0</v>
      </c>
    </row>
    <row r="1043" hidden="1">
      <c r="A1043" s="1" t="s">
        <v>928</v>
      </c>
      <c r="B1043" s="1" t="s">
        <v>928</v>
      </c>
      <c r="C1043" s="13">
        <v>45791.649305555555</v>
      </c>
      <c r="D1043" s="2" t="s">
        <v>320</v>
      </c>
      <c r="E1043" s="2" t="s">
        <v>321</v>
      </c>
      <c r="F1043" s="14" t="s">
        <v>3585</v>
      </c>
      <c r="G1043" s="14" t="s">
        <v>3586</v>
      </c>
      <c r="H1043" s="15" t="s">
        <v>16</v>
      </c>
      <c r="I1043" s="15" t="s">
        <v>3488</v>
      </c>
      <c r="J1043" s="2">
        <v>1.0</v>
      </c>
      <c r="K1043" s="12" t="s">
        <v>3885</v>
      </c>
      <c r="L1043" s="16">
        <v>400000.0</v>
      </c>
    </row>
    <row r="1044" hidden="1">
      <c r="A1044" s="1" t="s">
        <v>929</v>
      </c>
      <c r="B1044" s="1" t="s">
        <v>929</v>
      </c>
      <c r="C1044" s="13">
        <v>45791.675</v>
      </c>
      <c r="D1044" s="2" t="s">
        <v>320</v>
      </c>
      <c r="E1044" s="2" t="s">
        <v>321</v>
      </c>
      <c r="F1044" s="14" t="s">
        <v>3585</v>
      </c>
      <c r="G1044" s="14" t="s">
        <v>3586</v>
      </c>
      <c r="H1044" s="15" t="s">
        <v>24</v>
      </c>
      <c r="I1044" s="15" t="s">
        <v>3491</v>
      </c>
      <c r="J1044" s="2">
        <v>1.0</v>
      </c>
      <c r="K1044" s="12" t="s">
        <v>3706</v>
      </c>
      <c r="L1044" s="16">
        <v>0.0</v>
      </c>
    </row>
    <row r="1045" hidden="1">
      <c r="A1045" s="1" t="s">
        <v>930</v>
      </c>
      <c r="B1045" s="1" t="s">
        <v>930</v>
      </c>
      <c r="C1045" s="13">
        <v>45792.381944444445</v>
      </c>
      <c r="D1045" s="2" t="s">
        <v>305</v>
      </c>
      <c r="E1045" s="2" t="s">
        <v>306</v>
      </c>
      <c r="F1045" s="14" t="s">
        <v>3486</v>
      </c>
      <c r="G1045" s="14" t="s">
        <v>3487</v>
      </c>
      <c r="H1045" s="15" t="s">
        <v>16</v>
      </c>
      <c r="I1045" s="15" t="s">
        <v>3488</v>
      </c>
      <c r="J1045" s="2">
        <v>10.0</v>
      </c>
      <c r="K1045" s="12" t="s">
        <v>4296</v>
      </c>
      <c r="L1045" s="16">
        <v>47297.2973</v>
      </c>
    </row>
    <row r="1046" hidden="1">
      <c r="A1046" s="1" t="s">
        <v>931</v>
      </c>
      <c r="B1046" s="1" t="s">
        <v>931</v>
      </c>
      <c r="C1046" s="13">
        <v>45792.464583333334</v>
      </c>
      <c r="D1046" s="2" t="s">
        <v>109</v>
      </c>
      <c r="E1046" s="2" t="s">
        <v>110</v>
      </c>
      <c r="F1046" s="14" t="s">
        <v>3522</v>
      </c>
      <c r="G1046" s="14" t="s">
        <v>3523</v>
      </c>
      <c r="H1046" s="15" t="s">
        <v>24</v>
      </c>
      <c r="I1046" s="15" t="s">
        <v>3491</v>
      </c>
      <c r="J1046" s="2">
        <v>1.0</v>
      </c>
      <c r="K1046" s="12" t="s">
        <v>3618</v>
      </c>
      <c r="L1046" s="16">
        <v>0.0</v>
      </c>
    </row>
    <row r="1047" hidden="1">
      <c r="A1047" s="1" t="s">
        <v>932</v>
      </c>
      <c r="B1047" s="1" t="s">
        <v>932</v>
      </c>
      <c r="C1047" s="13">
        <v>45792.47777777778</v>
      </c>
      <c r="D1047" s="2" t="s">
        <v>305</v>
      </c>
      <c r="E1047" s="2" t="s">
        <v>306</v>
      </c>
      <c r="F1047" s="14" t="s">
        <v>3486</v>
      </c>
      <c r="G1047" s="14" t="s">
        <v>3487</v>
      </c>
      <c r="H1047" s="15" t="s">
        <v>24</v>
      </c>
      <c r="I1047" s="15" t="s">
        <v>3491</v>
      </c>
      <c r="J1047" s="2">
        <v>9.0</v>
      </c>
      <c r="K1047" s="12" t="s">
        <v>4297</v>
      </c>
      <c r="L1047" s="16">
        <v>0.0</v>
      </c>
    </row>
    <row r="1048" hidden="1">
      <c r="A1048" s="1" t="s">
        <v>933</v>
      </c>
      <c r="B1048" s="1" t="s">
        <v>933</v>
      </c>
      <c r="C1048" s="13">
        <v>45792.586805555555</v>
      </c>
      <c r="D1048" s="2" t="s">
        <v>934</v>
      </c>
      <c r="E1048" s="2" t="s">
        <v>935</v>
      </c>
      <c r="F1048" s="14" t="s">
        <v>3522</v>
      </c>
      <c r="G1048" s="14" t="s">
        <v>3523</v>
      </c>
      <c r="H1048" s="15" t="s">
        <v>16</v>
      </c>
      <c r="I1048" s="15" t="s">
        <v>3488</v>
      </c>
      <c r="J1048" s="2">
        <v>1.0</v>
      </c>
      <c r="K1048" s="12" t="s">
        <v>4298</v>
      </c>
      <c r="L1048" s="16">
        <v>200000.0</v>
      </c>
    </row>
    <row r="1049" hidden="1">
      <c r="A1049" s="1" t="s">
        <v>937</v>
      </c>
      <c r="B1049" s="1" t="s">
        <v>937</v>
      </c>
      <c r="C1049" s="13">
        <v>45793.356944444444</v>
      </c>
      <c r="D1049" s="2" t="s">
        <v>786</v>
      </c>
      <c r="E1049" s="2" t="s">
        <v>787</v>
      </c>
      <c r="F1049" s="14" t="s">
        <v>3486</v>
      </c>
      <c r="G1049" s="14" t="s">
        <v>3487</v>
      </c>
      <c r="H1049" s="15" t="s">
        <v>16</v>
      </c>
      <c r="I1049" s="15" t="s">
        <v>3488</v>
      </c>
      <c r="J1049" s="2">
        <v>3.0</v>
      </c>
      <c r="K1049" s="12" t="s">
        <v>4299</v>
      </c>
      <c r="L1049" s="16">
        <v>60000.0</v>
      </c>
    </row>
    <row r="1050" hidden="1">
      <c r="A1050" s="1" t="s">
        <v>938</v>
      </c>
      <c r="B1050" s="1" t="s">
        <v>938</v>
      </c>
      <c r="C1050" s="13">
        <v>45793.35972222222</v>
      </c>
      <c r="D1050" s="2" t="s">
        <v>349</v>
      </c>
      <c r="E1050" s="2" t="s">
        <v>350</v>
      </c>
      <c r="F1050" s="14" t="s">
        <v>3547</v>
      </c>
      <c r="G1050" s="14" t="s">
        <v>3548</v>
      </c>
      <c r="H1050" s="15" t="s">
        <v>16</v>
      </c>
      <c r="I1050" s="15" t="s">
        <v>3488</v>
      </c>
      <c r="J1050" s="2">
        <v>6.0</v>
      </c>
      <c r="K1050" s="19"/>
      <c r="L1050" s="16">
        <v>909909.9099</v>
      </c>
    </row>
    <row r="1051" hidden="1">
      <c r="A1051" s="1" t="s">
        <v>939</v>
      </c>
      <c r="B1051" s="1" t="s">
        <v>939</v>
      </c>
      <c r="C1051" s="13">
        <v>45793.49166666667</v>
      </c>
      <c r="D1051" s="2" t="s">
        <v>786</v>
      </c>
      <c r="E1051" s="2" t="s">
        <v>787</v>
      </c>
      <c r="F1051" s="14" t="s">
        <v>3486</v>
      </c>
      <c r="G1051" s="14" t="s">
        <v>3487</v>
      </c>
      <c r="H1051" s="15" t="s">
        <v>24</v>
      </c>
      <c r="I1051" s="15" t="s">
        <v>3491</v>
      </c>
      <c r="J1051" s="2">
        <v>1.0</v>
      </c>
      <c r="K1051" s="12" t="s">
        <v>4033</v>
      </c>
      <c r="L1051" s="16">
        <v>0.0</v>
      </c>
    </row>
    <row r="1052" hidden="1">
      <c r="A1052" s="1" t="s">
        <v>940</v>
      </c>
      <c r="B1052" s="1" t="s">
        <v>940</v>
      </c>
      <c r="C1052" s="13">
        <v>45793.49166666667</v>
      </c>
      <c r="D1052" s="2" t="s">
        <v>349</v>
      </c>
      <c r="E1052" s="2" t="s">
        <v>350</v>
      </c>
      <c r="F1052" s="14" t="s">
        <v>3547</v>
      </c>
      <c r="G1052" s="14" t="s">
        <v>3548</v>
      </c>
      <c r="H1052" s="15" t="s">
        <v>24</v>
      </c>
      <c r="I1052" s="15" t="s">
        <v>3491</v>
      </c>
      <c r="J1052" s="2">
        <v>6.0</v>
      </c>
      <c r="K1052" s="19"/>
      <c r="L1052" s="16">
        <v>0.0</v>
      </c>
    </row>
    <row r="1053" hidden="1">
      <c r="A1053" s="1" t="s">
        <v>941</v>
      </c>
      <c r="B1053" s="1" t="s">
        <v>941</v>
      </c>
      <c r="C1053" s="13">
        <v>45793.54305555556</v>
      </c>
      <c r="D1053" s="2" t="s">
        <v>464</v>
      </c>
      <c r="E1053" s="2" t="s">
        <v>465</v>
      </c>
      <c r="F1053" s="14" t="s">
        <v>3506</v>
      </c>
      <c r="G1053" s="14" t="s">
        <v>3507</v>
      </c>
      <c r="H1053" s="15" t="s">
        <v>16</v>
      </c>
      <c r="I1053" s="15" t="s">
        <v>3488</v>
      </c>
      <c r="J1053" s="2">
        <v>1.0</v>
      </c>
      <c r="K1053" s="12" t="s">
        <v>4295</v>
      </c>
      <c r="L1053" s="16">
        <v>55000.0</v>
      </c>
    </row>
    <row r="1054" hidden="1">
      <c r="A1054" s="1" t="s">
        <v>942</v>
      </c>
      <c r="B1054" s="1" t="s">
        <v>942</v>
      </c>
      <c r="C1054" s="13">
        <v>45793.544444444444</v>
      </c>
      <c r="D1054" s="2" t="s">
        <v>943</v>
      </c>
      <c r="E1054" s="2" t="s">
        <v>944</v>
      </c>
      <c r="F1054" s="14" t="s">
        <v>4203</v>
      </c>
      <c r="G1054" s="14" t="s">
        <v>4204</v>
      </c>
      <c r="H1054" s="15" t="s">
        <v>16</v>
      </c>
      <c r="I1054" s="15" t="s">
        <v>3488</v>
      </c>
      <c r="J1054" s="2">
        <v>5.0</v>
      </c>
      <c r="K1054" s="12" t="s">
        <v>4300</v>
      </c>
      <c r="L1054" s="16">
        <v>55000.0</v>
      </c>
    </row>
    <row r="1055" hidden="1">
      <c r="A1055" s="1" t="s">
        <v>946</v>
      </c>
      <c r="B1055" s="1" t="s">
        <v>946</v>
      </c>
      <c r="C1055" s="13">
        <v>45793.61319444444</v>
      </c>
      <c r="D1055" s="2" t="s">
        <v>55</v>
      </c>
      <c r="E1055" s="2" t="s">
        <v>56</v>
      </c>
      <c r="F1055" s="14" t="s">
        <v>3486</v>
      </c>
      <c r="G1055" s="14" t="s">
        <v>3487</v>
      </c>
      <c r="H1055" s="15" t="s">
        <v>16</v>
      </c>
      <c r="I1055" s="15" t="s">
        <v>3488</v>
      </c>
      <c r="J1055" s="2">
        <v>5.0</v>
      </c>
      <c r="K1055" s="12" t="s">
        <v>4301</v>
      </c>
      <c r="L1055" s="16">
        <v>60000.0</v>
      </c>
    </row>
    <row r="1056" hidden="1">
      <c r="A1056" s="1" t="s">
        <v>947</v>
      </c>
      <c r="B1056" s="1" t="s">
        <v>947</v>
      </c>
      <c r="C1056" s="13">
        <v>45793.66805555556</v>
      </c>
      <c r="D1056" s="2" t="s">
        <v>55</v>
      </c>
      <c r="E1056" s="2" t="s">
        <v>56</v>
      </c>
      <c r="F1056" s="14" t="s">
        <v>3486</v>
      </c>
      <c r="G1056" s="14" t="s">
        <v>3487</v>
      </c>
      <c r="H1056" s="15" t="s">
        <v>24</v>
      </c>
      <c r="I1056" s="15" t="s">
        <v>3491</v>
      </c>
      <c r="J1056" s="2">
        <v>8.0</v>
      </c>
      <c r="K1056" s="12" t="s">
        <v>4302</v>
      </c>
      <c r="L1056" s="16">
        <v>0.0</v>
      </c>
    </row>
    <row r="1057" hidden="1">
      <c r="A1057" s="1" t="s">
        <v>948</v>
      </c>
      <c r="B1057" s="1" t="s">
        <v>948</v>
      </c>
      <c r="C1057" s="13">
        <v>45794.45</v>
      </c>
      <c r="D1057" s="2" t="s">
        <v>505</v>
      </c>
      <c r="E1057" s="2" t="s">
        <v>506</v>
      </c>
      <c r="F1057" s="14" t="s">
        <v>3486</v>
      </c>
      <c r="G1057" s="14" t="s">
        <v>3487</v>
      </c>
      <c r="H1057" s="15" t="s">
        <v>24</v>
      </c>
      <c r="I1057" s="15" t="s">
        <v>3491</v>
      </c>
      <c r="J1057" s="2">
        <v>2.0</v>
      </c>
      <c r="K1057" s="12" t="s">
        <v>4303</v>
      </c>
      <c r="L1057" s="16">
        <v>0.0</v>
      </c>
    </row>
    <row r="1058" hidden="1">
      <c r="A1058" s="1" t="s">
        <v>949</v>
      </c>
      <c r="B1058" s="1" t="s">
        <v>949</v>
      </c>
      <c r="C1058" s="13">
        <v>45796.57777777778</v>
      </c>
      <c r="D1058" s="2" t="s">
        <v>392</v>
      </c>
      <c r="E1058" s="2" t="s">
        <v>393</v>
      </c>
      <c r="F1058" s="14" t="s">
        <v>3506</v>
      </c>
      <c r="G1058" s="14" t="s">
        <v>3507</v>
      </c>
      <c r="H1058" s="15" t="s">
        <v>24</v>
      </c>
      <c r="I1058" s="15" t="s">
        <v>3491</v>
      </c>
      <c r="J1058" s="2">
        <v>6.0</v>
      </c>
      <c r="K1058" s="19"/>
      <c r="L1058" s="16">
        <v>0.0</v>
      </c>
    </row>
    <row r="1059" hidden="1">
      <c r="A1059" s="1" t="s">
        <v>950</v>
      </c>
      <c r="B1059" s="1" t="s">
        <v>950</v>
      </c>
      <c r="C1059" s="13">
        <v>45796.584027777775</v>
      </c>
      <c r="D1059" s="2" t="s">
        <v>951</v>
      </c>
      <c r="E1059" s="2" t="s">
        <v>952</v>
      </c>
      <c r="F1059" s="14" t="s">
        <v>3486</v>
      </c>
      <c r="G1059" s="14" t="s">
        <v>3487</v>
      </c>
      <c r="H1059" s="15" t="s">
        <v>16</v>
      </c>
      <c r="I1059" s="15" t="s">
        <v>3488</v>
      </c>
      <c r="J1059" s="2">
        <v>4.0</v>
      </c>
      <c r="K1059" s="12" t="s">
        <v>4304</v>
      </c>
      <c r="L1059" s="16">
        <v>55000.0</v>
      </c>
    </row>
    <row r="1060" hidden="1">
      <c r="A1060" s="1" t="s">
        <v>950</v>
      </c>
      <c r="B1060" s="1" t="s">
        <v>950</v>
      </c>
      <c r="C1060" s="13">
        <v>45796.584027777775</v>
      </c>
      <c r="D1060" s="2" t="s">
        <v>951</v>
      </c>
      <c r="E1060" s="2" t="s">
        <v>952</v>
      </c>
      <c r="F1060" s="14" t="s">
        <v>3516</v>
      </c>
      <c r="G1060" s="14" t="s">
        <v>3517</v>
      </c>
      <c r="H1060" s="15" t="s">
        <v>16</v>
      </c>
      <c r="I1060" s="15" t="s">
        <v>3488</v>
      </c>
      <c r="J1060" s="2">
        <v>2.0</v>
      </c>
      <c r="K1060" s="12" t="s">
        <v>4305</v>
      </c>
      <c r="L1060" s="16">
        <v>165000.0</v>
      </c>
    </row>
    <row r="1061" hidden="1">
      <c r="A1061" s="1" t="s">
        <v>4306</v>
      </c>
      <c r="B1061" s="1" t="s">
        <v>4306</v>
      </c>
      <c r="C1061" s="13">
        <v>45796.58888888889</v>
      </c>
      <c r="D1061" s="2" t="s">
        <v>392</v>
      </c>
      <c r="E1061" s="2" t="s">
        <v>393</v>
      </c>
      <c r="F1061" s="14" t="s">
        <v>3506</v>
      </c>
      <c r="G1061" s="14" t="s">
        <v>3507</v>
      </c>
      <c r="H1061" s="15" t="s">
        <v>16</v>
      </c>
      <c r="I1061" s="15" t="s">
        <v>3488</v>
      </c>
      <c r="J1061" s="2">
        <v>6.0</v>
      </c>
      <c r="K1061" s="19"/>
      <c r="L1061" s="16">
        <v>50000.0</v>
      </c>
    </row>
    <row r="1062" hidden="1">
      <c r="A1062" s="1" t="s">
        <v>954</v>
      </c>
      <c r="B1062" s="1" t="s">
        <v>954</v>
      </c>
      <c r="C1062" s="13">
        <v>45797.34930555556</v>
      </c>
      <c r="D1062" s="2" t="s">
        <v>685</v>
      </c>
      <c r="E1062" s="2" t="s">
        <v>686</v>
      </c>
      <c r="F1062" s="14" t="s">
        <v>3493</v>
      </c>
      <c r="G1062" s="14" t="s">
        <v>3494</v>
      </c>
      <c r="H1062" s="15" t="s">
        <v>16</v>
      </c>
      <c r="I1062" s="15" t="s">
        <v>3488</v>
      </c>
      <c r="J1062" s="2">
        <v>1.0</v>
      </c>
      <c r="K1062" s="19"/>
      <c r="L1062" s="16">
        <v>189189.19</v>
      </c>
    </row>
    <row r="1063" hidden="1">
      <c r="A1063" s="1" t="s">
        <v>955</v>
      </c>
      <c r="B1063" s="1" t="s">
        <v>955</v>
      </c>
      <c r="C1063" s="13">
        <v>45797.35208333333</v>
      </c>
      <c r="D1063" s="2" t="s">
        <v>799</v>
      </c>
      <c r="E1063" s="2" t="s">
        <v>800</v>
      </c>
      <c r="F1063" s="14" t="s">
        <v>4203</v>
      </c>
      <c r="G1063" s="14" t="s">
        <v>4204</v>
      </c>
      <c r="H1063" s="15" t="s">
        <v>16</v>
      </c>
      <c r="I1063" s="15" t="s">
        <v>3488</v>
      </c>
      <c r="J1063" s="2">
        <v>10.0</v>
      </c>
      <c r="K1063" s="12" t="s">
        <v>4307</v>
      </c>
      <c r="L1063" s="16">
        <v>60000.0</v>
      </c>
    </row>
    <row r="1064" hidden="1">
      <c r="A1064" s="1" t="s">
        <v>955</v>
      </c>
      <c r="B1064" s="1" t="s">
        <v>955</v>
      </c>
      <c r="C1064" s="13">
        <v>45797.373611111114</v>
      </c>
      <c r="D1064" s="2" t="s">
        <v>799</v>
      </c>
      <c r="E1064" s="2" t="s">
        <v>800</v>
      </c>
      <c r="F1064" s="14" t="s">
        <v>3493</v>
      </c>
      <c r="G1064" s="14" t="s">
        <v>3494</v>
      </c>
      <c r="H1064" s="15" t="s">
        <v>16</v>
      </c>
      <c r="I1064" s="15" t="s">
        <v>3488</v>
      </c>
      <c r="J1064" s="2">
        <v>3.0</v>
      </c>
      <c r="K1064" s="19"/>
      <c r="L1064" s="16">
        <v>200000.0</v>
      </c>
    </row>
    <row r="1065" hidden="1">
      <c r="A1065" s="1" t="s">
        <v>956</v>
      </c>
      <c r="B1065" s="1" t="s">
        <v>956</v>
      </c>
      <c r="C1065" s="13">
        <v>45797.373611111114</v>
      </c>
      <c r="D1065" s="2" t="s">
        <v>957</v>
      </c>
      <c r="E1065" s="2" t="s">
        <v>958</v>
      </c>
      <c r="F1065" s="14" t="s">
        <v>3486</v>
      </c>
      <c r="G1065" s="14" t="s">
        <v>3487</v>
      </c>
      <c r="H1065" s="15" t="s">
        <v>16</v>
      </c>
      <c r="I1065" s="15" t="s">
        <v>3488</v>
      </c>
      <c r="J1065" s="2">
        <v>5.0</v>
      </c>
      <c r="K1065" s="12" t="s">
        <v>4308</v>
      </c>
      <c r="L1065" s="16">
        <v>55000.0</v>
      </c>
    </row>
    <row r="1066" hidden="1">
      <c r="A1066" s="1" t="s">
        <v>960</v>
      </c>
      <c r="B1066" s="1" t="s">
        <v>960</v>
      </c>
      <c r="C1066" s="13">
        <v>45797.450694444444</v>
      </c>
      <c r="D1066" s="2" t="s">
        <v>464</v>
      </c>
      <c r="E1066" s="2" t="s">
        <v>465</v>
      </c>
      <c r="F1066" s="14" t="s">
        <v>3486</v>
      </c>
      <c r="G1066" s="14" t="s">
        <v>3487</v>
      </c>
      <c r="H1066" s="15" t="s">
        <v>16</v>
      </c>
      <c r="I1066" s="15" t="s">
        <v>3488</v>
      </c>
      <c r="J1066" s="2">
        <v>20.0</v>
      </c>
      <c r="K1066" s="12" t="s">
        <v>4309</v>
      </c>
      <c r="L1066" s="16">
        <v>55000.0</v>
      </c>
    </row>
    <row r="1067" hidden="1">
      <c r="A1067" s="1" t="s">
        <v>960</v>
      </c>
      <c r="B1067" s="1" t="s">
        <v>960</v>
      </c>
      <c r="C1067" s="13">
        <v>45797.450694444444</v>
      </c>
      <c r="D1067" s="2" t="s">
        <v>464</v>
      </c>
      <c r="E1067" s="2" t="s">
        <v>465</v>
      </c>
      <c r="F1067" s="14" t="s">
        <v>3493</v>
      </c>
      <c r="G1067" s="14" t="s">
        <v>3494</v>
      </c>
      <c r="H1067" s="15" t="s">
        <v>16</v>
      </c>
      <c r="I1067" s="15" t="s">
        <v>3488</v>
      </c>
      <c r="J1067" s="2">
        <v>2.0</v>
      </c>
      <c r="K1067" s="19"/>
      <c r="L1067" s="16">
        <v>210000.0</v>
      </c>
    </row>
    <row r="1068" hidden="1">
      <c r="A1068" s="1" t="s">
        <v>961</v>
      </c>
      <c r="B1068" s="1" t="s">
        <v>961</v>
      </c>
      <c r="C1068" s="13">
        <v>45797.47708333333</v>
      </c>
      <c r="D1068" s="2" t="s">
        <v>685</v>
      </c>
      <c r="E1068" s="2" t="s">
        <v>686</v>
      </c>
      <c r="F1068" s="14" t="s">
        <v>3493</v>
      </c>
      <c r="G1068" s="14" t="s">
        <v>3494</v>
      </c>
      <c r="H1068" s="15" t="s">
        <v>24</v>
      </c>
      <c r="I1068" s="15" t="s">
        <v>3491</v>
      </c>
      <c r="J1068" s="2">
        <v>1.0</v>
      </c>
      <c r="K1068" s="19"/>
      <c r="L1068" s="16">
        <v>0.0</v>
      </c>
    </row>
    <row r="1069" hidden="1">
      <c r="A1069" s="1" t="s">
        <v>962</v>
      </c>
      <c r="B1069" s="1" t="s">
        <v>962</v>
      </c>
      <c r="C1069" s="13">
        <v>45797.47708333333</v>
      </c>
      <c r="D1069" s="2" t="s">
        <v>799</v>
      </c>
      <c r="E1069" s="2" t="s">
        <v>800</v>
      </c>
      <c r="F1069" s="14" t="s">
        <v>4203</v>
      </c>
      <c r="G1069" s="14" t="s">
        <v>4204</v>
      </c>
      <c r="H1069" s="15" t="s">
        <v>24</v>
      </c>
      <c r="I1069" s="15" t="s">
        <v>3491</v>
      </c>
      <c r="J1069" s="2">
        <v>3.0</v>
      </c>
      <c r="K1069" s="12" t="s">
        <v>4310</v>
      </c>
      <c r="L1069" s="16">
        <v>0.0</v>
      </c>
    </row>
    <row r="1070" hidden="1">
      <c r="A1070" s="1" t="s">
        <v>962</v>
      </c>
      <c r="B1070" s="1" t="s">
        <v>962</v>
      </c>
      <c r="C1070" s="13">
        <v>45797.478472222225</v>
      </c>
      <c r="D1070" s="2" t="s">
        <v>799</v>
      </c>
      <c r="E1070" s="2" t="s">
        <v>800</v>
      </c>
      <c r="F1070" s="14" t="s">
        <v>3493</v>
      </c>
      <c r="G1070" s="14" t="s">
        <v>3494</v>
      </c>
      <c r="H1070" s="15" t="s">
        <v>24</v>
      </c>
      <c r="I1070" s="15" t="s">
        <v>3491</v>
      </c>
      <c r="J1070" s="2">
        <v>3.0</v>
      </c>
      <c r="K1070" s="19"/>
      <c r="L1070" s="16">
        <v>0.0</v>
      </c>
    </row>
    <row r="1071" hidden="1">
      <c r="A1071" s="1" t="s">
        <v>963</v>
      </c>
      <c r="B1071" s="1" t="s">
        <v>963</v>
      </c>
      <c r="C1071" s="13">
        <v>45797.50486111111</v>
      </c>
      <c r="D1071" s="2" t="s">
        <v>464</v>
      </c>
      <c r="E1071" s="2" t="s">
        <v>465</v>
      </c>
      <c r="F1071" s="14" t="s">
        <v>3486</v>
      </c>
      <c r="G1071" s="14" t="s">
        <v>3487</v>
      </c>
      <c r="H1071" s="15" t="s">
        <v>24</v>
      </c>
      <c r="I1071" s="15" t="s">
        <v>3491</v>
      </c>
      <c r="J1071" s="2">
        <v>4.0</v>
      </c>
      <c r="K1071" s="12" t="s">
        <v>4311</v>
      </c>
      <c r="L1071" s="16">
        <v>0.0</v>
      </c>
    </row>
    <row r="1072" hidden="1">
      <c r="A1072" s="1" t="s">
        <v>964</v>
      </c>
      <c r="B1072" s="1" t="s">
        <v>964</v>
      </c>
      <c r="C1072" s="13">
        <v>45798.333333333336</v>
      </c>
      <c r="D1072" s="2" t="s">
        <v>934</v>
      </c>
      <c r="E1072" s="2" t="s">
        <v>935</v>
      </c>
      <c r="F1072" s="14" t="s">
        <v>3522</v>
      </c>
      <c r="G1072" s="14" t="s">
        <v>3523</v>
      </c>
      <c r="H1072" s="15" t="s">
        <v>16</v>
      </c>
      <c r="I1072" s="15" t="s">
        <v>3488</v>
      </c>
      <c r="J1072" s="2">
        <v>2.0</v>
      </c>
      <c r="K1072" s="12" t="s">
        <v>4312</v>
      </c>
      <c r="L1072" s="16">
        <v>200000.0</v>
      </c>
    </row>
    <row r="1073" hidden="1">
      <c r="A1073" s="1" t="s">
        <v>965</v>
      </c>
      <c r="B1073" s="1" t="s">
        <v>965</v>
      </c>
      <c r="C1073" s="13">
        <v>45798.334027777775</v>
      </c>
      <c r="D1073" s="2" t="s">
        <v>943</v>
      </c>
      <c r="E1073" s="2" t="s">
        <v>944</v>
      </c>
      <c r="F1073" s="14" t="s">
        <v>4203</v>
      </c>
      <c r="G1073" s="14" t="s">
        <v>4204</v>
      </c>
      <c r="H1073" s="15" t="s">
        <v>16</v>
      </c>
      <c r="I1073" s="15" t="s">
        <v>3488</v>
      </c>
      <c r="J1073" s="2">
        <v>5.0</v>
      </c>
      <c r="K1073" s="12" t="s">
        <v>4313</v>
      </c>
      <c r="L1073" s="16">
        <v>55000.0</v>
      </c>
    </row>
    <row r="1074" hidden="1">
      <c r="A1074" s="1" t="s">
        <v>966</v>
      </c>
      <c r="B1074" s="1" t="s">
        <v>966</v>
      </c>
      <c r="C1074" s="13">
        <v>45798.49375</v>
      </c>
      <c r="D1074" s="2" t="s">
        <v>49</v>
      </c>
      <c r="E1074" s="2" t="s">
        <v>50</v>
      </c>
      <c r="F1074" s="14" t="s">
        <v>3486</v>
      </c>
      <c r="G1074" s="14" t="s">
        <v>3487</v>
      </c>
      <c r="H1074" s="15" t="s">
        <v>24</v>
      </c>
      <c r="I1074" s="15" t="s">
        <v>3491</v>
      </c>
      <c r="J1074" s="2">
        <v>2.0</v>
      </c>
      <c r="K1074" s="12" t="s">
        <v>4314</v>
      </c>
      <c r="L1074" s="16">
        <v>0.0</v>
      </c>
    </row>
    <row r="1075" hidden="1">
      <c r="A1075" s="1" t="s">
        <v>967</v>
      </c>
      <c r="B1075" s="1" t="s">
        <v>967</v>
      </c>
      <c r="C1075" s="13">
        <v>45798.49444444444</v>
      </c>
      <c r="D1075" s="2" t="s">
        <v>934</v>
      </c>
      <c r="E1075" s="2" t="s">
        <v>935</v>
      </c>
      <c r="F1075" s="14" t="s">
        <v>3522</v>
      </c>
      <c r="G1075" s="14" t="s">
        <v>3523</v>
      </c>
      <c r="H1075" s="15" t="s">
        <v>24</v>
      </c>
      <c r="I1075" s="15" t="s">
        <v>3491</v>
      </c>
      <c r="J1075" s="2">
        <v>1.0</v>
      </c>
      <c r="K1075" s="12" t="s">
        <v>4298</v>
      </c>
      <c r="L1075" s="16">
        <v>0.0</v>
      </c>
    </row>
    <row r="1076" hidden="1">
      <c r="A1076" s="1" t="s">
        <v>968</v>
      </c>
      <c r="B1076" s="1" t="s">
        <v>968</v>
      </c>
      <c r="C1076" s="13">
        <v>45798.49513888889</v>
      </c>
      <c r="D1076" s="2" t="s">
        <v>943</v>
      </c>
      <c r="E1076" s="2" t="s">
        <v>944</v>
      </c>
      <c r="F1076" s="14" t="s">
        <v>4203</v>
      </c>
      <c r="G1076" s="14" t="s">
        <v>4204</v>
      </c>
      <c r="H1076" s="15" t="s">
        <v>24</v>
      </c>
      <c r="I1076" s="15" t="s">
        <v>3491</v>
      </c>
      <c r="J1076" s="2">
        <v>4.0</v>
      </c>
      <c r="K1076" s="12" t="s">
        <v>4315</v>
      </c>
      <c r="L1076" s="16">
        <v>0.0</v>
      </c>
    </row>
    <row r="1077" hidden="1">
      <c r="A1077" s="1" t="s">
        <v>969</v>
      </c>
      <c r="B1077" s="1" t="s">
        <v>969</v>
      </c>
      <c r="C1077" s="13">
        <v>45798.6875</v>
      </c>
      <c r="D1077" s="2" t="s">
        <v>213</v>
      </c>
      <c r="E1077" s="2" t="s">
        <v>214</v>
      </c>
      <c r="F1077" s="14" t="s">
        <v>3486</v>
      </c>
      <c r="G1077" s="14" t="s">
        <v>3487</v>
      </c>
      <c r="H1077" s="15" t="s">
        <v>24</v>
      </c>
      <c r="I1077" s="15" t="s">
        <v>3491</v>
      </c>
      <c r="J1077" s="2">
        <v>8.0</v>
      </c>
      <c r="K1077" s="12" t="s">
        <v>4316</v>
      </c>
      <c r="L1077" s="16">
        <v>0.0</v>
      </c>
    </row>
    <row r="1078" hidden="1">
      <c r="A1078" s="1" t="s">
        <v>970</v>
      </c>
      <c r="B1078" s="1" t="s">
        <v>970</v>
      </c>
      <c r="C1078" s="13">
        <v>45798.6875</v>
      </c>
      <c r="D1078" s="2" t="s">
        <v>109</v>
      </c>
      <c r="E1078" s="2" t="s">
        <v>110</v>
      </c>
      <c r="F1078" s="14" t="s">
        <v>3486</v>
      </c>
      <c r="G1078" s="14" t="s">
        <v>3487</v>
      </c>
      <c r="H1078" s="15" t="s">
        <v>24</v>
      </c>
      <c r="I1078" s="15" t="s">
        <v>3491</v>
      </c>
      <c r="J1078" s="2">
        <v>2.0</v>
      </c>
      <c r="K1078" s="12" t="s">
        <v>4317</v>
      </c>
      <c r="L1078" s="16">
        <v>0.0</v>
      </c>
    </row>
    <row r="1079" hidden="1">
      <c r="A1079" s="1" t="s">
        <v>970</v>
      </c>
      <c r="B1079" s="1" t="s">
        <v>970</v>
      </c>
      <c r="C1079" s="13">
        <v>45798.68819444445</v>
      </c>
      <c r="D1079" s="2" t="s">
        <v>109</v>
      </c>
      <c r="E1079" s="2" t="s">
        <v>110</v>
      </c>
      <c r="F1079" s="14" t="s">
        <v>3516</v>
      </c>
      <c r="G1079" s="14" t="s">
        <v>3517</v>
      </c>
      <c r="H1079" s="15" t="s">
        <v>24</v>
      </c>
      <c r="I1079" s="15" t="s">
        <v>3491</v>
      </c>
      <c r="J1079" s="2">
        <v>1.0</v>
      </c>
      <c r="K1079" s="12" t="s">
        <v>4156</v>
      </c>
      <c r="L1079" s="16">
        <v>0.0</v>
      </c>
    </row>
    <row r="1080" hidden="1">
      <c r="A1080" s="1" t="s">
        <v>970</v>
      </c>
      <c r="B1080" s="1" t="s">
        <v>970</v>
      </c>
      <c r="C1080" s="13">
        <v>45798.68819444445</v>
      </c>
      <c r="D1080" s="2" t="s">
        <v>109</v>
      </c>
      <c r="E1080" s="2" t="s">
        <v>110</v>
      </c>
      <c r="F1080" s="14" t="s">
        <v>3522</v>
      </c>
      <c r="G1080" s="14" t="s">
        <v>3523</v>
      </c>
      <c r="H1080" s="15" t="s">
        <v>24</v>
      </c>
      <c r="I1080" s="15" t="s">
        <v>3491</v>
      </c>
      <c r="J1080" s="2">
        <v>1.0</v>
      </c>
      <c r="K1080" s="12" t="s">
        <v>4318</v>
      </c>
      <c r="L1080" s="16">
        <v>0.0</v>
      </c>
    </row>
    <row r="1081">
      <c r="A1081" s="1" t="s">
        <v>971</v>
      </c>
      <c r="B1081" s="1" t="s">
        <v>971</v>
      </c>
      <c r="C1081" s="13">
        <v>45799.373611111114</v>
      </c>
      <c r="D1081" s="2" t="s">
        <v>45</v>
      </c>
      <c r="E1081" s="2" t="s">
        <v>46</v>
      </c>
      <c r="F1081" s="14" t="s">
        <v>3522</v>
      </c>
      <c r="G1081" s="14" t="s">
        <v>3523</v>
      </c>
      <c r="H1081" s="15" t="s">
        <v>16</v>
      </c>
      <c r="I1081" s="15" t="s">
        <v>3488</v>
      </c>
      <c r="J1081" s="2">
        <v>4.0</v>
      </c>
      <c r="K1081" s="12" t="s">
        <v>4319</v>
      </c>
      <c r="L1081" s="16">
        <v>185000.0</v>
      </c>
    </row>
    <row r="1082" hidden="1">
      <c r="A1082" s="1" t="s">
        <v>972</v>
      </c>
      <c r="B1082" s="1" t="s">
        <v>972</v>
      </c>
      <c r="C1082" s="13">
        <v>45799.38055555556</v>
      </c>
      <c r="D1082" s="2" t="s">
        <v>957</v>
      </c>
      <c r="E1082" s="2" t="s">
        <v>958</v>
      </c>
      <c r="F1082" s="14" t="s">
        <v>3486</v>
      </c>
      <c r="G1082" s="14" t="s">
        <v>3487</v>
      </c>
      <c r="H1082" s="15" t="s">
        <v>16</v>
      </c>
      <c r="I1082" s="15" t="s">
        <v>3488</v>
      </c>
      <c r="J1082" s="2">
        <v>5.0</v>
      </c>
      <c r="K1082" s="12" t="s">
        <v>4320</v>
      </c>
      <c r="L1082" s="16">
        <v>50000.0</v>
      </c>
    </row>
    <row r="1083">
      <c r="A1083" s="1" t="s">
        <v>973</v>
      </c>
      <c r="B1083" s="1" t="s">
        <v>973</v>
      </c>
      <c r="C1083" s="13">
        <v>45799.532638888886</v>
      </c>
      <c r="D1083" s="2" t="s">
        <v>45</v>
      </c>
      <c r="E1083" s="2" t="s">
        <v>46</v>
      </c>
      <c r="F1083" s="14" t="s">
        <v>3486</v>
      </c>
      <c r="G1083" s="14" t="s">
        <v>3487</v>
      </c>
      <c r="H1083" s="15" t="s">
        <v>24</v>
      </c>
      <c r="I1083" s="15" t="s">
        <v>3491</v>
      </c>
      <c r="J1083" s="2">
        <v>2.0</v>
      </c>
      <c r="K1083" s="12" t="s">
        <v>4321</v>
      </c>
      <c r="L1083" s="16">
        <v>0.0</v>
      </c>
    </row>
    <row r="1084">
      <c r="A1084" s="1" t="s">
        <v>973</v>
      </c>
      <c r="B1084" s="1" t="s">
        <v>973</v>
      </c>
      <c r="C1084" s="13">
        <v>45799.532638888886</v>
      </c>
      <c r="D1084" s="2" t="s">
        <v>45</v>
      </c>
      <c r="E1084" s="2" t="s">
        <v>46</v>
      </c>
      <c r="F1084" s="14" t="s">
        <v>3493</v>
      </c>
      <c r="G1084" s="14" t="s">
        <v>3494</v>
      </c>
      <c r="H1084" s="15" t="s">
        <v>24</v>
      </c>
      <c r="I1084" s="15" t="s">
        <v>3491</v>
      </c>
      <c r="J1084" s="2">
        <v>2.0</v>
      </c>
      <c r="K1084" s="19"/>
      <c r="L1084" s="16">
        <v>0.0</v>
      </c>
    </row>
    <row r="1085" hidden="1">
      <c r="A1085" s="1" t="s">
        <v>974</v>
      </c>
      <c r="B1085" s="1" t="s">
        <v>974</v>
      </c>
      <c r="C1085" s="13">
        <v>45799.53333333333</v>
      </c>
      <c r="D1085" s="2" t="s">
        <v>957</v>
      </c>
      <c r="E1085" s="2" t="s">
        <v>958</v>
      </c>
      <c r="F1085" s="14" t="s">
        <v>3486</v>
      </c>
      <c r="G1085" s="14" t="s">
        <v>3487</v>
      </c>
      <c r="H1085" s="15" t="s">
        <v>24</v>
      </c>
      <c r="I1085" s="15" t="s">
        <v>3491</v>
      </c>
      <c r="J1085" s="2">
        <v>5.0</v>
      </c>
      <c r="K1085" s="12" t="s">
        <v>4322</v>
      </c>
      <c r="L1085" s="16">
        <v>0.0</v>
      </c>
    </row>
    <row r="1086" hidden="1">
      <c r="A1086" s="1" t="s">
        <v>975</v>
      </c>
      <c r="B1086" s="1" t="s">
        <v>975</v>
      </c>
      <c r="C1086" s="13">
        <v>45800.33472222222</v>
      </c>
      <c r="D1086" s="2" t="s">
        <v>464</v>
      </c>
      <c r="E1086" s="2" t="s">
        <v>465</v>
      </c>
      <c r="F1086" s="14" t="s">
        <v>3486</v>
      </c>
      <c r="G1086" s="14" t="s">
        <v>3487</v>
      </c>
      <c r="H1086" s="15" t="s">
        <v>16</v>
      </c>
      <c r="I1086" s="15" t="s">
        <v>3488</v>
      </c>
      <c r="J1086" s="2">
        <v>15.0</v>
      </c>
      <c r="K1086" s="12" t="s">
        <v>4323</v>
      </c>
      <c r="L1086" s="16">
        <v>55000.0</v>
      </c>
    </row>
    <row r="1087" hidden="1">
      <c r="A1087" s="1" t="s">
        <v>975</v>
      </c>
      <c r="B1087" s="1" t="s">
        <v>975</v>
      </c>
      <c r="C1087" s="13">
        <v>45800.33472222222</v>
      </c>
      <c r="D1087" s="2" t="s">
        <v>464</v>
      </c>
      <c r="E1087" s="2" t="s">
        <v>465</v>
      </c>
      <c r="F1087" s="14" t="s">
        <v>3493</v>
      </c>
      <c r="G1087" s="14" t="s">
        <v>3494</v>
      </c>
      <c r="H1087" s="15" t="s">
        <v>16</v>
      </c>
      <c r="I1087" s="15" t="s">
        <v>3488</v>
      </c>
      <c r="J1087" s="2">
        <v>2.0</v>
      </c>
      <c r="K1087" s="19"/>
      <c r="L1087" s="16">
        <v>210000.0</v>
      </c>
      <c r="O1087" s="2" t="b">
        <v>0</v>
      </c>
    </row>
    <row r="1088" hidden="1">
      <c r="A1088" s="1" t="s">
        <v>976</v>
      </c>
      <c r="B1088" s="1" t="s">
        <v>976</v>
      </c>
      <c r="C1088" s="13">
        <v>45800.376388888886</v>
      </c>
      <c r="D1088" s="2" t="s">
        <v>786</v>
      </c>
      <c r="E1088" s="2" t="s">
        <v>787</v>
      </c>
      <c r="F1088" s="14" t="s">
        <v>3486</v>
      </c>
      <c r="G1088" s="14" t="s">
        <v>3487</v>
      </c>
      <c r="H1088" s="15" t="s">
        <v>16</v>
      </c>
      <c r="I1088" s="15" t="s">
        <v>3488</v>
      </c>
      <c r="J1088" s="2">
        <v>1.0</v>
      </c>
      <c r="K1088" s="12" t="s">
        <v>3860</v>
      </c>
      <c r="L1088" s="16">
        <v>60000.0</v>
      </c>
    </row>
    <row r="1089" hidden="1">
      <c r="A1089" s="1" t="s">
        <v>976</v>
      </c>
      <c r="B1089" s="1" t="s">
        <v>976</v>
      </c>
      <c r="C1089" s="13">
        <v>45800.37708333333</v>
      </c>
      <c r="D1089" s="2" t="s">
        <v>786</v>
      </c>
      <c r="E1089" s="2" t="s">
        <v>787</v>
      </c>
      <c r="F1089" s="14" t="s">
        <v>3516</v>
      </c>
      <c r="G1089" s="14" t="s">
        <v>3517</v>
      </c>
      <c r="H1089" s="15" t="s">
        <v>16</v>
      </c>
      <c r="I1089" s="15" t="s">
        <v>3488</v>
      </c>
      <c r="J1089" s="2">
        <v>2.0</v>
      </c>
      <c r="K1089" s="12" t="s">
        <v>4324</v>
      </c>
      <c r="L1089" s="16">
        <v>170000.0</v>
      </c>
    </row>
    <row r="1090" hidden="1">
      <c r="A1090" s="1" t="s">
        <v>977</v>
      </c>
      <c r="B1090" s="1" t="s">
        <v>977</v>
      </c>
      <c r="C1090" s="13">
        <v>45800.49375</v>
      </c>
      <c r="D1090" s="2" t="s">
        <v>786</v>
      </c>
      <c r="E1090" s="2" t="s">
        <v>787</v>
      </c>
      <c r="F1090" s="14" t="s">
        <v>3486</v>
      </c>
      <c r="G1090" s="14" t="s">
        <v>3487</v>
      </c>
      <c r="H1090" s="15" t="s">
        <v>24</v>
      </c>
      <c r="I1090" s="15" t="s">
        <v>3491</v>
      </c>
      <c r="J1090" s="2">
        <v>4.0</v>
      </c>
      <c r="K1090" s="12" t="s">
        <v>4325</v>
      </c>
      <c r="L1090" s="16">
        <v>0.0</v>
      </c>
    </row>
    <row r="1091" hidden="1">
      <c r="A1091" s="1" t="s">
        <v>978</v>
      </c>
      <c r="B1091" s="1" t="s">
        <v>978</v>
      </c>
      <c r="C1091" s="13">
        <v>45800.49444444444</v>
      </c>
      <c r="D1091" s="2" t="s">
        <v>464</v>
      </c>
      <c r="E1091" s="2" t="s">
        <v>465</v>
      </c>
      <c r="F1091" s="14" t="s">
        <v>3486</v>
      </c>
      <c r="G1091" s="14" t="s">
        <v>3487</v>
      </c>
      <c r="H1091" s="15" t="s">
        <v>24</v>
      </c>
      <c r="I1091" s="15" t="s">
        <v>3491</v>
      </c>
      <c r="J1091" s="2">
        <v>10.0</v>
      </c>
      <c r="K1091" s="12" t="s">
        <v>4326</v>
      </c>
      <c r="L1091" s="16">
        <v>0.0</v>
      </c>
    </row>
    <row r="1092" hidden="1">
      <c r="A1092" s="1" t="s">
        <v>978</v>
      </c>
      <c r="B1092" s="1" t="s">
        <v>978</v>
      </c>
      <c r="C1092" s="13">
        <v>45800.49513888889</v>
      </c>
      <c r="D1092" s="2" t="s">
        <v>464</v>
      </c>
      <c r="E1092" s="2" t="s">
        <v>465</v>
      </c>
      <c r="F1092" s="14" t="s">
        <v>3506</v>
      </c>
      <c r="G1092" s="14" t="s">
        <v>3507</v>
      </c>
      <c r="H1092" s="15" t="s">
        <v>24</v>
      </c>
      <c r="I1092" s="15" t="s">
        <v>3491</v>
      </c>
      <c r="J1092" s="2">
        <v>1.0</v>
      </c>
      <c r="K1092" s="19"/>
      <c r="L1092" s="16">
        <v>0.0</v>
      </c>
    </row>
    <row r="1093" hidden="1">
      <c r="A1093" s="1" t="s">
        <v>979</v>
      </c>
      <c r="B1093" s="1" t="s">
        <v>979</v>
      </c>
      <c r="C1093" s="13">
        <v>45801.35486111111</v>
      </c>
      <c r="D1093" s="2" t="e">
        <v>#N/A</v>
      </c>
      <c r="E1093" s="2" t="s">
        <v>875</v>
      </c>
      <c r="F1093" s="14" t="s">
        <v>4203</v>
      </c>
      <c r="G1093" s="14" t="s">
        <v>4204</v>
      </c>
      <c r="H1093" s="15" t="s">
        <v>16</v>
      </c>
      <c r="I1093" s="15" t="s">
        <v>3488</v>
      </c>
      <c r="J1093" s="2">
        <v>3.0</v>
      </c>
      <c r="K1093" s="12" t="s">
        <v>4327</v>
      </c>
      <c r="L1093" s="16">
        <v>70000.0</v>
      </c>
    </row>
    <row r="1094" hidden="1">
      <c r="A1094" s="1" t="s">
        <v>980</v>
      </c>
      <c r="B1094" s="1" t="s">
        <v>980</v>
      </c>
      <c r="C1094" s="13">
        <v>45801.35763888889</v>
      </c>
      <c r="D1094" s="2" t="s">
        <v>305</v>
      </c>
      <c r="E1094" s="2" t="s">
        <v>306</v>
      </c>
      <c r="F1094" s="14" t="s">
        <v>3486</v>
      </c>
      <c r="G1094" s="14" t="s">
        <v>3487</v>
      </c>
      <c r="H1094" s="15" t="s">
        <v>16</v>
      </c>
      <c r="I1094" s="15" t="s">
        <v>3488</v>
      </c>
      <c r="J1094" s="2">
        <v>10.0</v>
      </c>
      <c r="K1094" s="12" t="s">
        <v>4328</v>
      </c>
      <c r="L1094" s="16">
        <v>47297.2973</v>
      </c>
    </row>
    <row r="1095" hidden="1">
      <c r="A1095" s="1" t="s">
        <v>981</v>
      </c>
      <c r="B1095" s="1" t="s">
        <v>981</v>
      </c>
      <c r="C1095" s="13">
        <v>45801.3</v>
      </c>
      <c r="D1095" s="2" t="s">
        <v>934</v>
      </c>
      <c r="E1095" s="2" t="s">
        <v>935</v>
      </c>
      <c r="F1095" s="14" t="s">
        <v>3522</v>
      </c>
      <c r="G1095" s="14" t="s">
        <v>3523</v>
      </c>
      <c r="H1095" s="15" t="s">
        <v>16</v>
      </c>
      <c r="I1095" s="15" t="s">
        <v>3488</v>
      </c>
      <c r="J1095" s="2">
        <v>1.0</v>
      </c>
      <c r="K1095" s="12" t="s">
        <v>3618</v>
      </c>
      <c r="L1095" s="16">
        <v>200000.0</v>
      </c>
    </row>
    <row r="1096" hidden="1">
      <c r="A1096" s="1" t="s">
        <v>982</v>
      </c>
      <c r="B1096" s="1" t="s">
        <v>982</v>
      </c>
      <c r="C1096" s="13">
        <v>45801.3</v>
      </c>
      <c r="D1096" s="2" t="s">
        <v>349</v>
      </c>
      <c r="E1096" s="2" t="s">
        <v>350</v>
      </c>
      <c r="F1096" s="14" t="s">
        <v>3547</v>
      </c>
      <c r="G1096" s="14" t="s">
        <v>3548</v>
      </c>
      <c r="H1096" s="15" t="s">
        <v>16</v>
      </c>
      <c r="I1096" s="15" t="s">
        <v>3488</v>
      </c>
      <c r="J1096" s="2">
        <v>5.0</v>
      </c>
      <c r="K1096" s="19"/>
      <c r="L1096" s="16">
        <v>909909.9099</v>
      </c>
    </row>
    <row r="1097" hidden="1">
      <c r="A1097" s="1" t="s">
        <v>983</v>
      </c>
      <c r="B1097" s="1" t="s">
        <v>983</v>
      </c>
      <c r="C1097" s="13">
        <v>45801.30138888889</v>
      </c>
      <c r="D1097" s="2" t="s">
        <v>464</v>
      </c>
      <c r="E1097" s="2" t="s">
        <v>465</v>
      </c>
      <c r="F1097" s="14" t="s">
        <v>3486</v>
      </c>
      <c r="G1097" s="14" t="s">
        <v>3487</v>
      </c>
      <c r="H1097" s="15" t="s">
        <v>16</v>
      </c>
      <c r="I1097" s="15" t="s">
        <v>3488</v>
      </c>
      <c r="J1097" s="2">
        <v>5.0</v>
      </c>
      <c r="K1097" s="12" t="s">
        <v>4329</v>
      </c>
      <c r="L1097" s="16">
        <v>55000.0</v>
      </c>
    </row>
    <row r="1098" hidden="1">
      <c r="A1098" s="1" t="s">
        <v>983</v>
      </c>
      <c r="B1098" s="1" t="s">
        <v>983</v>
      </c>
      <c r="C1098" s="13">
        <v>45801.30138888889</v>
      </c>
      <c r="D1098" s="2" t="s">
        <v>464</v>
      </c>
      <c r="E1098" s="2" t="s">
        <v>465</v>
      </c>
      <c r="F1098" s="14" t="s">
        <v>3493</v>
      </c>
      <c r="G1098" s="14" t="s">
        <v>3494</v>
      </c>
      <c r="H1098" s="15" t="s">
        <v>16</v>
      </c>
      <c r="I1098" s="15" t="s">
        <v>3488</v>
      </c>
      <c r="J1098" s="2">
        <v>2.0</v>
      </c>
      <c r="K1098" s="19"/>
      <c r="L1098" s="16">
        <v>210000.0</v>
      </c>
      <c r="O1098" s="2" t="b">
        <v>0</v>
      </c>
    </row>
    <row r="1099" hidden="1">
      <c r="A1099" s="1" t="s">
        <v>984</v>
      </c>
      <c r="B1099" s="1" t="s">
        <v>984</v>
      </c>
      <c r="C1099" s="13">
        <v>45801.46388888889</v>
      </c>
      <c r="D1099" s="2" t="s">
        <v>349</v>
      </c>
      <c r="E1099" s="2" t="s">
        <v>350</v>
      </c>
      <c r="F1099" s="14" t="s">
        <v>3547</v>
      </c>
      <c r="G1099" s="14" t="s">
        <v>3548</v>
      </c>
      <c r="H1099" s="15" t="s">
        <v>24</v>
      </c>
      <c r="I1099" s="15" t="s">
        <v>3491</v>
      </c>
      <c r="J1099" s="2">
        <v>5.0</v>
      </c>
      <c r="K1099" s="19"/>
      <c r="L1099" s="16">
        <v>0.0</v>
      </c>
    </row>
    <row r="1100" hidden="1">
      <c r="A1100" s="1" t="s">
        <v>985</v>
      </c>
      <c r="B1100" s="1" t="s">
        <v>985</v>
      </c>
      <c r="C1100" s="13">
        <v>45801.46388888889</v>
      </c>
      <c r="D1100" s="2" t="s">
        <v>934</v>
      </c>
      <c r="E1100" s="2" t="s">
        <v>935</v>
      </c>
      <c r="F1100" s="14" t="s">
        <v>3522</v>
      </c>
      <c r="G1100" s="14" t="s">
        <v>3523</v>
      </c>
      <c r="H1100" s="15" t="s">
        <v>24</v>
      </c>
      <c r="I1100" s="15" t="s">
        <v>3491</v>
      </c>
      <c r="J1100" s="2">
        <v>1.0</v>
      </c>
      <c r="K1100" s="12" t="s">
        <v>4330</v>
      </c>
      <c r="L1100" s="16">
        <v>0.0</v>
      </c>
    </row>
    <row r="1101" hidden="1">
      <c r="A1101" s="1" t="s">
        <v>986</v>
      </c>
      <c r="B1101" s="1" t="s">
        <v>986</v>
      </c>
      <c r="C1101" s="13">
        <v>45801.464583333334</v>
      </c>
      <c r="D1101" s="2" t="e">
        <v>#N/A</v>
      </c>
      <c r="E1101" s="2" t="s">
        <v>875</v>
      </c>
      <c r="F1101" s="14" t="s">
        <v>3486</v>
      </c>
      <c r="G1101" s="14" t="s">
        <v>3487</v>
      </c>
      <c r="H1101" s="15" t="s">
        <v>24</v>
      </c>
      <c r="I1101" s="15" t="s">
        <v>3491</v>
      </c>
      <c r="J1101" s="2">
        <v>4.0</v>
      </c>
      <c r="K1101" s="12" t="s">
        <v>4331</v>
      </c>
      <c r="L1101" s="16">
        <v>0.0</v>
      </c>
    </row>
    <row r="1102" hidden="1">
      <c r="A1102" s="1" t="s">
        <v>987</v>
      </c>
      <c r="B1102" s="1" t="s">
        <v>987</v>
      </c>
      <c r="C1102" s="13">
        <v>45803.44027777778</v>
      </c>
      <c r="D1102" s="2" t="s">
        <v>213</v>
      </c>
      <c r="E1102" s="2" t="s">
        <v>214</v>
      </c>
      <c r="F1102" s="14" t="s">
        <v>3486</v>
      </c>
      <c r="G1102" s="14" t="s">
        <v>3487</v>
      </c>
      <c r="H1102" s="15" t="s">
        <v>16</v>
      </c>
      <c r="I1102" s="15" t="s">
        <v>3488</v>
      </c>
      <c r="J1102" s="2">
        <v>10.0</v>
      </c>
      <c r="K1102" s="12" t="s">
        <v>4332</v>
      </c>
      <c r="L1102" s="16">
        <v>60000.0</v>
      </c>
    </row>
    <row r="1103" hidden="1">
      <c r="A1103" s="1" t="s">
        <v>988</v>
      </c>
      <c r="B1103" s="1" t="s">
        <v>988</v>
      </c>
      <c r="C1103" s="13">
        <v>45803.493055555555</v>
      </c>
      <c r="D1103" s="2" t="s">
        <v>109</v>
      </c>
      <c r="E1103" s="2" t="s">
        <v>110</v>
      </c>
      <c r="F1103" s="14" t="s">
        <v>3486</v>
      </c>
      <c r="G1103" s="14" t="s">
        <v>3487</v>
      </c>
      <c r="H1103" s="15" t="s">
        <v>16</v>
      </c>
      <c r="I1103" s="15" t="s">
        <v>3488</v>
      </c>
      <c r="J1103" s="2">
        <v>4.0</v>
      </c>
      <c r="K1103" s="12" t="s">
        <v>4333</v>
      </c>
      <c r="L1103" s="16">
        <v>60000.0</v>
      </c>
    </row>
    <row r="1104" hidden="1">
      <c r="A1104" s="1" t="s">
        <v>988</v>
      </c>
      <c r="B1104" s="1" t="s">
        <v>988</v>
      </c>
      <c r="C1104" s="13">
        <v>45803.49375</v>
      </c>
      <c r="D1104" s="2" t="s">
        <v>109</v>
      </c>
      <c r="E1104" s="2" t="s">
        <v>110</v>
      </c>
      <c r="F1104" s="14" t="s">
        <v>3516</v>
      </c>
      <c r="G1104" s="14" t="s">
        <v>3517</v>
      </c>
      <c r="H1104" s="15" t="s">
        <v>16</v>
      </c>
      <c r="I1104" s="15" t="s">
        <v>3488</v>
      </c>
      <c r="J1104" s="2">
        <v>2.0</v>
      </c>
      <c r="K1104" s="12" t="s">
        <v>4334</v>
      </c>
      <c r="L1104" s="16">
        <v>160000.0</v>
      </c>
    </row>
    <row r="1105" hidden="1">
      <c r="A1105" s="1" t="s">
        <v>988</v>
      </c>
      <c r="B1105" s="1" t="s">
        <v>988</v>
      </c>
      <c r="C1105" s="13">
        <v>45803.49444444444</v>
      </c>
      <c r="D1105" s="2" t="s">
        <v>109</v>
      </c>
      <c r="E1105" s="2" t="s">
        <v>110</v>
      </c>
      <c r="F1105" s="14" t="s">
        <v>3522</v>
      </c>
      <c r="G1105" s="14" t="s">
        <v>3523</v>
      </c>
      <c r="H1105" s="15" t="s">
        <v>16</v>
      </c>
      <c r="I1105" s="15" t="s">
        <v>3488</v>
      </c>
      <c r="J1105" s="2">
        <v>2.0</v>
      </c>
      <c r="K1105" s="12" t="s">
        <v>4335</v>
      </c>
      <c r="L1105" s="16">
        <v>190000.0</v>
      </c>
    </row>
    <row r="1106" hidden="1">
      <c r="A1106" s="1" t="s">
        <v>989</v>
      </c>
      <c r="B1106" s="1" t="s">
        <v>989</v>
      </c>
      <c r="C1106" s="13">
        <v>45803.55972222222</v>
      </c>
      <c r="D1106" s="2" t="s">
        <v>213</v>
      </c>
      <c r="E1106" s="2" t="s">
        <v>214</v>
      </c>
      <c r="F1106" s="14" t="s">
        <v>3486</v>
      </c>
      <c r="G1106" s="14" t="s">
        <v>3487</v>
      </c>
      <c r="H1106" s="15" t="s">
        <v>24</v>
      </c>
      <c r="I1106" s="15" t="s">
        <v>3491</v>
      </c>
      <c r="J1106" s="2">
        <v>4.0</v>
      </c>
      <c r="K1106" s="12" t="s">
        <v>4336</v>
      </c>
      <c r="L1106" s="16">
        <v>0.0</v>
      </c>
    </row>
    <row r="1107" hidden="1">
      <c r="A1107" s="1" t="s">
        <v>990</v>
      </c>
      <c r="B1107" s="1" t="s">
        <v>990</v>
      </c>
      <c r="C1107" s="13">
        <v>45803.58194444444</v>
      </c>
      <c r="D1107" s="2" t="s">
        <v>326</v>
      </c>
      <c r="E1107" s="2" t="s">
        <v>327</v>
      </c>
      <c r="F1107" s="14" t="s">
        <v>3486</v>
      </c>
      <c r="G1107" s="14" t="s">
        <v>3487</v>
      </c>
      <c r="H1107" s="15" t="s">
        <v>16</v>
      </c>
      <c r="I1107" s="15" t="s">
        <v>3488</v>
      </c>
      <c r="J1107" s="2">
        <v>15.0</v>
      </c>
      <c r="K1107" s="12" t="s">
        <v>4337</v>
      </c>
      <c r="L1107" s="16">
        <v>45000.0</v>
      </c>
    </row>
    <row r="1108" hidden="1">
      <c r="A1108" s="1" t="s">
        <v>991</v>
      </c>
      <c r="B1108" s="1" t="s">
        <v>991</v>
      </c>
      <c r="C1108" s="13">
        <v>45803.61666666667</v>
      </c>
      <c r="D1108" s="2" t="s">
        <v>109</v>
      </c>
      <c r="E1108" s="2" t="s">
        <v>110</v>
      </c>
      <c r="F1108" s="14" t="s">
        <v>3486</v>
      </c>
      <c r="G1108" s="14" t="s">
        <v>3487</v>
      </c>
      <c r="H1108" s="15" t="s">
        <v>24</v>
      </c>
      <c r="I1108" s="15" t="s">
        <v>3491</v>
      </c>
      <c r="J1108" s="2">
        <v>1.0</v>
      </c>
      <c r="K1108" s="12" t="s">
        <v>4338</v>
      </c>
      <c r="L1108" s="16">
        <v>0.0</v>
      </c>
    </row>
    <row r="1109" hidden="1">
      <c r="A1109" s="1" t="s">
        <v>991</v>
      </c>
      <c r="B1109" s="1" t="s">
        <v>991</v>
      </c>
      <c r="C1109" s="13">
        <v>45803.61736111111</v>
      </c>
      <c r="D1109" s="2" t="s">
        <v>109</v>
      </c>
      <c r="E1109" s="2" t="s">
        <v>110</v>
      </c>
      <c r="F1109" s="14" t="s">
        <v>3522</v>
      </c>
      <c r="G1109" s="14" t="s">
        <v>3523</v>
      </c>
      <c r="H1109" s="15" t="s">
        <v>24</v>
      </c>
      <c r="I1109" s="15" t="s">
        <v>3491</v>
      </c>
      <c r="J1109" s="2">
        <v>1.0</v>
      </c>
      <c r="K1109" s="12" t="s">
        <v>4339</v>
      </c>
      <c r="L1109" s="16">
        <v>0.0</v>
      </c>
    </row>
    <row r="1110" hidden="1">
      <c r="A1110" s="1" t="s">
        <v>992</v>
      </c>
      <c r="B1110" s="1" t="s">
        <v>992</v>
      </c>
      <c r="C1110" s="13">
        <v>45803.70486111111</v>
      </c>
      <c r="D1110" s="2" t="s">
        <v>326</v>
      </c>
      <c r="E1110" s="2" t="s">
        <v>327</v>
      </c>
      <c r="F1110" s="14" t="s">
        <v>3486</v>
      </c>
      <c r="G1110" s="14" t="s">
        <v>3487</v>
      </c>
      <c r="H1110" s="15" t="s">
        <v>24</v>
      </c>
      <c r="I1110" s="15" t="s">
        <v>3491</v>
      </c>
      <c r="J1110" s="2">
        <v>16.0</v>
      </c>
      <c r="K1110" s="12" t="s">
        <v>4340</v>
      </c>
      <c r="L1110" s="16">
        <v>0.0</v>
      </c>
    </row>
    <row r="1111" hidden="1">
      <c r="A1111" s="1" t="s">
        <v>992</v>
      </c>
      <c r="B1111" s="1" t="s">
        <v>992</v>
      </c>
      <c r="C1111" s="13">
        <v>45803.705555555556</v>
      </c>
      <c r="D1111" s="2" t="s">
        <v>326</v>
      </c>
      <c r="E1111" s="2" t="s">
        <v>327</v>
      </c>
      <c r="F1111" s="14" t="s">
        <v>3522</v>
      </c>
      <c r="G1111" s="14" t="s">
        <v>3523</v>
      </c>
      <c r="H1111" s="15" t="s">
        <v>24</v>
      </c>
      <c r="I1111" s="15" t="s">
        <v>3491</v>
      </c>
      <c r="J1111" s="2">
        <v>2.0</v>
      </c>
      <c r="K1111" s="12" t="s">
        <v>4341</v>
      </c>
      <c r="L1111" s="16">
        <v>0.0</v>
      </c>
    </row>
    <row r="1112" hidden="1">
      <c r="A1112" s="1" t="s">
        <v>993</v>
      </c>
      <c r="B1112" s="1" t="s">
        <v>993</v>
      </c>
      <c r="C1112" s="13">
        <v>45804.316666666666</v>
      </c>
      <c r="D1112" s="2" t="s">
        <v>464</v>
      </c>
      <c r="E1112" s="2" t="s">
        <v>465</v>
      </c>
      <c r="F1112" s="14" t="s">
        <v>3486</v>
      </c>
      <c r="G1112" s="14" t="s">
        <v>3487</v>
      </c>
      <c r="H1112" s="15" t="s">
        <v>16</v>
      </c>
      <c r="I1112" s="15" t="s">
        <v>3488</v>
      </c>
      <c r="J1112" s="2">
        <v>15.0</v>
      </c>
      <c r="K1112" s="12" t="s">
        <v>4342</v>
      </c>
      <c r="L1112" s="16">
        <v>55000.0</v>
      </c>
    </row>
    <row r="1113" hidden="1">
      <c r="A1113" s="1" t="s">
        <v>993</v>
      </c>
      <c r="B1113" s="1" t="s">
        <v>993</v>
      </c>
      <c r="C1113" s="13">
        <v>45804.316666666666</v>
      </c>
      <c r="D1113" s="2" t="s">
        <v>464</v>
      </c>
      <c r="E1113" s="2" t="s">
        <v>465</v>
      </c>
      <c r="F1113" s="14" t="s">
        <v>3493</v>
      </c>
      <c r="G1113" s="14" t="s">
        <v>3494</v>
      </c>
      <c r="H1113" s="15" t="s">
        <v>16</v>
      </c>
      <c r="I1113" s="15" t="s">
        <v>3488</v>
      </c>
      <c r="J1113" s="2">
        <v>2.0</v>
      </c>
      <c r="K1113" s="19"/>
      <c r="L1113" s="16">
        <v>210000.0</v>
      </c>
      <c r="O1113" s="2" t="b">
        <v>0</v>
      </c>
    </row>
    <row r="1114" hidden="1">
      <c r="A1114" s="1" t="s">
        <v>994</v>
      </c>
      <c r="B1114" s="1" t="s">
        <v>994</v>
      </c>
      <c r="C1114" s="13">
        <v>45804.48819444444</v>
      </c>
      <c r="D1114" s="2" t="s">
        <v>464</v>
      </c>
      <c r="E1114" s="2" t="s">
        <v>465</v>
      </c>
      <c r="F1114" s="14" t="s">
        <v>3486</v>
      </c>
      <c r="G1114" s="14" t="s">
        <v>3487</v>
      </c>
      <c r="H1114" s="15" t="s">
        <v>24</v>
      </c>
      <c r="I1114" s="15" t="s">
        <v>3491</v>
      </c>
      <c r="J1114" s="2">
        <v>15.0</v>
      </c>
      <c r="K1114" s="12" t="s">
        <v>4343</v>
      </c>
      <c r="L1114" s="16">
        <v>0.0</v>
      </c>
    </row>
    <row r="1115" hidden="1">
      <c r="A1115" s="1" t="s">
        <v>994</v>
      </c>
      <c r="B1115" s="1" t="s">
        <v>994</v>
      </c>
      <c r="C1115" s="13">
        <v>45804.48888888889</v>
      </c>
      <c r="D1115" s="2" t="s">
        <v>464</v>
      </c>
      <c r="E1115" s="2" t="s">
        <v>465</v>
      </c>
      <c r="F1115" s="14" t="s">
        <v>3493</v>
      </c>
      <c r="G1115" s="14" t="s">
        <v>3494</v>
      </c>
      <c r="H1115" s="15" t="s">
        <v>24</v>
      </c>
      <c r="I1115" s="15" t="s">
        <v>3491</v>
      </c>
      <c r="J1115" s="2">
        <v>2.0</v>
      </c>
      <c r="K1115" s="19"/>
      <c r="L1115" s="16">
        <v>0.0</v>
      </c>
    </row>
    <row r="1116">
      <c r="A1116" s="1" t="s">
        <v>995</v>
      </c>
      <c r="B1116" s="1" t="s">
        <v>995</v>
      </c>
      <c r="C1116" s="13">
        <v>45804.490277777775</v>
      </c>
      <c r="D1116" s="2" t="s">
        <v>45</v>
      </c>
      <c r="E1116" s="2" t="s">
        <v>46</v>
      </c>
      <c r="F1116" s="14" t="s">
        <v>3486</v>
      </c>
      <c r="G1116" s="14" t="s">
        <v>3487</v>
      </c>
      <c r="H1116" s="15" t="s">
        <v>24</v>
      </c>
      <c r="I1116" s="15" t="s">
        <v>3491</v>
      </c>
      <c r="J1116" s="2">
        <v>14.0</v>
      </c>
      <c r="K1116" s="12" t="s">
        <v>4344</v>
      </c>
      <c r="L1116" s="16">
        <v>0.0</v>
      </c>
    </row>
    <row r="1117">
      <c r="A1117" s="1" t="s">
        <v>995</v>
      </c>
      <c r="B1117" s="1" t="s">
        <v>995</v>
      </c>
      <c r="C1117" s="13">
        <v>45804.49097222222</v>
      </c>
      <c r="D1117" s="2" t="s">
        <v>45</v>
      </c>
      <c r="E1117" s="2" t="s">
        <v>46</v>
      </c>
      <c r="F1117" s="14" t="s">
        <v>3522</v>
      </c>
      <c r="G1117" s="14" t="s">
        <v>3523</v>
      </c>
      <c r="H1117" s="15" t="s">
        <v>24</v>
      </c>
      <c r="I1117" s="15" t="s">
        <v>3491</v>
      </c>
      <c r="J1117" s="2">
        <v>9.0</v>
      </c>
      <c r="K1117" s="12" t="s">
        <v>4345</v>
      </c>
      <c r="L1117" s="16">
        <v>0.0</v>
      </c>
    </row>
    <row r="1118">
      <c r="A1118" s="1" t="s">
        <v>995</v>
      </c>
      <c r="B1118" s="1" t="s">
        <v>995</v>
      </c>
      <c r="C1118" s="13">
        <v>45804.49166666667</v>
      </c>
      <c r="D1118" s="2" t="s">
        <v>45</v>
      </c>
      <c r="E1118" s="2" t="s">
        <v>46</v>
      </c>
      <c r="F1118" s="14" t="s">
        <v>3493</v>
      </c>
      <c r="G1118" s="14" t="s">
        <v>3494</v>
      </c>
      <c r="H1118" s="15" t="s">
        <v>24</v>
      </c>
      <c r="I1118" s="15" t="s">
        <v>3491</v>
      </c>
      <c r="J1118" s="2">
        <v>5.0</v>
      </c>
      <c r="K1118" s="19"/>
      <c r="L1118" s="16">
        <v>0.0</v>
      </c>
    </row>
    <row r="1119" hidden="1">
      <c r="A1119" s="1" t="s">
        <v>996</v>
      </c>
      <c r="B1119" s="1" t="s">
        <v>996</v>
      </c>
      <c r="C1119" s="13">
        <v>45804.50208333333</v>
      </c>
      <c r="D1119" s="2" t="s">
        <v>685</v>
      </c>
      <c r="E1119" s="2" t="s">
        <v>686</v>
      </c>
      <c r="F1119" s="14" t="s">
        <v>3493</v>
      </c>
      <c r="G1119" s="14" t="s">
        <v>3494</v>
      </c>
      <c r="H1119" s="15" t="s">
        <v>16</v>
      </c>
      <c r="I1119" s="15" t="s">
        <v>3488</v>
      </c>
      <c r="J1119" s="2">
        <v>1.0</v>
      </c>
      <c r="K1119" s="19"/>
      <c r="L1119" s="16">
        <v>189189.19</v>
      </c>
    </row>
    <row r="1120" hidden="1">
      <c r="A1120" s="1" t="s">
        <v>993</v>
      </c>
      <c r="B1120" s="1" t="s">
        <v>993</v>
      </c>
      <c r="C1120" s="13">
        <v>45804.316666666666</v>
      </c>
      <c r="D1120" s="2" t="s">
        <v>464</v>
      </c>
      <c r="E1120" s="2" t="s">
        <v>465</v>
      </c>
      <c r="F1120" s="14" t="s">
        <v>3486</v>
      </c>
      <c r="G1120" s="14" t="s">
        <v>3487</v>
      </c>
      <c r="H1120" s="15" t="s">
        <v>16</v>
      </c>
      <c r="I1120" s="15" t="s">
        <v>3488</v>
      </c>
      <c r="J1120" s="2">
        <v>20.0</v>
      </c>
      <c r="K1120" s="12" t="s">
        <v>4346</v>
      </c>
      <c r="L1120" s="16">
        <v>55000.0</v>
      </c>
    </row>
    <row r="1121" hidden="1">
      <c r="A1121" s="1" t="s">
        <v>993</v>
      </c>
      <c r="B1121" s="1" t="s">
        <v>993</v>
      </c>
      <c r="C1121" s="13">
        <v>45804.316666666666</v>
      </c>
      <c r="D1121" s="2" t="s">
        <v>464</v>
      </c>
      <c r="E1121" s="2" t="s">
        <v>465</v>
      </c>
      <c r="F1121" s="14" t="s">
        <v>3493</v>
      </c>
      <c r="G1121" s="14" t="s">
        <v>3494</v>
      </c>
      <c r="H1121" s="15" t="s">
        <v>16</v>
      </c>
      <c r="I1121" s="15" t="s">
        <v>3488</v>
      </c>
      <c r="J1121" s="2">
        <v>1.0</v>
      </c>
      <c r="K1121" s="19"/>
      <c r="L1121" s="16">
        <v>210000.0</v>
      </c>
      <c r="O1121" s="2" t="b">
        <v>0</v>
      </c>
    </row>
    <row r="1122" hidden="1">
      <c r="A1122" s="1" t="s">
        <v>994</v>
      </c>
      <c r="B1122" s="1" t="s">
        <v>994</v>
      </c>
      <c r="C1122" s="13">
        <v>45804.645833333336</v>
      </c>
      <c r="D1122" s="2" t="s">
        <v>464</v>
      </c>
      <c r="E1122" s="2" t="s">
        <v>465</v>
      </c>
      <c r="F1122" s="14" t="s">
        <v>3486</v>
      </c>
      <c r="G1122" s="14" t="s">
        <v>3487</v>
      </c>
      <c r="H1122" s="15" t="s">
        <v>24</v>
      </c>
      <c r="I1122" s="15" t="s">
        <v>3491</v>
      </c>
      <c r="J1122" s="2">
        <v>16.0</v>
      </c>
      <c r="K1122" s="12" t="s">
        <v>4347</v>
      </c>
      <c r="L1122" s="16">
        <v>0.0</v>
      </c>
    </row>
    <row r="1123" hidden="1">
      <c r="A1123" s="1" t="s">
        <v>994</v>
      </c>
      <c r="B1123" s="1" t="s">
        <v>994</v>
      </c>
      <c r="C1123" s="13">
        <v>45804.646527777775</v>
      </c>
      <c r="D1123" s="2" t="s">
        <v>464</v>
      </c>
      <c r="E1123" s="2" t="s">
        <v>465</v>
      </c>
      <c r="F1123" s="14" t="s">
        <v>3493</v>
      </c>
      <c r="G1123" s="14" t="s">
        <v>3494</v>
      </c>
      <c r="H1123" s="15" t="s">
        <v>24</v>
      </c>
      <c r="I1123" s="15" t="s">
        <v>3491</v>
      </c>
      <c r="J1123" s="2">
        <v>1.0</v>
      </c>
      <c r="K1123" s="19"/>
      <c r="L1123" s="16">
        <v>0.0</v>
      </c>
    </row>
    <row r="1124" hidden="1">
      <c r="A1124" s="1" t="s">
        <v>997</v>
      </c>
      <c r="B1124" s="1" t="s">
        <v>997</v>
      </c>
      <c r="C1124" s="13">
        <v>45805.35208333333</v>
      </c>
      <c r="D1124" s="2" t="s">
        <v>55</v>
      </c>
      <c r="E1124" s="2" t="s">
        <v>56</v>
      </c>
      <c r="F1124" s="14" t="s">
        <v>3486</v>
      </c>
      <c r="G1124" s="14" t="s">
        <v>3487</v>
      </c>
      <c r="H1124" s="15" t="s">
        <v>16</v>
      </c>
      <c r="I1124" s="15" t="s">
        <v>3488</v>
      </c>
      <c r="J1124" s="2">
        <v>5.0</v>
      </c>
      <c r="K1124" s="12" t="s">
        <v>4348</v>
      </c>
      <c r="L1124" s="16">
        <v>60000.0</v>
      </c>
    </row>
    <row r="1125" hidden="1">
      <c r="A1125" s="1" t="s">
        <v>998</v>
      </c>
      <c r="B1125" s="1" t="s">
        <v>998</v>
      </c>
      <c r="C1125" s="13">
        <v>45805.447916666664</v>
      </c>
      <c r="D1125" s="2" t="s">
        <v>951</v>
      </c>
      <c r="E1125" s="2" t="s">
        <v>952</v>
      </c>
      <c r="F1125" s="14" t="s">
        <v>3486</v>
      </c>
      <c r="G1125" s="14" t="s">
        <v>3487</v>
      </c>
      <c r="H1125" s="15" t="s">
        <v>16</v>
      </c>
      <c r="I1125" s="15" t="s">
        <v>3488</v>
      </c>
      <c r="J1125" s="2">
        <v>5.0</v>
      </c>
      <c r="K1125" s="12" t="s">
        <v>4349</v>
      </c>
      <c r="L1125" s="16">
        <v>55000.0</v>
      </c>
    </row>
    <row r="1126" hidden="1">
      <c r="A1126" s="1" t="s">
        <v>999</v>
      </c>
      <c r="B1126" s="1" t="s">
        <v>999</v>
      </c>
      <c r="C1126" s="13">
        <v>45805.44861111111</v>
      </c>
      <c r="D1126" s="2" t="s">
        <v>690</v>
      </c>
      <c r="E1126" s="2" t="s">
        <v>691</v>
      </c>
      <c r="F1126" s="14" t="s">
        <v>3486</v>
      </c>
      <c r="G1126" s="14" t="s">
        <v>3487</v>
      </c>
      <c r="H1126" s="15" t="s">
        <v>16</v>
      </c>
      <c r="I1126" s="15" t="s">
        <v>3488</v>
      </c>
      <c r="J1126" s="2">
        <v>1.0</v>
      </c>
      <c r="K1126" s="19"/>
      <c r="L1126" s="16">
        <v>80000.0</v>
      </c>
    </row>
    <row r="1127" hidden="1">
      <c r="A1127" s="1" t="s">
        <v>1000</v>
      </c>
      <c r="B1127" s="1" t="s">
        <v>1000</v>
      </c>
      <c r="C1127" s="13">
        <v>45805.47986111111</v>
      </c>
      <c r="D1127" s="2" t="s">
        <v>464</v>
      </c>
      <c r="E1127" s="2" t="s">
        <v>465</v>
      </c>
      <c r="F1127" s="14" t="s">
        <v>3486</v>
      </c>
      <c r="G1127" s="14" t="s">
        <v>3487</v>
      </c>
      <c r="H1127" s="15" t="s">
        <v>16</v>
      </c>
      <c r="I1127" s="15" t="s">
        <v>3488</v>
      </c>
      <c r="J1127" s="2">
        <v>15.0</v>
      </c>
      <c r="K1127" s="12" t="s">
        <v>4350</v>
      </c>
      <c r="L1127" s="16">
        <v>55000.0</v>
      </c>
    </row>
    <row r="1128" hidden="1">
      <c r="A1128" s="1" t="s">
        <v>1000</v>
      </c>
      <c r="B1128" s="1" t="s">
        <v>1000</v>
      </c>
      <c r="C1128" s="13">
        <v>45805.47986111111</v>
      </c>
      <c r="D1128" s="2" t="s">
        <v>464</v>
      </c>
      <c r="E1128" s="2" t="s">
        <v>465</v>
      </c>
      <c r="F1128" s="14" t="s">
        <v>3493</v>
      </c>
      <c r="G1128" s="14" t="s">
        <v>3494</v>
      </c>
      <c r="H1128" s="15" t="s">
        <v>16</v>
      </c>
      <c r="I1128" s="15" t="s">
        <v>3488</v>
      </c>
      <c r="J1128" s="2">
        <v>1.0</v>
      </c>
      <c r="K1128" s="19"/>
      <c r="L1128" s="16">
        <v>210000.0</v>
      </c>
      <c r="O1128" s="2" t="b">
        <v>0</v>
      </c>
    </row>
    <row r="1129" hidden="1">
      <c r="A1129" s="1" t="s">
        <v>1001</v>
      </c>
      <c r="B1129" s="1" t="s">
        <v>1001</v>
      </c>
      <c r="C1129" s="13">
        <v>45805.5625</v>
      </c>
      <c r="D1129" s="2" t="s">
        <v>55</v>
      </c>
      <c r="E1129" s="2" t="s">
        <v>56</v>
      </c>
      <c r="F1129" s="14" t="s">
        <v>3486</v>
      </c>
      <c r="G1129" s="14" t="s">
        <v>3487</v>
      </c>
      <c r="H1129" s="15" t="s">
        <v>24</v>
      </c>
      <c r="I1129" s="15" t="s">
        <v>3491</v>
      </c>
      <c r="J1129" s="2">
        <v>3.0</v>
      </c>
      <c r="K1129" s="12" t="s">
        <v>4351</v>
      </c>
      <c r="L1129" s="16">
        <v>0.0</v>
      </c>
    </row>
    <row r="1130" hidden="1">
      <c r="A1130" s="1" t="s">
        <v>1002</v>
      </c>
      <c r="B1130" s="1" t="s">
        <v>1002</v>
      </c>
      <c r="C1130" s="13">
        <v>45805.5625</v>
      </c>
      <c r="D1130" s="2" t="s">
        <v>951</v>
      </c>
      <c r="E1130" s="2" t="s">
        <v>952</v>
      </c>
      <c r="F1130" s="14" t="s">
        <v>3486</v>
      </c>
      <c r="G1130" s="14" t="s">
        <v>3487</v>
      </c>
      <c r="H1130" s="15" t="s">
        <v>24</v>
      </c>
      <c r="I1130" s="15" t="s">
        <v>3491</v>
      </c>
      <c r="J1130" s="2">
        <v>3.0</v>
      </c>
      <c r="K1130" s="12" t="s">
        <v>4352</v>
      </c>
      <c r="L1130" s="16">
        <v>0.0</v>
      </c>
    </row>
    <row r="1131" hidden="1">
      <c r="A1131" s="1" t="s">
        <v>1003</v>
      </c>
      <c r="B1131" s="1" t="s">
        <v>1003</v>
      </c>
      <c r="C1131" s="13">
        <v>45805.64722222222</v>
      </c>
      <c r="D1131" s="2" t="s">
        <v>464</v>
      </c>
      <c r="E1131" s="2" t="s">
        <v>465</v>
      </c>
      <c r="F1131" s="14" t="s">
        <v>3486</v>
      </c>
      <c r="G1131" s="14" t="s">
        <v>3487</v>
      </c>
      <c r="H1131" s="15" t="s">
        <v>24</v>
      </c>
      <c r="I1131" s="15" t="s">
        <v>3491</v>
      </c>
      <c r="J1131" s="2">
        <v>16.0</v>
      </c>
      <c r="K1131" s="12" t="s">
        <v>4353</v>
      </c>
      <c r="L1131" s="16">
        <v>0.0</v>
      </c>
    </row>
    <row r="1132" hidden="1">
      <c r="A1132" s="1" t="s">
        <v>1003</v>
      </c>
      <c r="B1132" s="1" t="s">
        <v>1003</v>
      </c>
      <c r="C1132" s="13">
        <v>45805.64861111111</v>
      </c>
      <c r="D1132" s="2" t="s">
        <v>464</v>
      </c>
      <c r="E1132" s="2" t="s">
        <v>465</v>
      </c>
      <c r="F1132" s="14" t="s">
        <v>3493</v>
      </c>
      <c r="G1132" s="14" t="s">
        <v>3494</v>
      </c>
      <c r="H1132" s="15" t="s">
        <v>24</v>
      </c>
      <c r="I1132" s="15" t="s">
        <v>3491</v>
      </c>
      <c r="J1132" s="2">
        <v>1.0</v>
      </c>
      <c r="K1132" s="19"/>
      <c r="L1132" s="16">
        <v>0.0</v>
      </c>
    </row>
    <row r="1133" hidden="1">
      <c r="A1133" s="1" t="s">
        <v>1004</v>
      </c>
      <c r="B1133" s="1" t="s">
        <v>1004</v>
      </c>
      <c r="C1133" s="13">
        <v>45807.36041666667</v>
      </c>
      <c r="D1133" s="2" t="s">
        <v>464</v>
      </c>
      <c r="E1133" s="2" t="s">
        <v>465</v>
      </c>
      <c r="F1133" s="14" t="s">
        <v>3486</v>
      </c>
      <c r="G1133" s="14" t="s">
        <v>3487</v>
      </c>
      <c r="H1133" s="15" t="s">
        <v>16</v>
      </c>
      <c r="I1133" s="15" t="s">
        <v>3488</v>
      </c>
      <c r="J1133" s="2">
        <v>15.0</v>
      </c>
      <c r="K1133" s="12" t="s">
        <v>4354</v>
      </c>
      <c r="L1133" s="16">
        <v>55000.0</v>
      </c>
    </row>
    <row r="1134" hidden="1">
      <c r="A1134" s="1" t="s">
        <v>1004</v>
      </c>
      <c r="B1134" s="1" t="s">
        <v>1004</v>
      </c>
      <c r="C1134" s="13">
        <v>45807.36041666667</v>
      </c>
      <c r="D1134" s="2" t="s">
        <v>464</v>
      </c>
      <c r="E1134" s="2" t="s">
        <v>465</v>
      </c>
      <c r="F1134" s="14" t="s">
        <v>3493</v>
      </c>
      <c r="G1134" s="14" t="s">
        <v>3494</v>
      </c>
      <c r="H1134" s="15" t="s">
        <v>16</v>
      </c>
      <c r="I1134" s="15" t="s">
        <v>3488</v>
      </c>
      <c r="J1134" s="2">
        <v>2.0</v>
      </c>
      <c r="K1134" s="19"/>
      <c r="L1134" s="16">
        <v>210000.0</v>
      </c>
      <c r="O1134" s="2" t="b">
        <v>0</v>
      </c>
    </row>
    <row r="1135" hidden="1">
      <c r="A1135" s="1" t="s">
        <v>1004</v>
      </c>
      <c r="B1135" s="1" t="s">
        <v>1004</v>
      </c>
      <c r="C1135" s="13">
        <v>45807.36041666667</v>
      </c>
      <c r="D1135" s="2" t="s">
        <v>464</v>
      </c>
      <c r="E1135" s="2" t="s">
        <v>465</v>
      </c>
      <c r="F1135" s="14" t="s">
        <v>3486</v>
      </c>
      <c r="G1135" s="14" t="s">
        <v>3487</v>
      </c>
      <c r="H1135" s="15" t="s">
        <v>16</v>
      </c>
      <c r="I1135" s="15" t="s">
        <v>3488</v>
      </c>
      <c r="J1135" s="2">
        <v>2.0</v>
      </c>
      <c r="K1135" s="12" t="s">
        <v>4355</v>
      </c>
      <c r="L1135" s="16">
        <v>55000.0</v>
      </c>
    </row>
    <row r="1136" hidden="1">
      <c r="A1136" s="1" t="s">
        <v>1004</v>
      </c>
      <c r="B1136" s="1" t="s">
        <v>1004</v>
      </c>
      <c r="C1136" s="13">
        <v>45807.36041666667</v>
      </c>
      <c r="D1136" s="2" t="s">
        <v>464</v>
      </c>
      <c r="E1136" s="2" t="s">
        <v>465</v>
      </c>
      <c r="F1136" s="14" t="s">
        <v>3506</v>
      </c>
      <c r="G1136" s="14" t="s">
        <v>3507</v>
      </c>
      <c r="H1136" s="15" t="s">
        <v>16</v>
      </c>
      <c r="I1136" s="15" t="s">
        <v>3488</v>
      </c>
      <c r="J1136" s="2">
        <v>1.0</v>
      </c>
      <c r="K1136" s="19"/>
      <c r="L1136" s="16">
        <v>55000.0</v>
      </c>
      <c r="O1136" s="2" t="b">
        <v>0</v>
      </c>
    </row>
    <row r="1137" hidden="1">
      <c r="A1137" s="1" t="s">
        <v>1005</v>
      </c>
      <c r="B1137" s="1" t="s">
        <v>1005</v>
      </c>
      <c r="C1137" s="13">
        <v>45807.379166666666</v>
      </c>
      <c r="D1137" s="2" t="s">
        <v>951</v>
      </c>
      <c r="E1137" s="2" t="s">
        <v>952</v>
      </c>
      <c r="F1137" s="14" t="s">
        <v>3486</v>
      </c>
      <c r="G1137" s="14" t="s">
        <v>3487</v>
      </c>
      <c r="H1137" s="15" t="s">
        <v>16</v>
      </c>
      <c r="I1137" s="15" t="s">
        <v>3488</v>
      </c>
      <c r="J1137" s="2">
        <v>4.0</v>
      </c>
      <c r="K1137" s="12" t="s">
        <v>4356</v>
      </c>
      <c r="L1137" s="16">
        <v>55000.0</v>
      </c>
    </row>
    <row r="1138" hidden="1">
      <c r="A1138" s="1" t="s">
        <v>1006</v>
      </c>
      <c r="B1138" s="1" t="s">
        <v>1006</v>
      </c>
      <c r="C1138" s="13">
        <v>45808.48333333333</v>
      </c>
      <c r="D1138" s="2" t="s">
        <v>951</v>
      </c>
      <c r="E1138" s="2" t="s">
        <v>952</v>
      </c>
      <c r="F1138" s="14" t="s">
        <v>3486</v>
      </c>
      <c r="G1138" s="14" t="s">
        <v>3487</v>
      </c>
      <c r="H1138" s="15" t="s">
        <v>24</v>
      </c>
      <c r="I1138" s="15" t="s">
        <v>3491</v>
      </c>
      <c r="J1138" s="2">
        <v>5.0</v>
      </c>
      <c r="K1138" s="12" t="s">
        <v>4357</v>
      </c>
      <c r="L1138" s="16">
        <v>0.0</v>
      </c>
    </row>
    <row r="1139" hidden="1">
      <c r="A1139" s="1" t="s">
        <v>1007</v>
      </c>
      <c r="B1139" s="1" t="s">
        <v>1007</v>
      </c>
      <c r="C1139" s="13">
        <v>45808.48402777778</v>
      </c>
      <c r="D1139" s="2" t="s">
        <v>464</v>
      </c>
      <c r="E1139" s="2" t="s">
        <v>465</v>
      </c>
      <c r="F1139" s="14" t="s">
        <v>3486</v>
      </c>
      <c r="G1139" s="14" t="s">
        <v>3487</v>
      </c>
      <c r="H1139" s="15" t="s">
        <v>24</v>
      </c>
      <c r="I1139" s="15" t="s">
        <v>3491</v>
      </c>
      <c r="J1139" s="2">
        <v>20.0</v>
      </c>
      <c r="K1139" s="12" t="s">
        <v>4358</v>
      </c>
      <c r="L1139" s="16">
        <v>0.0</v>
      </c>
    </row>
    <row r="1140" hidden="1">
      <c r="A1140" s="1" t="s">
        <v>1007</v>
      </c>
      <c r="B1140" s="1" t="s">
        <v>1007</v>
      </c>
      <c r="C1140" s="13">
        <v>45808.48888888889</v>
      </c>
      <c r="D1140" s="2" t="s">
        <v>464</v>
      </c>
      <c r="E1140" s="2" t="s">
        <v>465</v>
      </c>
      <c r="F1140" s="14" t="s">
        <v>3493</v>
      </c>
      <c r="G1140" s="14" t="s">
        <v>3494</v>
      </c>
      <c r="H1140" s="15" t="s">
        <v>24</v>
      </c>
      <c r="I1140" s="15" t="s">
        <v>3491</v>
      </c>
      <c r="J1140" s="2">
        <v>3.0</v>
      </c>
      <c r="K1140" s="19"/>
      <c r="L1140" s="16">
        <v>0.0</v>
      </c>
    </row>
    <row r="1141" hidden="1">
      <c r="A1141" s="1" t="s">
        <v>1008</v>
      </c>
      <c r="B1141" s="1" t="s">
        <v>1008</v>
      </c>
      <c r="C1141" s="13">
        <v>45808.57986111111</v>
      </c>
      <c r="D1141" s="2" t="s">
        <v>1009</v>
      </c>
      <c r="E1141" s="2" t="s">
        <v>1010</v>
      </c>
      <c r="F1141" s="14" t="s">
        <v>3486</v>
      </c>
      <c r="G1141" s="14" t="s">
        <v>3487</v>
      </c>
      <c r="H1141" s="15" t="s">
        <v>16</v>
      </c>
      <c r="I1141" s="15" t="s">
        <v>3488</v>
      </c>
      <c r="J1141" s="2">
        <v>1.0</v>
      </c>
      <c r="K1141" s="12" t="s">
        <v>4359</v>
      </c>
      <c r="L1141" s="16">
        <v>80000.0</v>
      </c>
    </row>
    <row r="1142" hidden="1">
      <c r="A1142" s="1" t="s">
        <v>1007</v>
      </c>
      <c r="B1142" s="1" t="s">
        <v>1007</v>
      </c>
      <c r="C1142" s="13">
        <v>45808.70416666667</v>
      </c>
      <c r="D1142" s="2" t="s">
        <v>464</v>
      </c>
      <c r="E1142" s="2" t="s">
        <v>465</v>
      </c>
      <c r="F1142" s="14" t="s">
        <v>3486</v>
      </c>
      <c r="G1142" s="14" t="s">
        <v>3487</v>
      </c>
      <c r="H1142" s="15" t="s">
        <v>24</v>
      </c>
      <c r="I1142" s="15" t="s">
        <v>3491</v>
      </c>
      <c r="J1142" s="2">
        <v>18.0</v>
      </c>
      <c r="K1142" s="12" t="s">
        <v>4360</v>
      </c>
      <c r="L1142" s="16">
        <v>0.0</v>
      </c>
    </row>
    <row r="1143" hidden="1">
      <c r="A1143" s="1" t="s">
        <v>1007</v>
      </c>
      <c r="B1143" s="1" t="s">
        <v>1007</v>
      </c>
      <c r="C1143" s="13">
        <v>45808.705555555556</v>
      </c>
      <c r="D1143" s="2" t="s">
        <v>464</v>
      </c>
      <c r="E1143" s="2" t="s">
        <v>465</v>
      </c>
      <c r="F1143" s="14" t="s">
        <v>3493</v>
      </c>
      <c r="G1143" s="14" t="s">
        <v>3494</v>
      </c>
      <c r="H1143" s="15" t="s">
        <v>24</v>
      </c>
      <c r="I1143" s="15" t="s">
        <v>3491</v>
      </c>
      <c r="J1143" s="2">
        <v>2.0</v>
      </c>
      <c r="K1143" s="19"/>
      <c r="L1143" s="16">
        <v>0.0</v>
      </c>
    </row>
    <row r="1144" hidden="1">
      <c r="A1144" s="1" t="s">
        <v>1011</v>
      </c>
      <c r="B1144" s="1" t="s">
        <v>1011</v>
      </c>
      <c r="C1144" s="13">
        <v>45810.33611111111</v>
      </c>
      <c r="D1144" s="2" t="s">
        <v>383</v>
      </c>
      <c r="E1144" s="2" t="s">
        <v>384</v>
      </c>
      <c r="F1144" s="14" t="s">
        <v>3486</v>
      </c>
      <c r="G1144" s="14" t="s">
        <v>3487</v>
      </c>
      <c r="H1144" s="15" t="s">
        <v>16</v>
      </c>
      <c r="I1144" s="15" t="s">
        <v>3488</v>
      </c>
      <c r="J1144" s="2">
        <v>1.0</v>
      </c>
      <c r="K1144" s="12" t="s">
        <v>4361</v>
      </c>
      <c r="L1144" s="16">
        <v>70000.0</v>
      </c>
    </row>
    <row r="1145" hidden="1">
      <c r="A1145" s="1" t="s">
        <v>1012</v>
      </c>
      <c r="B1145" s="1" t="s">
        <v>1012</v>
      </c>
      <c r="C1145" s="13">
        <v>45810.34444444445</v>
      </c>
      <c r="D1145" s="2" t="s">
        <v>349</v>
      </c>
      <c r="E1145" s="2" t="s">
        <v>350</v>
      </c>
      <c r="F1145" s="14" t="s">
        <v>3547</v>
      </c>
      <c r="G1145" s="14" t="s">
        <v>3548</v>
      </c>
      <c r="H1145" s="15" t="s">
        <v>16</v>
      </c>
      <c r="I1145" s="15" t="s">
        <v>3488</v>
      </c>
      <c r="J1145" s="2">
        <v>5.0</v>
      </c>
      <c r="K1145" s="19"/>
      <c r="L1145" s="16">
        <v>909909.9099</v>
      </c>
    </row>
    <row r="1146" hidden="1">
      <c r="A1146" s="1" t="s">
        <v>1013</v>
      </c>
      <c r="B1146" s="1" t="s">
        <v>1013</v>
      </c>
      <c r="C1146" s="13">
        <v>45810.35486111111</v>
      </c>
      <c r="D1146" s="2" t="s">
        <v>1014</v>
      </c>
      <c r="E1146" s="2" t="s">
        <v>1015</v>
      </c>
      <c r="F1146" s="14" t="s">
        <v>3486</v>
      </c>
      <c r="G1146" s="14" t="s">
        <v>3487</v>
      </c>
      <c r="H1146" s="15" t="s">
        <v>16</v>
      </c>
      <c r="I1146" s="15" t="s">
        <v>3488</v>
      </c>
      <c r="J1146" s="2">
        <v>20.0</v>
      </c>
      <c r="K1146" s="12" t="s">
        <v>4362</v>
      </c>
      <c r="L1146" s="16">
        <v>70000.0</v>
      </c>
    </row>
    <row r="1147" hidden="1">
      <c r="A1147" s="1" t="s">
        <v>1017</v>
      </c>
      <c r="B1147" s="1" t="s">
        <v>1017</v>
      </c>
      <c r="C1147" s="13">
        <v>45810.37708333333</v>
      </c>
      <c r="D1147" s="2" t="s">
        <v>1018</v>
      </c>
      <c r="E1147" s="2" t="s">
        <v>1019</v>
      </c>
      <c r="F1147" s="14" t="s">
        <v>3486</v>
      </c>
      <c r="G1147" s="14" t="s">
        <v>3487</v>
      </c>
      <c r="H1147" s="15" t="s">
        <v>16</v>
      </c>
      <c r="I1147" s="15" t="s">
        <v>3488</v>
      </c>
      <c r="J1147" s="2">
        <v>1.0</v>
      </c>
      <c r="K1147" s="12" t="s">
        <v>4363</v>
      </c>
      <c r="L1147" s="16">
        <v>60000.0</v>
      </c>
    </row>
    <row r="1148" hidden="1">
      <c r="A1148" s="1" t="s">
        <v>1017</v>
      </c>
      <c r="B1148" s="1" t="s">
        <v>1017</v>
      </c>
      <c r="C1148" s="13">
        <v>45810.37777777778</v>
      </c>
      <c r="D1148" s="2" t="s">
        <v>1018</v>
      </c>
      <c r="E1148" s="2" t="s">
        <v>1019</v>
      </c>
      <c r="F1148" s="14" t="s">
        <v>3522</v>
      </c>
      <c r="G1148" s="14" t="s">
        <v>3523</v>
      </c>
      <c r="H1148" s="15" t="s">
        <v>16</v>
      </c>
      <c r="I1148" s="15" t="s">
        <v>3488</v>
      </c>
      <c r="J1148" s="2">
        <v>1.0</v>
      </c>
      <c r="K1148" s="12" t="s">
        <v>4364</v>
      </c>
      <c r="L1148" s="16">
        <v>260000.0</v>
      </c>
    </row>
    <row r="1149" hidden="1">
      <c r="A1149" s="1" t="s">
        <v>1021</v>
      </c>
      <c r="B1149" s="1" t="s">
        <v>1021</v>
      </c>
      <c r="C1149" s="13">
        <v>45810.438888888886</v>
      </c>
      <c r="D1149" s="2" t="s">
        <v>49</v>
      </c>
      <c r="E1149" s="2" t="s">
        <v>50</v>
      </c>
      <c r="F1149" s="14" t="s">
        <v>3486</v>
      </c>
      <c r="G1149" s="14" t="s">
        <v>3487</v>
      </c>
      <c r="H1149" s="15" t="s">
        <v>16</v>
      </c>
      <c r="I1149" s="15" t="s">
        <v>3488</v>
      </c>
      <c r="J1149" s="2">
        <v>5.0</v>
      </c>
      <c r="K1149" s="12" t="s">
        <v>4365</v>
      </c>
      <c r="L1149" s="16">
        <v>60000.0</v>
      </c>
    </row>
    <row r="1150" hidden="1">
      <c r="A1150" s="1" t="s">
        <v>1022</v>
      </c>
      <c r="B1150" s="1" t="s">
        <v>1022</v>
      </c>
      <c r="C1150" s="13">
        <v>45810.52777777778</v>
      </c>
      <c r="D1150" s="2" t="s">
        <v>685</v>
      </c>
      <c r="E1150" s="2" t="s">
        <v>686</v>
      </c>
      <c r="F1150" s="14" t="s">
        <v>3493</v>
      </c>
      <c r="G1150" s="14" t="s">
        <v>3494</v>
      </c>
      <c r="H1150" s="15" t="s">
        <v>16</v>
      </c>
      <c r="I1150" s="15" t="s">
        <v>3488</v>
      </c>
      <c r="J1150" s="2">
        <v>1.0</v>
      </c>
      <c r="K1150" s="19"/>
      <c r="L1150" s="16">
        <v>189189.19</v>
      </c>
    </row>
    <row r="1151" hidden="1">
      <c r="A1151" s="1" t="s">
        <v>1023</v>
      </c>
      <c r="B1151" s="1" t="s">
        <v>1023</v>
      </c>
      <c r="C1151" s="13">
        <v>45810.57847222222</v>
      </c>
      <c r="D1151" s="2" t="s">
        <v>774</v>
      </c>
      <c r="E1151" s="2" t="s">
        <v>775</v>
      </c>
      <c r="F1151" s="14" t="s">
        <v>3486</v>
      </c>
      <c r="G1151" s="14" t="s">
        <v>3487</v>
      </c>
      <c r="H1151" s="15" t="s">
        <v>24</v>
      </c>
      <c r="I1151" s="15" t="s">
        <v>3491</v>
      </c>
      <c r="J1151" s="2">
        <v>1.0</v>
      </c>
      <c r="K1151" s="12" t="s">
        <v>4180</v>
      </c>
      <c r="L1151" s="16">
        <v>0.0</v>
      </c>
    </row>
    <row r="1152" hidden="1">
      <c r="A1152" s="1" t="s">
        <v>1024</v>
      </c>
      <c r="B1152" s="1" t="s">
        <v>1024</v>
      </c>
      <c r="C1152" s="13">
        <v>45810.58125</v>
      </c>
      <c r="D1152" s="2" t="s">
        <v>49</v>
      </c>
      <c r="E1152" s="2" t="s">
        <v>50</v>
      </c>
      <c r="F1152" s="14" t="s">
        <v>3486</v>
      </c>
      <c r="G1152" s="14" t="s">
        <v>3487</v>
      </c>
      <c r="H1152" s="15" t="s">
        <v>24</v>
      </c>
      <c r="I1152" s="15" t="s">
        <v>3491</v>
      </c>
      <c r="J1152" s="2">
        <v>2.0</v>
      </c>
      <c r="K1152" s="12" t="s">
        <v>4366</v>
      </c>
      <c r="L1152" s="16">
        <v>0.0</v>
      </c>
    </row>
    <row r="1153" hidden="1">
      <c r="A1153" s="1" t="s">
        <v>1025</v>
      </c>
      <c r="B1153" s="1" t="s">
        <v>1025</v>
      </c>
      <c r="C1153" s="13">
        <v>45810.58125</v>
      </c>
      <c r="D1153" s="2" t="s">
        <v>309</v>
      </c>
      <c r="E1153" s="2" t="s">
        <v>310</v>
      </c>
      <c r="F1153" s="14" t="s">
        <v>3506</v>
      </c>
      <c r="G1153" s="14" t="s">
        <v>3507</v>
      </c>
      <c r="H1153" s="15" t="s">
        <v>24</v>
      </c>
      <c r="I1153" s="15" t="s">
        <v>3491</v>
      </c>
      <c r="J1153" s="2">
        <v>10.0</v>
      </c>
      <c r="K1153" s="19"/>
      <c r="L1153" s="16">
        <v>0.0</v>
      </c>
    </row>
    <row r="1154" hidden="1">
      <c r="A1154" s="1" t="s">
        <v>1025</v>
      </c>
      <c r="B1154" s="1" t="s">
        <v>1025</v>
      </c>
      <c r="C1154" s="13">
        <v>45810.58125</v>
      </c>
      <c r="D1154" s="2" t="s">
        <v>309</v>
      </c>
      <c r="E1154" s="2" t="s">
        <v>310</v>
      </c>
      <c r="F1154" s="14" t="s">
        <v>4045</v>
      </c>
      <c r="G1154" s="14" t="s">
        <v>4046</v>
      </c>
      <c r="H1154" s="15" t="s">
        <v>24</v>
      </c>
      <c r="I1154" s="15" t="s">
        <v>3491</v>
      </c>
      <c r="J1154" s="2">
        <v>1.0</v>
      </c>
      <c r="K1154" s="19"/>
      <c r="L1154" s="16">
        <v>0.0</v>
      </c>
    </row>
    <row r="1155" hidden="1">
      <c r="A1155" s="1" t="s">
        <v>1026</v>
      </c>
      <c r="B1155" s="1" t="s">
        <v>1026</v>
      </c>
      <c r="C1155" s="13">
        <v>45810.72083333333</v>
      </c>
      <c r="D1155" s="2" t="s">
        <v>349</v>
      </c>
      <c r="E1155" s="2" t="s">
        <v>350</v>
      </c>
      <c r="F1155" s="14" t="s">
        <v>3547</v>
      </c>
      <c r="G1155" s="14" t="s">
        <v>3548</v>
      </c>
      <c r="H1155" s="15" t="s">
        <v>24</v>
      </c>
      <c r="I1155" s="15" t="s">
        <v>3491</v>
      </c>
      <c r="J1155" s="2">
        <v>5.0</v>
      </c>
      <c r="K1155" s="19"/>
      <c r="L1155" s="16">
        <v>0.0</v>
      </c>
    </row>
    <row r="1156" hidden="1">
      <c r="A1156" s="1" t="s">
        <v>1027</v>
      </c>
      <c r="B1156" s="1" t="s">
        <v>1027</v>
      </c>
      <c r="C1156" s="13">
        <v>45810.72083333333</v>
      </c>
      <c r="D1156" s="2" t="s">
        <v>685</v>
      </c>
      <c r="E1156" s="2" t="s">
        <v>686</v>
      </c>
      <c r="F1156" s="14" t="s">
        <v>3493</v>
      </c>
      <c r="G1156" s="14" t="s">
        <v>3494</v>
      </c>
      <c r="H1156" s="15" t="s">
        <v>24</v>
      </c>
      <c r="I1156" s="15" t="s">
        <v>3491</v>
      </c>
      <c r="J1156" s="2">
        <v>1.0</v>
      </c>
      <c r="K1156" s="19"/>
      <c r="L1156" s="16">
        <v>0.0</v>
      </c>
    </row>
    <row r="1157" hidden="1">
      <c r="A1157" s="1" t="s">
        <v>1028</v>
      </c>
      <c r="B1157" s="1" t="s">
        <v>1028</v>
      </c>
      <c r="C1157" s="13">
        <v>45811.37291666667</v>
      </c>
      <c r="D1157" s="2" t="s">
        <v>799</v>
      </c>
      <c r="E1157" s="2" t="s">
        <v>800</v>
      </c>
      <c r="F1157" s="14" t="s">
        <v>4203</v>
      </c>
      <c r="G1157" s="14" t="s">
        <v>4204</v>
      </c>
      <c r="H1157" s="15" t="s">
        <v>16</v>
      </c>
      <c r="I1157" s="15" t="s">
        <v>3488</v>
      </c>
      <c r="J1157" s="2">
        <v>10.0</v>
      </c>
      <c r="K1157" s="12" t="s">
        <v>4367</v>
      </c>
      <c r="L1157" s="16">
        <v>60000.0</v>
      </c>
    </row>
    <row r="1158" hidden="1">
      <c r="A1158" s="1" t="s">
        <v>1028</v>
      </c>
      <c r="B1158" s="1" t="s">
        <v>1028</v>
      </c>
      <c r="C1158" s="13">
        <v>45811.373611111114</v>
      </c>
      <c r="D1158" s="2" t="s">
        <v>799</v>
      </c>
      <c r="E1158" s="2" t="s">
        <v>800</v>
      </c>
      <c r="F1158" s="14" t="s">
        <v>3493</v>
      </c>
      <c r="G1158" s="14" t="s">
        <v>3494</v>
      </c>
      <c r="H1158" s="15" t="s">
        <v>16</v>
      </c>
      <c r="I1158" s="15" t="s">
        <v>3488</v>
      </c>
      <c r="J1158" s="2">
        <v>2.0</v>
      </c>
      <c r="K1158" s="19"/>
      <c r="L1158" s="16">
        <v>200000.0</v>
      </c>
    </row>
    <row r="1159" hidden="1">
      <c r="A1159" s="1" t="s">
        <v>1029</v>
      </c>
      <c r="B1159" s="1" t="s">
        <v>1029</v>
      </c>
      <c r="C1159" s="13">
        <v>45811.373611111114</v>
      </c>
      <c r="D1159" s="2" t="s">
        <v>309</v>
      </c>
      <c r="E1159" s="2" t="s">
        <v>310</v>
      </c>
      <c r="F1159" s="14" t="s">
        <v>3506</v>
      </c>
      <c r="G1159" s="14" t="s">
        <v>3507</v>
      </c>
      <c r="H1159" s="15" t="s">
        <v>16</v>
      </c>
      <c r="I1159" s="15" t="s">
        <v>3488</v>
      </c>
      <c r="J1159" s="2">
        <v>10.0</v>
      </c>
      <c r="K1159" s="19"/>
      <c r="L1159" s="16">
        <v>55000.0</v>
      </c>
    </row>
    <row r="1160" hidden="1">
      <c r="A1160" s="1" t="s">
        <v>1029</v>
      </c>
      <c r="B1160" s="1" t="s">
        <v>1029</v>
      </c>
      <c r="C1160" s="13">
        <v>45811.373611111114</v>
      </c>
      <c r="D1160" s="2" t="s">
        <v>309</v>
      </c>
      <c r="E1160" s="2" t="s">
        <v>310</v>
      </c>
      <c r="F1160" s="14" t="s">
        <v>4045</v>
      </c>
      <c r="G1160" s="14" t="s">
        <v>4046</v>
      </c>
      <c r="H1160" s="15" t="s">
        <v>16</v>
      </c>
      <c r="I1160" s="15" t="s">
        <v>3488</v>
      </c>
      <c r="J1160" s="2">
        <v>1.0</v>
      </c>
      <c r="K1160" s="19"/>
      <c r="L1160" s="16">
        <v>160000.0</v>
      </c>
    </row>
    <row r="1161" hidden="1">
      <c r="A1161" s="1" t="s">
        <v>1030</v>
      </c>
      <c r="B1161" s="1" t="s">
        <v>1030</v>
      </c>
      <c r="C1161" s="13">
        <v>45811.37569444445</v>
      </c>
      <c r="D1161" s="2" t="s">
        <v>345</v>
      </c>
      <c r="E1161" s="2" t="s">
        <v>346</v>
      </c>
      <c r="F1161" s="14" t="s">
        <v>3486</v>
      </c>
      <c r="G1161" s="14" t="s">
        <v>3487</v>
      </c>
      <c r="H1161" s="15" t="s">
        <v>16</v>
      </c>
      <c r="I1161" s="15" t="s">
        <v>3488</v>
      </c>
      <c r="J1161" s="2">
        <v>5.0</v>
      </c>
      <c r="K1161" s="12" t="s">
        <v>4368</v>
      </c>
      <c r="L1161" s="16">
        <v>45045.045</v>
      </c>
    </row>
    <row r="1162" hidden="1">
      <c r="A1162" s="1" t="s">
        <v>1031</v>
      </c>
      <c r="B1162" s="1" t="s">
        <v>1031</v>
      </c>
      <c r="C1162" s="13">
        <v>45811.4625</v>
      </c>
      <c r="D1162" s="2" t="s">
        <v>934</v>
      </c>
      <c r="E1162" s="2" t="s">
        <v>935</v>
      </c>
      <c r="F1162" s="14" t="s">
        <v>3522</v>
      </c>
      <c r="G1162" s="14" t="s">
        <v>3523</v>
      </c>
      <c r="H1162" s="15" t="s">
        <v>16</v>
      </c>
      <c r="I1162" s="15" t="s">
        <v>3488</v>
      </c>
      <c r="J1162" s="2">
        <v>1.0</v>
      </c>
      <c r="K1162" s="12" t="s">
        <v>4369</v>
      </c>
      <c r="L1162" s="16">
        <v>200000.0</v>
      </c>
    </row>
    <row r="1163" hidden="1">
      <c r="A1163" s="1" t="s">
        <v>1032</v>
      </c>
      <c r="B1163" s="1" t="s">
        <v>1032</v>
      </c>
      <c r="C1163" s="13">
        <v>45811.61041666667</v>
      </c>
      <c r="D1163" s="2" t="s">
        <v>345</v>
      </c>
      <c r="E1163" s="2" t="s">
        <v>346</v>
      </c>
      <c r="F1163" s="14" t="s">
        <v>3486</v>
      </c>
      <c r="G1163" s="14" t="s">
        <v>3487</v>
      </c>
      <c r="H1163" s="15" t="s">
        <v>24</v>
      </c>
      <c r="I1163" s="15" t="s">
        <v>3491</v>
      </c>
      <c r="J1163" s="2">
        <v>10.0</v>
      </c>
      <c r="K1163" s="12" t="s">
        <v>4370</v>
      </c>
      <c r="L1163" s="16">
        <v>0.0</v>
      </c>
    </row>
    <row r="1164" hidden="1">
      <c r="A1164" s="1" t="s">
        <v>1033</v>
      </c>
      <c r="B1164" s="1" t="s">
        <v>1033</v>
      </c>
      <c r="C1164" s="13">
        <v>45811.61111111111</v>
      </c>
      <c r="D1164" s="2" t="s">
        <v>799</v>
      </c>
      <c r="E1164" s="2" t="s">
        <v>800</v>
      </c>
      <c r="F1164" s="14" t="s">
        <v>4203</v>
      </c>
      <c r="G1164" s="14" t="s">
        <v>4204</v>
      </c>
      <c r="H1164" s="15" t="s">
        <v>24</v>
      </c>
      <c r="I1164" s="15" t="s">
        <v>3491</v>
      </c>
      <c r="J1164" s="2">
        <v>7.0</v>
      </c>
      <c r="K1164" s="12" t="s">
        <v>4371</v>
      </c>
      <c r="L1164" s="16">
        <v>0.0</v>
      </c>
    </row>
    <row r="1165">
      <c r="A1165" s="1" t="s">
        <v>1034</v>
      </c>
      <c r="B1165" s="1" t="s">
        <v>1034</v>
      </c>
      <c r="C1165" s="13">
        <v>45812.364583333336</v>
      </c>
      <c r="D1165" s="2" t="s">
        <v>45</v>
      </c>
      <c r="E1165" s="2" t="s">
        <v>46</v>
      </c>
      <c r="F1165" s="14" t="s">
        <v>3522</v>
      </c>
      <c r="G1165" s="14" t="s">
        <v>3523</v>
      </c>
      <c r="H1165" s="15" t="s">
        <v>16</v>
      </c>
      <c r="I1165" s="15" t="s">
        <v>3488</v>
      </c>
      <c r="J1165" s="2">
        <v>10.0</v>
      </c>
      <c r="K1165" s="12" t="s">
        <v>4372</v>
      </c>
      <c r="L1165" s="16">
        <v>185000.0</v>
      </c>
    </row>
    <row r="1166" hidden="1">
      <c r="A1166" s="1" t="s">
        <v>1035</v>
      </c>
      <c r="B1166" s="1" t="s">
        <v>1035</v>
      </c>
      <c r="C1166" s="13">
        <v>45812.322222222225</v>
      </c>
      <c r="D1166" s="2" t="s">
        <v>464</v>
      </c>
      <c r="E1166" s="2" t="s">
        <v>465</v>
      </c>
      <c r="F1166" s="14" t="s">
        <v>3506</v>
      </c>
      <c r="G1166" s="14" t="s">
        <v>3507</v>
      </c>
      <c r="H1166" s="15" t="s">
        <v>16</v>
      </c>
      <c r="I1166" s="15" t="s">
        <v>3488</v>
      </c>
      <c r="J1166" s="2">
        <v>1.0</v>
      </c>
      <c r="K1166" s="19"/>
      <c r="L1166" s="16">
        <v>55000.0</v>
      </c>
    </row>
    <row r="1167" hidden="1">
      <c r="A1167" s="1" t="s">
        <v>1036</v>
      </c>
      <c r="B1167" s="1" t="s">
        <v>1036</v>
      </c>
      <c r="C1167" s="13">
        <v>45812.37847222222</v>
      </c>
      <c r="D1167" s="2" t="s">
        <v>786</v>
      </c>
      <c r="E1167" s="2" t="s">
        <v>787</v>
      </c>
      <c r="F1167" s="14" t="s">
        <v>3486</v>
      </c>
      <c r="G1167" s="14" t="s">
        <v>3487</v>
      </c>
      <c r="H1167" s="15" t="s">
        <v>16</v>
      </c>
      <c r="I1167" s="15" t="s">
        <v>3488</v>
      </c>
      <c r="J1167" s="2">
        <v>2.0</v>
      </c>
      <c r="K1167" s="12" t="s">
        <v>4373</v>
      </c>
      <c r="L1167" s="16">
        <v>60000.0</v>
      </c>
    </row>
    <row r="1168">
      <c r="A1168" s="1" t="s">
        <v>1037</v>
      </c>
      <c r="B1168" s="1" t="s">
        <v>1037</v>
      </c>
      <c r="C1168" s="13">
        <v>45812.42847222222</v>
      </c>
      <c r="D1168" s="2" t="s">
        <v>45</v>
      </c>
      <c r="E1168" s="2" t="s">
        <v>46</v>
      </c>
      <c r="F1168" s="14" t="s">
        <v>3486</v>
      </c>
      <c r="G1168" s="14" t="s">
        <v>3487</v>
      </c>
      <c r="H1168" s="15" t="s">
        <v>24</v>
      </c>
      <c r="I1168" s="15" t="s">
        <v>3491</v>
      </c>
      <c r="J1168" s="2">
        <v>10.0</v>
      </c>
      <c r="K1168" s="12" t="s">
        <v>4374</v>
      </c>
      <c r="L1168" s="16">
        <v>0.0</v>
      </c>
    </row>
    <row r="1169">
      <c r="A1169" s="1" t="s">
        <v>1037</v>
      </c>
      <c r="B1169" s="1" t="s">
        <v>1037</v>
      </c>
      <c r="C1169" s="13">
        <v>45812.42916666667</v>
      </c>
      <c r="D1169" s="2" t="s">
        <v>45</v>
      </c>
      <c r="E1169" s="2" t="s">
        <v>46</v>
      </c>
      <c r="F1169" s="14" t="s">
        <v>3522</v>
      </c>
      <c r="G1169" s="14" t="s">
        <v>3523</v>
      </c>
      <c r="H1169" s="15" t="s">
        <v>24</v>
      </c>
      <c r="I1169" s="15" t="s">
        <v>3491</v>
      </c>
      <c r="J1169" s="2">
        <v>5.0</v>
      </c>
      <c r="K1169" s="12" t="s">
        <v>4375</v>
      </c>
      <c r="L1169" s="16">
        <v>0.0</v>
      </c>
    </row>
    <row r="1170" hidden="1">
      <c r="A1170" s="1" t="s">
        <v>1038</v>
      </c>
      <c r="B1170" s="1" t="s">
        <v>1038</v>
      </c>
      <c r="C1170" s="13">
        <v>45812.42986111111</v>
      </c>
      <c r="D1170" s="2" t="s">
        <v>934</v>
      </c>
      <c r="E1170" s="2" t="s">
        <v>935</v>
      </c>
      <c r="F1170" s="14" t="s">
        <v>3522</v>
      </c>
      <c r="G1170" s="14" t="s">
        <v>3523</v>
      </c>
      <c r="H1170" s="15" t="s">
        <v>24</v>
      </c>
      <c r="I1170" s="15" t="s">
        <v>3491</v>
      </c>
      <c r="J1170" s="2">
        <v>1.0</v>
      </c>
      <c r="K1170" s="12" t="s">
        <v>4376</v>
      </c>
      <c r="L1170" s="16">
        <v>0.0</v>
      </c>
    </row>
    <row r="1171" hidden="1">
      <c r="A1171" s="1" t="s">
        <v>1039</v>
      </c>
      <c r="B1171" s="1" t="s">
        <v>1039</v>
      </c>
      <c r="C1171" s="13">
        <v>45812.42986111111</v>
      </c>
      <c r="D1171" s="2" t="s">
        <v>213</v>
      </c>
      <c r="E1171" s="2" t="s">
        <v>214</v>
      </c>
      <c r="F1171" s="14" t="s">
        <v>3486</v>
      </c>
      <c r="G1171" s="14" t="s">
        <v>3487</v>
      </c>
      <c r="H1171" s="15" t="s">
        <v>24</v>
      </c>
      <c r="I1171" s="15" t="s">
        <v>3491</v>
      </c>
      <c r="J1171" s="2">
        <v>7.0</v>
      </c>
      <c r="K1171" s="12" t="s">
        <v>4377</v>
      </c>
      <c r="L1171" s="16">
        <v>0.0</v>
      </c>
    </row>
    <row r="1172" hidden="1">
      <c r="A1172" s="1" t="s">
        <v>1040</v>
      </c>
      <c r="B1172" s="1" t="s">
        <v>1040</v>
      </c>
      <c r="C1172" s="13">
        <v>45812.43263888889</v>
      </c>
      <c r="D1172" s="2" t="s">
        <v>383</v>
      </c>
      <c r="E1172" s="2" t="s">
        <v>384</v>
      </c>
      <c r="F1172" s="14" t="s">
        <v>3486</v>
      </c>
      <c r="G1172" s="14" t="s">
        <v>3487</v>
      </c>
      <c r="H1172" s="15" t="s">
        <v>24</v>
      </c>
      <c r="I1172" s="15" t="s">
        <v>3491</v>
      </c>
      <c r="J1172" s="2">
        <v>1.0</v>
      </c>
      <c r="K1172" s="12" t="s">
        <v>4361</v>
      </c>
      <c r="L1172" s="16">
        <v>0.0</v>
      </c>
    </row>
    <row r="1173" hidden="1">
      <c r="A1173" s="1" t="s">
        <v>1041</v>
      </c>
      <c r="B1173" s="1" t="s">
        <v>1041</v>
      </c>
      <c r="C1173" s="13">
        <v>45812.46805555555</v>
      </c>
      <c r="D1173" s="2" t="s">
        <v>345</v>
      </c>
      <c r="E1173" s="2" t="s">
        <v>346</v>
      </c>
      <c r="F1173" s="14" t="s">
        <v>3522</v>
      </c>
      <c r="G1173" s="14" t="s">
        <v>3523</v>
      </c>
      <c r="H1173" s="15" t="s">
        <v>24</v>
      </c>
      <c r="I1173" s="15" t="s">
        <v>3491</v>
      </c>
      <c r="J1173" s="2">
        <v>1.0</v>
      </c>
      <c r="K1173" s="12" t="s">
        <v>3890</v>
      </c>
      <c r="L1173" s="16">
        <v>0.0</v>
      </c>
    </row>
    <row r="1174" hidden="1">
      <c r="A1174" s="1" t="s">
        <v>1042</v>
      </c>
      <c r="B1174" s="1" t="s">
        <v>1042</v>
      </c>
      <c r="C1174" s="13">
        <v>45812.56458333333</v>
      </c>
      <c r="D1174" s="2" t="s">
        <v>305</v>
      </c>
      <c r="E1174" s="2" t="s">
        <v>306</v>
      </c>
      <c r="F1174" s="14" t="s">
        <v>3486</v>
      </c>
      <c r="G1174" s="14" t="s">
        <v>3487</v>
      </c>
      <c r="H1174" s="15" t="s">
        <v>24</v>
      </c>
      <c r="I1174" s="15" t="s">
        <v>3491</v>
      </c>
      <c r="J1174" s="2">
        <v>11.0</v>
      </c>
      <c r="K1174" s="12" t="s">
        <v>4378</v>
      </c>
      <c r="L1174" s="16">
        <v>0.0</v>
      </c>
    </row>
    <row r="1175" hidden="1">
      <c r="A1175" s="1" t="s">
        <v>1043</v>
      </c>
      <c r="B1175" s="1" t="s">
        <v>1043</v>
      </c>
      <c r="C1175" s="13">
        <v>45812.56597222222</v>
      </c>
      <c r="D1175" s="2" t="s">
        <v>786</v>
      </c>
      <c r="E1175" s="2" t="s">
        <v>787</v>
      </c>
      <c r="F1175" s="14" t="s">
        <v>3486</v>
      </c>
      <c r="G1175" s="14" t="s">
        <v>3487</v>
      </c>
      <c r="H1175" s="15" t="s">
        <v>24</v>
      </c>
      <c r="I1175" s="15" t="s">
        <v>3491</v>
      </c>
      <c r="J1175" s="2">
        <v>2.0</v>
      </c>
      <c r="K1175" s="12" t="s">
        <v>4379</v>
      </c>
      <c r="L1175" s="16">
        <v>0.0</v>
      </c>
    </row>
    <row r="1176" hidden="1">
      <c r="A1176" s="1" t="s">
        <v>1043</v>
      </c>
      <c r="B1176" s="1" t="s">
        <v>1043</v>
      </c>
      <c r="C1176" s="13">
        <v>45812.56597222222</v>
      </c>
      <c r="D1176" s="2" t="s">
        <v>786</v>
      </c>
      <c r="E1176" s="2" t="s">
        <v>787</v>
      </c>
      <c r="F1176" s="14" t="s">
        <v>3516</v>
      </c>
      <c r="G1176" s="14" t="s">
        <v>3517</v>
      </c>
      <c r="H1176" s="15" t="s">
        <v>24</v>
      </c>
      <c r="I1176" s="15" t="s">
        <v>3491</v>
      </c>
      <c r="J1176" s="2">
        <v>2.0</v>
      </c>
      <c r="K1176" s="12" t="s">
        <v>4380</v>
      </c>
      <c r="L1176" s="16">
        <v>0.0</v>
      </c>
    </row>
    <row r="1177" hidden="1">
      <c r="A1177" s="1"/>
      <c r="B1177" s="1"/>
      <c r="C1177" s="13"/>
      <c r="F1177" s="14"/>
      <c r="G1177" s="14"/>
      <c r="H1177" s="15"/>
      <c r="I1177" s="15"/>
      <c r="K1177" s="12"/>
      <c r="L1177" s="16"/>
    </row>
    <row r="1178">
      <c r="A1178" s="1" t="s">
        <v>1044</v>
      </c>
      <c r="B1178" s="1" t="s">
        <v>1044</v>
      </c>
      <c r="C1178" s="13">
        <v>45813.370833333334</v>
      </c>
      <c r="D1178" s="2" t="s">
        <v>45</v>
      </c>
      <c r="E1178" s="2" t="s">
        <v>46</v>
      </c>
      <c r="F1178" s="14" t="s">
        <v>3486</v>
      </c>
      <c r="G1178" s="14" t="s">
        <v>3487</v>
      </c>
      <c r="H1178" s="15" t="s">
        <v>16</v>
      </c>
      <c r="I1178" s="15" t="s">
        <v>3488</v>
      </c>
      <c r="J1178" s="2">
        <v>5.0</v>
      </c>
      <c r="K1178" s="12" t="s">
        <v>4381</v>
      </c>
      <c r="L1178" s="16">
        <v>60000.0</v>
      </c>
    </row>
    <row r="1179">
      <c r="A1179" s="1" t="s">
        <v>1044</v>
      </c>
      <c r="B1179" s="1" t="s">
        <v>1044</v>
      </c>
      <c r="C1179" s="13">
        <v>45813.37152777778</v>
      </c>
      <c r="D1179" s="2" t="s">
        <v>45</v>
      </c>
      <c r="E1179" s="2" t="s">
        <v>46</v>
      </c>
      <c r="F1179" s="14" t="s">
        <v>3493</v>
      </c>
      <c r="G1179" s="14" t="s">
        <v>3494</v>
      </c>
      <c r="H1179" s="15" t="s">
        <v>16</v>
      </c>
      <c r="I1179" s="15" t="s">
        <v>3488</v>
      </c>
      <c r="J1179" s="2">
        <v>5.0</v>
      </c>
      <c r="K1179" s="19"/>
      <c r="L1179" s="16">
        <v>210000.0</v>
      </c>
    </row>
    <row r="1180" hidden="1">
      <c r="A1180" s="1" t="s">
        <v>1045</v>
      </c>
      <c r="B1180" s="1" t="s">
        <v>1045</v>
      </c>
      <c r="C1180" s="13">
        <v>45813.50902777778</v>
      </c>
      <c r="D1180" s="2" t="s">
        <v>464</v>
      </c>
      <c r="E1180" s="2" t="s">
        <v>465</v>
      </c>
      <c r="F1180" s="14" t="s">
        <v>3486</v>
      </c>
      <c r="G1180" s="14" t="s">
        <v>3487</v>
      </c>
      <c r="H1180" s="15" t="s">
        <v>24</v>
      </c>
      <c r="I1180" s="15" t="s">
        <v>3491</v>
      </c>
      <c r="J1180" s="2">
        <v>15.0</v>
      </c>
      <c r="K1180" s="12" t="s">
        <v>4382</v>
      </c>
      <c r="L1180" s="16">
        <v>0.0</v>
      </c>
    </row>
    <row r="1181" hidden="1">
      <c r="A1181" s="1" t="s">
        <v>1046</v>
      </c>
      <c r="B1181" s="1" t="s">
        <v>1046</v>
      </c>
      <c r="C1181" s="13">
        <v>45777.51180555556</v>
      </c>
      <c r="D1181" s="2" t="s">
        <v>464</v>
      </c>
      <c r="E1181" s="2" t="s">
        <v>465</v>
      </c>
      <c r="F1181" s="14" t="s">
        <v>3506</v>
      </c>
      <c r="G1181" s="14" t="s">
        <v>3507</v>
      </c>
      <c r="H1181" s="15" t="s">
        <v>24</v>
      </c>
      <c r="I1181" s="15" t="s">
        <v>3491</v>
      </c>
      <c r="J1181" s="2">
        <v>1.0</v>
      </c>
      <c r="K1181" s="19"/>
      <c r="L1181" s="16">
        <v>0.0</v>
      </c>
    </row>
    <row r="1182" hidden="1">
      <c r="A1182" s="1" t="s">
        <v>1045</v>
      </c>
      <c r="B1182" s="1" t="s">
        <v>1045</v>
      </c>
      <c r="C1182" s="13">
        <v>45813.51597222222</v>
      </c>
      <c r="D1182" s="2" t="s">
        <v>464</v>
      </c>
      <c r="E1182" s="2" t="s">
        <v>465</v>
      </c>
      <c r="F1182" s="14" t="s">
        <v>3493</v>
      </c>
      <c r="G1182" s="14" t="s">
        <v>3494</v>
      </c>
      <c r="H1182" s="15" t="s">
        <v>24</v>
      </c>
      <c r="I1182" s="15" t="s">
        <v>3491</v>
      </c>
      <c r="J1182" s="2">
        <v>2.0</v>
      </c>
      <c r="K1182" s="19"/>
      <c r="L1182" s="16">
        <v>0.0</v>
      </c>
    </row>
    <row r="1183" hidden="1">
      <c r="A1183" s="1" t="s">
        <v>1047</v>
      </c>
      <c r="B1183" s="1" t="s">
        <v>1047</v>
      </c>
      <c r="C1183" s="13">
        <v>45813.57361111111</v>
      </c>
      <c r="D1183" s="2" t="s">
        <v>951</v>
      </c>
      <c r="E1183" s="2" t="s">
        <v>952</v>
      </c>
      <c r="F1183" s="14" t="s">
        <v>3486</v>
      </c>
      <c r="G1183" s="14" t="s">
        <v>3487</v>
      </c>
      <c r="H1183" s="15" t="s">
        <v>16</v>
      </c>
      <c r="I1183" s="15" t="s">
        <v>3488</v>
      </c>
      <c r="J1183" s="2">
        <v>4.0</v>
      </c>
      <c r="K1183" s="12" t="s">
        <v>4383</v>
      </c>
      <c r="L1183" s="16">
        <v>55000.0</v>
      </c>
    </row>
    <row r="1184" hidden="1">
      <c r="A1184" s="1" t="s">
        <v>1048</v>
      </c>
      <c r="B1184" s="1" t="s">
        <v>1048</v>
      </c>
      <c r="C1184" s="13">
        <v>45813.61736111111</v>
      </c>
      <c r="D1184" s="2" t="s">
        <v>951</v>
      </c>
      <c r="E1184" s="2" t="s">
        <v>952</v>
      </c>
      <c r="F1184" s="14" t="s">
        <v>3486</v>
      </c>
      <c r="G1184" s="14" t="s">
        <v>3487</v>
      </c>
      <c r="H1184" s="15" t="s">
        <v>24</v>
      </c>
      <c r="I1184" s="15" t="s">
        <v>3491</v>
      </c>
      <c r="J1184" s="2">
        <v>4.0</v>
      </c>
      <c r="K1184" s="12" t="s">
        <v>4384</v>
      </c>
      <c r="L1184" s="16">
        <v>0.0</v>
      </c>
    </row>
    <row r="1185" hidden="1">
      <c r="A1185" s="1" t="s">
        <v>1048</v>
      </c>
      <c r="B1185" s="1" t="s">
        <v>1048</v>
      </c>
      <c r="C1185" s="13">
        <v>45813.618055555555</v>
      </c>
      <c r="D1185" s="2" t="s">
        <v>951</v>
      </c>
      <c r="E1185" s="2" t="s">
        <v>952</v>
      </c>
      <c r="F1185" s="14" t="s">
        <v>3516</v>
      </c>
      <c r="G1185" s="14" t="s">
        <v>3517</v>
      </c>
      <c r="H1185" s="15" t="s">
        <v>24</v>
      </c>
      <c r="I1185" s="15" t="s">
        <v>3491</v>
      </c>
      <c r="J1185" s="2">
        <v>1.0</v>
      </c>
      <c r="K1185" s="12" t="s">
        <v>4272</v>
      </c>
      <c r="L1185" s="16">
        <v>0.0</v>
      </c>
    </row>
    <row r="1186" hidden="1">
      <c r="A1186" s="1" t="s">
        <v>1049</v>
      </c>
      <c r="B1186" s="1" t="s">
        <v>1049</v>
      </c>
      <c r="C1186" s="13">
        <v>45817.46527777778</v>
      </c>
      <c r="D1186" s="2" t="s">
        <v>951</v>
      </c>
      <c r="E1186" s="2" t="s">
        <v>952</v>
      </c>
      <c r="F1186" s="14" t="s">
        <v>3486</v>
      </c>
      <c r="G1186" s="14" t="s">
        <v>3487</v>
      </c>
      <c r="H1186" s="15" t="s">
        <v>16</v>
      </c>
      <c r="I1186" s="15" t="s">
        <v>3488</v>
      </c>
      <c r="J1186" s="2">
        <v>4.0</v>
      </c>
      <c r="K1186" s="12" t="s">
        <v>4385</v>
      </c>
      <c r="L1186" s="16">
        <v>55000.0</v>
      </c>
    </row>
    <row r="1187" hidden="1">
      <c r="A1187" s="1" t="s">
        <v>1049</v>
      </c>
      <c r="B1187" s="1" t="s">
        <v>1049</v>
      </c>
      <c r="C1187" s="13">
        <v>45817.46527777778</v>
      </c>
      <c r="D1187" s="2" t="s">
        <v>951</v>
      </c>
      <c r="E1187" s="2" t="s">
        <v>952</v>
      </c>
      <c r="F1187" s="14" t="s">
        <v>3516</v>
      </c>
      <c r="G1187" s="14" t="s">
        <v>3517</v>
      </c>
      <c r="H1187" s="15" t="s">
        <v>16</v>
      </c>
      <c r="I1187" s="15" t="s">
        <v>3488</v>
      </c>
      <c r="J1187" s="2">
        <v>2.0</v>
      </c>
      <c r="K1187" s="12" t="s">
        <v>4386</v>
      </c>
      <c r="L1187" s="16">
        <v>165000.0</v>
      </c>
    </row>
    <row r="1188" hidden="1">
      <c r="A1188" s="1" t="s">
        <v>1050</v>
      </c>
      <c r="B1188" s="1" t="s">
        <v>1050</v>
      </c>
      <c r="C1188" s="13">
        <v>45817.625</v>
      </c>
      <c r="D1188" s="2" t="s">
        <v>109</v>
      </c>
      <c r="E1188" s="2" t="s">
        <v>110</v>
      </c>
      <c r="F1188" s="14" t="s">
        <v>3486</v>
      </c>
      <c r="G1188" s="14" t="s">
        <v>3487</v>
      </c>
      <c r="H1188" s="15" t="s">
        <v>24</v>
      </c>
      <c r="I1188" s="15" t="s">
        <v>3491</v>
      </c>
      <c r="J1188" s="2">
        <v>2.0</v>
      </c>
      <c r="K1188" s="12" t="s">
        <v>4387</v>
      </c>
      <c r="L1188" s="16">
        <v>0.0</v>
      </c>
    </row>
    <row r="1189" hidden="1">
      <c r="A1189" s="1" t="s">
        <v>1050</v>
      </c>
      <c r="B1189" s="1" t="s">
        <v>1050</v>
      </c>
      <c r="C1189" s="13">
        <v>45817.625</v>
      </c>
      <c r="D1189" s="2" t="s">
        <v>109</v>
      </c>
      <c r="E1189" s="2" t="s">
        <v>110</v>
      </c>
      <c r="F1189" s="14" t="s">
        <v>3522</v>
      </c>
      <c r="G1189" s="14" t="s">
        <v>3523</v>
      </c>
      <c r="H1189" s="15" t="s">
        <v>24</v>
      </c>
      <c r="I1189" s="15" t="s">
        <v>3491</v>
      </c>
      <c r="J1189" s="2">
        <v>1.0</v>
      </c>
      <c r="K1189" s="12" t="s">
        <v>4388</v>
      </c>
      <c r="L1189" s="16">
        <v>0.0</v>
      </c>
    </row>
    <row r="1190" hidden="1">
      <c r="A1190" s="1" t="s">
        <v>1050</v>
      </c>
      <c r="B1190" s="1" t="s">
        <v>1050</v>
      </c>
      <c r="C1190" s="13">
        <v>45817.625</v>
      </c>
      <c r="D1190" s="2" t="s">
        <v>109</v>
      </c>
      <c r="E1190" s="2" t="s">
        <v>110</v>
      </c>
      <c r="F1190" s="14" t="s">
        <v>3516</v>
      </c>
      <c r="G1190" s="14" t="s">
        <v>3517</v>
      </c>
      <c r="H1190" s="15" t="s">
        <v>24</v>
      </c>
      <c r="I1190" s="15" t="s">
        <v>3491</v>
      </c>
      <c r="J1190" s="2">
        <v>1.0</v>
      </c>
      <c r="K1190" s="12" t="s">
        <v>4389</v>
      </c>
      <c r="L1190" s="16">
        <v>0.0</v>
      </c>
    </row>
    <row r="1191" hidden="1">
      <c r="A1191" s="1" t="s">
        <v>1051</v>
      </c>
      <c r="B1191" s="1" t="s">
        <v>1051</v>
      </c>
      <c r="C1191" s="13">
        <v>45817.625</v>
      </c>
      <c r="D1191" s="2" t="s">
        <v>951</v>
      </c>
      <c r="E1191" s="2" t="s">
        <v>952</v>
      </c>
      <c r="F1191" s="14" t="s">
        <v>3486</v>
      </c>
      <c r="G1191" s="14" t="s">
        <v>3487</v>
      </c>
      <c r="H1191" s="15" t="s">
        <v>24</v>
      </c>
      <c r="I1191" s="15" t="s">
        <v>3491</v>
      </c>
      <c r="J1191" s="2">
        <v>4.0</v>
      </c>
      <c r="K1191" s="12" t="s">
        <v>4390</v>
      </c>
      <c r="L1191" s="16">
        <v>0.0</v>
      </c>
    </row>
    <row r="1192" hidden="1">
      <c r="A1192" s="1" t="s">
        <v>1051</v>
      </c>
      <c r="B1192" s="1" t="s">
        <v>1051</v>
      </c>
      <c r="C1192" s="13">
        <v>45817.62569444445</v>
      </c>
      <c r="D1192" s="2" t="s">
        <v>951</v>
      </c>
      <c r="E1192" s="2" t="s">
        <v>952</v>
      </c>
      <c r="F1192" s="14" t="s">
        <v>3516</v>
      </c>
      <c r="G1192" s="14" t="s">
        <v>3517</v>
      </c>
      <c r="H1192" s="15" t="s">
        <v>24</v>
      </c>
      <c r="I1192" s="15" t="s">
        <v>3491</v>
      </c>
      <c r="J1192" s="2">
        <v>1.0</v>
      </c>
      <c r="K1192" s="12" t="s">
        <v>4391</v>
      </c>
      <c r="L1192" s="16">
        <v>0.0</v>
      </c>
    </row>
    <row r="1193" hidden="1">
      <c r="A1193" s="1" t="s">
        <v>1052</v>
      </c>
      <c r="B1193" s="1" t="s">
        <v>1052</v>
      </c>
      <c r="C1193" s="13">
        <v>45818.35972222222</v>
      </c>
      <c r="D1193" s="2" t="s">
        <v>349</v>
      </c>
      <c r="E1193" s="2" t="s">
        <v>350</v>
      </c>
      <c r="F1193" s="14" t="s">
        <v>3547</v>
      </c>
      <c r="G1193" s="14" t="s">
        <v>3548</v>
      </c>
      <c r="H1193" s="15" t="s">
        <v>16</v>
      </c>
      <c r="I1193" s="15" t="s">
        <v>3488</v>
      </c>
      <c r="J1193" s="2">
        <v>5.0</v>
      </c>
      <c r="K1193" s="19"/>
      <c r="L1193" s="16">
        <v>909909.9099</v>
      </c>
    </row>
    <row r="1194" hidden="1">
      <c r="A1194" s="1" t="s">
        <v>1053</v>
      </c>
      <c r="B1194" s="1" t="s">
        <v>1053</v>
      </c>
      <c r="C1194" s="13">
        <v>45818.71527777778</v>
      </c>
      <c r="D1194" s="2" t="s">
        <v>349</v>
      </c>
      <c r="E1194" s="2" t="s">
        <v>350</v>
      </c>
      <c r="F1194" s="14" t="s">
        <v>3516</v>
      </c>
      <c r="G1194" s="14" t="s">
        <v>3517</v>
      </c>
      <c r="H1194" s="15" t="s">
        <v>24</v>
      </c>
      <c r="I1194" s="15" t="s">
        <v>3491</v>
      </c>
      <c r="J1194" s="2">
        <v>4.0</v>
      </c>
      <c r="K1194" s="12" t="s">
        <v>4392</v>
      </c>
      <c r="L1194" s="16">
        <v>0.0</v>
      </c>
    </row>
    <row r="1195" hidden="1">
      <c r="A1195" s="1" t="s">
        <v>1053</v>
      </c>
      <c r="B1195" s="1" t="s">
        <v>1053</v>
      </c>
      <c r="C1195" s="13">
        <v>45818.71666666667</v>
      </c>
      <c r="D1195" s="2" t="s">
        <v>349</v>
      </c>
      <c r="E1195" s="2" t="s">
        <v>350</v>
      </c>
      <c r="F1195" s="14" t="s">
        <v>3516</v>
      </c>
      <c r="G1195" s="14" t="s">
        <v>3517</v>
      </c>
      <c r="H1195" s="15" t="s">
        <v>24</v>
      </c>
      <c r="I1195" s="15" t="s">
        <v>3614</v>
      </c>
      <c r="J1195" s="2">
        <v>2.0</v>
      </c>
      <c r="K1195" s="12" t="s">
        <v>4393</v>
      </c>
      <c r="L1195" s="16">
        <v>0.0</v>
      </c>
    </row>
    <row r="1196" hidden="1">
      <c r="A1196" s="1" t="s">
        <v>1053</v>
      </c>
      <c r="B1196" s="1" t="s">
        <v>1053</v>
      </c>
      <c r="C1196" s="13">
        <v>45818.71666666667</v>
      </c>
      <c r="D1196" s="2" t="s">
        <v>349</v>
      </c>
      <c r="E1196" s="2" t="s">
        <v>350</v>
      </c>
      <c r="F1196" s="14" t="s">
        <v>3547</v>
      </c>
      <c r="G1196" s="14" t="s">
        <v>3548</v>
      </c>
      <c r="H1196" s="15" t="s">
        <v>24</v>
      </c>
      <c r="I1196" s="15" t="s">
        <v>3491</v>
      </c>
      <c r="J1196" s="2">
        <v>5.0</v>
      </c>
      <c r="K1196" s="19"/>
      <c r="L1196" s="16">
        <v>0.0</v>
      </c>
    </row>
    <row r="1197" hidden="1">
      <c r="A1197" s="1" t="s">
        <v>1054</v>
      </c>
      <c r="B1197" s="1" t="s">
        <v>1054</v>
      </c>
      <c r="C1197" s="13">
        <v>45819.540972222225</v>
      </c>
      <c r="D1197" s="2" t="s">
        <v>685</v>
      </c>
      <c r="E1197" s="2" t="s">
        <v>686</v>
      </c>
      <c r="F1197" s="14" t="s">
        <v>3493</v>
      </c>
      <c r="G1197" s="14" t="s">
        <v>3494</v>
      </c>
      <c r="H1197" s="15" t="s">
        <v>16</v>
      </c>
      <c r="I1197" s="15" t="s">
        <v>3488</v>
      </c>
      <c r="J1197" s="2">
        <v>1.0</v>
      </c>
      <c r="K1197" s="19"/>
      <c r="L1197" s="16">
        <v>189189.19</v>
      </c>
    </row>
    <row r="1198" hidden="1">
      <c r="A1198" s="1" t="s">
        <v>1055</v>
      </c>
      <c r="B1198" s="1" t="s">
        <v>1055</v>
      </c>
      <c r="C1198" s="13">
        <v>45819.60763888889</v>
      </c>
      <c r="D1198" s="2" t="s">
        <v>685</v>
      </c>
      <c r="E1198" s="2" t="s">
        <v>686</v>
      </c>
      <c r="F1198" s="14" t="s">
        <v>3493</v>
      </c>
      <c r="G1198" s="14" t="s">
        <v>3494</v>
      </c>
      <c r="H1198" s="15" t="s">
        <v>24</v>
      </c>
      <c r="I1198" s="15" t="s">
        <v>3491</v>
      </c>
      <c r="J1198" s="2">
        <v>1.0</v>
      </c>
      <c r="K1198" s="19"/>
      <c r="L1198" s="16">
        <v>0.0</v>
      </c>
    </row>
    <row r="1199" hidden="1">
      <c r="A1199" s="1" t="s">
        <v>1056</v>
      </c>
      <c r="B1199" s="1" t="s">
        <v>1056</v>
      </c>
      <c r="C1199" s="13">
        <v>45819.60763888889</v>
      </c>
      <c r="D1199" s="2" t="s">
        <v>305</v>
      </c>
      <c r="E1199" s="2" t="s">
        <v>306</v>
      </c>
      <c r="F1199" s="14" t="s">
        <v>3486</v>
      </c>
      <c r="G1199" s="14" t="s">
        <v>3487</v>
      </c>
      <c r="H1199" s="15" t="s">
        <v>24</v>
      </c>
      <c r="I1199" s="15" t="s">
        <v>3491</v>
      </c>
      <c r="J1199" s="2">
        <v>9.0</v>
      </c>
      <c r="K1199" s="12" t="s">
        <v>4394</v>
      </c>
      <c r="L1199" s="16">
        <v>0.0</v>
      </c>
    </row>
    <row r="1200" hidden="1">
      <c r="A1200" s="1" t="s">
        <v>1057</v>
      </c>
      <c r="B1200" s="1" t="s">
        <v>1057</v>
      </c>
      <c r="C1200" s="13">
        <v>45820.365277777775</v>
      </c>
      <c r="D1200" s="2" t="s">
        <v>493</v>
      </c>
      <c r="E1200" s="2" t="s">
        <v>494</v>
      </c>
      <c r="F1200" s="14" t="s">
        <v>3486</v>
      </c>
      <c r="G1200" s="14" t="s">
        <v>3487</v>
      </c>
      <c r="H1200" s="15" t="s">
        <v>16</v>
      </c>
      <c r="I1200" s="15" t="s">
        <v>3488</v>
      </c>
      <c r="J1200" s="2">
        <v>10.0</v>
      </c>
      <c r="K1200" s="12" t="s">
        <v>4395</v>
      </c>
      <c r="L1200" s="16">
        <v>50000.0</v>
      </c>
    </row>
    <row r="1201" hidden="1">
      <c r="A1201" s="1" t="s">
        <v>1058</v>
      </c>
      <c r="B1201" s="1" t="s">
        <v>1058</v>
      </c>
      <c r="C1201" s="13">
        <v>45820.419444444444</v>
      </c>
      <c r="D1201" s="2" t="s">
        <v>213</v>
      </c>
      <c r="E1201" s="2" t="s">
        <v>214</v>
      </c>
      <c r="F1201" s="14" t="s">
        <v>3486</v>
      </c>
      <c r="G1201" s="14" t="s">
        <v>3487</v>
      </c>
      <c r="H1201" s="15" t="s">
        <v>16</v>
      </c>
      <c r="I1201" s="15" t="s">
        <v>3488</v>
      </c>
      <c r="J1201" s="2">
        <v>10.0</v>
      </c>
      <c r="K1201" s="12" t="s">
        <v>4396</v>
      </c>
      <c r="L1201" s="16">
        <v>60000.0</v>
      </c>
    </row>
    <row r="1202" hidden="1">
      <c r="A1202" s="1" t="s">
        <v>1059</v>
      </c>
      <c r="B1202" s="1" t="s">
        <v>1059</v>
      </c>
      <c r="C1202" s="13">
        <v>45820.81319444445</v>
      </c>
      <c r="D1202" s="2" t="s">
        <v>213</v>
      </c>
      <c r="E1202" s="2" t="s">
        <v>214</v>
      </c>
      <c r="F1202" s="14" t="s">
        <v>3486</v>
      </c>
      <c r="G1202" s="14" t="s">
        <v>3487</v>
      </c>
      <c r="H1202" s="15" t="s">
        <v>24</v>
      </c>
      <c r="I1202" s="15" t="s">
        <v>3491</v>
      </c>
      <c r="J1202" s="2">
        <v>3.0</v>
      </c>
      <c r="K1202" s="12" t="s">
        <v>4397</v>
      </c>
      <c r="L1202" s="16">
        <v>0.0</v>
      </c>
    </row>
    <row r="1203" hidden="1">
      <c r="A1203" s="1" t="s">
        <v>1060</v>
      </c>
      <c r="B1203" s="1" t="s">
        <v>1060</v>
      </c>
      <c r="C1203" s="13">
        <v>45820.813888888886</v>
      </c>
      <c r="D1203" s="2" t="s">
        <v>493</v>
      </c>
      <c r="E1203" s="2" t="s">
        <v>494</v>
      </c>
      <c r="F1203" s="14" t="s">
        <v>3486</v>
      </c>
      <c r="G1203" s="14" t="s">
        <v>3487</v>
      </c>
      <c r="H1203" s="15" t="s">
        <v>24</v>
      </c>
      <c r="I1203" s="15" t="s">
        <v>3491</v>
      </c>
      <c r="J1203" s="2">
        <v>9.0</v>
      </c>
      <c r="K1203" s="12" t="s">
        <v>4398</v>
      </c>
      <c r="L1203" s="16">
        <v>0.0</v>
      </c>
    </row>
    <row r="1204" hidden="1">
      <c r="A1204" s="1" t="s">
        <v>1060</v>
      </c>
      <c r="B1204" s="1" t="s">
        <v>1060</v>
      </c>
      <c r="C1204" s="13">
        <v>45820.813888888886</v>
      </c>
      <c r="D1204" s="2" t="s">
        <v>493</v>
      </c>
      <c r="E1204" s="2" t="s">
        <v>494</v>
      </c>
      <c r="F1204" s="14" t="s">
        <v>3493</v>
      </c>
      <c r="G1204" s="14" t="s">
        <v>3494</v>
      </c>
      <c r="H1204" s="15" t="s">
        <v>24</v>
      </c>
      <c r="I1204" s="15" t="s">
        <v>3491</v>
      </c>
      <c r="J1204" s="2">
        <v>1.0</v>
      </c>
      <c r="K1204" s="19"/>
      <c r="L1204" s="16">
        <v>0.0</v>
      </c>
    </row>
    <row r="1205" hidden="1">
      <c r="A1205" s="1" t="s">
        <v>1061</v>
      </c>
      <c r="B1205" s="1" t="s">
        <v>1061</v>
      </c>
      <c r="C1205" s="13">
        <v>45821.350694444445</v>
      </c>
      <c r="D1205" s="2" t="s">
        <v>934</v>
      </c>
      <c r="E1205" s="2" t="s">
        <v>935</v>
      </c>
      <c r="F1205" s="14" t="s">
        <v>3522</v>
      </c>
      <c r="G1205" s="14" t="s">
        <v>3523</v>
      </c>
      <c r="H1205" s="15" t="s">
        <v>16</v>
      </c>
      <c r="I1205" s="15" t="s">
        <v>3488</v>
      </c>
      <c r="J1205" s="2">
        <v>1.0</v>
      </c>
      <c r="K1205" s="12" t="s">
        <v>4399</v>
      </c>
      <c r="L1205" s="16">
        <v>200000.0</v>
      </c>
    </row>
    <row r="1206" hidden="1">
      <c r="A1206" s="1" t="s">
        <v>1062</v>
      </c>
      <c r="B1206" s="1" t="s">
        <v>1062</v>
      </c>
      <c r="C1206" s="13">
        <v>45821.48541666667</v>
      </c>
      <c r="D1206" s="2" t="s">
        <v>934</v>
      </c>
      <c r="E1206" s="2" t="s">
        <v>935</v>
      </c>
      <c r="F1206" s="14" t="s">
        <v>3522</v>
      </c>
      <c r="G1206" s="14" t="s">
        <v>3523</v>
      </c>
      <c r="H1206" s="15" t="s">
        <v>24</v>
      </c>
      <c r="I1206" s="15" t="s">
        <v>3491</v>
      </c>
      <c r="J1206" s="2">
        <v>1.0</v>
      </c>
      <c r="K1206" s="12" t="s">
        <v>3618</v>
      </c>
      <c r="L1206" s="16">
        <v>0.0</v>
      </c>
    </row>
    <row r="1207" hidden="1">
      <c r="A1207" s="1" t="s">
        <v>1063</v>
      </c>
      <c r="B1207" s="1" t="s">
        <v>1063</v>
      </c>
      <c r="C1207" s="13">
        <v>45821.61319444444</v>
      </c>
      <c r="D1207" s="2" t="s">
        <v>345</v>
      </c>
      <c r="E1207" s="2" t="s">
        <v>346</v>
      </c>
      <c r="F1207" s="14" t="s">
        <v>3486</v>
      </c>
      <c r="G1207" s="14" t="s">
        <v>3487</v>
      </c>
      <c r="H1207" s="15" t="s">
        <v>16</v>
      </c>
      <c r="I1207" s="15" t="s">
        <v>3488</v>
      </c>
      <c r="J1207" s="2">
        <v>10.0</v>
      </c>
      <c r="K1207" s="12" t="s">
        <v>4400</v>
      </c>
      <c r="L1207" s="16">
        <v>45045.045</v>
      </c>
    </row>
    <row r="1208" hidden="1">
      <c r="A1208" s="1" t="s">
        <v>1064</v>
      </c>
      <c r="B1208" s="1" t="s">
        <v>1064</v>
      </c>
      <c r="C1208" s="13">
        <v>45821.652083333334</v>
      </c>
      <c r="D1208" s="2" t="s">
        <v>109</v>
      </c>
      <c r="E1208" s="2" t="s">
        <v>110</v>
      </c>
      <c r="F1208" s="14" t="s">
        <v>3516</v>
      </c>
      <c r="G1208" s="14" t="s">
        <v>3517</v>
      </c>
      <c r="H1208" s="15" t="s">
        <v>16</v>
      </c>
      <c r="I1208" s="15" t="s">
        <v>3488</v>
      </c>
      <c r="J1208" s="2">
        <v>7.0</v>
      </c>
      <c r="K1208" s="12" t="s">
        <v>4401</v>
      </c>
      <c r="L1208" s="16">
        <v>160000.0</v>
      </c>
    </row>
    <row r="1209" hidden="1">
      <c r="A1209" s="1" t="s">
        <v>1064</v>
      </c>
      <c r="B1209" s="1" t="s">
        <v>1064</v>
      </c>
      <c r="C1209" s="13">
        <v>45821.65277777778</v>
      </c>
      <c r="D1209" s="2" t="s">
        <v>109</v>
      </c>
      <c r="E1209" s="2" t="s">
        <v>110</v>
      </c>
      <c r="F1209" s="14" t="s">
        <v>3486</v>
      </c>
      <c r="G1209" s="14" t="s">
        <v>3487</v>
      </c>
      <c r="H1209" s="15" t="s">
        <v>16</v>
      </c>
      <c r="I1209" s="15" t="s">
        <v>3488</v>
      </c>
      <c r="J1209" s="2">
        <v>3.0</v>
      </c>
      <c r="K1209" s="12" t="s">
        <v>4402</v>
      </c>
      <c r="L1209" s="16">
        <v>60000.0</v>
      </c>
    </row>
    <row r="1210" hidden="1">
      <c r="A1210" s="1" t="s">
        <v>1065</v>
      </c>
      <c r="B1210" s="1" t="s">
        <v>1065</v>
      </c>
      <c r="C1210" s="13">
        <v>45821.67986111111</v>
      </c>
      <c r="D1210" s="2" t="s">
        <v>109</v>
      </c>
      <c r="E1210" s="2" t="s">
        <v>110</v>
      </c>
      <c r="F1210" s="14" t="s">
        <v>3486</v>
      </c>
      <c r="G1210" s="14" t="s">
        <v>3487</v>
      </c>
      <c r="H1210" s="15" t="s">
        <v>24</v>
      </c>
      <c r="I1210" s="15" t="s">
        <v>3491</v>
      </c>
      <c r="J1210" s="2">
        <v>2.0</v>
      </c>
      <c r="K1210" s="12" t="s">
        <v>4403</v>
      </c>
      <c r="L1210" s="16">
        <v>0.0</v>
      </c>
    </row>
    <row r="1211" hidden="1">
      <c r="A1211" s="1" t="s">
        <v>1066</v>
      </c>
      <c r="B1211" s="1" t="s">
        <v>1066</v>
      </c>
      <c r="C1211" s="13">
        <v>45822.35763888889</v>
      </c>
      <c r="D1211" s="2" t="s">
        <v>326</v>
      </c>
      <c r="E1211" s="2" t="s">
        <v>327</v>
      </c>
      <c r="F1211" s="14" t="s">
        <v>3486</v>
      </c>
      <c r="G1211" s="14" t="s">
        <v>3487</v>
      </c>
      <c r="H1211" s="15" t="s">
        <v>16</v>
      </c>
      <c r="I1211" s="15" t="s">
        <v>3488</v>
      </c>
      <c r="J1211" s="2">
        <v>15.0</v>
      </c>
      <c r="K1211" s="12" t="s">
        <v>4404</v>
      </c>
      <c r="L1211" s="16">
        <v>45000.0</v>
      </c>
    </row>
    <row r="1212" hidden="1">
      <c r="A1212" s="1" t="s">
        <v>1067</v>
      </c>
      <c r="B1212" s="1" t="s">
        <v>1067</v>
      </c>
      <c r="C1212" s="13">
        <v>45821.73472222222</v>
      </c>
      <c r="D1212" s="2" t="s">
        <v>345</v>
      </c>
      <c r="E1212" s="2" t="s">
        <v>346</v>
      </c>
      <c r="F1212" s="14" t="s">
        <v>3486</v>
      </c>
      <c r="G1212" s="14" t="s">
        <v>3487</v>
      </c>
      <c r="H1212" s="15" t="s">
        <v>24</v>
      </c>
      <c r="I1212" s="15" t="s">
        <v>3491</v>
      </c>
      <c r="J1212" s="2">
        <v>2.0</v>
      </c>
      <c r="K1212" s="12" t="s">
        <v>4405</v>
      </c>
      <c r="L1212" s="16">
        <v>0.0</v>
      </c>
    </row>
    <row r="1213" hidden="1">
      <c r="A1213" s="1" t="s">
        <v>1068</v>
      </c>
      <c r="B1213" s="1" t="s">
        <v>1068</v>
      </c>
      <c r="C1213" s="13">
        <v>45822.37986111111</v>
      </c>
      <c r="D1213" s="2" t="s">
        <v>320</v>
      </c>
      <c r="E1213" s="2" t="s">
        <v>321</v>
      </c>
      <c r="F1213" s="14" t="s">
        <v>3486</v>
      </c>
      <c r="G1213" s="14" t="s">
        <v>3487</v>
      </c>
      <c r="H1213" s="15" t="s">
        <v>16</v>
      </c>
      <c r="I1213" s="15" t="s">
        <v>3488</v>
      </c>
      <c r="J1213" s="2">
        <v>1.0</v>
      </c>
      <c r="K1213" s="12" t="s">
        <v>4406</v>
      </c>
      <c r="L1213" s="16">
        <v>70000.0</v>
      </c>
    </row>
    <row r="1214" hidden="1">
      <c r="A1214" s="1" t="s">
        <v>1069</v>
      </c>
      <c r="B1214" s="1" t="s">
        <v>1069</v>
      </c>
      <c r="C1214" s="13">
        <v>45822.49236111111</v>
      </c>
      <c r="D1214" s="2" t="s">
        <v>943</v>
      </c>
      <c r="E1214" s="2" t="s">
        <v>944</v>
      </c>
      <c r="F1214" s="14" t="s">
        <v>4203</v>
      </c>
      <c r="G1214" s="14" t="s">
        <v>4204</v>
      </c>
      <c r="H1214" s="15" t="s">
        <v>16</v>
      </c>
      <c r="I1214" s="15" t="s">
        <v>3488</v>
      </c>
      <c r="J1214" s="2">
        <v>2.0</v>
      </c>
      <c r="K1214" s="12" t="s">
        <v>4407</v>
      </c>
      <c r="L1214" s="16">
        <v>55000.0</v>
      </c>
    </row>
    <row r="1215" hidden="1">
      <c r="A1215" s="1" t="s">
        <v>1069</v>
      </c>
      <c r="B1215" s="1" t="s">
        <v>1069</v>
      </c>
      <c r="C1215" s="13">
        <v>45822.49236111111</v>
      </c>
      <c r="D1215" s="2" t="s">
        <v>943</v>
      </c>
      <c r="E1215" s="2" t="s">
        <v>944</v>
      </c>
      <c r="F1215" s="14" t="s">
        <v>3516</v>
      </c>
      <c r="G1215" s="14" t="s">
        <v>3517</v>
      </c>
      <c r="H1215" s="15" t="s">
        <v>16</v>
      </c>
      <c r="I1215" s="15" t="s">
        <v>3488</v>
      </c>
      <c r="J1215" s="2">
        <v>1.0</v>
      </c>
      <c r="K1215" s="12" t="s">
        <v>4408</v>
      </c>
      <c r="L1215" s="16">
        <v>165000.0</v>
      </c>
    </row>
    <row r="1216" hidden="1">
      <c r="A1216" s="1" t="s">
        <v>1069</v>
      </c>
      <c r="B1216" s="1" t="s">
        <v>1069</v>
      </c>
      <c r="C1216" s="13">
        <v>45822.49236111111</v>
      </c>
      <c r="D1216" s="2" t="s">
        <v>943</v>
      </c>
      <c r="E1216" s="2" t="s">
        <v>944</v>
      </c>
      <c r="F1216" s="14" t="s">
        <v>3522</v>
      </c>
      <c r="G1216" s="14" t="s">
        <v>3523</v>
      </c>
      <c r="H1216" s="15" t="s">
        <v>16</v>
      </c>
      <c r="I1216" s="15" t="s">
        <v>3488</v>
      </c>
      <c r="J1216" s="2">
        <v>1.0</v>
      </c>
      <c r="K1216" s="12" t="s">
        <v>4388</v>
      </c>
      <c r="L1216" s="16">
        <v>190000.0</v>
      </c>
    </row>
    <row r="1217" hidden="1">
      <c r="A1217" s="1" t="s">
        <v>1070</v>
      </c>
      <c r="B1217" s="1" t="s">
        <v>1070</v>
      </c>
      <c r="C1217" s="13">
        <v>45822.51180555556</v>
      </c>
      <c r="D1217" s="2" t="s">
        <v>1071</v>
      </c>
      <c r="E1217" s="2" t="s">
        <v>1010</v>
      </c>
      <c r="F1217" s="14" t="s">
        <v>3486</v>
      </c>
      <c r="G1217" s="14" t="s">
        <v>3487</v>
      </c>
      <c r="H1217" s="15" t="s">
        <v>16</v>
      </c>
      <c r="I1217" s="15" t="s">
        <v>3488</v>
      </c>
      <c r="J1217" s="2">
        <v>1.0</v>
      </c>
      <c r="K1217" s="12" t="s">
        <v>4409</v>
      </c>
      <c r="L1217" s="16">
        <v>80000.0</v>
      </c>
    </row>
    <row r="1218" hidden="1">
      <c r="A1218" s="1" t="s">
        <v>1072</v>
      </c>
      <c r="B1218" s="1" t="s">
        <v>1072</v>
      </c>
      <c r="C1218" s="13">
        <v>45822.606944444444</v>
      </c>
      <c r="D1218" s="2" t="s">
        <v>943</v>
      </c>
      <c r="E1218" s="2" t="s">
        <v>944</v>
      </c>
      <c r="F1218" s="14" t="s">
        <v>4203</v>
      </c>
      <c r="G1218" s="14" t="s">
        <v>4204</v>
      </c>
      <c r="H1218" s="15" t="s">
        <v>24</v>
      </c>
      <c r="I1218" s="15" t="s">
        <v>3491</v>
      </c>
      <c r="J1218" s="2">
        <v>2.0</v>
      </c>
      <c r="K1218" s="12" t="s">
        <v>4410</v>
      </c>
      <c r="L1218" s="16">
        <v>0.0</v>
      </c>
    </row>
    <row r="1219" hidden="1">
      <c r="A1219" s="1" t="s">
        <v>1073</v>
      </c>
      <c r="B1219" s="1" t="s">
        <v>1073</v>
      </c>
      <c r="C1219" s="13">
        <v>45822.606944444444</v>
      </c>
      <c r="D1219" s="2" t="s">
        <v>326</v>
      </c>
      <c r="E1219" s="2" t="s">
        <v>327</v>
      </c>
      <c r="F1219" s="14" t="s">
        <v>3486</v>
      </c>
      <c r="G1219" s="14" t="s">
        <v>3487</v>
      </c>
      <c r="H1219" s="15" t="s">
        <v>24</v>
      </c>
      <c r="I1219" s="15" t="s">
        <v>3491</v>
      </c>
      <c r="J1219" s="2">
        <v>12.0</v>
      </c>
      <c r="K1219" s="12" t="s">
        <v>4411</v>
      </c>
      <c r="L1219" s="16">
        <v>0.0</v>
      </c>
    </row>
    <row r="1220" hidden="1">
      <c r="A1220" s="1" t="s">
        <v>1074</v>
      </c>
      <c r="B1220" s="1" t="s">
        <v>1074</v>
      </c>
      <c r="C1220" s="13">
        <v>45822.60833333333</v>
      </c>
      <c r="D1220" s="2" t="s">
        <v>320</v>
      </c>
      <c r="E1220" s="2" t="s">
        <v>321</v>
      </c>
      <c r="F1220" s="14" t="s">
        <v>3486</v>
      </c>
      <c r="G1220" s="14" t="s">
        <v>3487</v>
      </c>
      <c r="H1220" s="15" t="s">
        <v>24</v>
      </c>
      <c r="I1220" s="15" t="s">
        <v>3491</v>
      </c>
      <c r="J1220" s="2">
        <v>1.0</v>
      </c>
      <c r="K1220" s="12" t="s">
        <v>4412</v>
      </c>
      <c r="L1220" s="16">
        <v>0.0</v>
      </c>
    </row>
    <row r="1221" hidden="1">
      <c r="A1221" s="1"/>
      <c r="B1221" s="1"/>
      <c r="C1221" s="13"/>
      <c r="F1221" s="14"/>
      <c r="G1221" s="14"/>
      <c r="H1221" s="15"/>
      <c r="I1221" s="15"/>
      <c r="K1221" s="12"/>
      <c r="L1221" s="16"/>
    </row>
    <row r="1222" hidden="1">
      <c r="A1222" s="1" t="s">
        <v>1075</v>
      </c>
      <c r="B1222" s="1" t="s">
        <v>1075</v>
      </c>
      <c r="C1222" s="13">
        <v>45824.4625</v>
      </c>
      <c r="D1222" s="2" t="s">
        <v>169</v>
      </c>
      <c r="E1222" s="2" t="s">
        <v>170</v>
      </c>
      <c r="F1222" s="14" t="s">
        <v>3522</v>
      </c>
      <c r="G1222" s="14" t="s">
        <v>3523</v>
      </c>
      <c r="H1222" s="15" t="s">
        <v>16</v>
      </c>
      <c r="I1222" s="15" t="s">
        <v>3488</v>
      </c>
      <c r="J1222" s="2">
        <v>8.0</v>
      </c>
      <c r="K1222" s="12" t="s">
        <v>4413</v>
      </c>
      <c r="L1222" s="16">
        <v>190000.0</v>
      </c>
    </row>
    <row r="1223" hidden="1">
      <c r="A1223" s="1" t="s">
        <v>1076</v>
      </c>
      <c r="B1223" s="1" t="s">
        <v>1076</v>
      </c>
      <c r="C1223" s="13">
        <v>45824.49097222222</v>
      </c>
      <c r="D1223" s="2" t="s">
        <v>349</v>
      </c>
      <c r="E1223" s="2" t="s">
        <v>350</v>
      </c>
      <c r="F1223" s="14" t="s">
        <v>3547</v>
      </c>
      <c r="G1223" s="14" t="s">
        <v>3548</v>
      </c>
      <c r="H1223" s="15" t="s">
        <v>16</v>
      </c>
      <c r="I1223" s="15" t="s">
        <v>3488</v>
      </c>
      <c r="J1223" s="2">
        <v>4.0</v>
      </c>
      <c r="K1223" s="19"/>
      <c r="L1223" s="16">
        <v>909909.9099</v>
      </c>
    </row>
    <row r="1224" hidden="1">
      <c r="A1224" s="1" t="s">
        <v>1077</v>
      </c>
      <c r="B1224" s="1" t="s">
        <v>1077</v>
      </c>
      <c r="C1224" s="13">
        <v>45824.49097222222</v>
      </c>
      <c r="D1224" s="2" t="s">
        <v>349</v>
      </c>
      <c r="E1224" s="2" t="s">
        <v>350</v>
      </c>
      <c r="F1224" s="14" t="s">
        <v>3547</v>
      </c>
      <c r="G1224" s="14" t="s">
        <v>3548</v>
      </c>
      <c r="H1224" s="15" t="s">
        <v>159</v>
      </c>
      <c r="I1224" s="15" t="s">
        <v>3619</v>
      </c>
      <c r="J1224" s="2">
        <v>1.0</v>
      </c>
      <c r="K1224" s="19"/>
      <c r="L1224" s="16">
        <v>0.0</v>
      </c>
    </row>
    <row r="1225" hidden="1">
      <c r="A1225" s="1" t="s">
        <v>1078</v>
      </c>
      <c r="B1225" s="1" t="s">
        <v>1078</v>
      </c>
      <c r="C1225" s="13">
        <v>45824.563888888886</v>
      </c>
      <c r="D1225" s="2" t="s">
        <v>345</v>
      </c>
      <c r="E1225" s="2" t="s">
        <v>346</v>
      </c>
      <c r="F1225" s="14" t="s">
        <v>3486</v>
      </c>
      <c r="G1225" s="14" t="s">
        <v>3487</v>
      </c>
      <c r="H1225" s="15" t="s">
        <v>16</v>
      </c>
      <c r="I1225" s="15" t="s">
        <v>3488</v>
      </c>
      <c r="J1225" s="2">
        <v>10.0</v>
      </c>
      <c r="K1225" s="12" t="s">
        <v>4414</v>
      </c>
      <c r="L1225" s="16">
        <v>45045.045</v>
      </c>
    </row>
    <row r="1226" hidden="1">
      <c r="A1226" s="1" t="s">
        <v>1079</v>
      </c>
      <c r="B1226" s="1" t="s">
        <v>1079</v>
      </c>
      <c r="C1226" s="13">
        <v>45824.75069444445</v>
      </c>
      <c r="D1226" s="2" t="s">
        <v>349</v>
      </c>
      <c r="E1226" s="2" t="s">
        <v>350</v>
      </c>
      <c r="F1226" s="14" t="s">
        <v>3547</v>
      </c>
      <c r="G1226" s="14" t="s">
        <v>3548</v>
      </c>
      <c r="H1226" s="15" t="s">
        <v>24</v>
      </c>
      <c r="I1226" s="15" t="s">
        <v>3491</v>
      </c>
      <c r="J1226" s="2">
        <v>4.0</v>
      </c>
      <c r="K1226" s="19"/>
      <c r="L1226" s="16">
        <v>0.0</v>
      </c>
    </row>
    <row r="1227" hidden="1">
      <c r="A1227" s="1" t="s">
        <v>1079</v>
      </c>
      <c r="B1227" s="1" t="s">
        <v>1079</v>
      </c>
      <c r="C1227" s="13">
        <v>45824.751388888886</v>
      </c>
      <c r="D1227" s="2" t="s">
        <v>349</v>
      </c>
      <c r="E1227" s="2" t="s">
        <v>350</v>
      </c>
      <c r="F1227" s="14" t="s">
        <v>3547</v>
      </c>
      <c r="G1227" s="14" t="s">
        <v>3548</v>
      </c>
      <c r="H1227" s="15" t="s">
        <v>24</v>
      </c>
      <c r="I1227" s="15" t="s">
        <v>3614</v>
      </c>
      <c r="J1227" s="2">
        <v>1.0</v>
      </c>
      <c r="K1227" s="19"/>
      <c r="L1227" s="16">
        <v>0.0</v>
      </c>
    </row>
    <row r="1228" hidden="1">
      <c r="A1228" s="1" t="s">
        <v>1080</v>
      </c>
      <c r="B1228" s="1" t="s">
        <v>1080</v>
      </c>
      <c r="C1228" s="13">
        <v>45824.751388888886</v>
      </c>
      <c r="D1228" s="2" t="s">
        <v>345</v>
      </c>
      <c r="E1228" s="2" t="s">
        <v>346</v>
      </c>
      <c r="F1228" s="14" t="s">
        <v>3486</v>
      </c>
      <c r="G1228" s="14" t="s">
        <v>3487</v>
      </c>
      <c r="H1228" s="15" t="s">
        <v>24</v>
      </c>
      <c r="I1228" s="15" t="s">
        <v>3491</v>
      </c>
      <c r="J1228" s="2">
        <v>11.0</v>
      </c>
      <c r="K1228" s="12" t="s">
        <v>4415</v>
      </c>
      <c r="L1228" s="16">
        <v>0.0</v>
      </c>
    </row>
    <row r="1229" hidden="1">
      <c r="A1229" s="1" t="s">
        <v>1081</v>
      </c>
      <c r="B1229" s="1" t="s">
        <v>1081</v>
      </c>
      <c r="C1229" s="13">
        <v>45825.504166666666</v>
      </c>
      <c r="D1229" s="2" t="s">
        <v>934</v>
      </c>
      <c r="E1229" s="2" t="s">
        <v>935</v>
      </c>
      <c r="F1229" s="14" t="s">
        <v>3522</v>
      </c>
      <c r="G1229" s="14" t="s">
        <v>3523</v>
      </c>
      <c r="H1229" s="15" t="s">
        <v>16</v>
      </c>
      <c r="I1229" s="15" t="s">
        <v>3488</v>
      </c>
      <c r="J1229" s="2">
        <v>1.0</v>
      </c>
      <c r="K1229" s="12" t="s">
        <v>4416</v>
      </c>
      <c r="L1229" s="16">
        <v>200000.0</v>
      </c>
    </row>
    <row r="1230" hidden="1">
      <c r="A1230" s="1" t="s">
        <v>1082</v>
      </c>
      <c r="B1230" s="1" t="s">
        <v>1082</v>
      </c>
      <c r="C1230" s="13">
        <v>45825.56736111111</v>
      </c>
      <c r="D1230" s="2" t="s">
        <v>934</v>
      </c>
      <c r="E1230" s="2" t="s">
        <v>935</v>
      </c>
      <c r="F1230" s="14" t="s">
        <v>3522</v>
      </c>
      <c r="G1230" s="14" t="s">
        <v>3523</v>
      </c>
      <c r="H1230" s="15" t="s">
        <v>24</v>
      </c>
      <c r="I1230" s="15" t="s">
        <v>3491</v>
      </c>
      <c r="J1230" s="2">
        <v>1.0</v>
      </c>
      <c r="K1230" s="12" t="s">
        <v>4369</v>
      </c>
      <c r="L1230" s="16">
        <v>0.0</v>
      </c>
    </row>
    <row r="1231" hidden="1">
      <c r="A1231" s="1" t="s">
        <v>1083</v>
      </c>
      <c r="B1231" s="1" t="s">
        <v>1083</v>
      </c>
      <c r="C1231" s="13">
        <v>45826.55138888889</v>
      </c>
      <c r="D1231" s="2" t="s">
        <v>1084</v>
      </c>
      <c r="E1231" s="2" t="s">
        <v>1085</v>
      </c>
      <c r="F1231" s="14" t="s">
        <v>4203</v>
      </c>
      <c r="G1231" s="14" t="s">
        <v>4204</v>
      </c>
      <c r="H1231" s="15" t="s">
        <v>16</v>
      </c>
      <c r="I1231" s="15" t="s">
        <v>3488</v>
      </c>
      <c r="J1231" s="2">
        <v>20.0</v>
      </c>
      <c r="K1231" s="12" t="s">
        <v>4417</v>
      </c>
      <c r="L1231" s="16">
        <v>70000.0</v>
      </c>
    </row>
    <row r="1232" hidden="1">
      <c r="A1232" s="1" t="s">
        <v>1087</v>
      </c>
      <c r="B1232" s="1" t="s">
        <v>1087</v>
      </c>
      <c r="C1232" s="13">
        <v>45827.354166666664</v>
      </c>
      <c r="D1232" s="2" t="s">
        <v>957</v>
      </c>
      <c r="E1232" s="2" t="s">
        <v>958</v>
      </c>
      <c r="F1232" s="14" t="s">
        <v>4203</v>
      </c>
      <c r="G1232" s="14" t="s">
        <v>4204</v>
      </c>
      <c r="H1232" s="15" t="s">
        <v>16</v>
      </c>
      <c r="I1232" s="15" t="s">
        <v>3488</v>
      </c>
      <c r="J1232" s="2">
        <v>3.0</v>
      </c>
      <c r="K1232" s="12" t="s">
        <v>4418</v>
      </c>
      <c r="L1232" s="16">
        <v>50000.0</v>
      </c>
    </row>
    <row r="1233" hidden="1">
      <c r="A1233" s="1" t="s">
        <v>1088</v>
      </c>
      <c r="B1233" s="1" t="s">
        <v>1088</v>
      </c>
      <c r="C1233" s="13">
        <v>45826.688888888886</v>
      </c>
      <c r="D1233" s="2" t="s">
        <v>49</v>
      </c>
      <c r="E1233" s="2" t="s">
        <v>50</v>
      </c>
      <c r="F1233" s="14" t="s">
        <v>3486</v>
      </c>
      <c r="G1233" s="14" t="s">
        <v>3487</v>
      </c>
      <c r="H1233" s="15" t="s">
        <v>24</v>
      </c>
      <c r="I1233" s="15" t="s">
        <v>3491</v>
      </c>
      <c r="J1233" s="2">
        <v>6.0</v>
      </c>
      <c r="K1233" s="12" t="s">
        <v>4419</v>
      </c>
      <c r="L1233" s="16">
        <v>0.0</v>
      </c>
    </row>
    <row r="1234" hidden="1">
      <c r="A1234" s="1" t="s">
        <v>1089</v>
      </c>
      <c r="B1234" s="1" t="s">
        <v>1089</v>
      </c>
      <c r="C1234" s="13">
        <v>45827.495833333334</v>
      </c>
      <c r="D1234" s="2" t="s">
        <v>169</v>
      </c>
      <c r="E1234" s="2" t="s">
        <v>170</v>
      </c>
      <c r="F1234" s="14" t="s">
        <v>3486</v>
      </c>
      <c r="G1234" s="14" t="s">
        <v>3487</v>
      </c>
      <c r="H1234" s="15" t="s">
        <v>16</v>
      </c>
      <c r="I1234" s="15" t="s">
        <v>3488</v>
      </c>
      <c r="J1234" s="2">
        <v>5.0</v>
      </c>
      <c r="K1234" s="12" t="s">
        <v>4420</v>
      </c>
      <c r="L1234" s="16">
        <v>60000.0</v>
      </c>
    </row>
    <row r="1235" hidden="1">
      <c r="A1235" s="1" t="s">
        <v>1089</v>
      </c>
      <c r="B1235" s="1" t="s">
        <v>1089</v>
      </c>
      <c r="C1235" s="13">
        <v>45827.49722222222</v>
      </c>
      <c r="D1235" s="2" t="s">
        <v>169</v>
      </c>
      <c r="E1235" s="2" t="s">
        <v>170</v>
      </c>
      <c r="F1235" s="14" t="s">
        <v>3522</v>
      </c>
      <c r="G1235" s="14" t="s">
        <v>3523</v>
      </c>
      <c r="H1235" s="15" t="s">
        <v>16</v>
      </c>
      <c r="I1235" s="15" t="s">
        <v>3488</v>
      </c>
      <c r="J1235" s="2">
        <v>5.0</v>
      </c>
      <c r="K1235" s="12" t="s">
        <v>4421</v>
      </c>
      <c r="L1235" s="16">
        <v>190000.0</v>
      </c>
    </row>
    <row r="1236" hidden="1">
      <c r="A1236" s="1" t="s">
        <v>1089</v>
      </c>
      <c r="B1236" s="1" t="s">
        <v>1089</v>
      </c>
      <c r="C1236" s="13">
        <v>45827.49791666667</v>
      </c>
      <c r="D1236" s="2" t="s">
        <v>169</v>
      </c>
      <c r="E1236" s="2" t="s">
        <v>170</v>
      </c>
      <c r="F1236" s="14" t="s">
        <v>3493</v>
      </c>
      <c r="G1236" s="14" t="s">
        <v>3494</v>
      </c>
      <c r="H1236" s="15" t="s">
        <v>16</v>
      </c>
      <c r="I1236" s="15" t="s">
        <v>3488</v>
      </c>
      <c r="J1236" s="2">
        <v>3.0</v>
      </c>
      <c r="K1236" s="19"/>
      <c r="L1236" s="16">
        <v>210000.0</v>
      </c>
    </row>
    <row r="1237">
      <c r="A1237" s="1" t="s">
        <v>1090</v>
      </c>
      <c r="B1237" s="1" t="s">
        <v>1090</v>
      </c>
      <c r="C1237" s="13">
        <v>45827.51736111111</v>
      </c>
      <c r="D1237" s="2" t="s">
        <v>45</v>
      </c>
      <c r="E1237" s="2" t="s">
        <v>46</v>
      </c>
      <c r="F1237" s="14" t="s">
        <v>3486</v>
      </c>
      <c r="G1237" s="14" t="s">
        <v>3487</v>
      </c>
      <c r="H1237" s="15" t="s">
        <v>16</v>
      </c>
      <c r="I1237" s="15" t="s">
        <v>3488</v>
      </c>
      <c r="J1237" s="2">
        <v>5.0</v>
      </c>
      <c r="K1237" s="12" t="s">
        <v>4422</v>
      </c>
      <c r="L1237" s="16">
        <v>60000.0</v>
      </c>
    </row>
    <row r="1238">
      <c r="A1238" s="1" t="s">
        <v>1090</v>
      </c>
      <c r="B1238" s="1" t="s">
        <v>1090</v>
      </c>
      <c r="C1238" s="13">
        <v>45827.518055555556</v>
      </c>
      <c r="D1238" s="2" t="s">
        <v>45</v>
      </c>
      <c r="E1238" s="2" t="s">
        <v>46</v>
      </c>
      <c r="F1238" s="14" t="s">
        <v>3522</v>
      </c>
      <c r="G1238" s="14" t="s">
        <v>3523</v>
      </c>
      <c r="H1238" s="15" t="s">
        <v>16</v>
      </c>
      <c r="I1238" s="15" t="s">
        <v>3488</v>
      </c>
      <c r="J1238" s="2">
        <v>5.0</v>
      </c>
      <c r="K1238" s="12" t="s">
        <v>4423</v>
      </c>
      <c r="L1238" s="16">
        <v>185000.0</v>
      </c>
    </row>
    <row r="1239" hidden="1">
      <c r="A1239" s="1" t="s">
        <v>1091</v>
      </c>
      <c r="B1239" s="1" t="s">
        <v>1091</v>
      </c>
      <c r="C1239" s="13">
        <v>45827.60763888889</v>
      </c>
      <c r="D1239" s="2" t="s">
        <v>957</v>
      </c>
      <c r="E1239" s="2" t="s">
        <v>958</v>
      </c>
      <c r="F1239" s="14" t="s">
        <v>4203</v>
      </c>
      <c r="G1239" s="14" t="s">
        <v>4204</v>
      </c>
      <c r="H1239" s="15" t="s">
        <v>24</v>
      </c>
      <c r="I1239" s="15" t="s">
        <v>3491</v>
      </c>
      <c r="J1239" s="2">
        <v>3.0</v>
      </c>
      <c r="K1239" s="12" t="s">
        <v>4424</v>
      </c>
      <c r="L1239" s="16">
        <v>0.0</v>
      </c>
    </row>
    <row r="1240" hidden="1">
      <c r="A1240" s="1" t="s">
        <v>1092</v>
      </c>
      <c r="B1240" s="1" t="s">
        <v>1092</v>
      </c>
      <c r="C1240" s="13">
        <v>45828.39513888889</v>
      </c>
      <c r="D1240" s="2" t="s">
        <v>951</v>
      </c>
      <c r="E1240" s="2" t="s">
        <v>952</v>
      </c>
      <c r="F1240" s="14" t="s">
        <v>3486</v>
      </c>
      <c r="G1240" s="14" t="s">
        <v>3487</v>
      </c>
      <c r="H1240" s="15" t="s">
        <v>16</v>
      </c>
      <c r="I1240" s="15" t="s">
        <v>3488</v>
      </c>
      <c r="J1240" s="2">
        <v>5.0</v>
      </c>
      <c r="K1240" s="12" t="s">
        <v>4425</v>
      </c>
      <c r="L1240" s="16">
        <v>55000.0</v>
      </c>
    </row>
    <row r="1241" hidden="1">
      <c r="A1241" s="1" t="s">
        <v>1093</v>
      </c>
      <c r="B1241" s="1" t="s">
        <v>1093</v>
      </c>
      <c r="C1241" s="13">
        <v>45828.74375</v>
      </c>
      <c r="D1241" s="2" t="s">
        <v>951</v>
      </c>
      <c r="E1241" s="2" t="s">
        <v>952</v>
      </c>
      <c r="F1241" s="14" t="s">
        <v>3486</v>
      </c>
      <c r="G1241" s="14" t="s">
        <v>3487</v>
      </c>
      <c r="H1241" s="15" t="s">
        <v>24</v>
      </c>
      <c r="I1241" s="15" t="s">
        <v>3491</v>
      </c>
      <c r="J1241" s="2">
        <v>5.0</v>
      </c>
      <c r="K1241" s="12" t="s">
        <v>4426</v>
      </c>
      <c r="L1241" s="16">
        <v>0.0</v>
      </c>
    </row>
    <row r="1242">
      <c r="A1242" s="1" t="s">
        <v>1094</v>
      </c>
      <c r="B1242" s="1" t="s">
        <v>1094</v>
      </c>
      <c r="C1242" s="13">
        <v>45828.74444444444</v>
      </c>
      <c r="D1242" s="2" t="s">
        <v>45</v>
      </c>
      <c r="E1242" s="2" t="s">
        <v>46</v>
      </c>
      <c r="F1242" s="14" t="s">
        <v>3486</v>
      </c>
      <c r="G1242" s="14" t="s">
        <v>3487</v>
      </c>
      <c r="H1242" s="15" t="s">
        <v>24</v>
      </c>
      <c r="I1242" s="15" t="s">
        <v>3491</v>
      </c>
      <c r="J1242" s="2">
        <v>12.0</v>
      </c>
      <c r="K1242" s="12" t="s">
        <v>4427</v>
      </c>
      <c r="L1242" s="16">
        <v>0.0</v>
      </c>
    </row>
    <row r="1243">
      <c r="A1243" s="1" t="s">
        <v>1094</v>
      </c>
      <c r="B1243" s="1" t="s">
        <v>1094</v>
      </c>
      <c r="C1243" s="13">
        <v>45828.74513888889</v>
      </c>
      <c r="D1243" s="2" t="s">
        <v>45</v>
      </c>
      <c r="E1243" s="2" t="s">
        <v>46</v>
      </c>
      <c r="F1243" s="14" t="s">
        <v>3522</v>
      </c>
      <c r="G1243" s="14" t="s">
        <v>3523</v>
      </c>
      <c r="H1243" s="15" t="s">
        <v>24</v>
      </c>
      <c r="I1243" s="15" t="s">
        <v>3491</v>
      </c>
      <c r="J1243" s="2">
        <v>3.0</v>
      </c>
      <c r="K1243" s="12" t="s">
        <v>4428</v>
      </c>
      <c r="L1243" s="16">
        <v>0.0</v>
      </c>
    </row>
    <row r="1244" hidden="1">
      <c r="A1244" s="1" t="s">
        <v>1095</v>
      </c>
      <c r="B1244" s="1" t="s">
        <v>1095</v>
      </c>
      <c r="C1244" s="13">
        <v>45828.74513888889</v>
      </c>
      <c r="D1244" s="2" t="s">
        <v>305</v>
      </c>
      <c r="E1244" s="2" t="s">
        <v>306</v>
      </c>
      <c r="F1244" s="14" t="s">
        <v>3486</v>
      </c>
      <c r="G1244" s="14" t="s">
        <v>3487</v>
      </c>
      <c r="H1244" s="15" t="s">
        <v>24</v>
      </c>
      <c r="I1244" s="15" t="s">
        <v>3491</v>
      </c>
      <c r="J1244" s="2">
        <v>11.0</v>
      </c>
      <c r="K1244" s="12" t="s">
        <v>4429</v>
      </c>
      <c r="L1244" s="16">
        <v>0.0</v>
      </c>
    </row>
    <row r="1245" hidden="1">
      <c r="A1245" s="1" t="s">
        <v>1096</v>
      </c>
      <c r="B1245" s="1" t="s">
        <v>1096</v>
      </c>
      <c r="C1245" s="13">
        <v>45831.38888888889</v>
      </c>
      <c r="D1245" s="2" t="s">
        <v>786</v>
      </c>
      <c r="E1245" s="2" t="s">
        <v>787</v>
      </c>
      <c r="F1245" s="14" t="s">
        <v>3486</v>
      </c>
      <c r="G1245" s="14" t="s">
        <v>3487</v>
      </c>
      <c r="H1245" s="15" t="s">
        <v>16</v>
      </c>
      <c r="I1245" s="15" t="s">
        <v>3488</v>
      </c>
      <c r="J1245" s="2">
        <v>3.0</v>
      </c>
      <c r="K1245" s="12" t="s">
        <v>4430</v>
      </c>
      <c r="L1245" s="16">
        <v>60000.0</v>
      </c>
    </row>
    <row r="1246">
      <c r="A1246" s="1" t="s">
        <v>1097</v>
      </c>
      <c r="B1246" s="1" t="s">
        <v>1097</v>
      </c>
      <c r="C1246" s="13">
        <v>45831.40069444444</v>
      </c>
      <c r="D1246" s="2" t="s">
        <v>45</v>
      </c>
      <c r="E1246" s="2" t="s">
        <v>46</v>
      </c>
      <c r="F1246" s="14" t="s">
        <v>3522</v>
      </c>
      <c r="G1246" s="14" t="s">
        <v>3523</v>
      </c>
      <c r="H1246" s="15" t="s">
        <v>16</v>
      </c>
      <c r="I1246" s="15" t="s">
        <v>3488</v>
      </c>
      <c r="J1246" s="2">
        <v>5.0</v>
      </c>
      <c r="K1246" s="12" t="s">
        <v>4431</v>
      </c>
      <c r="L1246" s="16">
        <v>185000.0</v>
      </c>
    </row>
    <row r="1247">
      <c r="A1247" s="1" t="s">
        <v>1097</v>
      </c>
      <c r="B1247" s="1" t="s">
        <v>1097</v>
      </c>
      <c r="C1247" s="13">
        <v>45831.40138888889</v>
      </c>
      <c r="D1247" s="2" t="s">
        <v>45</v>
      </c>
      <c r="E1247" s="2" t="s">
        <v>46</v>
      </c>
      <c r="F1247" s="14" t="s">
        <v>3486</v>
      </c>
      <c r="G1247" s="14" t="s">
        <v>3487</v>
      </c>
      <c r="H1247" s="15" t="s">
        <v>16</v>
      </c>
      <c r="I1247" s="15" t="s">
        <v>3488</v>
      </c>
      <c r="J1247" s="2">
        <v>10.0</v>
      </c>
      <c r="K1247" s="12" t="s">
        <v>4432</v>
      </c>
      <c r="L1247" s="16">
        <v>60000.0</v>
      </c>
    </row>
    <row r="1248" hidden="1">
      <c r="A1248" s="1" t="s">
        <v>1098</v>
      </c>
      <c r="B1248" s="1" t="s">
        <v>1098</v>
      </c>
      <c r="C1248" s="13">
        <v>45831.52013888889</v>
      </c>
      <c r="D1248" s="2" t="s">
        <v>943</v>
      </c>
      <c r="E1248" s="2" t="s">
        <v>944</v>
      </c>
      <c r="F1248" s="14" t="s">
        <v>3522</v>
      </c>
      <c r="G1248" s="14" t="s">
        <v>3523</v>
      </c>
      <c r="H1248" s="15" t="s">
        <v>16</v>
      </c>
      <c r="I1248" s="15" t="s">
        <v>3488</v>
      </c>
      <c r="J1248" s="2">
        <v>1.0</v>
      </c>
      <c r="K1248" s="12" t="s">
        <v>4433</v>
      </c>
      <c r="L1248" s="16">
        <v>190000.0</v>
      </c>
    </row>
    <row r="1249" hidden="1">
      <c r="A1249" s="1" t="s">
        <v>1099</v>
      </c>
      <c r="B1249" s="1" t="s">
        <v>1099</v>
      </c>
      <c r="C1249" s="13">
        <v>45832.436111111114</v>
      </c>
      <c r="D1249" s="2" t="s">
        <v>326</v>
      </c>
      <c r="E1249" s="2" t="s">
        <v>327</v>
      </c>
      <c r="F1249" s="14" t="s">
        <v>3486</v>
      </c>
      <c r="G1249" s="14" t="s">
        <v>3487</v>
      </c>
      <c r="H1249" s="15" t="s">
        <v>24</v>
      </c>
      <c r="I1249" s="15" t="s">
        <v>3491</v>
      </c>
      <c r="J1249" s="2">
        <v>12.0</v>
      </c>
      <c r="K1249" s="12" t="s">
        <v>4434</v>
      </c>
      <c r="L1249" s="16">
        <v>0.0</v>
      </c>
    </row>
    <row r="1250" hidden="1">
      <c r="A1250" s="1"/>
      <c r="B1250" s="1"/>
      <c r="C1250" s="13"/>
      <c r="D1250" s="2"/>
      <c r="E1250" s="2"/>
      <c r="F1250" s="14"/>
      <c r="G1250" s="14"/>
      <c r="H1250" s="15"/>
      <c r="I1250" s="15"/>
      <c r="J1250" s="2"/>
      <c r="K1250" s="12"/>
      <c r="L1250" s="16"/>
    </row>
    <row r="1251" hidden="1">
      <c r="A1251" s="1" t="s">
        <v>1101</v>
      </c>
      <c r="B1251" s="1" t="s">
        <v>1101</v>
      </c>
      <c r="C1251" s="13">
        <v>45832.43958333333</v>
      </c>
      <c r="D1251" s="2" t="s">
        <v>213</v>
      </c>
      <c r="E1251" s="2" t="s">
        <v>214</v>
      </c>
      <c r="F1251" s="14" t="s">
        <v>3486</v>
      </c>
      <c r="G1251" s="14" t="s">
        <v>3487</v>
      </c>
      <c r="H1251" s="15" t="s">
        <v>24</v>
      </c>
      <c r="I1251" s="15" t="s">
        <v>3491</v>
      </c>
      <c r="J1251" s="2">
        <v>3.0</v>
      </c>
      <c r="K1251" s="12" t="s">
        <v>4435</v>
      </c>
      <c r="L1251" s="16">
        <v>0.0</v>
      </c>
    </row>
    <row r="1252" hidden="1">
      <c r="A1252" s="1" t="s">
        <v>4436</v>
      </c>
      <c r="B1252" s="1" t="s">
        <v>4436</v>
      </c>
      <c r="C1252" s="13">
        <v>45832.555555555555</v>
      </c>
      <c r="D1252" s="2" t="s">
        <v>326</v>
      </c>
      <c r="E1252" s="2" t="s">
        <v>327</v>
      </c>
      <c r="F1252" s="14" t="s">
        <v>3486</v>
      </c>
      <c r="G1252" s="14" t="s">
        <v>3487</v>
      </c>
      <c r="H1252" s="15" t="s">
        <v>16</v>
      </c>
      <c r="I1252" s="15" t="s">
        <v>3488</v>
      </c>
      <c r="J1252" s="2">
        <v>15.0</v>
      </c>
      <c r="K1252" s="12" t="s">
        <v>4437</v>
      </c>
      <c r="L1252" s="16">
        <v>45000.0</v>
      </c>
    </row>
    <row r="1253" hidden="1">
      <c r="A1253" s="1" t="s">
        <v>1102</v>
      </c>
      <c r="B1253" s="1" t="s">
        <v>1102</v>
      </c>
      <c r="C1253" s="13">
        <v>45832.69513888889</v>
      </c>
      <c r="D1253" s="2" t="s">
        <v>309</v>
      </c>
      <c r="E1253" s="5" t="s">
        <v>310</v>
      </c>
      <c r="F1253" s="14" t="s">
        <v>3506</v>
      </c>
      <c r="G1253" s="14" t="s">
        <v>3507</v>
      </c>
      <c r="H1253" s="15" t="s">
        <v>24</v>
      </c>
      <c r="I1253" s="15" t="s">
        <v>3491</v>
      </c>
      <c r="J1253" s="2">
        <v>4.0</v>
      </c>
      <c r="K1253" s="19"/>
      <c r="L1253" s="16">
        <v>0.0</v>
      </c>
    </row>
    <row r="1254" hidden="1">
      <c r="A1254" s="1" t="s">
        <v>1102</v>
      </c>
      <c r="B1254" s="1" t="s">
        <v>1102</v>
      </c>
      <c r="C1254" s="13">
        <v>45832.69513888889</v>
      </c>
      <c r="D1254" s="2" t="s">
        <v>309</v>
      </c>
      <c r="E1254" s="5" t="s">
        <v>310</v>
      </c>
      <c r="F1254" s="14" t="s">
        <v>4045</v>
      </c>
      <c r="G1254" s="14" t="s">
        <v>4046</v>
      </c>
      <c r="H1254" s="15" t="s">
        <v>24</v>
      </c>
      <c r="I1254" s="15" t="s">
        <v>3491</v>
      </c>
      <c r="J1254" s="2">
        <v>1.0</v>
      </c>
      <c r="K1254" s="19"/>
      <c r="L1254" s="16">
        <v>0.0</v>
      </c>
    </row>
    <row r="1255" hidden="1">
      <c r="A1255" s="1" t="s">
        <v>1103</v>
      </c>
      <c r="B1255" s="1" t="s">
        <v>1103</v>
      </c>
      <c r="C1255" s="13">
        <v>45833.35972222222</v>
      </c>
      <c r="D1255" s="2" t="s">
        <v>951</v>
      </c>
      <c r="E1255" s="2" t="s">
        <v>952</v>
      </c>
      <c r="F1255" s="14" t="s">
        <v>3486</v>
      </c>
      <c r="G1255" s="14" t="s">
        <v>3487</v>
      </c>
      <c r="H1255" s="15" t="s">
        <v>16</v>
      </c>
      <c r="I1255" s="15" t="s">
        <v>3488</v>
      </c>
      <c r="J1255" s="2">
        <v>5.0</v>
      </c>
      <c r="K1255" s="12" t="s">
        <v>4438</v>
      </c>
      <c r="L1255" s="16">
        <v>55000.0</v>
      </c>
    </row>
    <row r="1256" hidden="1">
      <c r="A1256" s="1" t="s">
        <v>1104</v>
      </c>
      <c r="B1256" s="1" t="s">
        <v>1104</v>
      </c>
      <c r="C1256" s="13">
        <v>45833.370833333334</v>
      </c>
      <c r="D1256" s="2" t="s">
        <v>213</v>
      </c>
      <c r="E1256" s="2" t="s">
        <v>214</v>
      </c>
      <c r="F1256" s="14" t="s">
        <v>3486</v>
      </c>
      <c r="G1256" s="14" t="s">
        <v>3487</v>
      </c>
      <c r="H1256" s="15" t="s">
        <v>16</v>
      </c>
      <c r="I1256" s="15" t="s">
        <v>3488</v>
      </c>
      <c r="J1256" s="2">
        <v>10.0</v>
      </c>
      <c r="K1256" s="12" t="s">
        <v>4439</v>
      </c>
      <c r="L1256" s="16">
        <v>60000.0</v>
      </c>
    </row>
    <row r="1257" hidden="1">
      <c r="A1257" s="1" t="s">
        <v>1105</v>
      </c>
      <c r="B1257" s="1" t="s">
        <v>1105</v>
      </c>
      <c r="C1257" s="13">
        <v>45833.42222222222</v>
      </c>
      <c r="D1257" s="2" t="s">
        <v>49</v>
      </c>
      <c r="E1257" s="2" t="s">
        <v>50</v>
      </c>
      <c r="F1257" s="14" t="s">
        <v>3486</v>
      </c>
      <c r="G1257" s="14" t="s">
        <v>3487</v>
      </c>
      <c r="H1257" s="15" t="s">
        <v>16</v>
      </c>
      <c r="I1257" s="15" t="s">
        <v>3488</v>
      </c>
      <c r="J1257" s="2">
        <v>5.0</v>
      </c>
      <c r="K1257" s="12" t="s">
        <v>4440</v>
      </c>
      <c r="L1257" s="16">
        <v>60000.0</v>
      </c>
    </row>
    <row r="1258" hidden="1">
      <c r="A1258" s="1" t="s">
        <v>1106</v>
      </c>
      <c r="B1258" s="1" t="s">
        <v>1106</v>
      </c>
      <c r="C1258" s="13">
        <v>45833.42291666667</v>
      </c>
      <c r="D1258" s="2" t="s">
        <v>685</v>
      </c>
      <c r="E1258" s="2" t="s">
        <v>686</v>
      </c>
      <c r="F1258" s="14" t="s">
        <v>3493</v>
      </c>
      <c r="G1258" s="14" t="s">
        <v>3494</v>
      </c>
      <c r="H1258" s="15" t="s">
        <v>16</v>
      </c>
      <c r="I1258" s="15" t="s">
        <v>3488</v>
      </c>
      <c r="J1258" s="2">
        <v>1.0</v>
      </c>
      <c r="K1258" s="19"/>
      <c r="L1258" s="16">
        <v>189189.19</v>
      </c>
    </row>
    <row r="1259" hidden="1">
      <c r="A1259" s="1" t="s">
        <v>1107</v>
      </c>
      <c r="B1259" s="1" t="s">
        <v>1107</v>
      </c>
      <c r="C1259" s="13">
        <v>45833.552777777775</v>
      </c>
      <c r="D1259" s="2" t="s">
        <v>685</v>
      </c>
      <c r="E1259" s="2" t="s">
        <v>686</v>
      </c>
      <c r="F1259" s="14" t="s">
        <v>3493</v>
      </c>
      <c r="G1259" s="14" t="s">
        <v>3494</v>
      </c>
      <c r="H1259" s="15" t="s">
        <v>24</v>
      </c>
      <c r="I1259" s="15" t="s">
        <v>3491</v>
      </c>
      <c r="J1259" s="2">
        <v>1.0</v>
      </c>
      <c r="K1259" s="19"/>
      <c r="L1259" s="16">
        <v>0.0</v>
      </c>
    </row>
    <row r="1260" hidden="1">
      <c r="A1260" s="1" t="s">
        <v>1108</v>
      </c>
      <c r="B1260" s="1" t="s">
        <v>1108</v>
      </c>
      <c r="C1260" s="13">
        <v>45833.55347222222</v>
      </c>
      <c r="D1260" s="2" t="s">
        <v>951</v>
      </c>
      <c r="E1260" s="2" t="s">
        <v>952</v>
      </c>
      <c r="F1260" s="14" t="s">
        <v>3486</v>
      </c>
      <c r="G1260" s="14" t="s">
        <v>3487</v>
      </c>
      <c r="H1260" s="15" t="s">
        <v>24</v>
      </c>
      <c r="I1260" s="15" t="s">
        <v>3491</v>
      </c>
      <c r="J1260" s="2">
        <v>5.0</v>
      </c>
      <c r="K1260" s="12" t="s">
        <v>4441</v>
      </c>
      <c r="L1260" s="16">
        <v>0.0</v>
      </c>
    </row>
    <row r="1261" hidden="1">
      <c r="A1261" s="1" t="s">
        <v>1109</v>
      </c>
      <c r="B1261" s="1" t="s">
        <v>1109</v>
      </c>
      <c r="C1261" s="13">
        <v>45833.55416666667</v>
      </c>
      <c r="D1261" s="2" t="s">
        <v>213</v>
      </c>
      <c r="E1261" s="2" t="s">
        <v>214</v>
      </c>
      <c r="F1261" s="14" t="s">
        <v>3486</v>
      </c>
      <c r="G1261" s="14" t="s">
        <v>3487</v>
      </c>
      <c r="H1261" s="15" t="s">
        <v>24</v>
      </c>
      <c r="I1261" s="15" t="s">
        <v>3491</v>
      </c>
      <c r="J1261" s="2">
        <v>5.0</v>
      </c>
      <c r="K1261" s="12" t="s">
        <v>4442</v>
      </c>
      <c r="L1261" s="16">
        <v>0.0</v>
      </c>
    </row>
    <row r="1262" hidden="1">
      <c r="A1262" s="1" t="s">
        <v>1110</v>
      </c>
      <c r="B1262" s="1" t="s">
        <v>1110</v>
      </c>
      <c r="C1262" s="13">
        <v>45833.59930555556</v>
      </c>
      <c r="D1262" s="2" t="s">
        <v>309</v>
      </c>
      <c r="E1262" s="2" t="s">
        <v>310</v>
      </c>
      <c r="F1262" s="14" t="s">
        <v>3506</v>
      </c>
      <c r="G1262" s="14" t="s">
        <v>3507</v>
      </c>
      <c r="H1262" s="15" t="s">
        <v>16</v>
      </c>
      <c r="I1262" s="15" t="s">
        <v>3488</v>
      </c>
      <c r="J1262" s="2">
        <v>5.0</v>
      </c>
      <c r="K1262" s="19"/>
      <c r="L1262" s="16">
        <v>55000.0</v>
      </c>
    </row>
    <row r="1263" hidden="1">
      <c r="A1263" s="1" t="s">
        <v>1110</v>
      </c>
      <c r="B1263" s="1" t="s">
        <v>1110</v>
      </c>
      <c r="C1263" s="13">
        <v>45833.6</v>
      </c>
      <c r="D1263" s="2" t="s">
        <v>309</v>
      </c>
      <c r="E1263" s="2" t="s">
        <v>310</v>
      </c>
      <c r="F1263" s="14" t="s">
        <v>4045</v>
      </c>
      <c r="G1263" s="14" t="s">
        <v>4046</v>
      </c>
      <c r="H1263" s="15" t="s">
        <v>16</v>
      </c>
      <c r="I1263" s="15" t="s">
        <v>3488</v>
      </c>
      <c r="J1263" s="2">
        <v>1.0</v>
      </c>
      <c r="K1263" s="19"/>
      <c r="L1263" s="16">
        <v>160000.0</v>
      </c>
    </row>
    <row r="1264" hidden="1">
      <c r="A1264" s="1" t="s">
        <v>1111</v>
      </c>
      <c r="B1264" s="1" t="s">
        <v>1111</v>
      </c>
      <c r="C1264" s="13">
        <v>45833.6125</v>
      </c>
      <c r="D1264" s="2" t="s">
        <v>49</v>
      </c>
      <c r="E1264" s="2" t="s">
        <v>50</v>
      </c>
      <c r="F1264" s="14" t="s">
        <v>3486</v>
      </c>
      <c r="G1264" s="14" t="s">
        <v>3487</v>
      </c>
      <c r="H1264" s="15" t="s">
        <v>24</v>
      </c>
      <c r="I1264" s="15" t="s">
        <v>3491</v>
      </c>
      <c r="J1264" s="2">
        <v>1.0</v>
      </c>
      <c r="K1264" s="12" t="s">
        <v>4443</v>
      </c>
      <c r="L1264" s="16">
        <v>0.0</v>
      </c>
    </row>
    <row r="1265" hidden="1">
      <c r="A1265" s="1" t="s">
        <v>1112</v>
      </c>
      <c r="B1265" s="1" t="s">
        <v>1112</v>
      </c>
      <c r="C1265" s="13">
        <v>45834.35555555556</v>
      </c>
      <c r="D1265" s="2" t="s">
        <v>20</v>
      </c>
      <c r="E1265" s="2" t="s">
        <v>21</v>
      </c>
      <c r="F1265" s="14" t="s">
        <v>3486</v>
      </c>
      <c r="G1265" s="14" t="s">
        <v>3487</v>
      </c>
      <c r="H1265" s="15" t="s">
        <v>16</v>
      </c>
      <c r="I1265" s="15" t="s">
        <v>3488</v>
      </c>
      <c r="J1265" s="2">
        <v>5.0</v>
      </c>
      <c r="K1265" s="12" t="s">
        <v>4444</v>
      </c>
      <c r="L1265" s="16">
        <v>60000.0</v>
      </c>
    </row>
    <row r="1266" hidden="1">
      <c r="A1266" s="1" t="s">
        <v>1112</v>
      </c>
      <c r="B1266" s="1" t="s">
        <v>1112</v>
      </c>
      <c r="C1266" s="13">
        <v>45834.35625</v>
      </c>
      <c r="D1266" s="2" t="s">
        <v>20</v>
      </c>
      <c r="E1266" s="2" t="s">
        <v>21</v>
      </c>
      <c r="F1266" s="14" t="s">
        <v>3493</v>
      </c>
      <c r="G1266" s="14" t="s">
        <v>3494</v>
      </c>
      <c r="H1266" s="15" t="s">
        <v>16</v>
      </c>
      <c r="I1266" s="15" t="s">
        <v>3488</v>
      </c>
      <c r="J1266" s="2">
        <v>1.0</v>
      </c>
      <c r="K1266" s="19"/>
      <c r="L1266" s="16">
        <v>210000.0</v>
      </c>
    </row>
    <row r="1267" hidden="1">
      <c r="A1267" s="1" t="s">
        <v>1113</v>
      </c>
      <c r="B1267" s="1" t="s">
        <v>1113</v>
      </c>
      <c r="C1267" s="13">
        <v>45834.37291666667</v>
      </c>
      <c r="D1267" s="2" t="s">
        <v>904</v>
      </c>
      <c r="E1267" s="2" t="s">
        <v>905</v>
      </c>
      <c r="F1267" s="14" t="s">
        <v>4203</v>
      </c>
      <c r="G1267" s="14" t="s">
        <v>4204</v>
      </c>
      <c r="H1267" s="15" t="s">
        <v>16</v>
      </c>
      <c r="I1267" s="15" t="s">
        <v>3488</v>
      </c>
      <c r="J1267" s="2">
        <v>3.0</v>
      </c>
      <c r="K1267" s="12" t="s">
        <v>4445</v>
      </c>
      <c r="L1267" s="16">
        <v>75000.0</v>
      </c>
    </row>
    <row r="1268" hidden="1">
      <c r="A1268" s="1" t="s">
        <v>1114</v>
      </c>
      <c r="B1268" s="1" t="s">
        <v>1114</v>
      </c>
      <c r="C1268" s="13">
        <v>45834.44861111111</v>
      </c>
      <c r="D1268" s="2" t="s">
        <v>786</v>
      </c>
      <c r="E1268" s="2" t="s">
        <v>787</v>
      </c>
      <c r="F1268" s="14" t="s">
        <v>3486</v>
      </c>
      <c r="G1268" s="14" t="s">
        <v>3487</v>
      </c>
      <c r="H1268" s="15" t="s">
        <v>16</v>
      </c>
      <c r="I1268" s="15" t="s">
        <v>3488</v>
      </c>
      <c r="J1268" s="2">
        <v>2.0</v>
      </c>
      <c r="K1268" s="12" t="s">
        <v>4446</v>
      </c>
      <c r="L1268" s="16">
        <v>60000.0</v>
      </c>
    </row>
    <row r="1269" hidden="1">
      <c r="A1269" s="1" t="s">
        <v>1115</v>
      </c>
      <c r="B1269" s="1" t="s">
        <v>1115</v>
      </c>
      <c r="C1269" s="13">
        <v>45834.55416666667</v>
      </c>
      <c r="D1269" s="2" t="s">
        <v>904</v>
      </c>
      <c r="E1269" s="2" t="s">
        <v>905</v>
      </c>
      <c r="F1269" s="14" t="s">
        <v>4203</v>
      </c>
      <c r="G1269" s="14" t="s">
        <v>4204</v>
      </c>
      <c r="H1269" s="15" t="s">
        <v>24</v>
      </c>
      <c r="I1269" s="15" t="s">
        <v>3491</v>
      </c>
      <c r="J1269" s="2">
        <v>2.0</v>
      </c>
      <c r="K1269" s="12" t="s">
        <v>4276</v>
      </c>
      <c r="L1269" s="16">
        <v>0.0</v>
      </c>
    </row>
    <row r="1270" hidden="1">
      <c r="A1270" s="1" t="s">
        <v>1116</v>
      </c>
      <c r="B1270" s="1" t="s">
        <v>1116</v>
      </c>
      <c r="C1270" s="13">
        <v>45834.56041666667</v>
      </c>
      <c r="D1270" s="2" t="s">
        <v>169</v>
      </c>
      <c r="E1270" s="2" t="s">
        <v>170</v>
      </c>
      <c r="F1270" s="14" t="s">
        <v>3486</v>
      </c>
      <c r="G1270" s="14" t="s">
        <v>3487</v>
      </c>
      <c r="H1270" s="15" t="s">
        <v>16</v>
      </c>
      <c r="I1270" s="15" t="s">
        <v>3488</v>
      </c>
      <c r="J1270" s="2">
        <v>10.0</v>
      </c>
      <c r="K1270" s="12" t="s">
        <v>4447</v>
      </c>
      <c r="L1270" s="16">
        <v>55000.0</v>
      </c>
    </row>
    <row r="1271" hidden="1">
      <c r="A1271" s="1" t="s">
        <v>1116</v>
      </c>
      <c r="B1271" s="1" t="s">
        <v>1116</v>
      </c>
      <c r="C1271" s="13">
        <v>45834.57013888889</v>
      </c>
      <c r="D1271" s="2" t="s">
        <v>169</v>
      </c>
      <c r="E1271" s="2" t="s">
        <v>170</v>
      </c>
      <c r="F1271" s="14" t="s">
        <v>3493</v>
      </c>
      <c r="G1271" s="14" t="s">
        <v>3494</v>
      </c>
      <c r="H1271" s="15" t="s">
        <v>16</v>
      </c>
      <c r="I1271" s="15" t="s">
        <v>3488</v>
      </c>
      <c r="J1271" s="2">
        <v>1.0</v>
      </c>
      <c r="K1271" s="19"/>
      <c r="L1271" s="16">
        <v>210000.0</v>
      </c>
    </row>
    <row r="1272" hidden="1">
      <c r="A1272" s="1" t="s">
        <v>1116</v>
      </c>
      <c r="B1272" s="1" t="s">
        <v>1116</v>
      </c>
      <c r="C1272" s="13">
        <v>45834.57013888889</v>
      </c>
      <c r="D1272" s="2" t="s">
        <v>169</v>
      </c>
      <c r="E1272" s="2" t="s">
        <v>170</v>
      </c>
      <c r="F1272" s="14" t="s">
        <v>3585</v>
      </c>
      <c r="G1272" s="14" t="s">
        <v>3586</v>
      </c>
      <c r="H1272" s="15" t="s">
        <v>16</v>
      </c>
      <c r="I1272" s="15" t="s">
        <v>3488</v>
      </c>
      <c r="J1272" s="2">
        <v>5.0</v>
      </c>
      <c r="K1272" s="12" t="s">
        <v>4448</v>
      </c>
      <c r="L1272" s="16">
        <v>435000.0</v>
      </c>
    </row>
    <row r="1273" hidden="1">
      <c r="A1273" s="1" t="s">
        <v>1117</v>
      </c>
      <c r="B1273" s="1" t="s">
        <v>1117</v>
      </c>
      <c r="C1273" s="13">
        <v>45836.32152777778</v>
      </c>
      <c r="D1273" s="2" t="s">
        <v>951</v>
      </c>
      <c r="E1273" s="2" t="s">
        <v>952</v>
      </c>
      <c r="F1273" s="14" t="s">
        <v>3486</v>
      </c>
      <c r="G1273" s="14" t="s">
        <v>3487</v>
      </c>
      <c r="H1273" s="15" t="s">
        <v>16</v>
      </c>
      <c r="I1273" s="15" t="s">
        <v>3488</v>
      </c>
      <c r="J1273" s="2">
        <v>5.0</v>
      </c>
      <c r="K1273" s="12" t="s">
        <v>4449</v>
      </c>
      <c r="L1273" s="16">
        <v>55000.0</v>
      </c>
    </row>
    <row r="1274" hidden="1">
      <c r="A1274" s="1" t="s">
        <v>1117</v>
      </c>
      <c r="B1274" s="1" t="s">
        <v>1117</v>
      </c>
      <c r="C1274" s="13">
        <v>45836.32152777778</v>
      </c>
      <c r="D1274" s="2" t="s">
        <v>951</v>
      </c>
      <c r="E1274" s="2" t="s">
        <v>952</v>
      </c>
      <c r="F1274" s="14" t="s">
        <v>3516</v>
      </c>
      <c r="G1274" s="14" t="s">
        <v>3517</v>
      </c>
      <c r="H1274" s="15" t="s">
        <v>16</v>
      </c>
      <c r="I1274" s="15" t="s">
        <v>3488</v>
      </c>
      <c r="J1274" s="2">
        <v>1.0</v>
      </c>
      <c r="K1274" s="12" t="s">
        <v>4450</v>
      </c>
      <c r="L1274" s="16">
        <v>165000.0</v>
      </c>
    </row>
    <row r="1275" hidden="1">
      <c r="A1275" s="1" t="s">
        <v>1118</v>
      </c>
      <c r="B1275" s="1" t="s">
        <v>1118</v>
      </c>
      <c r="C1275" s="13">
        <v>45836.33888888889</v>
      </c>
      <c r="D1275" s="2" t="s">
        <v>20</v>
      </c>
      <c r="E1275" s="2" t="s">
        <v>21</v>
      </c>
      <c r="F1275" s="14" t="s">
        <v>3486</v>
      </c>
      <c r="G1275" s="14" t="s">
        <v>3487</v>
      </c>
      <c r="H1275" s="15" t="s">
        <v>16</v>
      </c>
      <c r="I1275" s="15" t="s">
        <v>3488</v>
      </c>
      <c r="J1275" s="2">
        <v>5.0</v>
      </c>
      <c r="K1275" s="12" t="s">
        <v>4451</v>
      </c>
      <c r="L1275" s="16">
        <v>60000.0</v>
      </c>
    </row>
    <row r="1276" hidden="1">
      <c r="A1276" s="1" t="s">
        <v>1119</v>
      </c>
      <c r="B1276" s="1" t="s">
        <v>1119</v>
      </c>
      <c r="C1276" s="13">
        <v>45838.35138888889</v>
      </c>
      <c r="D1276" s="2" t="s">
        <v>1084</v>
      </c>
      <c r="E1276" s="2" t="s">
        <v>1085</v>
      </c>
      <c r="F1276" s="14" t="s">
        <v>3516</v>
      </c>
      <c r="G1276" s="14" t="s">
        <v>3517</v>
      </c>
      <c r="H1276" s="15" t="s">
        <v>16</v>
      </c>
      <c r="I1276" s="15" t="s">
        <v>3488</v>
      </c>
      <c r="J1276" s="2">
        <v>5.0</v>
      </c>
      <c r="K1276" s="12" t="s">
        <v>4452</v>
      </c>
      <c r="L1276" s="16">
        <v>210000.0</v>
      </c>
    </row>
    <row r="1277" hidden="1">
      <c r="A1277" s="1" t="s">
        <v>1120</v>
      </c>
      <c r="B1277" s="1" t="s">
        <v>1120</v>
      </c>
      <c r="C1277" s="13">
        <v>45838.455555555556</v>
      </c>
      <c r="D1277" s="2" t="s">
        <v>1084</v>
      </c>
      <c r="E1277" s="2" t="s">
        <v>1085</v>
      </c>
      <c r="F1277" s="14" t="s">
        <v>4203</v>
      </c>
      <c r="G1277" s="14" t="s">
        <v>4204</v>
      </c>
      <c r="H1277" s="15" t="s">
        <v>24</v>
      </c>
      <c r="I1277" s="15" t="s">
        <v>3491</v>
      </c>
      <c r="J1277" s="2">
        <v>2.0</v>
      </c>
      <c r="K1277" s="12" t="s">
        <v>4453</v>
      </c>
      <c r="L1277" s="16">
        <v>0.0</v>
      </c>
    </row>
    <row r="1278" hidden="1">
      <c r="A1278" s="1" t="s">
        <v>1121</v>
      </c>
      <c r="B1278" s="1" t="s">
        <v>1121</v>
      </c>
      <c r="C1278" s="13">
        <v>45838.455555555556</v>
      </c>
      <c r="D1278" s="2" t="s">
        <v>20</v>
      </c>
      <c r="E1278" s="2" t="s">
        <v>21</v>
      </c>
      <c r="F1278" s="14" t="s">
        <v>3486</v>
      </c>
      <c r="G1278" s="14" t="s">
        <v>3487</v>
      </c>
      <c r="H1278" s="15" t="s">
        <v>24</v>
      </c>
      <c r="I1278" s="15" t="s">
        <v>3491</v>
      </c>
      <c r="J1278" s="2">
        <v>5.0</v>
      </c>
      <c r="K1278" s="12" t="s">
        <v>4454</v>
      </c>
      <c r="L1278" s="16">
        <v>0.0</v>
      </c>
    </row>
    <row r="1279" hidden="1">
      <c r="A1279" s="1" t="s">
        <v>1122</v>
      </c>
      <c r="B1279" s="1" t="s">
        <v>1122</v>
      </c>
      <c r="C1279" s="13">
        <v>45838.45625</v>
      </c>
      <c r="D1279" s="2" t="s">
        <v>951</v>
      </c>
      <c r="E1279" s="2" t="s">
        <v>952</v>
      </c>
      <c r="F1279" s="14" t="s">
        <v>3486</v>
      </c>
      <c r="G1279" s="14" t="s">
        <v>3487</v>
      </c>
      <c r="H1279" s="15" t="s">
        <v>24</v>
      </c>
      <c r="I1279" s="15" t="s">
        <v>3491</v>
      </c>
      <c r="J1279" s="2">
        <v>5.0</v>
      </c>
      <c r="K1279" s="12" t="s">
        <v>4455</v>
      </c>
      <c r="L1279" s="16">
        <v>0.0</v>
      </c>
    </row>
    <row r="1280" hidden="1">
      <c r="A1280" s="1" t="s">
        <v>1122</v>
      </c>
      <c r="B1280" s="1" t="s">
        <v>1122</v>
      </c>
      <c r="C1280" s="13">
        <v>45838.45763888889</v>
      </c>
      <c r="D1280" s="2" t="s">
        <v>951</v>
      </c>
      <c r="E1280" s="2" t="s">
        <v>952</v>
      </c>
      <c r="F1280" s="14" t="s">
        <v>3516</v>
      </c>
      <c r="G1280" s="14" t="s">
        <v>3517</v>
      </c>
      <c r="H1280" s="15" t="s">
        <v>24</v>
      </c>
      <c r="I1280" s="15" t="s">
        <v>3491</v>
      </c>
      <c r="J1280" s="2">
        <v>1.0</v>
      </c>
      <c r="K1280" s="12" t="s">
        <v>4156</v>
      </c>
      <c r="L1280" s="16">
        <v>0.0</v>
      </c>
    </row>
    <row r="1281" hidden="1">
      <c r="A1281" s="1" t="s">
        <v>1123</v>
      </c>
      <c r="B1281" s="1" t="s">
        <v>1123</v>
      </c>
      <c r="C1281" s="13">
        <v>45838.461805555555</v>
      </c>
      <c r="D1281" s="2" t="s">
        <v>786</v>
      </c>
      <c r="E1281" s="2" t="s">
        <v>787</v>
      </c>
      <c r="F1281" s="14" t="s">
        <v>3486</v>
      </c>
      <c r="G1281" s="14" t="s">
        <v>3487</v>
      </c>
      <c r="H1281" s="15" t="s">
        <v>24</v>
      </c>
      <c r="I1281" s="15" t="s">
        <v>3491</v>
      </c>
      <c r="J1281" s="2">
        <v>3.0</v>
      </c>
      <c r="K1281" s="12" t="s">
        <v>4456</v>
      </c>
      <c r="L1281" s="16">
        <v>0.0</v>
      </c>
    </row>
    <row r="1282" hidden="1">
      <c r="A1282" s="1" t="s">
        <v>1124</v>
      </c>
      <c r="B1282" s="1" t="s">
        <v>1124</v>
      </c>
      <c r="C1282" s="13">
        <v>45838.70486111111</v>
      </c>
      <c r="D1282" s="2" t="s">
        <v>305</v>
      </c>
      <c r="E1282" s="2" t="s">
        <v>306</v>
      </c>
      <c r="F1282" s="14" t="s">
        <v>3486</v>
      </c>
      <c r="G1282" s="14" t="s">
        <v>3487</v>
      </c>
      <c r="H1282" s="15" t="s">
        <v>24</v>
      </c>
      <c r="I1282" s="15" t="s">
        <v>3491</v>
      </c>
      <c r="J1282" s="2">
        <v>3.0</v>
      </c>
      <c r="K1282" s="12" t="s">
        <v>4457</v>
      </c>
      <c r="L1282" s="16">
        <v>0.0</v>
      </c>
    </row>
    <row r="1283" hidden="1">
      <c r="A1283" s="1" t="s">
        <v>1125</v>
      </c>
      <c r="B1283" s="1" t="s">
        <v>1125</v>
      </c>
      <c r="C1283" s="13">
        <v>45839.368055555555</v>
      </c>
      <c r="D1283" s="2" t="s">
        <v>20</v>
      </c>
      <c r="E1283" s="2" t="s">
        <v>21</v>
      </c>
      <c r="F1283" s="14" t="s">
        <v>3486</v>
      </c>
      <c r="G1283" s="14" t="s">
        <v>3487</v>
      </c>
      <c r="H1283" s="15" t="s">
        <v>16</v>
      </c>
      <c r="I1283" s="15" t="s">
        <v>3488</v>
      </c>
      <c r="J1283" s="2">
        <v>5.0</v>
      </c>
      <c r="K1283" s="12" t="s">
        <v>4458</v>
      </c>
      <c r="L1283" s="16">
        <v>60000.0</v>
      </c>
    </row>
    <row r="1284" hidden="1">
      <c r="A1284" s="1" t="s">
        <v>1126</v>
      </c>
      <c r="B1284" s="1" t="s">
        <v>1126</v>
      </c>
      <c r="C1284" s="13">
        <v>45839.36944444444</v>
      </c>
      <c r="D1284" s="2" t="s">
        <v>679</v>
      </c>
      <c r="E1284" s="2" t="s">
        <v>680</v>
      </c>
      <c r="F1284" s="14" t="s">
        <v>3486</v>
      </c>
      <c r="G1284" s="14" t="s">
        <v>3487</v>
      </c>
      <c r="H1284" s="15" t="s">
        <v>16</v>
      </c>
      <c r="I1284" s="15" t="s">
        <v>3488</v>
      </c>
      <c r="J1284" s="2">
        <v>2.0</v>
      </c>
      <c r="K1284" s="12" t="s">
        <v>4459</v>
      </c>
      <c r="L1284" s="16">
        <v>65000.0</v>
      </c>
    </row>
    <row r="1285" hidden="1">
      <c r="A1285" s="1" t="s">
        <v>1127</v>
      </c>
      <c r="B1285" s="1" t="s">
        <v>1127</v>
      </c>
      <c r="C1285" s="13">
        <v>45839.40555555555</v>
      </c>
      <c r="D1285" s="2" t="s">
        <v>326</v>
      </c>
      <c r="E1285" s="2" t="s">
        <v>327</v>
      </c>
      <c r="F1285" s="14" t="s">
        <v>3486</v>
      </c>
      <c r="G1285" s="14" t="s">
        <v>3487</v>
      </c>
      <c r="H1285" s="15" t="s">
        <v>16</v>
      </c>
      <c r="I1285" s="15" t="s">
        <v>3488</v>
      </c>
      <c r="J1285" s="2">
        <v>15.0</v>
      </c>
      <c r="K1285" s="12" t="s">
        <v>4460</v>
      </c>
      <c r="L1285" s="16">
        <v>45000.0</v>
      </c>
    </row>
    <row r="1286" hidden="1">
      <c r="A1286" s="1" t="s">
        <v>1128</v>
      </c>
      <c r="B1286" s="1" t="s">
        <v>1128</v>
      </c>
      <c r="C1286" s="13">
        <v>45839.48125</v>
      </c>
      <c r="D1286" s="2" t="s">
        <v>20</v>
      </c>
      <c r="E1286" s="2" t="s">
        <v>21</v>
      </c>
      <c r="F1286" s="14" t="s">
        <v>3486</v>
      </c>
      <c r="G1286" s="14" t="s">
        <v>3487</v>
      </c>
      <c r="H1286" s="15" t="s">
        <v>24</v>
      </c>
      <c r="I1286" s="15" t="s">
        <v>3491</v>
      </c>
      <c r="J1286" s="2">
        <v>2.0</v>
      </c>
      <c r="K1286" s="12" t="s">
        <v>4461</v>
      </c>
      <c r="L1286" s="16">
        <v>0.0</v>
      </c>
    </row>
    <row r="1287" hidden="1">
      <c r="A1287" s="1" t="s">
        <v>1129</v>
      </c>
      <c r="B1287" s="1" t="s">
        <v>1129</v>
      </c>
      <c r="C1287" s="13">
        <v>45839.61041666667</v>
      </c>
      <c r="D1287" s="2" t="s">
        <v>345</v>
      </c>
      <c r="E1287" s="2" t="s">
        <v>346</v>
      </c>
      <c r="F1287" s="14" t="s">
        <v>3486</v>
      </c>
      <c r="G1287" s="14" t="s">
        <v>3487</v>
      </c>
      <c r="H1287" s="15" t="s">
        <v>24</v>
      </c>
      <c r="I1287" s="15" t="s">
        <v>3491</v>
      </c>
      <c r="J1287" s="2">
        <v>17.0</v>
      </c>
      <c r="K1287" s="12" t="s">
        <v>4462</v>
      </c>
      <c r="L1287" s="16">
        <v>0.0</v>
      </c>
    </row>
    <row r="1288" hidden="1">
      <c r="A1288" s="1" t="s">
        <v>1130</v>
      </c>
      <c r="B1288" s="1" t="s">
        <v>1130</v>
      </c>
      <c r="C1288" s="13">
        <v>45839.6125</v>
      </c>
      <c r="D1288" s="2" t="s">
        <v>326</v>
      </c>
      <c r="E1288" s="2" t="s">
        <v>327</v>
      </c>
      <c r="F1288" s="14" t="s">
        <v>3486</v>
      </c>
      <c r="G1288" s="14" t="s">
        <v>3487</v>
      </c>
      <c r="H1288" s="15" t="s">
        <v>24</v>
      </c>
      <c r="I1288" s="15" t="s">
        <v>3491</v>
      </c>
      <c r="J1288" s="2">
        <v>16.0</v>
      </c>
      <c r="K1288" s="12" t="s">
        <v>4463</v>
      </c>
      <c r="L1288" s="16">
        <v>0.0</v>
      </c>
    </row>
    <row r="1289" hidden="1">
      <c r="A1289" s="1" t="s">
        <v>1131</v>
      </c>
      <c r="B1289" s="1" t="s">
        <v>1131</v>
      </c>
      <c r="C1289" s="13">
        <v>45839.84861111111</v>
      </c>
      <c r="D1289" s="2" t="s">
        <v>392</v>
      </c>
      <c r="E1289" s="2" t="s">
        <v>393</v>
      </c>
      <c r="F1289" s="14" t="s">
        <v>3506</v>
      </c>
      <c r="G1289" s="14" t="s">
        <v>3507</v>
      </c>
      <c r="H1289" s="15" t="s">
        <v>24</v>
      </c>
      <c r="I1289" s="15" t="s">
        <v>3491</v>
      </c>
      <c r="J1289" s="2">
        <v>5.0</v>
      </c>
      <c r="K1289" s="19"/>
      <c r="L1289" s="16">
        <v>0.0</v>
      </c>
    </row>
    <row r="1290" hidden="1">
      <c r="A1290" s="1" t="s">
        <v>1132</v>
      </c>
      <c r="B1290" s="1" t="s">
        <v>1132</v>
      </c>
      <c r="C1290" s="13">
        <v>45840.34861111111</v>
      </c>
      <c r="D1290" s="2" t="s">
        <v>392</v>
      </c>
      <c r="E1290" s="2" t="s">
        <v>393</v>
      </c>
      <c r="F1290" s="14" t="s">
        <v>3506</v>
      </c>
      <c r="G1290" s="14" t="s">
        <v>3507</v>
      </c>
      <c r="H1290" s="15" t="s">
        <v>16</v>
      </c>
      <c r="I1290" s="15" t="s">
        <v>3488</v>
      </c>
      <c r="J1290" s="2">
        <v>4.0</v>
      </c>
      <c r="K1290" s="19"/>
      <c r="L1290" s="16">
        <v>50000.0</v>
      </c>
    </row>
    <row r="1291" hidden="1">
      <c r="A1291" s="1" t="s">
        <v>1133</v>
      </c>
      <c r="B1291" s="1" t="s">
        <v>1133</v>
      </c>
      <c r="C1291" s="13">
        <v>45840.51180555556</v>
      </c>
      <c r="D1291" s="2" t="s">
        <v>169</v>
      </c>
      <c r="E1291" s="2" t="s">
        <v>170</v>
      </c>
      <c r="F1291" s="14" t="s">
        <v>3486</v>
      </c>
      <c r="G1291" s="14" t="s">
        <v>3487</v>
      </c>
      <c r="H1291" s="15" t="s">
        <v>16</v>
      </c>
      <c r="I1291" s="15" t="s">
        <v>3488</v>
      </c>
      <c r="J1291" s="2">
        <v>5.0</v>
      </c>
      <c r="K1291" s="12" t="s">
        <v>4464</v>
      </c>
      <c r="L1291" s="16">
        <v>60000.0</v>
      </c>
    </row>
    <row r="1292" hidden="1">
      <c r="A1292" s="1" t="s">
        <v>1065</v>
      </c>
      <c r="B1292" s="1" t="s">
        <v>1065</v>
      </c>
      <c r="C1292" s="13">
        <v>45821.69583333333</v>
      </c>
      <c r="D1292" s="2" t="s">
        <v>109</v>
      </c>
      <c r="E1292" s="2" t="s">
        <v>110</v>
      </c>
      <c r="F1292" s="14" t="s">
        <v>3516</v>
      </c>
      <c r="G1292" s="14" t="s">
        <v>3517</v>
      </c>
      <c r="H1292" s="15" t="s">
        <v>24</v>
      </c>
      <c r="I1292" s="15" t="s">
        <v>3491</v>
      </c>
      <c r="J1292" s="2">
        <v>1.0</v>
      </c>
      <c r="K1292" s="12" t="s">
        <v>4450</v>
      </c>
      <c r="L1292" s="16">
        <v>0.0</v>
      </c>
    </row>
    <row r="1293" hidden="1">
      <c r="A1293" s="1" t="s">
        <v>1134</v>
      </c>
      <c r="B1293" s="1" t="s">
        <v>1134</v>
      </c>
      <c r="C1293" s="13">
        <v>45840.540972222225</v>
      </c>
      <c r="D1293" s="2" t="s">
        <v>1084</v>
      </c>
      <c r="E1293" s="2" t="s">
        <v>1085</v>
      </c>
      <c r="F1293" s="14" t="s">
        <v>3516</v>
      </c>
      <c r="G1293" s="14" t="s">
        <v>3517</v>
      </c>
      <c r="H1293" s="15" t="s">
        <v>24</v>
      </c>
      <c r="I1293" s="15" t="s">
        <v>3491</v>
      </c>
      <c r="J1293" s="2">
        <v>2.0</v>
      </c>
      <c r="K1293" s="12" t="s">
        <v>4465</v>
      </c>
      <c r="L1293" s="16">
        <v>0.0</v>
      </c>
    </row>
    <row r="1294" hidden="1">
      <c r="A1294" s="1" t="s">
        <v>1135</v>
      </c>
      <c r="B1294" s="1" t="s">
        <v>1135</v>
      </c>
      <c r="C1294" s="13">
        <v>45841.34583333333</v>
      </c>
      <c r="D1294" s="2" t="s">
        <v>109</v>
      </c>
      <c r="E1294" s="2" t="s">
        <v>110</v>
      </c>
      <c r="F1294" s="14" t="s">
        <v>3486</v>
      </c>
      <c r="G1294" s="14" t="s">
        <v>3487</v>
      </c>
      <c r="H1294" s="15" t="s">
        <v>16</v>
      </c>
      <c r="I1294" s="15" t="s">
        <v>3488</v>
      </c>
      <c r="J1294" s="2">
        <v>4.0</v>
      </c>
      <c r="K1294" s="12" t="s">
        <v>4466</v>
      </c>
      <c r="L1294" s="16">
        <v>60000.0</v>
      </c>
    </row>
    <row r="1295" hidden="1">
      <c r="A1295" s="1" t="s">
        <v>1135</v>
      </c>
      <c r="B1295" s="1" t="s">
        <v>1135</v>
      </c>
      <c r="C1295" s="13">
        <v>45841.34583333333</v>
      </c>
      <c r="D1295" s="2" t="s">
        <v>109</v>
      </c>
      <c r="E1295" s="2" t="s">
        <v>110</v>
      </c>
      <c r="F1295" s="14" t="s">
        <v>3516</v>
      </c>
      <c r="G1295" s="14" t="s">
        <v>3517</v>
      </c>
      <c r="H1295" s="15" t="s">
        <v>16</v>
      </c>
      <c r="I1295" s="15" t="s">
        <v>3488</v>
      </c>
      <c r="J1295" s="2">
        <v>2.0</v>
      </c>
      <c r="K1295" s="12" t="s">
        <v>4467</v>
      </c>
      <c r="L1295" s="16">
        <v>160000.0</v>
      </c>
    </row>
    <row r="1296" hidden="1">
      <c r="A1296" s="1" t="s">
        <v>1135</v>
      </c>
      <c r="B1296" s="1" t="s">
        <v>1135</v>
      </c>
      <c r="C1296" s="13">
        <v>45841.34652777778</v>
      </c>
      <c r="D1296" s="2" t="s">
        <v>109</v>
      </c>
      <c r="E1296" s="2" t="s">
        <v>110</v>
      </c>
      <c r="F1296" s="14" t="s">
        <v>3522</v>
      </c>
      <c r="G1296" s="14" t="s">
        <v>3523</v>
      </c>
      <c r="H1296" s="15" t="s">
        <v>16</v>
      </c>
      <c r="I1296" s="15" t="s">
        <v>3488</v>
      </c>
      <c r="J1296" s="2">
        <v>2.0</v>
      </c>
      <c r="K1296" s="12" t="s">
        <v>4468</v>
      </c>
      <c r="L1296" s="16">
        <v>190000.0</v>
      </c>
    </row>
    <row r="1297" hidden="1">
      <c r="A1297" s="1" t="s">
        <v>1136</v>
      </c>
      <c r="B1297" s="1" t="s">
        <v>1136</v>
      </c>
      <c r="C1297" s="13">
        <v>45840.66388888889</v>
      </c>
      <c r="D1297" s="2" t="s">
        <v>169</v>
      </c>
      <c r="E1297" s="2" t="s">
        <v>170</v>
      </c>
      <c r="F1297" s="14" t="s">
        <v>3486</v>
      </c>
      <c r="G1297" s="14" t="s">
        <v>3487</v>
      </c>
      <c r="H1297" s="15" t="s">
        <v>24</v>
      </c>
      <c r="I1297" s="15" t="s">
        <v>3491</v>
      </c>
      <c r="J1297" s="2">
        <v>4.0</v>
      </c>
      <c r="K1297" s="12" t="s">
        <v>4469</v>
      </c>
      <c r="L1297" s="16">
        <v>0.0</v>
      </c>
    </row>
    <row r="1298" hidden="1">
      <c r="A1298" s="1" t="s">
        <v>1138</v>
      </c>
      <c r="B1298" s="1" t="s">
        <v>1138</v>
      </c>
      <c r="C1298" s="13">
        <v>45840.66458333333</v>
      </c>
      <c r="D1298" s="2" t="s">
        <v>109</v>
      </c>
      <c r="E1298" s="2" t="s">
        <v>110</v>
      </c>
      <c r="F1298" s="14" t="s">
        <v>3516</v>
      </c>
      <c r="G1298" s="14" t="s">
        <v>3517</v>
      </c>
      <c r="H1298" s="15" t="s">
        <v>24</v>
      </c>
      <c r="I1298" s="15" t="s">
        <v>3491</v>
      </c>
      <c r="J1298" s="2">
        <v>7.0</v>
      </c>
      <c r="K1298" s="12" t="s">
        <v>4470</v>
      </c>
      <c r="L1298" s="16">
        <v>0.0</v>
      </c>
    </row>
    <row r="1299" hidden="1">
      <c r="A1299" s="1" t="s">
        <v>1138</v>
      </c>
      <c r="B1299" s="1" t="s">
        <v>1138</v>
      </c>
      <c r="C1299" s="13">
        <v>45840.666666666664</v>
      </c>
      <c r="D1299" s="2" t="s">
        <v>109</v>
      </c>
      <c r="E1299" s="2" t="s">
        <v>110</v>
      </c>
      <c r="F1299" s="14" t="s">
        <v>3486</v>
      </c>
      <c r="G1299" s="14" t="s">
        <v>3487</v>
      </c>
      <c r="H1299" s="15" t="s">
        <v>24</v>
      </c>
      <c r="I1299" s="15" t="s">
        <v>3491</v>
      </c>
      <c r="J1299" s="2">
        <v>3.0</v>
      </c>
      <c r="K1299" s="12" t="s">
        <v>4471</v>
      </c>
      <c r="L1299" s="16">
        <v>0.0</v>
      </c>
    </row>
    <row r="1300" hidden="1">
      <c r="A1300" s="1" t="s">
        <v>1139</v>
      </c>
      <c r="B1300" s="1" t="s">
        <v>1139</v>
      </c>
      <c r="C1300" s="13">
        <v>45841.34861111111</v>
      </c>
      <c r="D1300" s="2" t="s">
        <v>685</v>
      </c>
      <c r="E1300" s="2" t="s">
        <v>686</v>
      </c>
      <c r="F1300" s="14" t="s">
        <v>3493</v>
      </c>
      <c r="G1300" s="14" t="s">
        <v>3494</v>
      </c>
      <c r="H1300" s="15" t="s">
        <v>16</v>
      </c>
      <c r="I1300" s="15" t="s">
        <v>3488</v>
      </c>
      <c r="J1300" s="2">
        <v>1.0</v>
      </c>
      <c r="K1300" s="19"/>
      <c r="L1300" s="16">
        <v>189189.19</v>
      </c>
    </row>
    <row r="1301">
      <c r="A1301" s="1" t="s">
        <v>1140</v>
      </c>
      <c r="B1301" s="1" t="s">
        <v>1140</v>
      </c>
      <c r="C1301" s="13">
        <v>45841.41111111111</v>
      </c>
      <c r="D1301" s="2" t="s">
        <v>45</v>
      </c>
      <c r="E1301" s="2" t="s">
        <v>46</v>
      </c>
      <c r="F1301" s="14" t="s">
        <v>3522</v>
      </c>
      <c r="G1301" s="14" t="s">
        <v>3523</v>
      </c>
      <c r="H1301" s="15" t="s">
        <v>16</v>
      </c>
      <c r="I1301" s="15" t="s">
        <v>3488</v>
      </c>
      <c r="J1301" s="2">
        <v>8.0</v>
      </c>
      <c r="K1301" s="12" t="s">
        <v>4472</v>
      </c>
      <c r="L1301" s="16">
        <v>185000.0</v>
      </c>
    </row>
    <row r="1302" hidden="1">
      <c r="A1302" s="1" t="s">
        <v>1141</v>
      </c>
      <c r="B1302" s="1" t="s">
        <v>1141</v>
      </c>
      <c r="C1302" s="13">
        <v>45841.76111111111</v>
      </c>
      <c r="D1302" s="2" t="s">
        <v>799</v>
      </c>
      <c r="E1302" s="2" t="s">
        <v>800</v>
      </c>
      <c r="F1302" s="14" t="s">
        <v>4203</v>
      </c>
      <c r="G1302" s="14" t="s">
        <v>4204</v>
      </c>
      <c r="H1302" s="15" t="s">
        <v>24</v>
      </c>
      <c r="I1302" s="15" t="s">
        <v>3491</v>
      </c>
      <c r="J1302" s="2">
        <v>5.0</v>
      </c>
      <c r="K1302" s="12" t="s">
        <v>4473</v>
      </c>
      <c r="L1302" s="16">
        <v>0.0</v>
      </c>
    </row>
    <row r="1303" hidden="1">
      <c r="A1303" s="1" t="s">
        <v>1142</v>
      </c>
      <c r="B1303" s="1" t="s">
        <v>1142</v>
      </c>
      <c r="C1303" s="13">
        <v>45842.55625</v>
      </c>
      <c r="D1303" s="2" t="s">
        <v>812</v>
      </c>
      <c r="E1303" s="2" t="s">
        <v>813</v>
      </c>
      <c r="F1303" s="14" t="s">
        <v>3506</v>
      </c>
      <c r="G1303" s="14" t="s">
        <v>3507</v>
      </c>
      <c r="H1303" s="15" t="s">
        <v>24</v>
      </c>
      <c r="I1303" s="15" t="s">
        <v>3491</v>
      </c>
      <c r="J1303" s="2">
        <v>35.0</v>
      </c>
      <c r="K1303" s="19"/>
      <c r="L1303" s="16">
        <v>0.0</v>
      </c>
    </row>
    <row r="1304" hidden="1">
      <c r="A1304" s="1" t="s">
        <v>4474</v>
      </c>
      <c r="B1304" s="1" t="s">
        <v>4474</v>
      </c>
      <c r="C1304" s="13">
        <v>45842.55972222222</v>
      </c>
      <c r="D1304" s="2" t="s">
        <v>812</v>
      </c>
      <c r="E1304" s="2" t="s">
        <v>813</v>
      </c>
      <c r="F1304" s="14" t="s">
        <v>3506</v>
      </c>
      <c r="G1304" s="14" t="s">
        <v>3507</v>
      </c>
      <c r="H1304" s="15" t="s">
        <v>16</v>
      </c>
      <c r="I1304" s="15" t="s">
        <v>3488</v>
      </c>
      <c r="J1304" s="2">
        <v>35.0</v>
      </c>
      <c r="K1304" s="19"/>
      <c r="L1304" s="16">
        <v>50000.0</v>
      </c>
    </row>
    <row r="1305" hidden="1">
      <c r="A1305" s="1" t="s">
        <v>1143</v>
      </c>
      <c r="B1305" s="1" t="s">
        <v>1143</v>
      </c>
      <c r="C1305" s="13">
        <v>45843.39097222222</v>
      </c>
      <c r="D1305" s="2" t="s">
        <v>1144</v>
      </c>
      <c r="E1305" s="2" t="s">
        <v>1145</v>
      </c>
      <c r="F1305" s="14" t="s">
        <v>3486</v>
      </c>
      <c r="G1305" s="14" t="s">
        <v>3487</v>
      </c>
      <c r="H1305" s="15" t="s">
        <v>16</v>
      </c>
      <c r="I1305" s="15" t="s">
        <v>3488</v>
      </c>
      <c r="J1305" s="2">
        <v>1.0</v>
      </c>
      <c r="K1305" s="12" t="s">
        <v>4475</v>
      </c>
      <c r="L1305" s="16">
        <v>70000.0</v>
      </c>
    </row>
    <row r="1306" hidden="1">
      <c r="A1306" s="1" t="s">
        <v>1143</v>
      </c>
      <c r="B1306" s="1" t="s">
        <v>1143</v>
      </c>
      <c r="C1306" s="13">
        <v>45843.39097222222</v>
      </c>
      <c r="D1306" s="2" t="s">
        <v>1144</v>
      </c>
      <c r="E1306" s="2" t="s">
        <v>1145</v>
      </c>
      <c r="F1306" s="14" t="s">
        <v>3522</v>
      </c>
      <c r="G1306" s="14" t="s">
        <v>3523</v>
      </c>
      <c r="H1306" s="15" t="s">
        <v>16</v>
      </c>
      <c r="I1306" s="15" t="s">
        <v>3488</v>
      </c>
      <c r="J1306" s="2">
        <v>1.0</v>
      </c>
      <c r="K1306" s="12" t="s">
        <v>4476</v>
      </c>
      <c r="L1306" s="16">
        <v>230000.0</v>
      </c>
    </row>
    <row r="1307" hidden="1">
      <c r="A1307" s="1" t="s">
        <v>1146</v>
      </c>
      <c r="B1307" s="1" t="s">
        <v>1146</v>
      </c>
      <c r="C1307" s="13">
        <v>45843.47430555556</v>
      </c>
      <c r="D1307" s="2" t="s">
        <v>1144</v>
      </c>
      <c r="E1307" s="2" t="s">
        <v>1145</v>
      </c>
      <c r="F1307" s="14" t="s">
        <v>3506</v>
      </c>
      <c r="G1307" s="14" t="s">
        <v>3507</v>
      </c>
      <c r="H1307" s="15" t="s">
        <v>24</v>
      </c>
      <c r="I1307" s="15" t="s">
        <v>3491</v>
      </c>
      <c r="J1307" s="2">
        <v>2.0</v>
      </c>
      <c r="K1307" s="19"/>
      <c r="L1307" s="16">
        <v>0.0</v>
      </c>
    </row>
    <row r="1308" hidden="1">
      <c r="A1308" s="1" t="s">
        <v>1147</v>
      </c>
      <c r="B1308" s="1" t="s">
        <v>1147</v>
      </c>
      <c r="C1308" s="13">
        <v>45843.475</v>
      </c>
      <c r="D1308" s="2" t="s">
        <v>213</v>
      </c>
      <c r="E1308" s="2" t="s">
        <v>214</v>
      </c>
      <c r="F1308" s="14" t="s">
        <v>3486</v>
      </c>
      <c r="G1308" s="14" t="s">
        <v>3487</v>
      </c>
      <c r="H1308" s="15" t="s">
        <v>24</v>
      </c>
      <c r="I1308" s="15" t="s">
        <v>3491</v>
      </c>
      <c r="J1308" s="2">
        <v>8.0</v>
      </c>
      <c r="K1308" s="12" t="s">
        <v>4477</v>
      </c>
      <c r="L1308" s="16">
        <v>0.0</v>
      </c>
    </row>
    <row r="1309" hidden="1">
      <c r="A1309" s="1" t="s">
        <v>1148</v>
      </c>
      <c r="B1309" s="1" t="s">
        <v>1148</v>
      </c>
      <c r="C1309" s="13">
        <v>45843.475694444445</v>
      </c>
      <c r="D1309" s="2" t="s">
        <v>934</v>
      </c>
      <c r="E1309" s="2" t="s">
        <v>935</v>
      </c>
      <c r="F1309" s="14" t="s">
        <v>3522</v>
      </c>
      <c r="G1309" s="14" t="s">
        <v>3523</v>
      </c>
      <c r="H1309" s="15" t="s">
        <v>24</v>
      </c>
      <c r="I1309" s="15" t="s">
        <v>3491</v>
      </c>
      <c r="J1309" s="2">
        <v>1.0</v>
      </c>
      <c r="K1309" s="12" t="s">
        <v>4399</v>
      </c>
      <c r="L1309" s="16">
        <v>0.0</v>
      </c>
    </row>
    <row r="1310" hidden="1">
      <c r="A1310" s="1" t="s">
        <v>1149</v>
      </c>
      <c r="B1310" s="1" t="s">
        <v>1149</v>
      </c>
      <c r="C1310" s="13">
        <v>45843.475694444445</v>
      </c>
      <c r="D1310" s="2" t="s">
        <v>441</v>
      </c>
      <c r="E1310" s="2" t="s">
        <v>442</v>
      </c>
      <c r="F1310" s="14" t="s">
        <v>3486</v>
      </c>
      <c r="G1310" s="14" t="s">
        <v>3487</v>
      </c>
      <c r="H1310" s="15" t="s">
        <v>24</v>
      </c>
      <c r="I1310" s="15" t="s">
        <v>3491</v>
      </c>
      <c r="J1310" s="2">
        <v>1.0</v>
      </c>
      <c r="K1310" s="12" t="s">
        <v>4478</v>
      </c>
      <c r="L1310" s="16">
        <v>0.0</v>
      </c>
    </row>
    <row r="1311" hidden="1">
      <c r="A1311" s="1" t="s">
        <v>1150</v>
      </c>
      <c r="B1311" s="1" t="s">
        <v>1150</v>
      </c>
      <c r="C1311" s="13">
        <v>45843.51597222222</v>
      </c>
      <c r="D1311" s="2" t="s">
        <v>75</v>
      </c>
      <c r="E1311" s="2" t="s">
        <v>76</v>
      </c>
      <c r="F1311" s="14" t="s">
        <v>3522</v>
      </c>
      <c r="G1311" s="14" t="s">
        <v>3523</v>
      </c>
      <c r="H1311" s="15" t="s">
        <v>24</v>
      </c>
      <c r="I1311" s="15" t="s">
        <v>3491</v>
      </c>
      <c r="J1311" s="2">
        <v>1.0</v>
      </c>
      <c r="K1311" s="12" t="s">
        <v>3671</v>
      </c>
      <c r="L1311" s="16">
        <v>0.0</v>
      </c>
    </row>
    <row r="1312" hidden="1">
      <c r="A1312" s="1" t="s">
        <v>1151</v>
      </c>
      <c r="B1312" s="1" t="s">
        <v>1151</v>
      </c>
      <c r="C1312" s="13">
        <v>45843.51666666667</v>
      </c>
      <c r="D1312" s="2" t="s">
        <v>326</v>
      </c>
      <c r="E1312" s="2" t="s">
        <v>327</v>
      </c>
      <c r="F1312" s="14" t="s">
        <v>3486</v>
      </c>
      <c r="G1312" s="14" t="s">
        <v>3487</v>
      </c>
      <c r="H1312" s="15" t="s">
        <v>24</v>
      </c>
      <c r="I1312" s="15" t="s">
        <v>3491</v>
      </c>
      <c r="J1312" s="2">
        <v>8.0</v>
      </c>
      <c r="K1312" s="12" t="s">
        <v>4479</v>
      </c>
      <c r="L1312" s="16">
        <v>0.0</v>
      </c>
    </row>
    <row r="1313" hidden="1">
      <c r="A1313" s="1" t="s">
        <v>1152</v>
      </c>
      <c r="B1313" s="1" t="s">
        <v>1152</v>
      </c>
      <c r="C1313" s="13">
        <v>45843.52847222222</v>
      </c>
      <c r="D1313" s="2" t="s">
        <v>679</v>
      </c>
      <c r="E1313" s="2" t="s">
        <v>680</v>
      </c>
      <c r="F1313" s="14" t="s">
        <v>3486</v>
      </c>
      <c r="G1313" s="14" t="s">
        <v>3487</v>
      </c>
      <c r="H1313" s="15" t="s">
        <v>16</v>
      </c>
      <c r="I1313" s="15" t="s">
        <v>3488</v>
      </c>
      <c r="J1313" s="2">
        <v>1.0</v>
      </c>
      <c r="K1313" s="12" t="s">
        <v>4480</v>
      </c>
      <c r="L1313" s="16">
        <v>65000.0</v>
      </c>
    </row>
    <row r="1314" hidden="1">
      <c r="A1314" s="1" t="s">
        <v>1152</v>
      </c>
      <c r="B1314" s="1" t="s">
        <v>1152</v>
      </c>
      <c r="C1314" s="13">
        <v>45843.52847222222</v>
      </c>
      <c r="D1314" s="2" t="s">
        <v>679</v>
      </c>
      <c r="E1314" s="2" t="s">
        <v>680</v>
      </c>
      <c r="F1314" s="14" t="s">
        <v>3493</v>
      </c>
      <c r="G1314" s="14" t="s">
        <v>3494</v>
      </c>
      <c r="H1314" s="15" t="s">
        <v>16</v>
      </c>
      <c r="I1314" s="15" t="s">
        <v>3488</v>
      </c>
      <c r="J1314" s="2">
        <v>1.0</v>
      </c>
      <c r="K1314" s="19"/>
      <c r="L1314" s="16">
        <v>215000.0</v>
      </c>
    </row>
    <row r="1315" hidden="1">
      <c r="A1315" s="1" t="s">
        <v>1153</v>
      </c>
      <c r="B1315" s="1" t="s">
        <v>1153</v>
      </c>
      <c r="C1315" s="13">
        <v>45843.58611111111</v>
      </c>
      <c r="D1315" s="2" t="s">
        <v>679</v>
      </c>
      <c r="E1315" s="2" t="s">
        <v>680</v>
      </c>
      <c r="F1315" s="14" t="s">
        <v>3486</v>
      </c>
      <c r="G1315" s="14" t="s">
        <v>3487</v>
      </c>
      <c r="H1315" s="15" t="s">
        <v>24</v>
      </c>
      <c r="I1315" s="15" t="s">
        <v>3491</v>
      </c>
      <c r="J1315" s="2">
        <v>1.0</v>
      </c>
      <c r="K1315" s="12" t="s">
        <v>4481</v>
      </c>
      <c r="L1315" s="16">
        <v>0.0</v>
      </c>
    </row>
    <row r="1316" hidden="1">
      <c r="A1316" s="1" t="s">
        <v>1154</v>
      </c>
      <c r="B1316" s="1" t="s">
        <v>1154</v>
      </c>
      <c r="C1316" s="13">
        <v>45845.35902777778</v>
      </c>
      <c r="D1316" s="2" t="s">
        <v>326</v>
      </c>
      <c r="E1316" s="2" t="s">
        <v>327</v>
      </c>
      <c r="F1316" s="14" t="s">
        <v>3486</v>
      </c>
      <c r="G1316" s="14" t="s">
        <v>3487</v>
      </c>
      <c r="H1316" s="15" t="s">
        <v>16</v>
      </c>
      <c r="I1316" s="15" t="s">
        <v>3488</v>
      </c>
      <c r="J1316" s="2">
        <v>20.0</v>
      </c>
      <c r="K1316" s="12" t="s">
        <v>4482</v>
      </c>
      <c r="L1316" s="16">
        <v>45000.0</v>
      </c>
    </row>
    <row r="1317" hidden="1">
      <c r="A1317" s="1" t="s">
        <v>1155</v>
      </c>
      <c r="B1317" s="1" t="s">
        <v>1155</v>
      </c>
      <c r="C1317" s="13">
        <v>45845.376388888886</v>
      </c>
      <c r="D1317" s="2" t="s">
        <v>55</v>
      </c>
      <c r="E1317" s="2" t="s">
        <v>56</v>
      </c>
      <c r="F1317" s="14" t="s">
        <v>3486</v>
      </c>
      <c r="G1317" s="14" t="s">
        <v>3487</v>
      </c>
      <c r="H1317" s="15" t="s">
        <v>16</v>
      </c>
      <c r="I1317" s="15" t="s">
        <v>3488</v>
      </c>
      <c r="J1317" s="2">
        <v>5.0</v>
      </c>
      <c r="K1317" s="12" t="s">
        <v>4483</v>
      </c>
      <c r="L1317" s="16">
        <v>60000.0</v>
      </c>
    </row>
    <row r="1318" hidden="1">
      <c r="A1318" s="1" t="s">
        <v>1156</v>
      </c>
      <c r="B1318" s="1" t="s">
        <v>1156</v>
      </c>
      <c r="C1318" s="13">
        <v>45845.37708333333</v>
      </c>
      <c r="D1318" s="2" t="s">
        <v>169</v>
      </c>
      <c r="E1318" s="2" t="s">
        <v>170</v>
      </c>
      <c r="F1318" s="14" t="s">
        <v>3486</v>
      </c>
      <c r="G1318" s="14" t="s">
        <v>3487</v>
      </c>
      <c r="H1318" s="15" t="s">
        <v>16</v>
      </c>
      <c r="I1318" s="15" t="s">
        <v>3488</v>
      </c>
      <c r="J1318" s="2">
        <v>10.0</v>
      </c>
      <c r="K1318" s="12" t="s">
        <v>4484</v>
      </c>
      <c r="L1318" s="16">
        <v>60000.0</v>
      </c>
    </row>
    <row r="1319" hidden="1">
      <c r="A1319" s="1" t="s">
        <v>1156</v>
      </c>
      <c r="B1319" s="1" t="s">
        <v>1156</v>
      </c>
      <c r="C1319" s="13">
        <v>45845.37708333333</v>
      </c>
      <c r="D1319" s="2" t="s">
        <v>169</v>
      </c>
      <c r="E1319" s="2" t="s">
        <v>170</v>
      </c>
      <c r="F1319" s="14" t="s">
        <v>3493</v>
      </c>
      <c r="G1319" s="14" t="s">
        <v>3494</v>
      </c>
      <c r="H1319" s="15" t="s">
        <v>16</v>
      </c>
      <c r="I1319" s="15" t="s">
        <v>3488</v>
      </c>
      <c r="J1319" s="2">
        <v>2.0</v>
      </c>
      <c r="K1319" s="19"/>
      <c r="L1319" s="16">
        <v>210000.0</v>
      </c>
    </row>
    <row r="1320" hidden="1">
      <c r="A1320" s="1" t="s">
        <v>1157</v>
      </c>
      <c r="B1320" s="1" t="s">
        <v>1157</v>
      </c>
      <c r="C1320" s="13">
        <v>45845.566666666666</v>
      </c>
      <c r="D1320" s="2" t="s">
        <v>55</v>
      </c>
      <c r="E1320" s="2" t="s">
        <v>56</v>
      </c>
      <c r="F1320" s="14" t="s">
        <v>3486</v>
      </c>
      <c r="G1320" s="14" t="s">
        <v>3487</v>
      </c>
      <c r="H1320" s="15" t="s">
        <v>24</v>
      </c>
      <c r="I1320" s="15" t="s">
        <v>3491</v>
      </c>
      <c r="J1320" s="2">
        <v>5.0</v>
      </c>
      <c r="K1320" s="12" t="s">
        <v>4485</v>
      </c>
      <c r="L1320" s="16">
        <v>0.0</v>
      </c>
    </row>
    <row r="1321" hidden="1">
      <c r="A1321" s="1" t="s">
        <v>1158</v>
      </c>
      <c r="B1321" s="1" t="s">
        <v>1158</v>
      </c>
      <c r="C1321" s="13">
        <v>45845.56736111111</v>
      </c>
      <c r="D1321" s="2" t="s">
        <v>169</v>
      </c>
      <c r="E1321" s="2" t="s">
        <v>170</v>
      </c>
      <c r="F1321" s="14" t="s">
        <v>3486</v>
      </c>
      <c r="G1321" s="14" t="s">
        <v>3487</v>
      </c>
      <c r="H1321" s="15" t="s">
        <v>24</v>
      </c>
      <c r="I1321" s="15" t="s">
        <v>3491</v>
      </c>
      <c r="J1321" s="2">
        <v>5.0</v>
      </c>
      <c r="K1321" s="12" t="s">
        <v>4486</v>
      </c>
      <c r="L1321" s="16">
        <v>0.0</v>
      </c>
    </row>
    <row r="1322" hidden="1">
      <c r="A1322" s="1" t="s">
        <v>1158</v>
      </c>
      <c r="B1322" s="1" t="s">
        <v>1158</v>
      </c>
      <c r="C1322" s="13">
        <v>45845.56736111111</v>
      </c>
      <c r="D1322" s="2" t="s">
        <v>169</v>
      </c>
      <c r="E1322" s="2" t="s">
        <v>170</v>
      </c>
      <c r="F1322" s="14" t="s">
        <v>3522</v>
      </c>
      <c r="G1322" s="14" t="s">
        <v>3523</v>
      </c>
      <c r="H1322" s="15" t="s">
        <v>24</v>
      </c>
      <c r="I1322" s="15" t="s">
        <v>3491</v>
      </c>
      <c r="J1322" s="2">
        <v>2.0</v>
      </c>
      <c r="K1322" s="12" t="s">
        <v>4487</v>
      </c>
      <c r="L1322" s="16">
        <v>0.0</v>
      </c>
    </row>
    <row r="1323" hidden="1">
      <c r="A1323" s="1" t="s">
        <v>1159</v>
      </c>
      <c r="B1323" s="1" t="s">
        <v>1159</v>
      </c>
      <c r="C1323" s="13">
        <v>45845.56805555556</v>
      </c>
      <c r="D1323" s="2" t="s">
        <v>326</v>
      </c>
      <c r="E1323" s="2" t="s">
        <v>327</v>
      </c>
      <c r="F1323" s="14" t="s">
        <v>3486</v>
      </c>
      <c r="G1323" s="14" t="s">
        <v>3487</v>
      </c>
      <c r="H1323" s="15" t="s">
        <v>24</v>
      </c>
      <c r="I1323" s="15" t="s">
        <v>3491</v>
      </c>
      <c r="J1323" s="2">
        <v>5.0</v>
      </c>
      <c r="K1323" s="12" t="s">
        <v>4488</v>
      </c>
      <c r="L1323" s="16">
        <v>0.0</v>
      </c>
    </row>
    <row r="1324" hidden="1">
      <c r="A1324" s="1" t="s">
        <v>1160</v>
      </c>
      <c r="B1324" s="1" t="s">
        <v>1160</v>
      </c>
      <c r="C1324" s="13">
        <v>45846.393055555556</v>
      </c>
      <c r="D1324" s="2" t="s">
        <v>1084</v>
      </c>
      <c r="E1324" s="2" t="s">
        <v>1085</v>
      </c>
      <c r="F1324" s="14" t="s">
        <v>3516</v>
      </c>
      <c r="G1324" s="14" t="s">
        <v>3517</v>
      </c>
      <c r="H1324" s="15" t="s">
        <v>16</v>
      </c>
      <c r="I1324" s="15" t="s">
        <v>3488</v>
      </c>
      <c r="J1324" s="2">
        <v>5.0</v>
      </c>
      <c r="K1324" s="12" t="s">
        <v>4489</v>
      </c>
      <c r="L1324" s="16">
        <v>210000.0</v>
      </c>
    </row>
    <row r="1325" hidden="1">
      <c r="A1325" s="1" t="s">
        <v>1161</v>
      </c>
      <c r="B1325" s="1" t="s">
        <v>1161</v>
      </c>
      <c r="C1325" s="13">
        <v>45846.39375</v>
      </c>
      <c r="D1325" s="2" t="s">
        <v>1144</v>
      </c>
      <c r="E1325" s="2" t="s">
        <v>1145</v>
      </c>
      <c r="F1325" s="14" t="s">
        <v>3506</v>
      </c>
      <c r="G1325" s="14" t="s">
        <v>3507</v>
      </c>
      <c r="H1325" s="15" t="s">
        <v>16</v>
      </c>
      <c r="I1325" s="15" t="s">
        <v>3488</v>
      </c>
      <c r="J1325" s="2">
        <v>2.0</v>
      </c>
      <c r="K1325" s="19"/>
      <c r="L1325" s="16">
        <v>70000.0</v>
      </c>
    </row>
    <row r="1326" hidden="1">
      <c r="A1326" s="1" t="s">
        <v>1162</v>
      </c>
      <c r="B1326" s="1" t="s">
        <v>1162</v>
      </c>
      <c r="C1326" s="13">
        <v>45846.455555555556</v>
      </c>
      <c r="D1326" s="2" t="s">
        <v>1084</v>
      </c>
      <c r="E1326" s="2" t="s">
        <v>1085</v>
      </c>
      <c r="F1326" s="14" t="s">
        <v>4203</v>
      </c>
      <c r="G1326" s="14" t="s">
        <v>4204</v>
      </c>
      <c r="H1326" s="15" t="s">
        <v>24</v>
      </c>
      <c r="I1326" s="15" t="s">
        <v>3491</v>
      </c>
      <c r="J1326" s="2">
        <v>1.0</v>
      </c>
      <c r="K1326" s="12" t="s">
        <v>4490</v>
      </c>
      <c r="L1326" s="16">
        <v>0.0</v>
      </c>
    </row>
    <row r="1327" hidden="1">
      <c r="A1327" s="1" t="s">
        <v>1162</v>
      </c>
      <c r="B1327" s="1" t="s">
        <v>1162</v>
      </c>
      <c r="C1327" s="13">
        <v>45846.455555555556</v>
      </c>
      <c r="D1327" s="2" t="s">
        <v>1084</v>
      </c>
      <c r="E1327" s="2" t="s">
        <v>1085</v>
      </c>
      <c r="F1327" s="14" t="s">
        <v>3516</v>
      </c>
      <c r="G1327" s="14" t="s">
        <v>3517</v>
      </c>
      <c r="H1327" s="15" t="s">
        <v>24</v>
      </c>
      <c r="I1327" s="15" t="s">
        <v>3491</v>
      </c>
      <c r="J1327" s="2">
        <v>1.0</v>
      </c>
      <c r="K1327" s="12" t="s">
        <v>4491</v>
      </c>
      <c r="L1327" s="16">
        <v>0.0</v>
      </c>
    </row>
    <row r="1328" hidden="1">
      <c r="A1328" s="1" t="s">
        <v>1163</v>
      </c>
      <c r="B1328" s="1" t="s">
        <v>1163</v>
      </c>
      <c r="C1328" s="13">
        <v>45846.45625</v>
      </c>
      <c r="D1328" s="2" t="s">
        <v>49</v>
      </c>
      <c r="E1328" s="2" t="s">
        <v>50</v>
      </c>
      <c r="F1328" s="14" t="s">
        <v>3486</v>
      </c>
      <c r="G1328" s="14" t="s">
        <v>3487</v>
      </c>
      <c r="H1328" s="15" t="s">
        <v>24</v>
      </c>
      <c r="I1328" s="15" t="s">
        <v>3491</v>
      </c>
      <c r="J1328" s="2">
        <v>1.0</v>
      </c>
      <c r="K1328" s="12" t="s">
        <v>4072</v>
      </c>
      <c r="L1328" s="16">
        <v>0.0</v>
      </c>
    </row>
    <row r="1329">
      <c r="A1329" s="1" t="s">
        <v>1164</v>
      </c>
      <c r="B1329" s="1" t="s">
        <v>1164</v>
      </c>
      <c r="C1329" s="13">
        <v>45846.527083333334</v>
      </c>
      <c r="D1329" s="2" t="s">
        <v>45</v>
      </c>
      <c r="E1329" s="2" t="s">
        <v>46</v>
      </c>
      <c r="F1329" s="14" t="s">
        <v>3486</v>
      </c>
      <c r="G1329" s="14" t="s">
        <v>3487</v>
      </c>
      <c r="H1329" s="15" t="s">
        <v>16</v>
      </c>
      <c r="I1329" s="15" t="s">
        <v>3488</v>
      </c>
      <c r="J1329" s="2">
        <v>5.0</v>
      </c>
      <c r="K1329" s="12" t="s">
        <v>4492</v>
      </c>
      <c r="L1329" s="16">
        <v>60000.0</v>
      </c>
    </row>
    <row r="1330">
      <c r="A1330" s="1" t="s">
        <v>1164</v>
      </c>
      <c r="B1330" s="1" t="s">
        <v>1164</v>
      </c>
      <c r="C1330" s="13">
        <v>45846.52777777778</v>
      </c>
      <c r="D1330" s="2" t="s">
        <v>45</v>
      </c>
      <c r="E1330" s="2" t="s">
        <v>46</v>
      </c>
      <c r="F1330" s="14" t="s">
        <v>3493</v>
      </c>
      <c r="G1330" s="14" t="s">
        <v>3494</v>
      </c>
      <c r="H1330" s="15" t="s">
        <v>16</v>
      </c>
      <c r="I1330" s="15" t="s">
        <v>3488</v>
      </c>
      <c r="J1330" s="2">
        <v>5.0</v>
      </c>
      <c r="K1330" s="19"/>
      <c r="L1330" s="16">
        <v>210000.0</v>
      </c>
    </row>
    <row r="1331">
      <c r="A1331" s="1" t="s">
        <v>1165</v>
      </c>
      <c r="B1331" s="1" t="s">
        <v>1165</v>
      </c>
      <c r="C1331" s="13">
        <v>45846.586805555555</v>
      </c>
      <c r="D1331" s="2" t="s">
        <v>45</v>
      </c>
      <c r="E1331" s="2" t="s">
        <v>46</v>
      </c>
      <c r="F1331" s="14" t="s">
        <v>3522</v>
      </c>
      <c r="G1331" s="14" t="s">
        <v>3523</v>
      </c>
      <c r="H1331" s="15" t="s">
        <v>24</v>
      </c>
      <c r="I1331" s="15" t="s">
        <v>3491</v>
      </c>
      <c r="J1331" s="2">
        <v>1.0</v>
      </c>
      <c r="K1331" s="12" t="s">
        <v>4493</v>
      </c>
      <c r="L1331" s="16">
        <v>0.0</v>
      </c>
    </row>
    <row r="1332">
      <c r="A1332" s="1" t="s">
        <v>1165</v>
      </c>
      <c r="B1332" s="1" t="s">
        <v>1165</v>
      </c>
      <c r="C1332" s="13">
        <v>45846.5875</v>
      </c>
      <c r="D1332" s="2" t="s">
        <v>45</v>
      </c>
      <c r="E1332" s="2" t="s">
        <v>46</v>
      </c>
      <c r="F1332" s="14" t="s">
        <v>3493</v>
      </c>
      <c r="G1332" s="14" t="s">
        <v>3494</v>
      </c>
      <c r="H1332" s="15" t="s">
        <v>24</v>
      </c>
      <c r="I1332" s="15" t="s">
        <v>3491</v>
      </c>
      <c r="J1332" s="2">
        <v>3.0</v>
      </c>
      <c r="K1332" s="19"/>
      <c r="L1332" s="16">
        <v>0.0</v>
      </c>
    </row>
    <row r="1333" hidden="1">
      <c r="A1333" s="1" t="s">
        <v>1166</v>
      </c>
      <c r="B1333" s="1" t="s">
        <v>1166</v>
      </c>
      <c r="C1333" s="13">
        <v>45847.37430555555</v>
      </c>
      <c r="D1333" s="2" t="s">
        <v>951</v>
      </c>
      <c r="E1333" s="2" t="s">
        <v>952</v>
      </c>
      <c r="F1333" s="14" t="s">
        <v>3486</v>
      </c>
      <c r="G1333" s="14" t="s">
        <v>3487</v>
      </c>
      <c r="H1333" s="15" t="s">
        <v>16</v>
      </c>
      <c r="I1333" s="15" t="s">
        <v>3488</v>
      </c>
      <c r="J1333" s="2">
        <v>4.0</v>
      </c>
      <c r="K1333" s="12" t="s">
        <v>4494</v>
      </c>
      <c r="L1333" s="16">
        <v>55000.0</v>
      </c>
    </row>
    <row r="1334" hidden="1">
      <c r="A1334" s="1" t="s">
        <v>1166</v>
      </c>
      <c r="B1334" s="1" t="s">
        <v>1166</v>
      </c>
      <c r="C1334" s="13">
        <v>45847.37430555555</v>
      </c>
      <c r="D1334" s="2" t="s">
        <v>951</v>
      </c>
      <c r="E1334" s="2" t="s">
        <v>952</v>
      </c>
      <c r="F1334" s="14" t="s">
        <v>3516</v>
      </c>
      <c r="G1334" s="14" t="s">
        <v>3517</v>
      </c>
      <c r="H1334" s="15" t="s">
        <v>16</v>
      </c>
      <c r="I1334" s="15" t="s">
        <v>3488</v>
      </c>
      <c r="J1334" s="2">
        <v>1.0</v>
      </c>
      <c r="K1334" s="12" t="s">
        <v>4495</v>
      </c>
      <c r="L1334" s="16">
        <v>165000.0</v>
      </c>
    </row>
    <row r="1335" hidden="1">
      <c r="A1335" s="1" t="s">
        <v>1167</v>
      </c>
      <c r="B1335" s="1" t="s">
        <v>1167</v>
      </c>
      <c r="C1335" s="13">
        <v>45847.729166666664</v>
      </c>
      <c r="D1335" s="2" t="s">
        <v>464</v>
      </c>
      <c r="E1335" s="2" t="s">
        <v>465</v>
      </c>
      <c r="F1335" s="14" t="s">
        <v>3493</v>
      </c>
      <c r="G1335" s="14" t="s">
        <v>3494</v>
      </c>
      <c r="H1335" s="15" t="s">
        <v>24</v>
      </c>
      <c r="I1335" s="15" t="s">
        <v>3491</v>
      </c>
      <c r="J1335" s="2">
        <v>1.0</v>
      </c>
      <c r="K1335" s="19"/>
      <c r="L1335" s="16">
        <v>0.0</v>
      </c>
    </row>
    <row r="1336" hidden="1">
      <c r="A1336" s="1" t="s">
        <v>1168</v>
      </c>
      <c r="B1336" s="1" t="s">
        <v>1168</v>
      </c>
      <c r="C1336" s="13">
        <v>45847.72986111111</v>
      </c>
      <c r="D1336" s="2" t="s">
        <v>957</v>
      </c>
      <c r="E1336" s="2" t="s">
        <v>958</v>
      </c>
      <c r="F1336" s="14" t="s">
        <v>3486</v>
      </c>
      <c r="G1336" s="14" t="s">
        <v>3487</v>
      </c>
      <c r="H1336" s="15" t="s">
        <v>24</v>
      </c>
      <c r="I1336" s="15" t="s">
        <v>3491</v>
      </c>
      <c r="J1336" s="2">
        <v>5.0</v>
      </c>
      <c r="K1336" s="12" t="s">
        <v>4496</v>
      </c>
      <c r="L1336" s="16">
        <v>0.0</v>
      </c>
    </row>
    <row r="1337" hidden="1">
      <c r="A1337" s="1" t="s">
        <v>1169</v>
      </c>
      <c r="B1337" s="1" t="s">
        <v>1169</v>
      </c>
      <c r="C1337" s="13">
        <v>45847.72986111111</v>
      </c>
      <c r="D1337" s="2" t="s">
        <v>951</v>
      </c>
      <c r="E1337" s="2" t="s">
        <v>952</v>
      </c>
      <c r="F1337" s="14" t="s">
        <v>3486</v>
      </c>
      <c r="G1337" s="14" t="s">
        <v>3487</v>
      </c>
      <c r="H1337" s="15" t="s">
        <v>24</v>
      </c>
      <c r="I1337" s="15" t="s">
        <v>3491</v>
      </c>
      <c r="J1337" s="2">
        <v>4.0</v>
      </c>
      <c r="K1337" s="12" t="s">
        <v>4497</v>
      </c>
      <c r="L1337" s="16">
        <v>0.0</v>
      </c>
    </row>
    <row r="1338" hidden="1">
      <c r="A1338" s="1" t="s">
        <v>1169</v>
      </c>
      <c r="B1338" s="1" t="s">
        <v>1169</v>
      </c>
      <c r="C1338" s="13">
        <v>45847.73055555556</v>
      </c>
      <c r="D1338" s="2" t="s">
        <v>951</v>
      </c>
      <c r="E1338" s="2" t="s">
        <v>952</v>
      </c>
      <c r="F1338" s="14" t="s">
        <v>3516</v>
      </c>
      <c r="G1338" s="14" t="s">
        <v>3517</v>
      </c>
      <c r="H1338" s="15" t="s">
        <v>24</v>
      </c>
      <c r="I1338" s="15" t="s">
        <v>3491</v>
      </c>
      <c r="J1338" s="2">
        <v>1.0</v>
      </c>
      <c r="K1338" s="12" t="s">
        <v>4498</v>
      </c>
      <c r="L1338" s="16">
        <v>0.0</v>
      </c>
    </row>
    <row r="1339" hidden="1">
      <c r="A1339" s="1" t="s">
        <v>1170</v>
      </c>
      <c r="B1339" s="1" t="s">
        <v>1170</v>
      </c>
      <c r="C1339" s="13">
        <v>45847.73055555556</v>
      </c>
      <c r="D1339" s="2" t="e">
        <v>#N/A</v>
      </c>
      <c r="E1339" s="2" t="s">
        <v>875</v>
      </c>
      <c r="F1339" s="14" t="s">
        <v>4203</v>
      </c>
      <c r="G1339" s="14" t="s">
        <v>4204</v>
      </c>
      <c r="H1339" s="15" t="s">
        <v>24</v>
      </c>
      <c r="I1339" s="15" t="s">
        <v>3491</v>
      </c>
      <c r="J1339" s="2">
        <v>3.0</v>
      </c>
      <c r="K1339" s="12" t="s">
        <v>4499</v>
      </c>
      <c r="L1339" s="16">
        <v>0.0</v>
      </c>
    </row>
    <row r="1340" hidden="1">
      <c r="A1340" s="1" t="s">
        <v>1171</v>
      </c>
      <c r="B1340" s="1" t="s">
        <v>1171</v>
      </c>
      <c r="C1340" s="13">
        <v>45849.419444444444</v>
      </c>
      <c r="D1340" s="2" t="s">
        <v>1018</v>
      </c>
      <c r="E1340" s="2" t="s">
        <v>1019</v>
      </c>
      <c r="F1340" s="14" t="s">
        <v>3522</v>
      </c>
      <c r="G1340" s="14" t="s">
        <v>3523</v>
      </c>
      <c r="H1340" s="15" t="s">
        <v>16</v>
      </c>
      <c r="I1340" s="15" t="s">
        <v>3488</v>
      </c>
      <c r="J1340" s="2">
        <v>1.0</v>
      </c>
      <c r="K1340" s="12" t="s">
        <v>4376</v>
      </c>
      <c r="L1340" s="16">
        <v>260000.0</v>
      </c>
    </row>
    <row r="1341" hidden="1">
      <c r="A1341" s="1" t="s">
        <v>1172</v>
      </c>
      <c r="B1341" s="1" t="s">
        <v>1172</v>
      </c>
      <c r="C1341" s="13">
        <v>45849.48888888889</v>
      </c>
      <c r="D1341" s="2" t="s">
        <v>1018</v>
      </c>
      <c r="E1341" s="2" t="s">
        <v>1019</v>
      </c>
      <c r="F1341" s="14" t="s">
        <v>3522</v>
      </c>
      <c r="G1341" s="14" t="s">
        <v>3523</v>
      </c>
      <c r="H1341" s="15" t="s">
        <v>24</v>
      </c>
      <c r="I1341" s="15" t="s">
        <v>3491</v>
      </c>
      <c r="J1341" s="2">
        <v>1.0</v>
      </c>
      <c r="K1341" s="12" t="s">
        <v>4364</v>
      </c>
      <c r="L1341" s="16">
        <v>0.0</v>
      </c>
    </row>
    <row r="1342" hidden="1">
      <c r="A1342" s="1" t="s">
        <v>1173</v>
      </c>
      <c r="B1342" s="1" t="s">
        <v>1173</v>
      </c>
      <c r="C1342" s="13">
        <v>45849.57361111111</v>
      </c>
      <c r="D1342" s="2" t="s">
        <v>305</v>
      </c>
      <c r="E1342" s="2" t="s">
        <v>306</v>
      </c>
      <c r="F1342" s="14" t="s">
        <v>3486</v>
      </c>
      <c r="G1342" s="14" t="s">
        <v>3487</v>
      </c>
      <c r="H1342" s="15" t="s">
        <v>24</v>
      </c>
      <c r="I1342" s="15" t="s">
        <v>3491</v>
      </c>
      <c r="J1342" s="2">
        <v>2.0</v>
      </c>
      <c r="K1342" s="12" t="s">
        <v>4500</v>
      </c>
      <c r="L1342" s="16">
        <v>0.0</v>
      </c>
    </row>
    <row r="1343" hidden="1">
      <c r="A1343" s="1" t="s">
        <v>1174</v>
      </c>
      <c r="B1343" s="1" t="s">
        <v>1174</v>
      </c>
      <c r="C1343" s="13">
        <v>45849.57361111111</v>
      </c>
      <c r="D1343" s="2" t="s">
        <v>326</v>
      </c>
      <c r="E1343" s="2" t="s">
        <v>327</v>
      </c>
      <c r="F1343" s="14" t="s">
        <v>3486</v>
      </c>
      <c r="G1343" s="14" t="s">
        <v>3487</v>
      </c>
      <c r="H1343" s="15" t="s">
        <v>24</v>
      </c>
      <c r="I1343" s="15" t="s">
        <v>3491</v>
      </c>
      <c r="J1343" s="2">
        <v>10.0</v>
      </c>
      <c r="K1343" s="12" t="s">
        <v>4501</v>
      </c>
      <c r="L1343" s="16">
        <v>0.0</v>
      </c>
    </row>
    <row r="1344" hidden="1">
      <c r="A1344" s="1" t="s">
        <v>1175</v>
      </c>
      <c r="B1344" s="1" t="s">
        <v>1175</v>
      </c>
      <c r="C1344" s="13">
        <v>45849.57430555556</v>
      </c>
      <c r="D1344" s="2" t="s">
        <v>213</v>
      </c>
      <c r="E1344" s="2" t="s">
        <v>214</v>
      </c>
      <c r="F1344" s="14" t="s">
        <v>3486</v>
      </c>
      <c r="G1344" s="14" t="s">
        <v>3487</v>
      </c>
      <c r="H1344" s="15" t="s">
        <v>24</v>
      </c>
      <c r="I1344" s="15" t="s">
        <v>3491</v>
      </c>
      <c r="J1344" s="2">
        <v>1.0</v>
      </c>
      <c r="K1344" s="12" t="s">
        <v>4502</v>
      </c>
      <c r="L1344" s="16">
        <v>0.0</v>
      </c>
    </row>
    <row r="1345" hidden="1">
      <c r="A1345" s="1" t="s">
        <v>1176</v>
      </c>
      <c r="B1345" s="1" t="s">
        <v>1176</v>
      </c>
      <c r="C1345" s="13">
        <v>45850.458333333336</v>
      </c>
      <c r="D1345" s="2" t="s">
        <v>1009</v>
      </c>
      <c r="E1345" s="2" t="s">
        <v>1010</v>
      </c>
      <c r="F1345" s="14" t="s">
        <v>3585</v>
      </c>
      <c r="G1345" s="14" t="s">
        <v>3586</v>
      </c>
      <c r="H1345" s="15" t="s">
        <v>16</v>
      </c>
      <c r="I1345" s="15" t="s">
        <v>3488</v>
      </c>
      <c r="J1345" s="2">
        <v>1.0</v>
      </c>
      <c r="K1345" s="12" t="s">
        <v>4503</v>
      </c>
      <c r="L1345" s="16">
        <v>430000.0</v>
      </c>
    </row>
    <row r="1346" hidden="1">
      <c r="A1346" s="1" t="s">
        <v>1177</v>
      </c>
      <c r="B1346" s="1" t="s">
        <v>1177</v>
      </c>
      <c r="C1346" s="13">
        <v>45850.461805555555</v>
      </c>
      <c r="D1346" s="2" t="s">
        <v>1178</v>
      </c>
      <c r="E1346" s="2" t="s">
        <v>1010</v>
      </c>
      <c r="F1346" s="14" t="s">
        <v>3585</v>
      </c>
      <c r="G1346" s="14" t="s">
        <v>3586</v>
      </c>
      <c r="H1346" s="15" t="s">
        <v>24</v>
      </c>
      <c r="I1346" s="15" t="s">
        <v>3491</v>
      </c>
      <c r="J1346" s="2">
        <v>1.0</v>
      </c>
      <c r="K1346" s="19"/>
      <c r="L1346" s="16">
        <v>0.0</v>
      </c>
    </row>
    <row r="1347" hidden="1">
      <c r="A1347" s="1" t="s">
        <v>1179</v>
      </c>
      <c r="B1347" s="1" t="s">
        <v>1179</v>
      </c>
      <c r="C1347" s="13">
        <v>45852.39444444444</v>
      </c>
      <c r="D1347" s="2" t="s">
        <v>951</v>
      </c>
      <c r="E1347" s="2" t="s">
        <v>952</v>
      </c>
      <c r="F1347" s="14" t="s">
        <v>3486</v>
      </c>
      <c r="G1347" s="14" t="s">
        <v>3487</v>
      </c>
      <c r="H1347" s="15" t="s">
        <v>16</v>
      </c>
      <c r="I1347" s="15" t="s">
        <v>3488</v>
      </c>
      <c r="J1347" s="2">
        <v>5.0</v>
      </c>
      <c r="K1347" s="12" t="s">
        <v>4504</v>
      </c>
      <c r="L1347" s="16">
        <v>55000.0</v>
      </c>
    </row>
    <row r="1348" hidden="1">
      <c r="A1348" s="1" t="s">
        <v>1179</v>
      </c>
      <c r="B1348" s="1" t="s">
        <v>1179</v>
      </c>
      <c r="C1348" s="13">
        <v>45852.39444444444</v>
      </c>
      <c r="D1348" s="2" t="s">
        <v>951</v>
      </c>
      <c r="E1348" s="2" t="s">
        <v>952</v>
      </c>
      <c r="F1348" s="14" t="s">
        <v>3516</v>
      </c>
      <c r="G1348" s="14" t="s">
        <v>3517</v>
      </c>
      <c r="H1348" s="15" t="s">
        <v>16</v>
      </c>
      <c r="I1348" s="15" t="s">
        <v>3488</v>
      </c>
      <c r="J1348" s="2">
        <v>1.0</v>
      </c>
      <c r="K1348" s="12" t="s">
        <v>4505</v>
      </c>
      <c r="L1348" s="16">
        <v>165000.0</v>
      </c>
    </row>
    <row r="1349" hidden="1">
      <c r="A1349" s="1" t="s">
        <v>1180</v>
      </c>
      <c r="B1349" s="1" t="s">
        <v>1180</v>
      </c>
      <c r="C1349" s="13">
        <v>45852.49166666667</v>
      </c>
      <c r="D1349" s="2" t="s">
        <v>934</v>
      </c>
      <c r="E1349" s="2" t="s">
        <v>935</v>
      </c>
      <c r="F1349" s="14" t="s">
        <v>3522</v>
      </c>
      <c r="G1349" s="14" t="s">
        <v>3523</v>
      </c>
      <c r="H1349" s="15" t="s">
        <v>16</v>
      </c>
      <c r="I1349" s="15" t="s">
        <v>3488</v>
      </c>
      <c r="J1349" s="2">
        <v>2.0</v>
      </c>
      <c r="K1349" s="12" t="s">
        <v>4506</v>
      </c>
      <c r="L1349" s="16">
        <v>200000.0</v>
      </c>
    </row>
    <row r="1350" hidden="1">
      <c r="A1350" s="1" t="s">
        <v>1181</v>
      </c>
      <c r="B1350" s="1" t="s">
        <v>1181</v>
      </c>
      <c r="C1350" s="13">
        <v>45852.643055555556</v>
      </c>
      <c r="D1350" s="2" t="s">
        <v>169</v>
      </c>
      <c r="E1350" s="2" t="s">
        <v>170</v>
      </c>
      <c r="F1350" s="14" t="s">
        <v>3486</v>
      </c>
      <c r="G1350" s="14" t="s">
        <v>3487</v>
      </c>
      <c r="H1350" s="15" t="s">
        <v>16</v>
      </c>
      <c r="I1350" s="15" t="s">
        <v>3488</v>
      </c>
      <c r="J1350" s="2">
        <v>10.0</v>
      </c>
      <c r="K1350" s="12" t="s">
        <v>4507</v>
      </c>
      <c r="L1350" s="16">
        <v>60000.0</v>
      </c>
    </row>
    <row r="1351" hidden="1">
      <c r="A1351" s="1" t="s">
        <v>1182</v>
      </c>
      <c r="B1351" s="1" t="s">
        <v>1182</v>
      </c>
      <c r="C1351" s="13">
        <v>45853.50208333333</v>
      </c>
      <c r="D1351" s="2" t="s">
        <v>1183</v>
      </c>
      <c r="E1351" s="2" t="s">
        <v>1184</v>
      </c>
      <c r="F1351" s="14" t="s">
        <v>3486</v>
      </c>
      <c r="G1351" s="14" t="s">
        <v>3487</v>
      </c>
      <c r="H1351" s="15" t="s">
        <v>16</v>
      </c>
      <c r="I1351" s="15" t="s">
        <v>3488</v>
      </c>
      <c r="J1351" s="2">
        <v>2.0</v>
      </c>
      <c r="K1351" s="12" t="s">
        <v>4508</v>
      </c>
      <c r="L1351" s="16">
        <v>70000.0</v>
      </c>
    </row>
    <row r="1352" hidden="1">
      <c r="A1352" s="1" t="s">
        <v>1186</v>
      </c>
      <c r="B1352" s="1" t="s">
        <v>1186</v>
      </c>
      <c r="C1352" s="13">
        <v>45853.50208333333</v>
      </c>
      <c r="D1352" s="2" t="s">
        <v>49</v>
      </c>
      <c r="E1352" s="2" t="s">
        <v>50</v>
      </c>
      <c r="F1352" s="14" t="s">
        <v>4203</v>
      </c>
      <c r="G1352" s="14" t="s">
        <v>4204</v>
      </c>
      <c r="H1352" s="15" t="s">
        <v>16</v>
      </c>
      <c r="I1352" s="15" t="s">
        <v>3488</v>
      </c>
      <c r="J1352" s="2">
        <v>5.0</v>
      </c>
      <c r="K1352" s="12" t="s">
        <v>4509</v>
      </c>
      <c r="L1352" s="16">
        <v>60000.0</v>
      </c>
    </row>
    <row r="1353" hidden="1">
      <c r="A1353" s="1" t="s">
        <v>1187</v>
      </c>
      <c r="B1353" s="1" t="s">
        <v>1187</v>
      </c>
      <c r="C1353" s="13">
        <v>45853.52013888889</v>
      </c>
      <c r="D1353" s="2" t="s">
        <v>326</v>
      </c>
      <c r="E1353" s="2" t="s">
        <v>327</v>
      </c>
      <c r="F1353" s="14" t="s">
        <v>3486</v>
      </c>
      <c r="G1353" s="14" t="s">
        <v>3487</v>
      </c>
      <c r="H1353" s="15" t="s">
        <v>16</v>
      </c>
      <c r="I1353" s="15" t="s">
        <v>3488</v>
      </c>
      <c r="J1353" s="2">
        <v>20.0</v>
      </c>
      <c r="K1353" s="12" t="s">
        <v>4510</v>
      </c>
      <c r="L1353" s="16">
        <v>45000.0</v>
      </c>
    </row>
    <row r="1354" hidden="1">
      <c r="A1354" s="1" t="s">
        <v>1188</v>
      </c>
      <c r="B1354" s="1" t="s">
        <v>1188</v>
      </c>
      <c r="C1354" s="13">
        <v>45854.45138888889</v>
      </c>
      <c r="D1354" s="2" t="s">
        <v>326</v>
      </c>
      <c r="E1354" s="2" t="s">
        <v>327</v>
      </c>
      <c r="F1354" s="14" t="s">
        <v>3486</v>
      </c>
      <c r="G1354" s="14" t="s">
        <v>3487</v>
      </c>
      <c r="H1354" s="15" t="s">
        <v>24</v>
      </c>
      <c r="I1354" s="15" t="s">
        <v>3491</v>
      </c>
      <c r="J1354" s="2">
        <v>10.0</v>
      </c>
      <c r="K1354" s="12" t="s">
        <v>4511</v>
      </c>
      <c r="L1354" s="16">
        <v>0.0</v>
      </c>
    </row>
    <row r="1355" hidden="1">
      <c r="A1355" s="1" t="s">
        <v>1189</v>
      </c>
      <c r="B1355" s="1" t="s">
        <v>1189</v>
      </c>
      <c r="C1355" s="13">
        <v>45854.45208333333</v>
      </c>
      <c r="D1355" s="2" t="s">
        <v>49</v>
      </c>
      <c r="E1355" s="2" t="s">
        <v>50</v>
      </c>
      <c r="F1355" s="14" t="s">
        <v>3486</v>
      </c>
      <c r="G1355" s="14" t="s">
        <v>3487</v>
      </c>
      <c r="H1355" s="15" t="s">
        <v>24</v>
      </c>
      <c r="I1355" s="15" t="s">
        <v>3491</v>
      </c>
      <c r="J1355" s="2">
        <v>3.0</v>
      </c>
      <c r="K1355" s="12" t="s">
        <v>4512</v>
      </c>
      <c r="L1355" s="16">
        <v>0.0</v>
      </c>
    </row>
    <row r="1356" hidden="1">
      <c r="A1356" s="1" t="s">
        <v>1190</v>
      </c>
      <c r="B1356" s="1" t="s">
        <v>1190</v>
      </c>
      <c r="C1356" s="13">
        <v>45854.45277777778</v>
      </c>
      <c r="D1356" s="2" t="s">
        <v>169</v>
      </c>
      <c r="E1356" s="2" t="s">
        <v>170</v>
      </c>
      <c r="F1356" s="14" t="s">
        <v>3486</v>
      </c>
      <c r="G1356" s="14" t="s">
        <v>3487</v>
      </c>
      <c r="H1356" s="15" t="s">
        <v>24</v>
      </c>
      <c r="I1356" s="15" t="s">
        <v>3491</v>
      </c>
      <c r="J1356" s="2">
        <v>7.0</v>
      </c>
      <c r="K1356" s="12" t="s">
        <v>4513</v>
      </c>
      <c r="L1356" s="16">
        <v>0.0</v>
      </c>
    </row>
    <row r="1357" hidden="1">
      <c r="A1357" s="1" t="s">
        <v>1190</v>
      </c>
      <c r="B1357" s="1" t="s">
        <v>1190</v>
      </c>
      <c r="C1357" s="13">
        <v>45854.459027777775</v>
      </c>
      <c r="D1357" s="2" t="s">
        <v>169</v>
      </c>
      <c r="E1357" s="2" t="s">
        <v>170</v>
      </c>
      <c r="F1357" s="14" t="s">
        <v>3493</v>
      </c>
      <c r="G1357" s="14" t="s">
        <v>3494</v>
      </c>
      <c r="H1357" s="15" t="s">
        <v>24</v>
      </c>
      <c r="I1357" s="15" t="s">
        <v>3491</v>
      </c>
      <c r="J1357" s="2">
        <v>1.0</v>
      </c>
      <c r="K1357" s="19"/>
      <c r="L1357" s="16">
        <v>0.0</v>
      </c>
    </row>
    <row r="1358" hidden="1">
      <c r="A1358" s="1" t="s">
        <v>1190</v>
      </c>
      <c r="B1358" s="1" t="s">
        <v>1190</v>
      </c>
      <c r="C1358" s="13">
        <v>45854.459027777775</v>
      </c>
      <c r="D1358" s="2" t="s">
        <v>169</v>
      </c>
      <c r="E1358" s="2" t="s">
        <v>170</v>
      </c>
      <c r="F1358" s="14" t="s">
        <v>3522</v>
      </c>
      <c r="G1358" s="14" t="s">
        <v>3523</v>
      </c>
      <c r="H1358" s="15" t="s">
        <v>24</v>
      </c>
      <c r="I1358" s="15" t="s">
        <v>3614</v>
      </c>
      <c r="J1358" s="2">
        <v>3.0</v>
      </c>
      <c r="K1358" s="12" t="s">
        <v>4514</v>
      </c>
      <c r="L1358" s="16">
        <v>0.0</v>
      </c>
    </row>
    <row r="1359" hidden="1">
      <c r="A1359" s="1" t="s">
        <v>1191</v>
      </c>
      <c r="B1359" s="1" t="s">
        <v>1191</v>
      </c>
      <c r="C1359" s="13">
        <v>45854.45972222222</v>
      </c>
      <c r="D1359" s="2" t="s">
        <v>951</v>
      </c>
      <c r="E1359" s="2" t="s">
        <v>952</v>
      </c>
      <c r="F1359" s="14" t="s">
        <v>3486</v>
      </c>
      <c r="G1359" s="14" t="s">
        <v>3487</v>
      </c>
      <c r="H1359" s="15" t="s">
        <v>24</v>
      </c>
      <c r="I1359" s="15" t="s">
        <v>3491</v>
      </c>
      <c r="J1359" s="2">
        <v>5.0</v>
      </c>
      <c r="K1359" s="12" t="s">
        <v>4515</v>
      </c>
      <c r="L1359" s="16">
        <v>0.0</v>
      </c>
    </row>
    <row r="1360" hidden="1">
      <c r="A1360" s="1" t="s">
        <v>1191</v>
      </c>
      <c r="B1360" s="1" t="s">
        <v>1191</v>
      </c>
      <c r="C1360" s="13">
        <v>45854.46041666667</v>
      </c>
      <c r="D1360" s="2" t="s">
        <v>951</v>
      </c>
      <c r="E1360" s="2" t="s">
        <v>952</v>
      </c>
      <c r="F1360" s="14" t="s">
        <v>3516</v>
      </c>
      <c r="G1360" s="14" t="s">
        <v>3517</v>
      </c>
      <c r="H1360" s="15" t="s">
        <v>24</v>
      </c>
      <c r="I1360" s="15" t="s">
        <v>3491</v>
      </c>
      <c r="J1360" s="2">
        <v>1.0</v>
      </c>
      <c r="K1360" s="12" t="s">
        <v>4450</v>
      </c>
      <c r="L1360" s="16">
        <v>0.0</v>
      </c>
    </row>
    <row r="1361" hidden="1">
      <c r="A1361" s="1" t="s">
        <v>1192</v>
      </c>
      <c r="B1361" s="1" t="s">
        <v>1192</v>
      </c>
      <c r="C1361" s="13">
        <v>45854.49513888889</v>
      </c>
      <c r="D1361" s="2" t="s">
        <v>305</v>
      </c>
      <c r="E1361" s="2" t="s">
        <v>306</v>
      </c>
      <c r="F1361" s="14" t="s">
        <v>3486</v>
      </c>
      <c r="G1361" s="14" t="s">
        <v>3487</v>
      </c>
      <c r="H1361" s="15" t="s">
        <v>24</v>
      </c>
      <c r="I1361" s="15" t="s">
        <v>3491</v>
      </c>
      <c r="J1361" s="2">
        <v>2.0</v>
      </c>
      <c r="K1361" s="12" t="s">
        <v>4516</v>
      </c>
      <c r="L1361" s="16">
        <v>0.0</v>
      </c>
    </row>
    <row r="1362" hidden="1">
      <c r="A1362" s="1" t="s">
        <v>1193</v>
      </c>
      <c r="B1362" s="1" t="s">
        <v>1193</v>
      </c>
      <c r="C1362" s="13">
        <v>45854.49513888889</v>
      </c>
      <c r="D1362" s="2" t="s">
        <v>1144</v>
      </c>
      <c r="E1362" s="2" t="s">
        <v>1145</v>
      </c>
      <c r="F1362" s="14" t="s">
        <v>3486</v>
      </c>
      <c r="G1362" s="14" t="s">
        <v>3487</v>
      </c>
      <c r="H1362" s="15" t="s">
        <v>24</v>
      </c>
      <c r="I1362" s="15" t="s">
        <v>3491</v>
      </c>
      <c r="J1362" s="2">
        <v>1.0</v>
      </c>
      <c r="K1362" s="12" t="s">
        <v>4517</v>
      </c>
      <c r="L1362" s="16">
        <v>0.0</v>
      </c>
    </row>
    <row r="1363">
      <c r="A1363" s="1" t="s">
        <v>1194</v>
      </c>
      <c r="B1363" s="1" t="s">
        <v>1194</v>
      </c>
      <c r="C1363" s="13">
        <v>45855.436111111114</v>
      </c>
      <c r="D1363" s="2" t="s">
        <v>45</v>
      </c>
      <c r="E1363" s="2" t="s">
        <v>46</v>
      </c>
      <c r="F1363" s="14" t="s">
        <v>3486</v>
      </c>
      <c r="G1363" s="14" t="s">
        <v>3487</v>
      </c>
      <c r="H1363" s="15" t="s">
        <v>24</v>
      </c>
      <c r="I1363" s="15" t="s">
        <v>3491</v>
      </c>
      <c r="J1363" s="2">
        <v>7.0</v>
      </c>
      <c r="K1363" s="12" t="s">
        <v>4518</v>
      </c>
      <c r="L1363" s="16">
        <v>0.0</v>
      </c>
    </row>
    <row r="1364">
      <c r="A1364" s="1" t="s">
        <v>1194</v>
      </c>
      <c r="B1364" s="1" t="s">
        <v>1194</v>
      </c>
      <c r="C1364" s="13">
        <v>45855.43680555555</v>
      </c>
      <c r="D1364" s="2" t="s">
        <v>45</v>
      </c>
      <c r="E1364" s="2" t="s">
        <v>46</v>
      </c>
      <c r="F1364" s="14" t="s">
        <v>3522</v>
      </c>
      <c r="G1364" s="14" t="s">
        <v>3523</v>
      </c>
      <c r="H1364" s="15" t="s">
        <v>24</v>
      </c>
      <c r="I1364" s="15" t="s">
        <v>3491</v>
      </c>
      <c r="J1364" s="2">
        <v>6.0</v>
      </c>
      <c r="K1364" s="12" t="s">
        <v>4519</v>
      </c>
      <c r="L1364" s="16">
        <v>0.0</v>
      </c>
    </row>
    <row r="1365" hidden="1">
      <c r="A1365" s="1" t="s">
        <v>1195</v>
      </c>
      <c r="B1365" s="1" t="s">
        <v>1195</v>
      </c>
      <c r="C1365" s="13">
        <v>45855.46666666667</v>
      </c>
      <c r="D1365" s="2" t="s">
        <v>1084</v>
      </c>
      <c r="E1365" s="2" t="s">
        <v>1085</v>
      </c>
      <c r="F1365" s="14" t="s">
        <v>4203</v>
      </c>
      <c r="G1365" s="14" t="s">
        <v>4204</v>
      </c>
      <c r="H1365" s="15" t="s">
        <v>24</v>
      </c>
      <c r="I1365" s="15" t="s">
        <v>3491</v>
      </c>
      <c r="J1365" s="2">
        <v>7.0</v>
      </c>
      <c r="K1365" s="12" t="s">
        <v>4520</v>
      </c>
      <c r="L1365" s="16">
        <v>0.0</v>
      </c>
    </row>
    <row r="1366" hidden="1">
      <c r="A1366" s="1" t="s">
        <v>1195</v>
      </c>
      <c r="B1366" s="1" t="s">
        <v>1195</v>
      </c>
      <c r="C1366" s="13">
        <v>45855.47152777778</v>
      </c>
      <c r="D1366" s="2" t="s">
        <v>1084</v>
      </c>
      <c r="E1366" s="2" t="s">
        <v>1085</v>
      </c>
      <c r="F1366" s="14" t="s">
        <v>3516</v>
      </c>
      <c r="G1366" s="14" t="s">
        <v>3517</v>
      </c>
      <c r="H1366" s="15" t="s">
        <v>24</v>
      </c>
      <c r="I1366" s="15" t="s">
        <v>3491</v>
      </c>
      <c r="J1366" s="2">
        <v>3.0</v>
      </c>
      <c r="K1366" s="12" t="s">
        <v>4521</v>
      </c>
      <c r="L1366" s="16">
        <v>0.0</v>
      </c>
    </row>
    <row r="1367" hidden="1">
      <c r="A1367" s="1" t="s">
        <v>1196</v>
      </c>
      <c r="B1367" s="1" t="s">
        <v>1196</v>
      </c>
      <c r="C1367" s="13">
        <v>45856.458333333336</v>
      </c>
      <c r="D1367" s="2" t="s">
        <v>213</v>
      </c>
      <c r="E1367" s="2" t="s">
        <v>214</v>
      </c>
      <c r="F1367" s="14" t="s">
        <v>3486</v>
      </c>
      <c r="G1367" s="14" t="s">
        <v>3487</v>
      </c>
      <c r="H1367" s="15" t="s">
        <v>16</v>
      </c>
      <c r="I1367" s="15" t="s">
        <v>3488</v>
      </c>
      <c r="J1367" s="2">
        <v>10.0</v>
      </c>
      <c r="K1367" s="12" t="s">
        <v>4522</v>
      </c>
      <c r="L1367" s="16">
        <v>60000.0</v>
      </c>
    </row>
    <row r="1368" hidden="1">
      <c r="A1368" s="1" t="s">
        <v>1197</v>
      </c>
      <c r="B1368" s="1" t="s">
        <v>1197</v>
      </c>
      <c r="C1368" s="13">
        <v>45856.4625</v>
      </c>
      <c r="D1368" s="2" t="s">
        <v>109</v>
      </c>
      <c r="E1368" s="2" t="s">
        <v>110</v>
      </c>
      <c r="F1368" s="14" t="s">
        <v>3486</v>
      </c>
      <c r="G1368" s="14" t="s">
        <v>3487</v>
      </c>
      <c r="H1368" s="15" t="s">
        <v>24</v>
      </c>
      <c r="I1368" s="15" t="s">
        <v>3491</v>
      </c>
      <c r="J1368" s="2">
        <v>2.0</v>
      </c>
      <c r="K1368" s="12" t="s">
        <v>4523</v>
      </c>
      <c r="L1368" s="16">
        <v>0.0</v>
      </c>
    </row>
    <row r="1369" hidden="1">
      <c r="A1369" s="1" t="s">
        <v>1198</v>
      </c>
      <c r="B1369" s="1" t="s">
        <v>1198</v>
      </c>
      <c r="C1369" s="13">
        <v>45856.46319444444</v>
      </c>
      <c r="D1369" s="2" t="s">
        <v>934</v>
      </c>
      <c r="E1369" s="2" t="s">
        <v>935</v>
      </c>
      <c r="F1369" s="14" t="s">
        <v>3522</v>
      </c>
      <c r="G1369" s="14" t="s">
        <v>3523</v>
      </c>
      <c r="H1369" s="15" t="s">
        <v>24</v>
      </c>
      <c r="I1369" s="15" t="s">
        <v>3491</v>
      </c>
      <c r="J1369" s="2">
        <v>1.0</v>
      </c>
      <c r="K1369" s="12" t="s">
        <v>4416</v>
      </c>
      <c r="L1369" s="16">
        <v>0.0</v>
      </c>
    </row>
    <row r="1370" hidden="1">
      <c r="A1370" s="1" t="s">
        <v>1199</v>
      </c>
      <c r="B1370" s="1" t="s">
        <v>1199</v>
      </c>
      <c r="C1370" s="13">
        <v>45856.669444444444</v>
      </c>
      <c r="D1370" s="2" t="s">
        <v>213</v>
      </c>
      <c r="E1370" s="2" t="s">
        <v>214</v>
      </c>
      <c r="F1370" s="14" t="s">
        <v>3486</v>
      </c>
      <c r="G1370" s="14" t="s">
        <v>3487</v>
      </c>
      <c r="H1370" s="15" t="s">
        <v>24</v>
      </c>
      <c r="I1370" s="15" t="s">
        <v>3491</v>
      </c>
      <c r="J1370" s="2">
        <v>2.0</v>
      </c>
      <c r="K1370" s="12" t="s">
        <v>4524</v>
      </c>
      <c r="L1370" s="16">
        <v>0.0</v>
      </c>
    </row>
    <row r="1371" hidden="1">
      <c r="A1371" s="1" t="s">
        <v>1200</v>
      </c>
      <c r="B1371" s="1" t="s">
        <v>1200</v>
      </c>
      <c r="C1371" s="13">
        <v>45859.39375</v>
      </c>
      <c r="D1371" s="2" t="s">
        <v>786</v>
      </c>
      <c r="E1371" s="2" t="s">
        <v>787</v>
      </c>
      <c r="F1371" s="14" t="s">
        <v>3486</v>
      </c>
      <c r="G1371" s="14" t="s">
        <v>3487</v>
      </c>
      <c r="H1371" s="15" t="s">
        <v>16</v>
      </c>
      <c r="I1371" s="15" t="s">
        <v>3488</v>
      </c>
      <c r="J1371" s="2">
        <v>2.0</v>
      </c>
      <c r="K1371" s="12" t="s">
        <v>4525</v>
      </c>
      <c r="L1371" s="16">
        <v>60000.0</v>
      </c>
    </row>
    <row r="1372" hidden="1">
      <c r="A1372" s="1" t="s">
        <v>1201</v>
      </c>
      <c r="B1372" s="1" t="s">
        <v>1201</v>
      </c>
      <c r="C1372" s="13">
        <v>45859.39444444444</v>
      </c>
      <c r="D1372" s="2" t="s">
        <v>169</v>
      </c>
      <c r="E1372" s="2" t="s">
        <v>170</v>
      </c>
      <c r="F1372" s="14" t="s">
        <v>3522</v>
      </c>
      <c r="G1372" s="14" t="s">
        <v>3523</v>
      </c>
      <c r="H1372" s="15" t="s">
        <v>16</v>
      </c>
      <c r="I1372" s="15" t="s">
        <v>3488</v>
      </c>
      <c r="J1372" s="2">
        <v>10.0</v>
      </c>
      <c r="K1372" s="12" t="s">
        <v>4526</v>
      </c>
      <c r="L1372" s="16">
        <v>195000.0</v>
      </c>
    </row>
    <row r="1373" hidden="1">
      <c r="A1373" s="1" t="s">
        <v>1201</v>
      </c>
      <c r="B1373" s="1" t="s">
        <v>1201</v>
      </c>
      <c r="C1373" s="13">
        <v>45859.39444444444</v>
      </c>
      <c r="D1373" s="2" t="s">
        <v>169</v>
      </c>
      <c r="E1373" s="2" t="s">
        <v>170</v>
      </c>
      <c r="F1373" s="14" t="s">
        <v>3486</v>
      </c>
      <c r="G1373" s="14" t="s">
        <v>3487</v>
      </c>
      <c r="H1373" s="15" t="s">
        <v>16</v>
      </c>
      <c r="I1373" s="15" t="s">
        <v>3488</v>
      </c>
      <c r="J1373" s="2">
        <v>5.0</v>
      </c>
      <c r="K1373" s="12" t="s">
        <v>4527</v>
      </c>
      <c r="L1373" s="16">
        <v>60000.0</v>
      </c>
    </row>
    <row r="1374" hidden="1">
      <c r="A1374" s="1" t="s">
        <v>1202</v>
      </c>
      <c r="B1374" s="1" t="s">
        <v>1202</v>
      </c>
      <c r="C1374" s="13">
        <v>45859.39722222222</v>
      </c>
      <c r="D1374" s="2" t="s">
        <v>1203</v>
      </c>
      <c r="E1374" s="2" t="s">
        <v>1204</v>
      </c>
      <c r="F1374" s="14" t="s">
        <v>3547</v>
      </c>
      <c r="G1374" s="14" t="s">
        <v>3548</v>
      </c>
      <c r="H1374" s="15" t="s">
        <v>16</v>
      </c>
      <c r="I1374" s="15" t="s">
        <v>3488</v>
      </c>
      <c r="J1374" s="2">
        <v>2.0</v>
      </c>
      <c r="K1374" s="19"/>
      <c r="L1374" s="16">
        <v>900000.0</v>
      </c>
    </row>
    <row r="1375" hidden="1">
      <c r="A1375" s="1" t="s">
        <v>1206</v>
      </c>
      <c r="B1375" s="1" t="s">
        <v>1206</v>
      </c>
      <c r="C1375" s="13">
        <v>45859.47361111111</v>
      </c>
      <c r="D1375" s="2" t="s">
        <v>885</v>
      </c>
      <c r="E1375" s="2" t="s">
        <v>886</v>
      </c>
      <c r="F1375" s="14" t="s">
        <v>3486</v>
      </c>
      <c r="G1375" s="14" t="s">
        <v>3487</v>
      </c>
      <c r="H1375" s="15" t="s">
        <v>16</v>
      </c>
      <c r="I1375" s="15" t="s">
        <v>3488</v>
      </c>
      <c r="J1375" s="2">
        <v>1.0</v>
      </c>
      <c r="K1375" s="12" t="s">
        <v>4528</v>
      </c>
      <c r="L1375" s="16">
        <v>55000.0</v>
      </c>
    </row>
    <row r="1376" hidden="1">
      <c r="A1376" s="1" t="s">
        <v>1206</v>
      </c>
      <c r="B1376" s="1" t="s">
        <v>1206</v>
      </c>
      <c r="C1376" s="13">
        <v>45859.47361111111</v>
      </c>
      <c r="D1376" s="2" t="s">
        <v>885</v>
      </c>
      <c r="E1376" s="2" t="s">
        <v>886</v>
      </c>
      <c r="F1376" s="14" t="s">
        <v>3522</v>
      </c>
      <c r="G1376" s="14" t="s">
        <v>3523</v>
      </c>
      <c r="H1376" s="15" t="s">
        <v>16</v>
      </c>
      <c r="I1376" s="15" t="s">
        <v>3488</v>
      </c>
      <c r="J1376" s="2">
        <v>1.0</v>
      </c>
      <c r="K1376" s="12" t="s">
        <v>4364</v>
      </c>
      <c r="L1376" s="16">
        <v>195000.0</v>
      </c>
    </row>
    <row r="1377" hidden="1">
      <c r="A1377" s="1" t="s">
        <v>1207</v>
      </c>
      <c r="B1377" s="1" t="s">
        <v>1207</v>
      </c>
      <c r="C1377" s="13">
        <v>45859.47777777778</v>
      </c>
      <c r="D1377" s="2" t="s">
        <v>309</v>
      </c>
      <c r="E1377" s="2" t="s">
        <v>310</v>
      </c>
      <c r="F1377" s="14" t="s">
        <v>3506</v>
      </c>
      <c r="G1377" s="14" t="s">
        <v>3507</v>
      </c>
      <c r="H1377" s="15" t="s">
        <v>24</v>
      </c>
      <c r="I1377" s="15" t="s">
        <v>3491</v>
      </c>
      <c r="J1377" s="2">
        <v>10.0</v>
      </c>
      <c r="K1377" s="19"/>
      <c r="L1377" s="16">
        <v>0.0</v>
      </c>
    </row>
    <row r="1378" hidden="1">
      <c r="A1378" s="1" t="s">
        <v>1207</v>
      </c>
      <c r="B1378" s="1" t="s">
        <v>1207</v>
      </c>
      <c r="C1378" s="13">
        <v>45859.47777777778</v>
      </c>
      <c r="D1378" s="2" t="s">
        <v>309</v>
      </c>
      <c r="E1378" s="2" t="s">
        <v>310</v>
      </c>
      <c r="F1378" s="14" t="s">
        <v>4045</v>
      </c>
      <c r="G1378" s="14" t="s">
        <v>4046</v>
      </c>
      <c r="H1378" s="15" t="s">
        <v>24</v>
      </c>
      <c r="I1378" s="15" t="s">
        <v>3491</v>
      </c>
      <c r="J1378" s="2">
        <v>1.0</v>
      </c>
      <c r="K1378" s="19"/>
      <c r="L1378" s="16">
        <v>0.0</v>
      </c>
    </row>
    <row r="1379" hidden="1">
      <c r="A1379" s="1" t="s">
        <v>1208</v>
      </c>
      <c r="B1379" s="1" t="s">
        <v>1208</v>
      </c>
      <c r="C1379" s="13">
        <v>45859.478472222225</v>
      </c>
      <c r="D1379" s="2" t="s">
        <v>786</v>
      </c>
      <c r="E1379" s="2" t="s">
        <v>787</v>
      </c>
      <c r="F1379" s="14" t="s">
        <v>3486</v>
      </c>
      <c r="G1379" s="14" t="s">
        <v>3487</v>
      </c>
      <c r="H1379" s="15" t="s">
        <v>24</v>
      </c>
      <c r="I1379" s="15" t="s">
        <v>3491</v>
      </c>
      <c r="J1379" s="2">
        <v>4.0</v>
      </c>
      <c r="K1379" s="12" t="s">
        <v>4529</v>
      </c>
      <c r="L1379" s="16">
        <v>0.0</v>
      </c>
    </row>
    <row r="1380" hidden="1">
      <c r="A1380" s="1" t="s">
        <v>1209</v>
      </c>
      <c r="B1380" s="1" t="s">
        <v>1209</v>
      </c>
      <c r="C1380" s="13">
        <v>45859.49236111111</v>
      </c>
      <c r="D1380" s="2" t="s">
        <v>885</v>
      </c>
      <c r="E1380" s="2" t="s">
        <v>886</v>
      </c>
      <c r="F1380" s="14" t="s">
        <v>4203</v>
      </c>
      <c r="G1380" s="14" t="s">
        <v>4204</v>
      </c>
      <c r="H1380" s="15" t="s">
        <v>24</v>
      </c>
      <c r="I1380" s="15" t="s">
        <v>3491</v>
      </c>
      <c r="J1380" s="2">
        <v>2.0</v>
      </c>
      <c r="K1380" s="12" t="s">
        <v>4530</v>
      </c>
      <c r="L1380" s="16">
        <v>0.0</v>
      </c>
    </row>
    <row r="1381" hidden="1">
      <c r="A1381" s="1" t="s">
        <v>1210</v>
      </c>
      <c r="B1381" s="1" t="s">
        <v>1210</v>
      </c>
      <c r="C1381" s="13">
        <v>45859.535416666666</v>
      </c>
      <c r="D1381" s="2" t="s">
        <v>169</v>
      </c>
      <c r="E1381" s="2" t="s">
        <v>170</v>
      </c>
      <c r="F1381" s="14" t="s">
        <v>3486</v>
      </c>
      <c r="G1381" s="14" t="s">
        <v>3487</v>
      </c>
      <c r="H1381" s="15" t="s">
        <v>24</v>
      </c>
      <c r="I1381" s="15" t="s">
        <v>3491</v>
      </c>
      <c r="J1381" s="2">
        <v>6.0</v>
      </c>
      <c r="K1381" s="12" t="s">
        <v>4531</v>
      </c>
      <c r="L1381" s="16">
        <v>0.0</v>
      </c>
    </row>
    <row r="1382" hidden="1">
      <c r="A1382" s="1" t="s">
        <v>1210</v>
      </c>
      <c r="B1382" s="1" t="s">
        <v>1210</v>
      </c>
      <c r="C1382" s="13">
        <v>45859.53611111111</v>
      </c>
      <c r="D1382" s="2" t="s">
        <v>169</v>
      </c>
      <c r="E1382" s="2" t="s">
        <v>170</v>
      </c>
      <c r="F1382" s="14" t="s">
        <v>3522</v>
      </c>
      <c r="G1382" s="14" t="s">
        <v>3523</v>
      </c>
      <c r="H1382" s="15" t="s">
        <v>24</v>
      </c>
      <c r="I1382" s="15" t="s">
        <v>3491</v>
      </c>
      <c r="J1382" s="2">
        <v>6.0</v>
      </c>
      <c r="K1382" s="12" t="s">
        <v>4532</v>
      </c>
      <c r="L1382" s="16">
        <v>0.0</v>
      </c>
    </row>
    <row r="1383" hidden="1">
      <c r="A1383" s="1" t="s">
        <v>1211</v>
      </c>
      <c r="B1383" s="1" t="s">
        <v>1211</v>
      </c>
      <c r="C1383" s="13">
        <v>45859.54027777778</v>
      </c>
      <c r="D1383" s="2" t="s">
        <v>1203</v>
      </c>
      <c r="E1383" s="2" t="s">
        <v>1204</v>
      </c>
      <c r="F1383" s="14" t="s">
        <v>3547</v>
      </c>
      <c r="G1383" s="14" t="s">
        <v>3548</v>
      </c>
      <c r="H1383" s="15" t="s">
        <v>24</v>
      </c>
      <c r="I1383" s="15" t="s">
        <v>3491</v>
      </c>
      <c r="J1383" s="2">
        <v>2.0</v>
      </c>
      <c r="K1383" s="19"/>
      <c r="L1383" s="16">
        <v>0.0</v>
      </c>
    </row>
    <row r="1384" hidden="1">
      <c r="A1384" s="1" t="s">
        <v>1212</v>
      </c>
      <c r="B1384" s="1" t="s">
        <v>1212</v>
      </c>
      <c r="C1384" s="13">
        <v>45860.339583333334</v>
      </c>
      <c r="D1384" s="2" t="s">
        <v>309</v>
      </c>
      <c r="E1384" s="2" t="s">
        <v>310</v>
      </c>
      <c r="F1384" s="14" t="s">
        <v>3506</v>
      </c>
      <c r="G1384" s="14" t="s">
        <v>3507</v>
      </c>
      <c r="H1384" s="15" t="s">
        <v>16</v>
      </c>
      <c r="I1384" s="15" t="s">
        <v>3488</v>
      </c>
      <c r="J1384" s="2">
        <v>10.0</v>
      </c>
      <c r="K1384" s="19"/>
      <c r="L1384" s="16">
        <v>55000.0</v>
      </c>
    </row>
    <row r="1385" hidden="1">
      <c r="A1385" s="1" t="s">
        <v>1212</v>
      </c>
      <c r="B1385" s="1" t="s">
        <v>1212</v>
      </c>
      <c r="C1385" s="13">
        <v>45860.34027777778</v>
      </c>
      <c r="D1385" s="2" t="s">
        <v>309</v>
      </c>
      <c r="E1385" s="2" t="s">
        <v>310</v>
      </c>
      <c r="F1385" s="14" t="s">
        <v>4045</v>
      </c>
      <c r="G1385" s="14" t="s">
        <v>4046</v>
      </c>
      <c r="H1385" s="15" t="s">
        <v>16</v>
      </c>
      <c r="I1385" s="15" t="s">
        <v>3488</v>
      </c>
      <c r="J1385" s="2">
        <v>1.0</v>
      </c>
      <c r="K1385" s="19"/>
      <c r="L1385" s="16">
        <v>160000.0</v>
      </c>
    </row>
    <row r="1386" hidden="1">
      <c r="A1386" s="1" t="s">
        <v>1213</v>
      </c>
      <c r="B1386" s="1" t="s">
        <v>1213</v>
      </c>
      <c r="C1386" s="13">
        <v>45859.691666666666</v>
      </c>
      <c r="D1386" s="2" t="s">
        <v>685</v>
      </c>
      <c r="E1386" s="2" t="s">
        <v>686</v>
      </c>
      <c r="F1386" s="14" t="s">
        <v>3493</v>
      </c>
      <c r="G1386" s="14" t="s">
        <v>3494</v>
      </c>
      <c r="H1386" s="15" t="s">
        <v>16</v>
      </c>
      <c r="I1386" s="15" t="s">
        <v>3488</v>
      </c>
      <c r="J1386" s="2">
        <v>1.0</v>
      </c>
      <c r="K1386" s="19"/>
      <c r="L1386" s="16">
        <v>189189.19</v>
      </c>
    </row>
    <row r="1387" hidden="1">
      <c r="A1387" s="1" t="s">
        <v>1214</v>
      </c>
      <c r="B1387" s="1" t="s">
        <v>1214</v>
      </c>
      <c r="C1387" s="13">
        <v>45860.35138888889</v>
      </c>
      <c r="D1387" s="2" t="s">
        <v>943</v>
      </c>
      <c r="E1387" s="2" t="s">
        <v>944</v>
      </c>
      <c r="F1387" s="14" t="s">
        <v>4203</v>
      </c>
      <c r="G1387" s="14" t="s">
        <v>4204</v>
      </c>
      <c r="H1387" s="15" t="s">
        <v>16</v>
      </c>
      <c r="I1387" s="15" t="s">
        <v>3488</v>
      </c>
      <c r="J1387" s="2">
        <v>5.0</v>
      </c>
      <c r="K1387" s="12" t="s">
        <v>4533</v>
      </c>
      <c r="L1387" s="16">
        <v>55000.0</v>
      </c>
    </row>
    <row r="1388" hidden="1">
      <c r="A1388" s="1" t="s">
        <v>1215</v>
      </c>
      <c r="B1388" s="1" t="s">
        <v>1215</v>
      </c>
      <c r="C1388" s="13">
        <v>45860.354166666664</v>
      </c>
      <c r="D1388" s="2" t="s">
        <v>1084</v>
      </c>
      <c r="E1388" s="2" t="s">
        <v>1085</v>
      </c>
      <c r="F1388" s="14" t="s">
        <v>3516</v>
      </c>
      <c r="G1388" s="14" t="s">
        <v>3517</v>
      </c>
      <c r="H1388" s="15" t="s">
        <v>16</v>
      </c>
      <c r="I1388" s="15" t="s">
        <v>3488</v>
      </c>
      <c r="J1388" s="2">
        <v>5.0</v>
      </c>
      <c r="K1388" s="12" t="s">
        <v>4534</v>
      </c>
      <c r="L1388" s="16">
        <v>210000.0</v>
      </c>
    </row>
    <row r="1389" hidden="1">
      <c r="A1389" s="1" t="s">
        <v>1216</v>
      </c>
      <c r="B1389" s="1" t="s">
        <v>1216</v>
      </c>
      <c r="C1389" s="13">
        <v>45860.413194444445</v>
      </c>
      <c r="D1389" s="2" t="s">
        <v>951</v>
      </c>
      <c r="E1389" s="2" t="s">
        <v>952</v>
      </c>
      <c r="F1389" s="14" t="s">
        <v>3486</v>
      </c>
      <c r="G1389" s="14" t="s">
        <v>3487</v>
      </c>
      <c r="H1389" s="15" t="s">
        <v>16</v>
      </c>
      <c r="I1389" s="15" t="s">
        <v>3488</v>
      </c>
      <c r="J1389" s="2">
        <v>5.0</v>
      </c>
      <c r="K1389" s="12" t="s">
        <v>4535</v>
      </c>
      <c r="L1389" s="16">
        <v>55000.0</v>
      </c>
    </row>
    <row r="1390" hidden="1">
      <c r="A1390" s="1" t="s">
        <v>1216</v>
      </c>
      <c r="B1390" s="1" t="s">
        <v>1216</v>
      </c>
      <c r="C1390" s="13">
        <v>45860.413194444445</v>
      </c>
      <c r="D1390" s="2" t="s">
        <v>951</v>
      </c>
      <c r="E1390" s="2" t="s">
        <v>952</v>
      </c>
      <c r="F1390" s="14" t="s">
        <v>3516</v>
      </c>
      <c r="G1390" s="14" t="s">
        <v>3517</v>
      </c>
      <c r="H1390" s="15" t="s">
        <v>16</v>
      </c>
      <c r="I1390" s="15" t="s">
        <v>3488</v>
      </c>
      <c r="J1390" s="2">
        <v>1.0</v>
      </c>
      <c r="K1390" s="12" t="s">
        <v>4498</v>
      </c>
      <c r="L1390" s="16">
        <v>165000.0</v>
      </c>
    </row>
    <row r="1391" hidden="1">
      <c r="A1391" s="1" t="s">
        <v>1217</v>
      </c>
      <c r="B1391" s="1" t="s">
        <v>1217</v>
      </c>
      <c r="C1391" s="13">
        <v>45860.53958333333</v>
      </c>
      <c r="D1391" s="2" t="s">
        <v>679</v>
      </c>
      <c r="E1391" s="2" t="s">
        <v>680</v>
      </c>
      <c r="F1391" s="14" t="s">
        <v>3486</v>
      </c>
      <c r="G1391" s="14" t="s">
        <v>3487</v>
      </c>
      <c r="H1391" s="15" t="s">
        <v>16</v>
      </c>
      <c r="I1391" s="15" t="s">
        <v>3488</v>
      </c>
      <c r="J1391" s="2">
        <v>1.0</v>
      </c>
      <c r="K1391" s="12" t="s">
        <v>3577</v>
      </c>
      <c r="L1391" s="16">
        <v>65000.0</v>
      </c>
    </row>
    <row r="1392">
      <c r="A1392" s="1" t="s">
        <v>1218</v>
      </c>
      <c r="B1392" s="1" t="s">
        <v>1218</v>
      </c>
      <c r="C1392" s="13">
        <v>45861.33263888889</v>
      </c>
      <c r="D1392" s="2" t="s">
        <v>45</v>
      </c>
      <c r="E1392" s="2" t="s">
        <v>46</v>
      </c>
      <c r="F1392" s="14" t="s">
        <v>3486</v>
      </c>
      <c r="G1392" s="14" t="s">
        <v>3487</v>
      </c>
      <c r="H1392" s="15" t="s">
        <v>16</v>
      </c>
      <c r="I1392" s="15" t="s">
        <v>3488</v>
      </c>
      <c r="J1392" s="2">
        <v>5.0</v>
      </c>
      <c r="K1392" s="12" t="s">
        <v>4536</v>
      </c>
      <c r="L1392" s="16">
        <v>60000.0</v>
      </c>
    </row>
    <row r="1393">
      <c r="A1393" s="1" t="s">
        <v>1218</v>
      </c>
      <c r="B1393" s="1" t="s">
        <v>1218</v>
      </c>
      <c r="C1393" s="13">
        <v>45861.333333333336</v>
      </c>
      <c r="D1393" s="2" t="s">
        <v>45</v>
      </c>
      <c r="E1393" s="2" t="s">
        <v>46</v>
      </c>
      <c r="F1393" s="14" t="s">
        <v>3493</v>
      </c>
      <c r="G1393" s="14" t="s">
        <v>3494</v>
      </c>
      <c r="H1393" s="15" t="s">
        <v>16</v>
      </c>
      <c r="I1393" s="15" t="s">
        <v>3488</v>
      </c>
      <c r="J1393" s="2">
        <v>5.0</v>
      </c>
      <c r="K1393" s="19"/>
      <c r="L1393" s="16">
        <v>210000.0</v>
      </c>
    </row>
    <row r="1394">
      <c r="A1394" s="1" t="s">
        <v>1218</v>
      </c>
      <c r="B1394" s="1" t="s">
        <v>1218</v>
      </c>
      <c r="C1394" s="13">
        <v>45861.334027777775</v>
      </c>
      <c r="D1394" s="2" t="s">
        <v>45</v>
      </c>
      <c r="E1394" s="2" t="s">
        <v>46</v>
      </c>
      <c r="F1394" s="14" t="s">
        <v>3522</v>
      </c>
      <c r="G1394" s="14" t="s">
        <v>3523</v>
      </c>
      <c r="H1394" s="15" t="s">
        <v>16</v>
      </c>
      <c r="I1394" s="15" t="s">
        <v>3488</v>
      </c>
      <c r="J1394" s="2">
        <v>10.0</v>
      </c>
      <c r="K1394" s="12" t="s">
        <v>4537</v>
      </c>
      <c r="L1394" s="16">
        <v>185000.0</v>
      </c>
    </row>
    <row r="1395" hidden="1">
      <c r="A1395" s="1" t="s">
        <v>1219</v>
      </c>
      <c r="B1395" s="1" t="s">
        <v>1219</v>
      </c>
      <c r="C1395" s="13">
        <v>45860.71666666667</v>
      </c>
      <c r="D1395" s="2" t="s">
        <v>1084</v>
      </c>
      <c r="E1395" s="2" t="s">
        <v>1085</v>
      </c>
      <c r="F1395" s="14" t="s">
        <v>4203</v>
      </c>
      <c r="G1395" s="14" t="s">
        <v>4204</v>
      </c>
      <c r="H1395" s="15" t="s">
        <v>24</v>
      </c>
      <c r="I1395" s="15" t="s">
        <v>3491</v>
      </c>
      <c r="J1395" s="2">
        <v>2.0</v>
      </c>
      <c r="K1395" s="12" t="s">
        <v>4538</v>
      </c>
      <c r="L1395" s="16">
        <v>0.0</v>
      </c>
    </row>
    <row r="1396" hidden="1">
      <c r="A1396" s="1" t="s">
        <v>1220</v>
      </c>
      <c r="B1396" s="1" t="s">
        <v>1220</v>
      </c>
      <c r="C1396" s="13">
        <v>45860.71666666667</v>
      </c>
      <c r="D1396" s="2" t="s">
        <v>213</v>
      </c>
      <c r="E1396" s="2" t="s">
        <v>214</v>
      </c>
      <c r="F1396" s="14" t="s">
        <v>3486</v>
      </c>
      <c r="G1396" s="14" t="s">
        <v>3487</v>
      </c>
      <c r="H1396" s="15" t="s">
        <v>24</v>
      </c>
      <c r="I1396" s="15" t="s">
        <v>3491</v>
      </c>
      <c r="J1396" s="2">
        <v>4.0</v>
      </c>
      <c r="K1396" s="12" t="s">
        <v>4539</v>
      </c>
      <c r="L1396" s="16">
        <v>0.0</v>
      </c>
    </row>
    <row r="1397" hidden="1">
      <c r="A1397" s="1" t="s">
        <v>1221</v>
      </c>
      <c r="B1397" s="1" t="s">
        <v>1221</v>
      </c>
      <c r="C1397" s="13">
        <v>45860.717361111114</v>
      </c>
      <c r="D1397" s="2" t="s">
        <v>951</v>
      </c>
      <c r="E1397" s="2" t="s">
        <v>952</v>
      </c>
      <c r="F1397" s="14" t="s">
        <v>3486</v>
      </c>
      <c r="G1397" s="14" t="s">
        <v>3487</v>
      </c>
      <c r="H1397" s="15" t="s">
        <v>24</v>
      </c>
      <c r="I1397" s="15" t="s">
        <v>3491</v>
      </c>
      <c r="J1397" s="2">
        <v>5.0</v>
      </c>
      <c r="K1397" s="12" t="s">
        <v>4540</v>
      </c>
      <c r="L1397" s="16">
        <v>0.0</v>
      </c>
    </row>
    <row r="1398" hidden="1">
      <c r="A1398" s="1" t="s">
        <v>1221</v>
      </c>
      <c r="B1398" s="1" t="s">
        <v>1221</v>
      </c>
      <c r="C1398" s="13">
        <v>45860.71805555555</v>
      </c>
      <c r="D1398" s="2" t="s">
        <v>951</v>
      </c>
      <c r="E1398" s="2" t="s">
        <v>952</v>
      </c>
      <c r="F1398" s="14" t="s">
        <v>3516</v>
      </c>
      <c r="G1398" s="14" t="s">
        <v>3517</v>
      </c>
      <c r="H1398" s="15" t="s">
        <v>24</v>
      </c>
      <c r="I1398" s="15" t="s">
        <v>3491</v>
      </c>
      <c r="J1398" s="2">
        <v>1.0</v>
      </c>
      <c r="K1398" s="12" t="s">
        <v>4495</v>
      </c>
      <c r="L1398" s="16">
        <v>0.0</v>
      </c>
    </row>
    <row r="1399" hidden="1">
      <c r="A1399" s="1" t="s">
        <v>1222</v>
      </c>
      <c r="B1399" s="1" t="s">
        <v>1222</v>
      </c>
      <c r="C1399" s="13">
        <v>45860.71805555555</v>
      </c>
      <c r="D1399" s="2" t="s">
        <v>943</v>
      </c>
      <c r="E1399" s="2" t="s">
        <v>944</v>
      </c>
      <c r="F1399" s="14" t="s">
        <v>4203</v>
      </c>
      <c r="G1399" s="14" t="s">
        <v>4204</v>
      </c>
      <c r="H1399" s="15" t="s">
        <v>24</v>
      </c>
      <c r="I1399" s="15" t="s">
        <v>3491</v>
      </c>
      <c r="J1399" s="2">
        <v>3.0</v>
      </c>
      <c r="K1399" s="12" t="s">
        <v>4541</v>
      </c>
      <c r="L1399" s="16">
        <v>0.0</v>
      </c>
    </row>
    <row r="1400" hidden="1">
      <c r="A1400" s="1" t="s">
        <v>1222</v>
      </c>
      <c r="B1400" s="1" t="s">
        <v>1222</v>
      </c>
      <c r="C1400" s="13">
        <v>45860.71805555555</v>
      </c>
      <c r="D1400" s="2" t="s">
        <v>943</v>
      </c>
      <c r="E1400" s="2" t="s">
        <v>944</v>
      </c>
      <c r="F1400" s="14" t="s">
        <v>3522</v>
      </c>
      <c r="G1400" s="14" t="s">
        <v>3523</v>
      </c>
      <c r="H1400" s="15" t="s">
        <v>24</v>
      </c>
      <c r="I1400" s="15" t="s">
        <v>3491</v>
      </c>
      <c r="J1400" s="2">
        <v>2.0</v>
      </c>
      <c r="K1400" s="12" t="s">
        <v>4542</v>
      </c>
      <c r="L1400" s="16">
        <v>0.0</v>
      </c>
    </row>
    <row r="1401" hidden="1">
      <c r="A1401" s="1" t="s">
        <v>1222</v>
      </c>
      <c r="B1401" s="1" t="s">
        <v>1222</v>
      </c>
      <c r="C1401" s="13">
        <v>45860.71875</v>
      </c>
      <c r="D1401" s="2" t="s">
        <v>943</v>
      </c>
      <c r="E1401" s="2" t="s">
        <v>944</v>
      </c>
      <c r="F1401" s="14" t="s">
        <v>3506</v>
      </c>
      <c r="G1401" s="14" t="s">
        <v>3507</v>
      </c>
      <c r="H1401" s="15" t="s">
        <v>24</v>
      </c>
      <c r="I1401" s="15" t="s">
        <v>3491</v>
      </c>
      <c r="J1401" s="2">
        <v>3.0</v>
      </c>
      <c r="K1401" s="19"/>
      <c r="L1401" s="16">
        <v>0.0</v>
      </c>
    </row>
    <row r="1402" hidden="1">
      <c r="A1402" s="1" t="s">
        <v>1223</v>
      </c>
      <c r="B1402" s="1" t="s">
        <v>1223</v>
      </c>
      <c r="C1402" s="13">
        <v>45861.50833333333</v>
      </c>
      <c r="D1402" s="2" t="s">
        <v>943</v>
      </c>
      <c r="E1402" s="2" t="s">
        <v>944</v>
      </c>
      <c r="F1402" s="14" t="s">
        <v>4203</v>
      </c>
      <c r="G1402" s="14" t="s">
        <v>4204</v>
      </c>
      <c r="H1402" s="15" t="s">
        <v>159</v>
      </c>
      <c r="I1402" s="15" t="s">
        <v>3619</v>
      </c>
      <c r="J1402" s="2">
        <v>4.0</v>
      </c>
      <c r="K1402" s="12" t="s">
        <v>4543</v>
      </c>
      <c r="L1402" s="16">
        <v>0.0</v>
      </c>
    </row>
    <row r="1403" hidden="1">
      <c r="A1403" s="1" t="s">
        <v>1224</v>
      </c>
      <c r="B1403" s="1" t="s">
        <v>1224</v>
      </c>
      <c r="C1403" s="13">
        <v>45861.510416666664</v>
      </c>
      <c r="D1403" s="2" t="s">
        <v>943</v>
      </c>
      <c r="E1403" s="2" t="s">
        <v>944</v>
      </c>
      <c r="F1403" s="14" t="s">
        <v>4203</v>
      </c>
      <c r="G1403" s="14" t="s">
        <v>4204</v>
      </c>
      <c r="H1403" s="15" t="s">
        <v>24</v>
      </c>
      <c r="I1403" s="15" t="s">
        <v>3614</v>
      </c>
      <c r="J1403" s="2">
        <v>3.0</v>
      </c>
      <c r="K1403" s="12" t="s">
        <v>4544</v>
      </c>
      <c r="L1403" s="16">
        <v>0.0</v>
      </c>
    </row>
    <row r="1404" hidden="1">
      <c r="A1404" s="1" t="s">
        <v>1225</v>
      </c>
      <c r="B1404" s="1" t="s">
        <v>1225</v>
      </c>
      <c r="C1404" s="13">
        <v>45861.53472222222</v>
      </c>
      <c r="D1404" s="2" t="s">
        <v>679</v>
      </c>
      <c r="E1404" s="2" t="s">
        <v>680</v>
      </c>
      <c r="F1404" s="14" t="s">
        <v>3486</v>
      </c>
      <c r="G1404" s="14" t="s">
        <v>3487</v>
      </c>
      <c r="H1404" s="15" t="s">
        <v>24</v>
      </c>
      <c r="I1404" s="15" t="s">
        <v>3491</v>
      </c>
      <c r="J1404" s="2">
        <v>2.0</v>
      </c>
      <c r="K1404" s="12" t="s">
        <v>4545</v>
      </c>
      <c r="L1404" s="16">
        <v>0.0</v>
      </c>
    </row>
    <row r="1405" hidden="1">
      <c r="A1405" s="1" t="s">
        <v>1226</v>
      </c>
      <c r="B1405" s="1" t="s">
        <v>1226</v>
      </c>
      <c r="C1405" s="13">
        <v>45861.56458333333</v>
      </c>
      <c r="D1405" s="2" t="s">
        <v>685</v>
      </c>
      <c r="E1405" s="2" t="s">
        <v>686</v>
      </c>
      <c r="F1405" s="14" t="s">
        <v>3493</v>
      </c>
      <c r="G1405" s="14" t="s">
        <v>3494</v>
      </c>
      <c r="H1405" s="15" t="s">
        <v>24</v>
      </c>
      <c r="I1405" s="15" t="s">
        <v>3491</v>
      </c>
      <c r="J1405" s="2">
        <v>2.0</v>
      </c>
      <c r="K1405" s="19"/>
      <c r="L1405" s="16">
        <v>0.0</v>
      </c>
    </row>
    <row r="1406" hidden="1">
      <c r="A1406" s="1"/>
      <c r="B1406" s="1"/>
      <c r="C1406" s="13"/>
      <c r="D1406" s="2"/>
      <c r="E1406" s="2"/>
      <c r="F1406" s="14"/>
      <c r="G1406" s="14"/>
      <c r="H1406" s="15"/>
      <c r="I1406" s="15"/>
      <c r="J1406" s="2"/>
      <c r="K1406" s="12"/>
      <c r="L1406" s="16"/>
    </row>
    <row r="1407" hidden="1">
      <c r="A1407" s="1"/>
      <c r="B1407" s="1"/>
      <c r="C1407" s="13"/>
      <c r="D1407" s="2"/>
      <c r="E1407" s="2"/>
      <c r="F1407" s="14"/>
      <c r="G1407" s="14"/>
      <c r="H1407" s="15"/>
      <c r="I1407" s="15"/>
      <c r="J1407" s="2"/>
      <c r="K1407" s="19"/>
      <c r="L1407" s="16"/>
    </row>
    <row r="1408" hidden="1">
      <c r="A1408" s="1" t="s">
        <v>1227</v>
      </c>
      <c r="B1408" s="1" t="s">
        <v>1227</v>
      </c>
      <c r="C1408" s="13">
        <v>45861.58472222222</v>
      </c>
      <c r="D1408" s="2" t="s">
        <v>1228</v>
      </c>
      <c r="E1408" s="2" t="s">
        <v>1229</v>
      </c>
      <c r="F1408" s="14" t="s">
        <v>3486</v>
      </c>
      <c r="G1408" s="14" t="s">
        <v>3487</v>
      </c>
      <c r="H1408" s="15" t="s">
        <v>16</v>
      </c>
      <c r="I1408" s="15" t="s">
        <v>3488</v>
      </c>
      <c r="J1408" s="2">
        <v>10.0</v>
      </c>
      <c r="K1408" s="23" t="s">
        <v>4546</v>
      </c>
      <c r="L1408" s="16">
        <v>55000.0</v>
      </c>
    </row>
    <row r="1409" hidden="1">
      <c r="A1409" s="1" t="s">
        <v>1227</v>
      </c>
      <c r="B1409" s="1" t="s">
        <v>1227</v>
      </c>
      <c r="C1409" s="13">
        <v>45861.61875</v>
      </c>
      <c r="D1409" s="2" t="s">
        <v>1228</v>
      </c>
      <c r="E1409" s="2" t="s">
        <v>1229</v>
      </c>
      <c r="F1409" s="14" t="s">
        <v>3493</v>
      </c>
      <c r="G1409" s="14" t="s">
        <v>3494</v>
      </c>
      <c r="H1409" s="15" t="s">
        <v>16</v>
      </c>
      <c r="I1409" s="15" t="s">
        <v>3488</v>
      </c>
      <c r="J1409" s="2">
        <v>2.0</v>
      </c>
      <c r="K1409" s="19"/>
      <c r="L1409" s="16">
        <v>210000.0</v>
      </c>
    </row>
    <row r="1410">
      <c r="A1410" s="1" t="s">
        <v>1231</v>
      </c>
      <c r="B1410" s="1" t="s">
        <v>1231</v>
      </c>
      <c r="C1410" s="13">
        <v>45861.779861111114</v>
      </c>
      <c r="D1410" s="2" t="s">
        <v>45</v>
      </c>
      <c r="E1410" s="2" t="s">
        <v>46</v>
      </c>
      <c r="F1410" s="14" t="s">
        <v>3486</v>
      </c>
      <c r="G1410" s="14" t="s">
        <v>3487</v>
      </c>
      <c r="H1410" s="15" t="s">
        <v>24</v>
      </c>
      <c r="I1410" s="15" t="s">
        <v>3491</v>
      </c>
      <c r="J1410" s="2">
        <v>1.0</v>
      </c>
      <c r="K1410" s="12" t="s">
        <v>4547</v>
      </c>
      <c r="L1410" s="16">
        <v>0.0</v>
      </c>
    </row>
    <row r="1411">
      <c r="A1411" s="1" t="s">
        <v>1231</v>
      </c>
      <c r="B1411" s="1" t="s">
        <v>1231</v>
      </c>
      <c r="C1411" s="13">
        <v>45861.779861111114</v>
      </c>
      <c r="D1411" s="2" t="s">
        <v>45</v>
      </c>
      <c r="E1411" s="2" t="s">
        <v>46</v>
      </c>
      <c r="F1411" s="14" t="s">
        <v>3522</v>
      </c>
      <c r="G1411" s="14" t="s">
        <v>3523</v>
      </c>
      <c r="H1411" s="15" t="s">
        <v>24</v>
      </c>
      <c r="I1411" s="15" t="s">
        <v>3491</v>
      </c>
      <c r="J1411" s="2">
        <v>7.0</v>
      </c>
      <c r="K1411" s="12" t="s">
        <v>4548</v>
      </c>
      <c r="L1411" s="16">
        <v>0.0</v>
      </c>
    </row>
    <row r="1412">
      <c r="A1412" s="1" t="s">
        <v>1231</v>
      </c>
      <c r="B1412" s="1" t="s">
        <v>1231</v>
      </c>
      <c r="C1412" s="6">
        <v>45861.78055555555</v>
      </c>
      <c r="D1412" s="2" t="s">
        <v>45</v>
      </c>
      <c r="E1412" s="2" t="s">
        <v>46</v>
      </c>
      <c r="F1412" s="14" t="s">
        <v>3493</v>
      </c>
      <c r="G1412" s="14" t="s">
        <v>3494</v>
      </c>
      <c r="H1412" s="15" t="s">
        <v>24</v>
      </c>
      <c r="I1412" s="15" t="s">
        <v>3491</v>
      </c>
      <c r="J1412" s="2">
        <v>7.0</v>
      </c>
      <c r="K1412" s="19"/>
      <c r="L1412" s="16">
        <v>0.0</v>
      </c>
    </row>
    <row r="1413" hidden="1">
      <c r="A1413" s="1" t="s">
        <v>1232</v>
      </c>
      <c r="B1413" s="1" t="s">
        <v>1232</v>
      </c>
      <c r="C1413" s="6">
        <v>45861.78055555555</v>
      </c>
      <c r="D1413" s="2" t="s">
        <v>1228</v>
      </c>
      <c r="E1413" s="2" t="s">
        <v>1229</v>
      </c>
      <c r="F1413" s="14" t="s">
        <v>3493</v>
      </c>
      <c r="G1413" s="14" t="s">
        <v>3494</v>
      </c>
      <c r="H1413" s="15" t="s">
        <v>24</v>
      </c>
      <c r="I1413" s="15" t="s">
        <v>3491</v>
      </c>
      <c r="J1413" s="2">
        <v>2.0</v>
      </c>
      <c r="K1413" s="19"/>
      <c r="L1413" s="16">
        <v>0.0</v>
      </c>
    </row>
    <row r="1414" hidden="1">
      <c r="A1414" s="1" t="s">
        <v>1233</v>
      </c>
      <c r="B1414" s="1" t="s">
        <v>1233</v>
      </c>
      <c r="C1414" s="6">
        <v>45862.43194444444</v>
      </c>
      <c r="D1414" s="2" t="s">
        <v>1084</v>
      </c>
      <c r="E1414" s="2" t="s">
        <v>1085</v>
      </c>
      <c r="F1414" s="14" t="s">
        <v>4203</v>
      </c>
      <c r="G1414" s="14" t="s">
        <v>4204</v>
      </c>
      <c r="H1414" s="15" t="s">
        <v>16</v>
      </c>
      <c r="I1414" s="15" t="s">
        <v>3488</v>
      </c>
      <c r="J1414" s="2">
        <v>10.0</v>
      </c>
      <c r="K1414" s="12" t="s">
        <v>4549</v>
      </c>
      <c r="L1414" s="16">
        <v>70000.0</v>
      </c>
    </row>
    <row r="1415" hidden="1">
      <c r="A1415" s="1" t="s">
        <v>1234</v>
      </c>
      <c r="B1415" s="1" t="s">
        <v>1234</v>
      </c>
      <c r="C1415" s="6">
        <v>45862.509722222225</v>
      </c>
      <c r="D1415" s="2" t="s">
        <v>1084</v>
      </c>
      <c r="E1415" s="2" t="s">
        <v>1085</v>
      </c>
      <c r="F1415" s="14" t="s">
        <v>4203</v>
      </c>
      <c r="G1415" s="14" t="s">
        <v>4204</v>
      </c>
      <c r="H1415" s="15" t="s">
        <v>24</v>
      </c>
      <c r="I1415" s="15" t="s">
        <v>3491</v>
      </c>
      <c r="J1415" s="2">
        <v>2.0</v>
      </c>
      <c r="K1415" s="12" t="s">
        <v>4550</v>
      </c>
      <c r="L1415" s="16">
        <v>0.0</v>
      </c>
    </row>
    <row r="1416" hidden="1">
      <c r="A1416" s="1" t="s">
        <v>1234</v>
      </c>
      <c r="B1416" s="1" t="s">
        <v>1234</v>
      </c>
      <c r="C1416" s="6">
        <v>45862.509722222225</v>
      </c>
      <c r="D1416" s="2" t="s">
        <v>1084</v>
      </c>
      <c r="E1416" s="2" t="s">
        <v>1085</v>
      </c>
      <c r="F1416" s="14" t="s">
        <v>3516</v>
      </c>
      <c r="G1416" s="14" t="s">
        <v>3517</v>
      </c>
      <c r="H1416" s="15" t="s">
        <v>24</v>
      </c>
      <c r="I1416" s="15" t="s">
        <v>3491</v>
      </c>
      <c r="J1416" s="2">
        <v>5.0</v>
      </c>
      <c r="K1416" s="12" t="s">
        <v>4551</v>
      </c>
      <c r="L1416" s="16">
        <v>0.0</v>
      </c>
    </row>
    <row r="1417" hidden="1">
      <c r="A1417" s="1" t="s">
        <v>1235</v>
      </c>
      <c r="B1417" s="1" t="s">
        <v>1235</v>
      </c>
      <c r="C1417" s="6">
        <v>45862.51111111111</v>
      </c>
      <c r="D1417" s="2" t="s">
        <v>326</v>
      </c>
      <c r="E1417" s="2" t="s">
        <v>327</v>
      </c>
      <c r="F1417" s="14" t="s">
        <v>3486</v>
      </c>
      <c r="G1417" s="14" t="s">
        <v>3487</v>
      </c>
      <c r="H1417" s="15" t="s">
        <v>24</v>
      </c>
      <c r="I1417" s="15" t="s">
        <v>3491</v>
      </c>
      <c r="J1417" s="2">
        <v>20.0</v>
      </c>
      <c r="K1417" s="12" t="s">
        <v>4552</v>
      </c>
      <c r="L1417" s="16">
        <v>0.0</v>
      </c>
    </row>
    <row r="1418" hidden="1">
      <c r="A1418" s="1" t="s">
        <v>1236</v>
      </c>
      <c r="B1418" s="1" t="s">
        <v>1236</v>
      </c>
      <c r="C1418" s="6">
        <v>45863.399305555555</v>
      </c>
      <c r="D1418" s="2" t="s">
        <v>1237</v>
      </c>
      <c r="E1418" s="2" t="s">
        <v>1238</v>
      </c>
      <c r="F1418" s="14" t="s">
        <v>4203</v>
      </c>
      <c r="G1418" s="14" t="s">
        <v>4204</v>
      </c>
      <c r="H1418" s="15" t="s">
        <v>16</v>
      </c>
      <c r="I1418" s="15" t="s">
        <v>3488</v>
      </c>
      <c r="J1418" s="2">
        <v>2.0</v>
      </c>
      <c r="K1418" s="12" t="s">
        <v>4553</v>
      </c>
      <c r="L1418" s="16">
        <v>58558.56</v>
      </c>
    </row>
    <row r="1419" hidden="1">
      <c r="A1419" s="1" t="s">
        <v>1240</v>
      </c>
      <c r="B1419" s="1" t="s">
        <v>1240</v>
      </c>
      <c r="C1419" s="6">
        <v>45863.433333333334</v>
      </c>
      <c r="D1419" s="2" t="s">
        <v>326</v>
      </c>
      <c r="E1419" s="2" t="s">
        <v>327</v>
      </c>
      <c r="F1419" s="14" t="s">
        <v>3486</v>
      </c>
      <c r="G1419" s="14" t="s">
        <v>3487</v>
      </c>
      <c r="H1419" s="15" t="s">
        <v>16</v>
      </c>
      <c r="I1419" s="15" t="s">
        <v>3488</v>
      </c>
      <c r="J1419" s="2">
        <v>20.0</v>
      </c>
      <c r="K1419" s="12" t="s">
        <v>4554</v>
      </c>
      <c r="L1419" s="16">
        <v>45000.0</v>
      </c>
    </row>
    <row r="1420" hidden="1">
      <c r="A1420" s="1" t="s">
        <v>1241</v>
      </c>
      <c r="B1420" s="1" t="s">
        <v>1241</v>
      </c>
      <c r="C1420" s="6">
        <v>45863.46041666667</v>
      </c>
      <c r="D1420" s="2" t="s">
        <v>1084</v>
      </c>
      <c r="E1420" s="2" t="s">
        <v>1085</v>
      </c>
      <c r="F1420" s="14" t="s">
        <v>4203</v>
      </c>
      <c r="G1420" s="14" t="s">
        <v>4204</v>
      </c>
      <c r="H1420" s="15" t="s">
        <v>24</v>
      </c>
      <c r="I1420" s="15" t="s">
        <v>3491</v>
      </c>
      <c r="J1420" s="2">
        <v>1.0</v>
      </c>
      <c r="K1420" s="12" t="s">
        <v>4361</v>
      </c>
      <c r="L1420" s="16">
        <v>0.0</v>
      </c>
    </row>
    <row r="1421" hidden="1">
      <c r="A1421" s="1" t="s">
        <v>1242</v>
      </c>
      <c r="B1421" s="1" t="s">
        <v>1242</v>
      </c>
      <c r="C1421" s="6">
        <v>45866.4625</v>
      </c>
      <c r="D1421" s="2" t="s">
        <v>943</v>
      </c>
      <c r="E1421" s="2" t="s">
        <v>944</v>
      </c>
      <c r="F1421" s="14" t="s">
        <v>3506</v>
      </c>
      <c r="G1421" s="14" t="s">
        <v>3507</v>
      </c>
      <c r="H1421" s="15" t="s">
        <v>16</v>
      </c>
      <c r="I1421" s="15" t="s">
        <v>3488</v>
      </c>
      <c r="J1421" s="2">
        <v>3.0</v>
      </c>
      <c r="K1421" s="19"/>
      <c r="L1421" s="16">
        <v>50000.0</v>
      </c>
    </row>
    <row r="1422" hidden="1">
      <c r="A1422" s="1" t="s">
        <v>1243</v>
      </c>
      <c r="B1422" s="1" t="s">
        <v>1243</v>
      </c>
      <c r="C1422" s="6">
        <v>45863.677083333336</v>
      </c>
      <c r="D1422" s="2" t="s">
        <v>109</v>
      </c>
      <c r="E1422" s="2" t="s">
        <v>110</v>
      </c>
      <c r="F1422" s="14" t="s">
        <v>3486</v>
      </c>
      <c r="G1422" s="14" t="s">
        <v>3487</v>
      </c>
      <c r="H1422" s="15" t="s">
        <v>24</v>
      </c>
      <c r="I1422" s="15" t="s">
        <v>3491</v>
      </c>
      <c r="J1422" s="2">
        <v>1.0</v>
      </c>
      <c r="K1422" s="12" t="s">
        <v>3602</v>
      </c>
      <c r="L1422" s="16">
        <v>0.0</v>
      </c>
    </row>
    <row r="1423" hidden="1">
      <c r="A1423" s="1" t="s">
        <v>1243</v>
      </c>
      <c r="B1423" s="1" t="s">
        <v>1243</v>
      </c>
      <c r="C1423" s="6">
        <v>45863.677777777775</v>
      </c>
      <c r="D1423" s="2" t="s">
        <v>109</v>
      </c>
      <c r="E1423" s="2" t="s">
        <v>110</v>
      </c>
      <c r="F1423" s="14" t="s">
        <v>3522</v>
      </c>
      <c r="G1423" s="14" t="s">
        <v>3523</v>
      </c>
      <c r="H1423" s="15" t="s">
        <v>24</v>
      </c>
      <c r="I1423" s="15" t="s">
        <v>3491</v>
      </c>
      <c r="J1423" s="2">
        <v>1.0</v>
      </c>
      <c r="K1423" s="12" t="s">
        <v>4555</v>
      </c>
      <c r="L1423" s="16">
        <v>0.0</v>
      </c>
    </row>
    <row r="1424" hidden="1">
      <c r="A1424" s="1" t="s">
        <v>1244</v>
      </c>
      <c r="B1424" s="1" t="s">
        <v>1244</v>
      </c>
      <c r="C1424" s="6">
        <v>45863.67847222222</v>
      </c>
      <c r="D1424" s="2" t="s">
        <v>49</v>
      </c>
      <c r="E1424" s="2" t="s">
        <v>50</v>
      </c>
      <c r="F1424" s="14" t="s">
        <v>3486</v>
      </c>
      <c r="G1424" s="14" t="s">
        <v>3487</v>
      </c>
      <c r="H1424" s="15" t="s">
        <v>24</v>
      </c>
      <c r="I1424" s="15" t="s">
        <v>3491</v>
      </c>
      <c r="J1424" s="2">
        <v>1.0</v>
      </c>
      <c r="K1424" s="12" t="s">
        <v>3733</v>
      </c>
      <c r="L1424" s="16">
        <v>0.0</v>
      </c>
    </row>
    <row r="1425" hidden="1">
      <c r="A1425" s="1" t="s">
        <v>1244</v>
      </c>
      <c r="B1425" s="1" t="s">
        <v>1244</v>
      </c>
      <c r="C1425" s="6">
        <v>45863.67847222222</v>
      </c>
      <c r="D1425" s="2" t="s">
        <v>49</v>
      </c>
      <c r="E1425" s="2" t="s">
        <v>50</v>
      </c>
      <c r="F1425" s="14" t="s">
        <v>4203</v>
      </c>
      <c r="G1425" s="14" t="s">
        <v>4204</v>
      </c>
      <c r="H1425" s="15" t="s">
        <v>24</v>
      </c>
      <c r="I1425" s="15" t="s">
        <v>3491</v>
      </c>
      <c r="J1425" s="2">
        <v>2.0</v>
      </c>
      <c r="K1425" s="12" t="s">
        <v>4556</v>
      </c>
      <c r="L1425" s="16">
        <v>0.0</v>
      </c>
    </row>
    <row r="1426" hidden="1">
      <c r="A1426" s="1" t="s">
        <v>1245</v>
      </c>
      <c r="B1426" s="1" t="s">
        <v>1245</v>
      </c>
      <c r="C1426" s="6">
        <v>45863.67916666667</v>
      </c>
      <c r="D1426" s="2" t="s">
        <v>326</v>
      </c>
      <c r="E1426" s="2" t="s">
        <v>327</v>
      </c>
      <c r="F1426" s="14" t="s">
        <v>3486</v>
      </c>
      <c r="G1426" s="14" t="s">
        <v>3487</v>
      </c>
      <c r="H1426" s="15" t="s">
        <v>24</v>
      </c>
      <c r="I1426" s="15" t="s">
        <v>3491</v>
      </c>
      <c r="J1426" s="2">
        <v>4.0</v>
      </c>
      <c r="K1426" s="12" t="s">
        <v>4557</v>
      </c>
      <c r="L1426" s="16">
        <v>0.0</v>
      </c>
    </row>
    <row r="1427" hidden="1">
      <c r="A1427" s="1" t="s">
        <v>1246</v>
      </c>
      <c r="B1427" s="1" t="s">
        <v>1246</v>
      </c>
      <c r="C1427" s="6">
        <v>45866.55486111111</v>
      </c>
      <c r="D1427" s="2" t="s">
        <v>169</v>
      </c>
      <c r="E1427" s="2" t="s">
        <v>170</v>
      </c>
      <c r="F1427" s="14" t="s">
        <v>3522</v>
      </c>
      <c r="G1427" s="14" t="s">
        <v>3523</v>
      </c>
      <c r="H1427" s="15" t="s">
        <v>159</v>
      </c>
      <c r="I1427" s="15" t="s">
        <v>3619</v>
      </c>
      <c r="J1427" s="2">
        <v>1.0</v>
      </c>
      <c r="K1427" s="12" t="s">
        <v>4433</v>
      </c>
      <c r="L1427" s="16">
        <v>0.0</v>
      </c>
    </row>
    <row r="1428" hidden="1">
      <c r="A1428" s="1" t="s">
        <v>1247</v>
      </c>
      <c r="B1428" s="1" t="s">
        <v>1247</v>
      </c>
      <c r="C1428" s="6">
        <v>45867.36111111111</v>
      </c>
      <c r="D1428" s="2" t="s">
        <v>1203</v>
      </c>
      <c r="E1428" s="2" t="s">
        <v>1204</v>
      </c>
      <c r="F1428" s="14" t="s">
        <v>3516</v>
      </c>
      <c r="G1428" s="14" t="s">
        <v>3517</v>
      </c>
      <c r="H1428" s="15" t="s">
        <v>16</v>
      </c>
      <c r="I1428" s="15" t="s">
        <v>3488</v>
      </c>
      <c r="J1428" s="2">
        <v>3.0</v>
      </c>
      <c r="K1428" s="12" t="s">
        <v>4558</v>
      </c>
      <c r="L1428" s="16">
        <v>160000.0</v>
      </c>
    </row>
    <row r="1429" hidden="1">
      <c r="A1429" s="1" t="s">
        <v>1248</v>
      </c>
      <c r="B1429" s="1" t="s">
        <v>1248</v>
      </c>
      <c r="C1429" s="6">
        <v>45866.72361111111</v>
      </c>
      <c r="D1429" s="2" t="s">
        <v>169</v>
      </c>
      <c r="E1429" s="2" t="s">
        <v>170</v>
      </c>
      <c r="F1429" s="14" t="s">
        <v>3486</v>
      </c>
      <c r="G1429" s="14" t="s">
        <v>3487</v>
      </c>
      <c r="H1429" s="15" t="s">
        <v>24</v>
      </c>
      <c r="I1429" s="15" t="s">
        <v>3491</v>
      </c>
      <c r="J1429" s="2">
        <v>5.0</v>
      </c>
      <c r="K1429" s="12" t="s">
        <v>4559</v>
      </c>
      <c r="L1429" s="16">
        <v>0.0</v>
      </c>
    </row>
    <row r="1430" hidden="1">
      <c r="A1430" s="1" t="s">
        <v>1249</v>
      </c>
      <c r="B1430" s="1" t="s">
        <v>1249</v>
      </c>
      <c r="C1430" s="6">
        <v>45866.72430555556</v>
      </c>
      <c r="D1430" s="2" t="s">
        <v>943</v>
      </c>
      <c r="E1430" s="2" t="s">
        <v>944</v>
      </c>
      <c r="F1430" s="14" t="s">
        <v>4203</v>
      </c>
      <c r="G1430" s="14" t="s">
        <v>4204</v>
      </c>
      <c r="H1430" s="15" t="s">
        <v>24</v>
      </c>
      <c r="I1430" s="15" t="s">
        <v>3491</v>
      </c>
      <c r="J1430" s="2">
        <v>2.0</v>
      </c>
      <c r="K1430" s="12" t="s">
        <v>4560</v>
      </c>
      <c r="L1430" s="16">
        <v>0.0</v>
      </c>
    </row>
    <row r="1431" hidden="1">
      <c r="A1431" s="1" t="s">
        <v>1248</v>
      </c>
      <c r="B1431" s="1" t="s">
        <v>1248</v>
      </c>
      <c r="C1431" s="6">
        <v>45866.725694444445</v>
      </c>
      <c r="D1431" s="2" t="s">
        <v>169</v>
      </c>
      <c r="E1431" s="2" t="s">
        <v>170</v>
      </c>
      <c r="F1431" s="14" t="s">
        <v>3522</v>
      </c>
      <c r="G1431" s="14" t="s">
        <v>3523</v>
      </c>
      <c r="H1431" s="15" t="s">
        <v>24</v>
      </c>
      <c r="I1431" s="15" t="s">
        <v>3614</v>
      </c>
      <c r="J1431" s="2">
        <v>1.0</v>
      </c>
      <c r="K1431" s="12" t="s">
        <v>4561</v>
      </c>
      <c r="L1431" s="16">
        <v>0.0</v>
      </c>
    </row>
    <row r="1432" hidden="1">
      <c r="A1432" s="1" t="s">
        <v>1248</v>
      </c>
      <c r="B1432" s="1" t="s">
        <v>1248</v>
      </c>
      <c r="C1432" s="6">
        <v>45866.72638888889</v>
      </c>
      <c r="D1432" s="2" t="s">
        <v>169</v>
      </c>
      <c r="E1432" s="2" t="s">
        <v>170</v>
      </c>
      <c r="F1432" s="14" t="s">
        <v>3522</v>
      </c>
      <c r="G1432" s="14" t="s">
        <v>3523</v>
      </c>
      <c r="H1432" s="15" t="s">
        <v>24</v>
      </c>
      <c r="I1432" s="15" t="s">
        <v>3491</v>
      </c>
      <c r="J1432" s="2">
        <v>3.0</v>
      </c>
      <c r="K1432" s="12" t="s">
        <v>4562</v>
      </c>
      <c r="L1432" s="16">
        <v>0.0</v>
      </c>
    </row>
    <row r="1433" hidden="1">
      <c r="A1433" s="1" t="s">
        <v>1250</v>
      </c>
      <c r="B1433" s="1" t="s">
        <v>1250</v>
      </c>
      <c r="C1433" s="6">
        <v>45867.36597222222</v>
      </c>
      <c r="D1433" s="2" t="s">
        <v>493</v>
      </c>
      <c r="E1433" s="2" t="s">
        <v>494</v>
      </c>
      <c r="F1433" s="14" t="s">
        <v>3486</v>
      </c>
      <c r="G1433" s="14" t="s">
        <v>3487</v>
      </c>
      <c r="H1433" s="15" t="s">
        <v>16</v>
      </c>
      <c r="I1433" s="15" t="s">
        <v>3488</v>
      </c>
      <c r="J1433" s="2">
        <v>10.0</v>
      </c>
      <c r="K1433" s="12" t="s">
        <v>4563</v>
      </c>
      <c r="L1433" s="16">
        <v>50000.0</v>
      </c>
    </row>
    <row r="1434" hidden="1">
      <c r="A1434" s="1" t="s">
        <v>1251</v>
      </c>
      <c r="B1434" s="1" t="s">
        <v>1251</v>
      </c>
      <c r="C1434" s="6">
        <v>45867.42569444444</v>
      </c>
      <c r="D1434" s="2" t="s">
        <v>55</v>
      </c>
      <c r="E1434" s="2" t="s">
        <v>56</v>
      </c>
      <c r="F1434" s="14" t="s">
        <v>3486</v>
      </c>
      <c r="G1434" s="14" t="s">
        <v>3487</v>
      </c>
      <c r="H1434" s="15" t="s">
        <v>16</v>
      </c>
      <c r="I1434" s="15" t="s">
        <v>3488</v>
      </c>
      <c r="J1434" s="2">
        <v>5.0</v>
      </c>
      <c r="K1434" s="12" t="s">
        <v>4564</v>
      </c>
      <c r="L1434" s="16">
        <v>60000.0</v>
      </c>
    </row>
    <row r="1435" hidden="1">
      <c r="A1435" s="1" t="s">
        <v>1252</v>
      </c>
      <c r="B1435" s="1" t="s">
        <v>1252</v>
      </c>
      <c r="C1435" s="6">
        <v>45867.490277777775</v>
      </c>
      <c r="D1435" s="2" t="s">
        <v>786</v>
      </c>
      <c r="E1435" s="2" t="s">
        <v>787</v>
      </c>
      <c r="F1435" s="14" t="s">
        <v>3486</v>
      </c>
      <c r="G1435" s="14" t="s">
        <v>3487</v>
      </c>
      <c r="H1435" s="15" t="s">
        <v>16</v>
      </c>
      <c r="I1435" s="15" t="s">
        <v>3488</v>
      </c>
      <c r="J1435" s="2">
        <v>5.0</v>
      </c>
      <c r="K1435" s="12" t="s">
        <v>4565</v>
      </c>
      <c r="L1435" s="16">
        <v>60000.0</v>
      </c>
    </row>
    <row r="1436" hidden="1">
      <c r="A1436" s="1" t="s">
        <v>1253</v>
      </c>
      <c r="B1436" s="1" t="s">
        <v>1253</v>
      </c>
      <c r="C1436" s="6">
        <v>45867.57986111111</v>
      </c>
      <c r="D1436" s="2" t="s">
        <v>679</v>
      </c>
      <c r="E1436" s="2" t="s">
        <v>680</v>
      </c>
      <c r="F1436" s="14" t="s">
        <v>3486</v>
      </c>
      <c r="G1436" s="14" t="s">
        <v>3487</v>
      </c>
      <c r="H1436" s="15" t="s">
        <v>16</v>
      </c>
      <c r="I1436" s="15" t="s">
        <v>3488</v>
      </c>
      <c r="J1436" s="2">
        <v>1.0</v>
      </c>
      <c r="K1436" s="12" t="s">
        <v>4566</v>
      </c>
      <c r="L1436" s="16">
        <v>65000.0</v>
      </c>
    </row>
    <row r="1437" hidden="1">
      <c r="A1437" s="1" t="s">
        <v>1254</v>
      </c>
      <c r="B1437" s="1" t="s">
        <v>1254</v>
      </c>
      <c r="C1437" s="6">
        <v>45867.666666666664</v>
      </c>
      <c r="D1437" s="2" t="s">
        <v>786</v>
      </c>
      <c r="E1437" s="2" t="s">
        <v>787</v>
      </c>
      <c r="F1437" s="14" t="s">
        <v>3486</v>
      </c>
      <c r="G1437" s="14" t="s">
        <v>3487</v>
      </c>
      <c r="H1437" s="15" t="s">
        <v>24</v>
      </c>
      <c r="I1437" s="15" t="s">
        <v>3491</v>
      </c>
      <c r="J1437" s="2">
        <v>1.0</v>
      </c>
      <c r="K1437" s="12" t="s">
        <v>4567</v>
      </c>
      <c r="L1437" s="16">
        <v>0.0</v>
      </c>
    </row>
    <row r="1438" hidden="1">
      <c r="A1438" s="1" t="s">
        <v>1255</v>
      </c>
      <c r="B1438" s="1" t="s">
        <v>1255</v>
      </c>
      <c r="C1438" s="6">
        <v>45867.66805555556</v>
      </c>
      <c r="D1438" s="2" t="s">
        <v>55</v>
      </c>
      <c r="E1438" s="2" t="s">
        <v>56</v>
      </c>
      <c r="F1438" s="14" t="s">
        <v>3486</v>
      </c>
      <c r="G1438" s="14" t="s">
        <v>3487</v>
      </c>
      <c r="H1438" s="15" t="s">
        <v>24</v>
      </c>
      <c r="I1438" s="15" t="s">
        <v>3491</v>
      </c>
      <c r="J1438" s="2">
        <v>6.0</v>
      </c>
      <c r="K1438" s="12" t="s">
        <v>4568</v>
      </c>
      <c r="L1438" s="16">
        <v>0.0</v>
      </c>
    </row>
    <row r="1439" hidden="1">
      <c r="A1439" s="1" t="s">
        <v>1256</v>
      </c>
      <c r="B1439" s="1" t="s">
        <v>1256</v>
      </c>
      <c r="C1439" s="6">
        <v>45867.67013888889</v>
      </c>
      <c r="D1439" s="2" t="s">
        <v>493</v>
      </c>
      <c r="E1439" s="2" t="s">
        <v>494</v>
      </c>
      <c r="F1439" s="14" t="s">
        <v>3486</v>
      </c>
      <c r="G1439" s="14" t="s">
        <v>3487</v>
      </c>
      <c r="H1439" s="15" t="s">
        <v>24</v>
      </c>
      <c r="I1439" s="15" t="s">
        <v>3491</v>
      </c>
      <c r="J1439" s="2">
        <v>8.0</v>
      </c>
      <c r="K1439" s="12" t="s">
        <v>4569</v>
      </c>
      <c r="L1439" s="16">
        <v>0.0</v>
      </c>
    </row>
    <row r="1440" hidden="1">
      <c r="A1440" s="1" t="s">
        <v>1256</v>
      </c>
      <c r="B1440" s="1" t="s">
        <v>1256</v>
      </c>
      <c r="C1440" s="6">
        <v>45867.67013888889</v>
      </c>
      <c r="D1440" s="2" t="s">
        <v>493</v>
      </c>
      <c r="E1440" s="2" t="s">
        <v>494</v>
      </c>
      <c r="F1440" s="14" t="s">
        <v>3486</v>
      </c>
      <c r="G1440" s="14" t="s">
        <v>3487</v>
      </c>
      <c r="H1440" s="15" t="s">
        <v>24</v>
      </c>
      <c r="I1440" s="15" t="s">
        <v>3614</v>
      </c>
      <c r="J1440" s="2">
        <v>2.0</v>
      </c>
      <c r="K1440" s="12" t="s">
        <v>4570</v>
      </c>
      <c r="L1440" s="16">
        <v>0.0</v>
      </c>
    </row>
    <row r="1441" hidden="1">
      <c r="A1441" s="1" t="s">
        <v>1257</v>
      </c>
      <c r="B1441" s="1" t="s">
        <v>1257</v>
      </c>
      <c r="C1441" s="6">
        <v>45867.705555555556</v>
      </c>
      <c r="D1441" s="2" t="s">
        <v>679</v>
      </c>
      <c r="E1441" s="2" t="s">
        <v>680</v>
      </c>
      <c r="F1441" s="14" t="s">
        <v>3486</v>
      </c>
      <c r="G1441" s="14" t="s">
        <v>3487</v>
      </c>
      <c r="H1441" s="15" t="s">
        <v>24</v>
      </c>
      <c r="I1441" s="15" t="s">
        <v>3491</v>
      </c>
      <c r="J1441" s="2">
        <v>1.0</v>
      </c>
      <c r="K1441" s="12" t="s">
        <v>3577</v>
      </c>
      <c r="L1441" s="16">
        <v>0.0</v>
      </c>
    </row>
    <row r="1442">
      <c r="A1442" s="1" t="s">
        <v>1258</v>
      </c>
      <c r="B1442" s="1" t="s">
        <v>1258</v>
      </c>
      <c r="C1442" s="6">
        <v>45867.70694444444</v>
      </c>
      <c r="D1442" s="2" t="s">
        <v>45</v>
      </c>
      <c r="E1442" s="2" t="s">
        <v>46</v>
      </c>
      <c r="F1442" s="14" t="s">
        <v>3486</v>
      </c>
      <c r="G1442" s="14" t="s">
        <v>3487</v>
      </c>
      <c r="H1442" s="15" t="s">
        <v>24</v>
      </c>
      <c r="I1442" s="15" t="s">
        <v>3491</v>
      </c>
      <c r="J1442" s="2">
        <v>4.0</v>
      </c>
      <c r="K1442" s="12" t="s">
        <v>4571</v>
      </c>
      <c r="L1442" s="16">
        <v>0.0</v>
      </c>
    </row>
    <row r="1443">
      <c r="A1443" s="1" t="s">
        <v>1258</v>
      </c>
      <c r="B1443" s="1" t="s">
        <v>1258</v>
      </c>
      <c r="C1443" s="6">
        <v>45867.70763888889</v>
      </c>
      <c r="D1443" s="2" t="s">
        <v>45</v>
      </c>
      <c r="E1443" s="2" t="s">
        <v>46</v>
      </c>
      <c r="F1443" s="14" t="s">
        <v>3522</v>
      </c>
      <c r="G1443" s="14" t="s">
        <v>3523</v>
      </c>
      <c r="H1443" s="15" t="s">
        <v>24</v>
      </c>
      <c r="I1443" s="15" t="s">
        <v>3491</v>
      </c>
      <c r="J1443" s="2">
        <v>9.0</v>
      </c>
      <c r="K1443" s="12" t="s">
        <v>4572</v>
      </c>
      <c r="L1443" s="16">
        <v>0.0</v>
      </c>
    </row>
    <row r="1444" hidden="1">
      <c r="A1444" s="1" t="s">
        <v>1259</v>
      </c>
      <c r="B1444" s="1" t="s">
        <v>1259</v>
      </c>
      <c r="C1444" s="6">
        <v>45868.35</v>
      </c>
      <c r="D1444" s="2" t="s">
        <v>464</v>
      </c>
      <c r="E1444" s="2" t="s">
        <v>465</v>
      </c>
      <c r="F1444" s="14" t="s">
        <v>4203</v>
      </c>
      <c r="G1444" s="14" t="s">
        <v>4204</v>
      </c>
      <c r="H1444" s="15" t="s">
        <v>16</v>
      </c>
      <c r="I1444" s="15" t="s">
        <v>3488</v>
      </c>
      <c r="J1444" s="2">
        <v>5.0</v>
      </c>
      <c r="K1444" s="12" t="s">
        <v>4573</v>
      </c>
      <c r="L1444" s="16">
        <v>55000.0</v>
      </c>
    </row>
    <row r="1445" hidden="1">
      <c r="A1445" s="1" t="s">
        <v>1260</v>
      </c>
      <c r="B1445" s="1" t="s">
        <v>1260</v>
      </c>
      <c r="C1445" s="6">
        <v>45868.50902777778</v>
      </c>
      <c r="D1445" s="2" t="s">
        <v>305</v>
      </c>
      <c r="E1445" s="2" t="s">
        <v>306</v>
      </c>
      <c r="F1445" s="14" t="s">
        <v>3486</v>
      </c>
      <c r="G1445" s="14" t="s">
        <v>3487</v>
      </c>
      <c r="H1445" s="15" t="s">
        <v>24</v>
      </c>
      <c r="I1445" s="15" t="s">
        <v>3491</v>
      </c>
      <c r="J1445" s="2">
        <v>4.0</v>
      </c>
      <c r="K1445" s="12" t="s">
        <v>4574</v>
      </c>
      <c r="L1445" s="16">
        <v>0.0</v>
      </c>
    </row>
    <row r="1446" hidden="1">
      <c r="A1446" s="1" t="s">
        <v>1261</v>
      </c>
      <c r="B1446" s="1" t="s">
        <v>1261</v>
      </c>
      <c r="C1446" s="6">
        <v>45868.510416666664</v>
      </c>
      <c r="D1446" s="2" t="s">
        <v>799</v>
      </c>
      <c r="E1446" s="2" t="s">
        <v>800</v>
      </c>
      <c r="F1446" s="14" t="s">
        <v>4203</v>
      </c>
      <c r="G1446" s="14" t="s">
        <v>4204</v>
      </c>
      <c r="H1446" s="15" t="s">
        <v>24</v>
      </c>
      <c r="I1446" s="15" t="s">
        <v>3491</v>
      </c>
      <c r="J1446" s="2">
        <v>8.0</v>
      </c>
      <c r="K1446" s="12" t="s">
        <v>4575</v>
      </c>
      <c r="L1446" s="16">
        <v>0.0</v>
      </c>
    </row>
    <row r="1447" hidden="1">
      <c r="A1447" s="1" t="s">
        <v>1261</v>
      </c>
      <c r="B1447" s="1" t="s">
        <v>1261</v>
      </c>
      <c r="C1447" s="6">
        <v>45868.510416666664</v>
      </c>
      <c r="D1447" s="2" t="s">
        <v>799</v>
      </c>
      <c r="E1447" s="2" t="s">
        <v>800</v>
      </c>
      <c r="F1447" s="14" t="s">
        <v>3493</v>
      </c>
      <c r="G1447" s="14" t="s">
        <v>3494</v>
      </c>
      <c r="H1447" s="15" t="s">
        <v>24</v>
      </c>
      <c r="I1447" s="15" t="s">
        <v>3491</v>
      </c>
      <c r="J1447" s="2">
        <v>2.0</v>
      </c>
      <c r="K1447" s="19"/>
      <c r="L1447" s="16">
        <v>0.0</v>
      </c>
    </row>
    <row r="1448" hidden="1">
      <c r="A1448" s="1" t="s">
        <v>1262</v>
      </c>
      <c r="B1448" s="1" t="s">
        <v>1262</v>
      </c>
      <c r="C1448" s="6">
        <v>45868.51111111111</v>
      </c>
      <c r="D1448" s="2" t="s">
        <v>326</v>
      </c>
      <c r="E1448" s="2" t="s">
        <v>327</v>
      </c>
      <c r="F1448" s="14" t="s">
        <v>3486</v>
      </c>
      <c r="G1448" s="14" t="s">
        <v>3487</v>
      </c>
      <c r="H1448" s="15" t="s">
        <v>24</v>
      </c>
      <c r="I1448" s="15" t="s">
        <v>3491</v>
      </c>
      <c r="J1448" s="2">
        <v>2.0</v>
      </c>
      <c r="K1448" s="12" t="s">
        <v>4576</v>
      </c>
      <c r="L1448" s="16">
        <v>0.0</v>
      </c>
    </row>
    <row r="1449" hidden="1">
      <c r="A1449" s="1" t="s">
        <v>1263</v>
      </c>
      <c r="B1449" s="1" t="s">
        <v>1263</v>
      </c>
      <c r="C1449" s="6">
        <v>45869.37152777778</v>
      </c>
      <c r="D1449" s="2" t="s">
        <v>934</v>
      </c>
      <c r="E1449" s="2" t="s">
        <v>935</v>
      </c>
      <c r="F1449" s="14" t="s">
        <v>3522</v>
      </c>
      <c r="G1449" s="14" t="s">
        <v>3523</v>
      </c>
      <c r="H1449" s="15" t="s">
        <v>16</v>
      </c>
      <c r="I1449" s="15" t="s">
        <v>3488</v>
      </c>
      <c r="J1449" s="2">
        <v>1.0</v>
      </c>
      <c r="K1449" s="12" t="s">
        <v>4555</v>
      </c>
      <c r="L1449" s="16">
        <v>200000.0</v>
      </c>
    </row>
    <row r="1450" hidden="1">
      <c r="A1450" s="1" t="s">
        <v>1264</v>
      </c>
      <c r="B1450" s="1" t="s">
        <v>1264</v>
      </c>
      <c r="C1450" s="6">
        <v>45869.34444444445</v>
      </c>
      <c r="D1450" s="2" t="s">
        <v>951</v>
      </c>
      <c r="E1450" s="2" t="s">
        <v>952</v>
      </c>
      <c r="F1450" s="14" t="s">
        <v>3486</v>
      </c>
      <c r="G1450" s="14" t="s">
        <v>3487</v>
      </c>
      <c r="H1450" s="15" t="s">
        <v>16</v>
      </c>
      <c r="I1450" s="15" t="s">
        <v>3488</v>
      </c>
      <c r="J1450" s="2">
        <v>5.0</v>
      </c>
      <c r="K1450" s="12" t="s">
        <v>4577</v>
      </c>
      <c r="L1450" s="16">
        <v>55000.0</v>
      </c>
    </row>
    <row r="1451" hidden="1">
      <c r="A1451" s="1" t="s">
        <v>1265</v>
      </c>
      <c r="B1451" s="1" t="s">
        <v>1265</v>
      </c>
      <c r="C1451" s="6">
        <v>45869.40694444445</v>
      </c>
      <c r="D1451" s="2" t="s">
        <v>1237</v>
      </c>
      <c r="E1451" s="2" t="s">
        <v>1238</v>
      </c>
      <c r="F1451" s="14" t="s">
        <v>4203</v>
      </c>
      <c r="G1451" s="14" t="s">
        <v>4204</v>
      </c>
      <c r="H1451" s="15" t="s">
        <v>16</v>
      </c>
      <c r="I1451" s="15" t="s">
        <v>3488</v>
      </c>
      <c r="J1451" s="2">
        <v>5.0</v>
      </c>
      <c r="K1451" s="12" t="s">
        <v>4578</v>
      </c>
      <c r="L1451" s="16">
        <v>58558.56</v>
      </c>
    </row>
    <row r="1452" hidden="1">
      <c r="A1452" s="1" t="s">
        <v>1265</v>
      </c>
      <c r="B1452" s="1" t="s">
        <v>1265</v>
      </c>
      <c r="C1452" s="6">
        <v>45869.40694444445</v>
      </c>
      <c r="D1452" s="2" t="s">
        <v>1237</v>
      </c>
      <c r="E1452" s="2" t="s">
        <v>1238</v>
      </c>
      <c r="F1452" s="14" t="s">
        <v>3516</v>
      </c>
      <c r="G1452" s="14" t="s">
        <v>3517</v>
      </c>
      <c r="H1452" s="15" t="s">
        <v>16</v>
      </c>
      <c r="I1452" s="15" t="s">
        <v>3488</v>
      </c>
      <c r="J1452" s="2">
        <v>3.0</v>
      </c>
      <c r="K1452" s="12" t="s">
        <v>4579</v>
      </c>
      <c r="L1452" s="16">
        <v>189189.19</v>
      </c>
    </row>
    <row r="1453" hidden="1">
      <c r="A1453" s="1" t="s">
        <v>1266</v>
      </c>
      <c r="B1453" s="1" t="s">
        <v>1266</v>
      </c>
      <c r="C1453" s="6">
        <v>45869.5</v>
      </c>
      <c r="D1453" s="2" t="s">
        <v>951</v>
      </c>
      <c r="E1453" s="2" t="s">
        <v>952</v>
      </c>
      <c r="F1453" s="14" t="s">
        <v>3486</v>
      </c>
      <c r="G1453" s="14" t="s">
        <v>3487</v>
      </c>
      <c r="H1453" s="15" t="s">
        <v>24</v>
      </c>
      <c r="I1453" s="15" t="s">
        <v>3491</v>
      </c>
      <c r="J1453" s="2">
        <v>4.0</v>
      </c>
      <c r="K1453" s="12" t="s">
        <v>4580</v>
      </c>
      <c r="L1453" s="16">
        <v>0.0</v>
      </c>
    </row>
    <row r="1454" hidden="1">
      <c r="A1454" s="1"/>
      <c r="B1454" s="1"/>
      <c r="C1454" s="6"/>
      <c r="D1454" s="2"/>
      <c r="E1454" s="2"/>
      <c r="F1454" s="14"/>
      <c r="G1454" s="14"/>
      <c r="H1454" s="15"/>
      <c r="I1454" s="15"/>
      <c r="J1454" s="2"/>
      <c r="K1454" s="12"/>
      <c r="L1454" s="16"/>
    </row>
    <row r="1455" hidden="1">
      <c r="A1455" s="8" t="s">
        <v>1267</v>
      </c>
      <c r="B1455" s="8" t="s">
        <v>1267</v>
      </c>
      <c r="C1455" s="13">
        <v>45870.57943287037</v>
      </c>
      <c r="D1455" s="2" t="s">
        <v>786</v>
      </c>
      <c r="E1455" s="2" t="s">
        <v>787</v>
      </c>
      <c r="F1455" s="14" t="s">
        <v>3486</v>
      </c>
      <c r="G1455" s="14" t="s">
        <v>3487</v>
      </c>
      <c r="H1455" s="2" t="s">
        <v>24</v>
      </c>
      <c r="I1455" s="2" t="s">
        <v>3491</v>
      </c>
      <c r="J1455" s="2">
        <v>4.0</v>
      </c>
      <c r="K1455" s="23" t="s">
        <v>4581</v>
      </c>
      <c r="L1455" s="11">
        <v>0.0</v>
      </c>
    </row>
    <row r="1456" hidden="1">
      <c r="A1456" s="8" t="s">
        <v>1267</v>
      </c>
      <c r="B1456" s="8" t="s">
        <v>1267</v>
      </c>
      <c r="C1456" s="13">
        <v>45870.57943287037</v>
      </c>
      <c r="D1456" s="2" t="s">
        <v>786</v>
      </c>
      <c r="E1456" s="2" t="s">
        <v>787</v>
      </c>
      <c r="F1456" s="14" t="s">
        <v>3516</v>
      </c>
      <c r="G1456" s="14" t="s">
        <v>3517</v>
      </c>
      <c r="H1456" s="2" t="s">
        <v>24</v>
      </c>
      <c r="I1456" s="2" t="s">
        <v>3491</v>
      </c>
      <c r="J1456" s="2">
        <v>1.0</v>
      </c>
      <c r="K1456" s="23" t="s">
        <v>4582</v>
      </c>
      <c r="L1456" s="11">
        <v>0.0</v>
      </c>
    </row>
    <row r="1457" hidden="1">
      <c r="A1457" s="1" t="s">
        <v>1268</v>
      </c>
      <c r="B1457" s="1" t="s">
        <v>1268</v>
      </c>
      <c r="C1457" s="9">
        <v>45870.39513888889</v>
      </c>
      <c r="D1457" s="2" t="s">
        <v>786</v>
      </c>
      <c r="E1457" s="2" t="s">
        <v>787</v>
      </c>
      <c r="F1457" s="24" t="s">
        <v>3486</v>
      </c>
      <c r="G1457" s="14" t="s">
        <v>3487</v>
      </c>
      <c r="H1457" s="2" t="s">
        <v>16</v>
      </c>
      <c r="I1457" s="2" t="s">
        <v>3488</v>
      </c>
      <c r="J1457" s="20">
        <v>5.0</v>
      </c>
      <c r="K1457" s="25" t="s">
        <v>4583</v>
      </c>
      <c r="L1457" s="11">
        <v>60000.0</v>
      </c>
    </row>
    <row r="1458" hidden="1">
      <c r="A1458" s="1" t="s">
        <v>1268</v>
      </c>
      <c r="B1458" s="1" t="s">
        <v>1268</v>
      </c>
      <c r="C1458" s="9">
        <v>45870.39513888889</v>
      </c>
      <c r="D1458" s="2" t="s">
        <v>786</v>
      </c>
      <c r="E1458" s="2" t="s">
        <v>787</v>
      </c>
      <c r="F1458" s="26" t="s">
        <v>3516</v>
      </c>
      <c r="G1458" s="14" t="s">
        <v>3517</v>
      </c>
      <c r="H1458" s="11" t="s">
        <v>16</v>
      </c>
      <c r="I1458" s="11" t="s">
        <v>3488</v>
      </c>
      <c r="J1458" s="20">
        <v>1.0</v>
      </c>
      <c r="K1458" s="25" t="s">
        <v>4584</v>
      </c>
      <c r="L1458" s="11">
        <v>170000.0</v>
      </c>
    </row>
    <row r="1459" hidden="1">
      <c r="A1459" s="8" t="s">
        <v>1269</v>
      </c>
      <c r="B1459" s="8" t="s">
        <v>1269</v>
      </c>
      <c r="C1459" s="13">
        <v>45870.84732638889</v>
      </c>
      <c r="D1459" s="2" t="s">
        <v>49</v>
      </c>
      <c r="E1459" s="2" t="s">
        <v>50</v>
      </c>
      <c r="F1459" s="14" t="s">
        <v>3486</v>
      </c>
      <c r="G1459" s="14" t="s">
        <v>3487</v>
      </c>
      <c r="H1459" s="2" t="s">
        <v>16</v>
      </c>
      <c r="I1459" s="2" t="s">
        <v>3488</v>
      </c>
      <c r="J1459" s="2">
        <v>5.0</v>
      </c>
      <c r="K1459" s="23" t="s">
        <v>4585</v>
      </c>
      <c r="L1459" s="11">
        <v>60000.0</v>
      </c>
    </row>
    <row r="1460">
      <c r="A1460" s="8" t="s">
        <v>1270</v>
      </c>
      <c r="B1460" s="8" t="s">
        <v>1270</v>
      </c>
      <c r="C1460" s="13">
        <v>45873.39252314815</v>
      </c>
      <c r="D1460" s="2" t="s">
        <v>45</v>
      </c>
      <c r="E1460" s="2" t="s">
        <v>46</v>
      </c>
      <c r="F1460" s="14" t="s">
        <v>3486</v>
      </c>
      <c r="G1460" s="14" t="s">
        <v>3487</v>
      </c>
      <c r="H1460" s="2" t="s">
        <v>16</v>
      </c>
      <c r="I1460" s="2" t="s">
        <v>3488</v>
      </c>
      <c r="J1460" s="2">
        <v>10.0</v>
      </c>
      <c r="K1460" s="23" t="s">
        <v>4586</v>
      </c>
      <c r="L1460" s="11">
        <v>60000.0</v>
      </c>
    </row>
    <row r="1461">
      <c r="A1461" s="8" t="s">
        <v>1270</v>
      </c>
      <c r="B1461" s="8" t="s">
        <v>1270</v>
      </c>
      <c r="C1461" s="13">
        <v>45873.39252314815</v>
      </c>
      <c r="D1461" s="2" t="s">
        <v>45</v>
      </c>
      <c r="E1461" s="2" t="s">
        <v>46</v>
      </c>
      <c r="F1461" s="14" t="s">
        <v>3522</v>
      </c>
      <c r="G1461" s="14" t="s">
        <v>3523</v>
      </c>
      <c r="H1461" s="2" t="s">
        <v>16</v>
      </c>
      <c r="I1461" s="2" t="s">
        <v>3488</v>
      </c>
      <c r="J1461" s="2">
        <v>10.0</v>
      </c>
      <c r="K1461" s="23" t="s">
        <v>4587</v>
      </c>
      <c r="L1461" s="11">
        <v>185000.0</v>
      </c>
    </row>
    <row r="1462" hidden="1">
      <c r="A1462" s="1"/>
      <c r="B1462" s="1"/>
      <c r="C1462" s="13"/>
      <c r="D1462" s="2"/>
      <c r="E1462" s="2"/>
      <c r="F1462" s="14"/>
      <c r="G1462" s="14"/>
      <c r="H1462" s="2"/>
      <c r="I1462" s="2"/>
      <c r="J1462" s="2"/>
      <c r="K1462" s="12"/>
      <c r="L1462" s="11"/>
    </row>
    <row r="1463" hidden="1">
      <c r="A1463" s="8" t="s">
        <v>1271</v>
      </c>
      <c r="B1463" s="8" t="s">
        <v>1271</v>
      </c>
      <c r="C1463" s="13">
        <v>45873.510671296295</v>
      </c>
      <c r="D1463" s="2" t="s">
        <v>1203</v>
      </c>
      <c r="E1463" s="2" t="s">
        <v>1204</v>
      </c>
      <c r="F1463" s="14" t="s">
        <v>3547</v>
      </c>
      <c r="G1463" s="14" t="s">
        <v>3548</v>
      </c>
      <c r="H1463" s="2" t="s">
        <v>16</v>
      </c>
      <c r="I1463" s="2" t="s">
        <v>3488</v>
      </c>
      <c r="J1463" s="2">
        <v>2.0</v>
      </c>
      <c r="K1463" s="19"/>
      <c r="L1463" s="11">
        <v>900000.0</v>
      </c>
    </row>
    <row r="1464" hidden="1">
      <c r="A1464" s="8" t="s">
        <v>1272</v>
      </c>
      <c r="B1464" s="8" t="s">
        <v>1272</v>
      </c>
      <c r="C1464" s="13">
        <v>45873.53440972222</v>
      </c>
      <c r="D1464" s="2" t="s">
        <v>109</v>
      </c>
      <c r="E1464" s="2" t="s">
        <v>110</v>
      </c>
      <c r="F1464" s="14" t="s">
        <v>3516</v>
      </c>
      <c r="G1464" s="14" t="s">
        <v>3517</v>
      </c>
      <c r="H1464" s="2" t="s">
        <v>24</v>
      </c>
      <c r="I1464" s="2" t="s">
        <v>3491</v>
      </c>
      <c r="J1464" s="2">
        <v>1.0</v>
      </c>
      <c r="K1464" s="23" t="s">
        <v>4588</v>
      </c>
      <c r="L1464" s="11">
        <v>0.0</v>
      </c>
    </row>
    <row r="1465" hidden="1">
      <c r="A1465" s="8" t="s">
        <v>1272</v>
      </c>
      <c r="B1465" s="8" t="s">
        <v>1272</v>
      </c>
      <c r="C1465" s="13">
        <v>45873.53440972222</v>
      </c>
      <c r="D1465" s="2" t="s">
        <v>109</v>
      </c>
      <c r="E1465" s="2" t="s">
        <v>110</v>
      </c>
      <c r="F1465" s="14" t="s">
        <v>3522</v>
      </c>
      <c r="G1465" s="14" t="s">
        <v>3523</v>
      </c>
      <c r="H1465" s="2" t="s">
        <v>24</v>
      </c>
      <c r="I1465" s="2" t="s">
        <v>3491</v>
      </c>
      <c r="J1465" s="2">
        <v>1.0</v>
      </c>
      <c r="K1465" s="23" t="s">
        <v>4298</v>
      </c>
      <c r="L1465" s="11">
        <v>0.0</v>
      </c>
    </row>
    <row r="1466" hidden="1">
      <c r="A1466" s="8" t="s">
        <v>1273</v>
      </c>
      <c r="B1466" s="8" t="s">
        <v>1273</v>
      </c>
      <c r="C1466" s="13">
        <v>45873.536087962966</v>
      </c>
      <c r="D1466" s="2" t="s">
        <v>1084</v>
      </c>
      <c r="E1466" s="2" t="s">
        <v>1085</v>
      </c>
      <c r="F1466" s="14" t="s">
        <v>3516</v>
      </c>
      <c r="G1466" s="14" t="s">
        <v>3517</v>
      </c>
      <c r="H1466" s="2" t="s">
        <v>16</v>
      </c>
      <c r="I1466" s="2" t="s">
        <v>3488</v>
      </c>
      <c r="J1466" s="2">
        <v>5.0</v>
      </c>
      <c r="K1466" s="23" t="s">
        <v>4589</v>
      </c>
      <c r="L1466" s="11">
        <v>210000.0</v>
      </c>
    </row>
    <row r="1467" hidden="1">
      <c r="A1467" s="8" t="s">
        <v>1274</v>
      </c>
      <c r="B1467" s="8" t="s">
        <v>1274</v>
      </c>
      <c r="C1467" s="13">
        <v>45873.541284722225</v>
      </c>
      <c r="D1467" s="2" t="s">
        <v>326</v>
      </c>
      <c r="E1467" s="2" t="s">
        <v>327</v>
      </c>
      <c r="F1467" s="14" t="s">
        <v>3486</v>
      </c>
      <c r="G1467" s="14" t="s">
        <v>3487</v>
      </c>
      <c r="H1467" s="2" t="s">
        <v>24</v>
      </c>
      <c r="I1467" s="2" t="s">
        <v>3491</v>
      </c>
      <c r="J1467" s="2">
        <v>7.0</v>
      </c>
      <c r="K1467" s="23" t="s">
        <v>4590</v>
      </c>
      <c r="L1467" s="11">
        <v>0.0</v>
      </c>
    </row>
    <row r="1468" hidden="1">
      <c r="A1468" s="8" t="s">
        <v>1275</v>
      </c>
      <c r="B1468" s="8" t="s">
        <v>1275</v>
      </c>
      <c r="C1468" s="13">
        <v>45873.593460648146</v>
      </c>
      <c r="D1468" s="2" t="s">
        <v>1084</v>
      </c>
      <c r="E1468" s="2" t="s">
        <v>1085</v>
      </c>
      <c r="F1468" s="14" t="s">
        <v>4203</v>
      </c>
      <c r="G1468" s="14" t="s">
        <v>4204</v>
      </c>
      <c r="H1468" s="2" t="s">
        <v>24</v>
      </c>
      <c r="I1468" s="2" t="s">
        <v>3491</v>
      </c>
      <c r="J1468" s="2">
        <v>2.0</v>
      </c>
      <c r="K1468" s="23" t="s">
        <v>4591</v>
      </c>
      <c r="L1468" s="11">
        <v>0.0</v>
      </c>
    </row>
    <row r="1469" hidden="1">
      <c r="A1469" s="8" t="s">
        <v>1275</v>
      </c>
      <c r="B1469" s="8" t="s">
        <v>1275</v>
      </c>
      <c r="C1469" s="13">
        <v>45873.593460648146</v>
      </c>
      <c r="D1469" s="2" t="s">
        <v>1084</v>
      </c>
      <c r="E1469" s="2" t="s">
        <v>1085</v>
      </c>
      <c r="F1469" s="14" t="s">
        <v>3516</v>
      </c>
      <c r="G1469" s="14" t="s">
        <v>3517</v>
      </c>
      <c r="H1469" s="2" t="s">
        <v>24</v>
      </c>
      <c r="I1469" s="2" t="s">
        <v>3491</v>
      </c>
      <c r="J1469" s="2">
        <v>3.0</v>
      </c>
      <c r="K1469" s="23" t="s">
        <v>4592</v>
      </c>
      <c r="L1469" s="11">
        <v>0.0</v>
      </c>
    </row>
    <row r="1470" hidden="1">
      <c r="A1470" s="8" t="s">
        <v>1276</v>
      </c>
      <c r="B1470" s="8" t="s">
        <v>1276</v>
      </c>
      <c r="C1470" s="13">
        <v>45873.59543981482</v>
      </c>
      <c r="D1470" s="2" t="s">
        <v>1203</v>
      </c>
      <c r="E1470" s="2" t="s">
        <v>1204</v>
      </c>
      <c r="F1470" s="14" t="s">
        <v>3547</v>
      </c>
      <c r="G1470" s="14" t="s">
        <v>3548</v>
      </c>
      <c r="H1470" s="2" t="s">
        <v>24</v>
      </c>
      <c r="I1470" s="2" t="s">
        <v>3491</v>
      </c>
      <c r="J1470" s="2">
        <v>2.0</v>
      </c>
      <c r="K1470" s="19"/>
      <c r="L1470" s="11">
        <v>0.0</v>
      </c>
    </row>
    <row r="1471" hidden="1">
      <c r="A1471" s="8" t="s">
        <v>1277</v>
      </c>
      <c r="B1471" s="8" t="s">
        <v>1277</v>
      </c>
      <c r="C1471" s="13">
        <v>45874.41515046296</v>
      </c>
      <c r="D1471" s="2" t="s">
        <v>464</v>
      </c>
      <c r="E1471" s="2" t="s">
        <v>465</v>
      </c>
      <c r="F1471" s="14" t="s">
        <v>4203</v>
      </c>
      <c r="G1471" s="14" t="s">
        <v>4204</v>
      </c>
      <c r="H1471" s="2" t="s">
        <v>16</v>
      </c>
      <c r="I1471" s="2" t="s">
        <v>3488</v>
      </c>
      <c r="J1471" s="2">
        <v>5.0</v>
      </c>
      <c r="K1471" s="23" t="s">
        <v>4593</v>
      </c>
      <c r="L1471" s="11">
        <v>55000.0</v>
      </c>
    </row>
    <row r="1472" hidden="1">
      <c r="A1472" s="8" t="s">
        <v>1278</v>
      </c>
      <c r="B1472" s="8" t="s">
        <v>1278</v>
      </c>
      <c r="C1472" s="13">
        <v>45874.458449074074</v>
      </c>
      <c r="D1472" s="2" t="s">
        <v>904</v>
      </c>
      <c r="E1472" s="2" t="s">
        <v>905</v>
      </c>
      <c r="F1472" s="14" t="s">
        <v>4203</v>
      </c>
      <c r="G1472" s="14" t="s">
        <v>4204</v>
      </c>
      <c r="H1472" s="2" t="s">
        <v>16</v>
      </c>
      <c r="I1472" s="2" t="s">
        <v>3488</v>
      </c>
      <c r="J1472" s="2">
        <v>3.0</v>
      </c>
      <c r="K1472" s="23" t="s">
        <v>4594</v>
      </c>
      <c r="L1472" s="11">
        <v>75000.0</v>
      </c>
    </row>
    <row r="1473" hidden="1">
      <c r="A1473" s="8" t="s">
        <v>1279</v>
      </c>
      <c r="B1473" s="8" t="s">
        <v>1279</v>
      </c>
      <c r="C1473" s="13">
        <v>45874.47688657408</v>
      </c>
      <c r="D1473" s="2" t="s">
        <v>464</v>
      </c>
      <c r="E1473" s="2" t="s">
        <v>465</v>
      </c>
      <c r="F1473" s="14" t="s">
        <v>4203</v>
      </c>
      <c r="G1473" s="14" t="s">
        <v>4204</v>
      </c>
      <c r="H1473" s="2" t="s">
        <v>24</v>
      </c>
      <c r="I1473" s="2" t="s">
        <v>3491</v>
      </c>
      <c r="J1473" s="2">
        <v>2.0</v>
      </c>
      <c r="K1473" s="23" t="s">
        <v>4595</v>
      </c>
      <c r="L1473" s="11">
        <v>0.0</v>
      </c>
    </row>
    <row r="1474" hidden="1">
      <c r="A1474" s="8" t="s">
        <v>1279</v>
      </c>
      <c r="B1474" s="8" t="s">
        <v>1279</v>
      </c>
      <c r="C1474" s="13">
        <v>45874.47688657408</v>
      </c>
      <c r="D1474" s="2" t="s">
        <v>464</v>
      </c>
      <c r="E1474" s="2" t="s">
        <v>465</v>
      </c>
      <c r="F1474" s="14" t="s">
        <v>3506</v>
      </c>
      <c r="G1474" s="14" t="s">
        <v>3507</v>
      </c>
      <c r="H1474" s="2" t="s">
        <v>24</v>
      </c>
      <c r="I1474" s="2" t="s">
        <v>3491</v>
      </c>
      <c r="J1474" s="2">
        <v>2.0</v>
      </c>
      <c r="K1474" s="23" t="s">
        <v>4230</v>
      </c>
      <c r="L1474" s="11">
        <v>0.0</v>
      </c>
    </row>
    <row r="1475" hidden="1">
      <c r="A1475" s="8" t="s">
        <v>1280</v>
      </c>
      <c r="B1475" s="8" t="s">
        <v>1280</v>
      </c>
      <c r="C1475" s="13">
        <v>45874.49930555555</v>
      </c>
      <c r="D1475" s="2" t="s">
        <v>951</v>
      </c>
      <c r="E1475" s="2" t="s">
        <v>952</v>
      </c>
      <c r="F1475" s="14" t="s">
        <v>3516</v>
      </c>
      <c r="G1475" s="14" t="s">
        <v>3517</v>
      </c>
      <c r="H1475" s="2" t="s">
        <v>16</v>
      </c>
      <c r="I1475" s="2" t="s">
        <v>3488</v>
      </c>
      <c r="J1475" s="2">
        <v>1.0</v>
      </c>
      <c r="K1475" s="23" t="s">
        <v>4495</v>
      </c>
      <c r="L1475" s="11">
        <v>165000.0</v>
      </c>
    </row>
    <row r="1476" hidden="1">
      <c r="A1476" s="8" t="s">
        <v>1280</v>
      </c>
      <c r="B1476" s="8" t="s">
        <v>1280</v>
      </c>
      <c r="C1476" s="13">
        <v>45874.49930555555</v>
      </c>
      <c r="D1476" s="2" t="s">
        <v>951</v>
      </c>
      <c r="E1476" s="2" t="s">
        <v>952</v>
      </c>
      <c r="F1476" s="14" t="s">
        <v>3486</v>
      </c>
      <c r="G1476" s="14" t="s">
        <v>3487</v>
      </c>
      <c r="H1476" s="2" t="s">
        <v>16</v>
      </c>
      <c r="I1476" s="2" t="s">
        <v>3488</v>
      </c>
      <c r="J1476" s="2">
        <v>4.0</v>
      </c>
      <c r="K1476" s="23" t="s">
        <v>4596</v>
      </c>
      <c r="L1476" s="11">
        <v>55000.0</v>
      </c>
    </row>
    <row r="1477" hidden="1">
      <c r="A1477" s="8" t="s">
        <v>1281</v>
      </c>
      <c r="B1477" s="8" t="s">
        <v>1281</v>
      </c>
      <c r="C1477" s="13">
        <v>45874.506944444445</v>
      </c>
      <c r="D1477" s="2" t="s">
        <v>309</v>
      </c>
      <c r="E1477" s="2" t="s">
        <v>310</v>
      </c>
      <c r="F1477" s="14" t="s">
        <v>3516</v>
      </c>
      <c r="G1477" s="14" t="s">
        <v>3517</v>
      </c>
      <c r="H1477" s="2" t="s">
        <v>16</v>
      </c>
      <c r="I1477" s="2" t="s">
        <v>3488</v>
      </c>
      <c r="J1477" s="2">
        <v>1.0</v>
      </c>
      <c r="K1477" s="23" t="s">
        <v>4588</v>
      </c>
      <c r="L1477" s="11">
        <v>160000.0</v>
      </c>
    </row>
    <row r="1478" hidden="1">
      <c r="A1478" s="8" t="s">
        <v>1281</v>
      </c>
      <c r="B1478" s="8" t="s">
        <v>1281</v>
      </c>
      <c r="C1478" s="13">
        <v>45874.506944444445</v>
      </c>
      <c r="D1478" s="2" t="s">
        <v>309</v>
      </c>
      <c r="E1478" s="2" t="s">
        <v>310</v>
      </c>
      <c r="F1478" s="14" t="s">
        <v>3493</v>
      </c>
      <c r="G1478" s="14" t="s">
        <v>3494</v>
      </c>
      <c r="H1478" s="2" t="s">
        <v>16</v>
      </c>
      <c r="I1478" s="2" t="s">
        <v>3488</v>
      </c>
      <c r="J1478" s="2">
        <v>3.0</v>
      </c>
      <c r="K1478" s="19"/>
      <c r="L1478" s="11">
        <v>200000.0</v>
      </c>
    </row>
    <row r="1479" hidden="1">
      <c r="A1479" s="8" t="s">
        <v>1282</v>
      </c>
      <c r="B1479" s="8" t="s">
        <v>1282</v>
      </c>
      <c r="C1479" s="13">
        <v>45874.58673611111</v>
      </c>
      <c r="D1479" s="2" t="s">
        <v>904</v>
      </c>
      <c r="E1479" s="2" t="s">
        <v>905</v>
      </c>
      <c r="F1479" s="14" t="s">
        <v>4203</v>
      </c>
      <c r="G1479" s="14" t="s">
        <v>4204</v>
      </c>
      <c r="H1479" s="2" t="s">
        <v>24</v>
      </c>
      <c r="I1479" s="2" t="s">
        <v>3491</v>
      </c>
      <c r="J1479" s="2">
        <v>3.0</v>
      </c>
      <c r="K1479" s="23" t="s">
        <v>4597</v>
      </c>
      <c r="L1479" s="11">
        <v>0.0</v>
      </c>
    </row>
    <row r="1480" hidden="1">
      <c r="A1480" s="8" t="s">
        <v>1283</v>
      </c>
      <c r="B1480" s="8" t="s">
        <v>1283</v>
      </c>
      <c r="C1480" s="13">
        <v>45874.5890625</v>
      </c>
      <c r="D1480" s="2" t="s">
        <v>309</v>
      </c>
      <c r="E1480" s="2" t="s">
        <v>310</v>
      </c>
      <c r="F1480" s="14" t="s">
        <v>3506</v>
      </c>
      <c r="G1480" s="14" t="s">
        <v>3507</v>
      </c>
      <c r="H1480" s="2" t="s">
        <v>24</v>
      </c>
      <c r="I1480" s="2" t="s">
        <v>3491</v>
      </c>
      <c r="J1480" s="2">
        <v>5.0</v>
      </c>
      <c r="K1480" s="19"/>
      <c r="L1480" s="11">
        <v>0.0</v>
      </c>
    </row>
    <row r="1481" hidden="1">
      <c r="A1481" s="8" t="s">
        <v>1283</v>
      </c>
      <c r="B1481" s="8" t="s">
        <v>1283</v>
      </c>
      <c r="C1481" s="13">
        <v>45874.5890625</v>
      </c>
      <c r="D1481" s="2" t="s">
        <v>309</v>
      </c>
      <c r="E1481" s="2" t="s">
        <v>310</v>
      </c>
      <c r="F1481" s="14" t="s">
        <v>4045</v>
      </c>
      <c r="G1481" s="14" t="s">
        <v>4046</v>
      </c>
      <c r="H1481" s="2" t="s">
        <v>24</v>
      </c>
      <c r="I1481" s="2" t="s">
        <v>3491</v>
      </c>
      <c r="J1481" s="2">
        <v>1.0</v>
      </c>
      <c r="K1481" s="19"/>
      <c r="L1481" s="11">
        <v>0.0</v>
      </c>
    </row>
    <row r="1482" hidden="1">
      <c r="A1482" s="8" t="s">
        <v>1283</v>
      </c>
      <c r="B1482" s="8" t="s">
        <v>1283</v>
      </c>
      <c r="C1482" s="13">
        <v>45874.5890625</v>
      </c>
      <c r="D1482" s="2" t="s">
        <v>309</v>
      </c>
      <c r="E1482" s="2" t="s">
        <v>310</v>
      </c>
      <c r="F1482" s="14" t="s">
        <v>3493</v>
      </c>
      <c r="G1482" s="14" t="s">
        <v>3494</v>
      </c>
      <c r="H1482" s="2" t="s">
        <v>24</v>
      </c>
      <c r="I1482" s="2" t="s">
        <v>3491</v>
      </c>
      <c r="J1482" s="2">
        <v>3.0</v>
      </c>
      <c r="K1482" s="19"/>
      <c r="L1482" s="11">
        <v>0.0</v>
      </c>
    </row>
    <row r="1483" hidden="1">
      <c r="A1483" s="8" t="s">
        <v>1284</v>
      </c>
      <c r="B1483" s="8" t="s">
        <v>1284</v>
      </c>
      <c r="C1483" s="13">
        <v>45874.655636574076</v>
      </c>
      <c r="D1483" s="2" t="s">
        <v>951</v>
      </c>
      <c r="E1483" s="2" t="s">
        <v>952</v>
      </c>
      <c r="F1483" s="14" t="s">
        <v>3486</v>
      </c>
      <c r="G1483" s="14" t="s">
        <v>3487</v>
      </c>
      <c r="H1483" s="2" t="s">
        <v>24</v>
      </c>
      <c r="I1483" s="2" t="s">
        <v>3491</v>
      </c>
      <c r="J1483" s="2">
        <v>5.0</v>
      </c>
      <c r="K1483" s="23" t="s">
        <v>4598</v>
      </c>
      <c r="L1483" s="11">
        <v>0.0</v>
      </c>
    </row>
    <row r="1484" hidden="1">
      <c r="A1484" s="8" t="s">
        <v>1284</v>
      </c>
      <c r="B1484" s="8" t="s">
        <v>1284</v>
      </c>
      <c r="C1484" s="13">
        <v>45874.655636574076</v>
      </c>
      <c r="D1484" s="2" t="s">
        <v>951</v>
      </c>
      <c r="E1484" s="2" t="s">
        <v>952</v>
      </c>
      <c r="F1484" s="14" t="s">
        <v>3516</v>
      </c>
      <c r="G1484" s="14" t="s">
        <v>3517</v>
      </c>
      <c r="H1484" s="2" t="s">
        <v>24</v>
      </c>
      <c r="I1484" s="2" t="s">
        <v>3491</v>
      </c>
      <c r="J1484" s="2">
        <v>1.0</v>
      </c>
      <c r="K1484" s="23" t="s">
        <v>4505</v>
      </c>
      <c r="L1484" s="11">
        <v>0.0</v>
      </c>
    </row>
    <row r="1485" hidden="1">
      <c r="A1485" s="8" t="s">
        <v>1285</v>
      </c>
      <c r="B1485" s="8" t="s">
        <v>1285</v>
      </c>
      <c r="C1485" s="13">
        <v>45875.48800925926</v>
      </c>
      <c r="D1485" s="2" t="s">
        <v>169</v>
      </c>
      <c r="E1485" s="2" t="s">
        <v>170</v>
      </c>
      <c r="F1485" s="14" t="s">
        <v>3522</v>
      </c>
      <c r="G1485" s="14" t="s">
        <v>3523</v>
      </c>
      <c r="H1485" s="2" t="s">
        <v>16</v>
      </c>
      <c r="I1485" s="2" t="s">
        <v>3488</v>
      </c>
      <c r="J1485" s="2">
        <v>7.0</v>
      </c>
      <c r="K1485" s="23" t="s">
        <v>4599</v>
      </c>
      <c r="L1485" s="16">
        <v>195000.0</v>
      </c>
    </row>
    <row r="1486" hidden="1">
      <c r="A1486" s="8" t="s">
        <v>1285</v>
      </c>
      <c r="B1486" s="8" t="s">
        <v>1285</v>
      </c>
      <c r="C1486" s="13">
        <v>45875.48800925926</v>
      </c>
      <c r="D1486" s="2" t="s">
        <v>169</v>
      </c>
      <c r="E1486" s="2" t="s">
        <v>170</v>
      </c>
      <c r="F1486" s="14" t="s">
        <v>3486</v>
      </c>
      <c r="G1486" s="14" t="s">
        <v>3487</v>
      </c>
      <c r="H1486" s="2" t="s">
        <v>16</v>
      </c>
      <c r="I1486" s="2" t="s">
        <v>3488</v>
      </c>
      <c r="J1486" s="2">
        <v>5.0</v>
      </c>
      <c r="K1486" s="23" t="s">
        <v>4600</v>
      </c>
      <c r="L1486" s="16">
        <v>60000.0</v>
      </c>
    </row>
    <row r="1487" hidden="1">
      <c r="A1487" s="1" t="s">
        <v>1286</v>
      </c>
      <c r="B1487" s="1" t="s">
        <v>1286</v>
      </c>
      <c r="C1487" s="13">
        <v>45875.64878472222</v>
      </c>
      <c r="D1487" s="2" t="s">
        <v>169</v>
      </c>
      <c r="E1487" s="2" t="s">
        <v>170</v>
      </c>
      <c r="F1487" s="14" t="s">
        <v>3486</v>
      </c>
      <c r="G1487" s="14" t="s">
        <v>3487</v>
      </c>
      <c r="H1487" s="2" t="s">
        <v>24</v>
      </c>
      <c r="I1487" s="2" t="s">
        <v>3491</v>
      </c>
      <c r="J1487" s="2">
        <v>8.0</v>
      </c>
      <c r="K1487" s="23" t="s">
        <v>4601</v>
      </c>
      <c r="L1487" s="11">
        <v>0.0</v>
      </c>
    </row>
    <row r="1488" hidden="1">
      <c r="A1488" s="8" t="s">
        <v>1287</v>
      </c>
      <c r="B1488" s="8" t="s">
        <v>1287</v>
      </c>
      <c r="C1488" s="13">
        <v>45875.651550925926</v>
      </c>
      <c r="D1488" s="2" t="s">
        <v>169</v>
      </c>
      <c r="E1488" s="2" t="s">
        <v>170</v>
      </c>
      <c r="F1488" s="14" t="s">
        <v>3486</v>
      </c>
      <c r="G1488" s="14" t="s">
        <v>3487</v>
      </c>
      <c r="H1488" s="2" t="s">
        <v>24</v>
      </c>
      <c r="I1488" s="2" t="s">
        <v>3491</v>
      </c>
      <c r="J1488" s="2">
        <v>5.0</v>
      </c>
      <c r="K1488" s="23" t="s">
        <v>4602</v>
      </c>
      <c r="L1488" s="11">
        <v>0.0</v>
      </c>
    </row>
    <row r="1489" hidden="1">
      <c r="A1489" s="8" t="s">
        <v>1287</v>
      </c>
      <c r="B1489" s="8" t="s">
        <v>1287</v>
      </c>
      <c r="C1489" s="13">
        <v>45875.651550925926</v>
      </c>
      <c r="D1489" s="2" t="s">
        <v>169</v>
      </c>
      <c r="E1489" s="2" t="s">
        <v>170</v>
      </c>
      <c r="F1489" s="14" t="s">
        <v>3522</v>
      </c>
      <c r="G1489" s="14" t="s">
        <v>3523</v>
      </c>
      <c r="H1489" s="2" t="s">
        <v>24</v>
      </c>
      <c r="I1489" s="2" t="s">
        <v>3491</v>
      </c>
      <c r="J1489" s="2">
        <v>6.0</v>
      </c>
      <c r="K1489" s="23" t="s">
        <v>4603</v>
      </c>
      <c r="L1489" s="11">
        <v>0.0</v>
      </c>
    </row>
    <row r="1490" hidden="1">
      <c r="A1490" s="1"/>
      <c r="B1490" s="1"/>
      <c r="C1490" s="13"/>
      <c r="F1490" s="14"/>
      <c r="G1490" s="14"/>
      <c r="K1490" s="12"/>
      <c r="L1490" s="11">
        <v>55000.0</v>
      </c>
    </row>
    <row r="1491" hidden="1">
      <c r="A1491" s="8" t="s">
        <v>1288</v>
      </c>
      <c r="B1491" s="8" t="s">
        <v>1288</v>
      </c>
      <c r="C1491" s="13">
        <v>45876.35826388889</v>
      </c>
      <c r="D1491" s="2" t="s">
        <v>464</v>
      </c>
      <c r="E1491" s="2" t="s">
        <v>465</v>
      </c>
      <c r="F1491" s="14" t="s">
        <v>3506</v>
      </c>
      <c r="G1491" s="14" t="s">
        <v>3507</v>
      </c>
      <c r="H1491" s="2" t="s">
        <v>16</v>
      </c>
      <c r="I1491" s="2" t="s">
        <v>3488</v>
      </c>
      <c r="J1491" s="2">
        <v>2.0</v>
      </c>
      <c r="K1491" s="19"/>
      <c r="L1491" s="11">
        <v>55000.0</v>
      </c>
    </row>
    <row r="1492" hidden="1">
      <c r="A1492" s="1" t="s">
        <v>1289</v>
      </c>
      <c r="B1492" s="1" t="s">
        <v>1289</v>
      </c>
      <c r="C1492" s="13">
        <v>45876.36454861111</v>
      </c>
      <c r="D1492" s="2" t="s">
        <v>309</v>
      </c>
      <c r="E1492" s="2" t="s">
        <v>310</v>
      </c>
      <c r="F1492" s="14" t="s">
        <v>3506</v>
      </c>
      <c r="G1492" s="14" t="s">
        <v>3507</v>
      </c>
      <c r="H1492" s="2" t="s">
        <v>16</v>
      </c>
      <c r="I1492" s="2" t="s">
        <v>3488</v>
      </c>
      <c r="J1492" s="2">
        <v>5.0</v>
      </c>
      <c r="K1492" s="19"/>
      <c r="L1492" s="11">
        <v>55000.0</v>
      </c>
    </row>
    <row r="1493" hidden="1">
      <c r="A1493" s="1" t="s">
        <v>1289</v>
      </c>
      <c r="B1493" s="1" t="s">
        <v>1289</v>
      </c>
      <c r="C1493" s="13">
        <v>45876.36454861111</v>
      </c>
      <c r="D1493" s="2" t="s">
        <v>309</v>
      </c>
      <c r="E1493" s="2" t="s">
        <v>310</v>
      </c>
      <c r="F1493" s="14" t="s">
        <v>4045</v>
      </c>
      <c r="G1493" s="14" t="s">
        <v>4046</v>
      </c>
      <c r="H1493" s="2" t="s">
        <v>16</v>
      </c>
      <c r="I1493" s="2" t="s">
        <v>3488</v>
      </c>
      <c r="J1493" s="2">
        <v>1.0</v>
      </c>
      <c r="K1493" s="19"/>
      <c r="L1493" s="11">
        <v>160000.0</v>
      </c>
    </row>
    <row r="1494" hidden="1">
      <c r="A1494" s="8" t="s">
        <v>1290</v>
      </c>
      <c r="B1494" s="8" t="s">
        <v>1290</v>
      </c>
      <c r="C1494" s="13">
        <v>45876.37938657407</v>
      </c>
      <c r="D1494" s="2" t="s">
        <v>786</v>
      </c>
      <c r="E1494" s="2" t="s">
        <v>787</v>
      </c>
      <c r="F1494" s="14" t="s">
        <v>3486</v>
      </c>
      <c r="G1494" s="14" t="s">
        <v>3487</v>
      </c>
      <c r="H1494" s="2" t="s">
        <v>16</v>
      </c>
      <c r="I1494" s="2" t="s">
        <v>3488</v>
      </c>
      <c r="J1494" s="2">
        <v>2.0</v>
      </c>
      <c r="K1494" s="23" t="s">
        <v>4604</v>
      </c>
      <c r="L1494" s="11">
        <v>60000.0</v>
      </c>
    </row>
    <row r="1495" hidden="1">
      <c r="A1495" s="8" t="s">
        <v>1290</v>
      </c>
      <c r="B1495" s="8" t="s">
        <v>1290</v>
      </c>
      <c r="C1495" s="13">
        <v>45876.37938657407</v>
      </c>
      <c r="D1495" s="2" t="s">
        <v>786</v>
      </c>
      <c r="E1495" s="2" t="s">
        <v>787</v>
      </c>
      <c r="F1495" s="14" t="s">
        <v>3516</v>
      </c>
      <c r="G1495" s="14" t="s">
        <v>3517</v>
      </c>
      <c r="H1495" s="2" t="s">
        <v>16</v>
      </c>
      <c r="I1495" s="2" t="s">
        <v>3488</v>
      </c>
      <c r="J1495" s="2">
        <v>1.0</v>
      </c>
      <c r="K1495" s="23" t="s">
        <v>4505</v>
      </c>
      <c r="L1495" s="11">
        <v>170000.0</v>
      </c>
    </row>
    <row r="1496" hidden="1">
      <c r="A1496" s="8" t="s">
        <v>1291</v>
      </c>
      <c r="B1496" s="8" t="s">
        <v>1291</v>
      </c>
      <c r="C1496" s="13">
        <v>45876.62321759259</v>
      </c>
      <c r="D1496" s="2" t="s">
        <v>109</v>
      </c>
      <c r="E1496" s="2" t="s">
        <v>110</v>
      </c>
      <c r="F1496" s="14" t="s">
        <v>3522</v>
      </c>
      <c r="G1496" s="14" t="s">
        <v>3523</v>
      </c>
      <c r="H1496" s="2" t="s">
        <v>16</v>
      </c>
      <c r="I1496" s="2" t="s">
        <v>3488</v>
      </c>
      <c r="J1496" s="2">
        <v>4.0</v>
      </c>
      <c r="K1496" s="23" t="s">
        <v>4605</v>
      </c>
      <c r="L1496" s="11">
        <v>190000.0</v>
      </c>
    </row>
    <row r="1497" hidden="1">
      <c r="A1497" s="8" t="s">
        <v>1291</v>
      </c>
      <c r="B1497" s="8" t="s">
        <v>1291</v>
      </c>
      <c r="C1497" s="13">
        <v>45876.62321759259</v>
      </c>
      <c r="D1497" s="2" t="s">
        <v>109</v>
      </c>
      <c r="E1497" s="2" t="s">
        <v>110</v>
      </c>
      <c r="F1497" s="14" t="s">
        <v>3516</v>
      </c>
      <c r="G1497" s="14" t="s">
        <v>3517</v>
      </c>
      <c r="H1497" s="2" t="s">
        <v>16</v>
      </c>
      <c r="I1497" s="2" t="s">
        <v>3488</v>
      </c>
      <c r="J1497" s="2">
        <v>1.0</v>
      </c>
      <c r="K1497" s="23" t="s">
        <v>4582</v>
      </c>
      <c r="L1497" s="11">
        <v>160000.0</v>
      </c>
    </row>
    <row r="1498" hidden="1">
      <c r="A1498" s="8" t="s">
        <v>1291</v>
      </c>
      <c r="B1498" s="8" t="s">
        <v>1291</v>
      </c>
      <c r="C1498" s="13">
        <v>45876.62321759259</v>
      </c>
      <c r="D1498" s="2" t="s">
        <v>109</v>
      </c>
      <c r="E1498" s="2" t="s">
        <v>110</v>
      </c>
      <c r="F1498" s="14" t="s">
        <v>3486</v>
      </c>
      <c r="G1498" s="14" t="s">
        <v>3487</v>
      </c>
      <c r="H1498" s="2" t="s">
        <v>16</v>
      </c>
      <c r="I1498" s="2" t="s">
        <v>3488</v>
      </c>
      <c r="J1498" s="2">
        <v>3.0</v>
      </c>
      <c r="K1498" s="23" t="s">
        <v>4606</v>
      </c>
      <c r="L1498" s="11">
        <v>60000.0</v>
      </c>
    </row>
    <row r="1499" hidden="1">
      <c r="A1499" s="8" t="s">
        <v>1292</v>
      </c>
      <c r="B1499" s="8" t="s">
        <v>1292</v>
      </c>
      <c r="C1499" s="13">
        <v>45876.81581018519</v>
      </c>
      <c r="D1499" s="2" t="s">
        <v>109</v>
      </c>
      <c r="E1499" s="2" t="s">
        <v>110</v>
      </c>
      <c r="F1499" s="14" t="s">
        <v>3522</v>
      </c>
      <c r="G1499" s="14" t="s">
        <v>3523</v>
      </c>
      <c r="H1499" s="2" t="s">
        <v>24</v>
      </c>
      <c r="I1499" s="2" t="s">
        <v>3491</v>
      </c>
      <c r="J1499" s="2">
        <v>1.0</v>
      </c>
      <c r="K1499" s="23" t="s">
        <v>4607</v>
      </c>
      <c r="L1499" s="11">
        <v>0.0</v>
      </c>
    </row>
    <row r="1500" hidden="1">
      <c r="A1500" s="8" t="s">
        <v>1292</v>
      </c>
      <c r="B1500" s="8" t="s">
        <v>1292</v>
      </c>
      <c r="C1500" s="13">
        <v>45876.81581018519</v>
      </c>
      <c r="D1500" s="2" t="s">
        <v>109</v>
      </c>
      <c r="E1500" s="2" t="s">
        <v>110</v>
      </c>
      <c r="F1500" s="14" t="s">
        <v>3486</v>
      </c>
      <c r="G1500" s="14" t="s">
        <v>3487</v>
      </c>
      <c r="H1500" s="2" t="s">
        <v>24</v>
      </c>
      <c r="I1500" s="2" t="s">
        <v>3491</v>
      </c>
      <c r="J1500" s="2">
        <v>1.0</v>
      </c>
      <c r="K1500" s="23" t="s">
        <v>4608</v>
      </c>
      <c r="L1500" s="11">
        <v>0.0</v>
      </c>
    </row>
    <row r="1501" hidden="1">
      <c r="A1501" s="8" t="s">
        <v>1293</v>
      </c>
      <c r="B1501" s="8" t="s">
        <v>1293</v>
      </c>
      <c r="C1501" s="13">
        <v>45876.81653935185</v>
      </c>
      <c r="D1501" s="2" t="s">
        <v>309</v>
      </c>
      <c r="E1501" s="2" t="s">
        <v>310</v>
      </c>
      <c r="F1501" s="14" t="s">
        <v>3506</v>
      </c>
      <c r="G1501" s="14" t="s">
        <v>3507</v>
      </c>
      <c r="H1501" s="2" t="s">
        <v>24</v>
      </c>
      <c r="I1501" s="2" t="s">
        <v>3491</v>
      </c>
      <c r="J1501" s="2">
        <v>5.0</v>
      </c>
      <c r="K1501" s="19"/>
      <c r="L1501" s="11">
        <v>0.0</v>
      </c>
    </row>
    <row r="1502" hidden="1">
      <c r="A1502" s="8" t="s">
        <v>1294</v>
      </c>
      <c r="B1502" s="8" t="s">
        <v>1294</v>
      </c>
      <c r="C1502" s="13">
        <v>45876.81722222222</v>
      </c>
      <c r="D1502" s="2" t="s">
        <v>786</v>
      </c>
      <c r="E1502" s="2" t="s">
        <v>787</v>
      </c>
      <c r="F1502" s="14" t="s">
        <v>3486</v>
      </c>
      <c r="G1502" s="14" t="s">
        <v>3487</v>
      </c>
      <c r="H1502" s="2" t="s">
        <v>24</v>
      </c>
      <c r="I1502" s="2" t="s">
        <v>3491</v>
      </c>
      <c r="J1502" s="2">
        <v>3.0</v>
      </c>
      <c r="K1502" s="23" t="s">
        <v>4609</v>
      </c>
      <c r="L1502" s="11">
        <v>0.0</v>
      </c>
    </row>
    <row r="1503" hidden="1">
      <c r="A1503" s="8" t="s">
        <v>1295</v>
      </c>
      <c r="B1503" s="8" t="s">
        <v>1295</v>
      </c>
      <c r="C1503" s="13">
        <v>45877.38659722222</v>
      </c>
      <c r="D1503" s="2" t="s">
        <v>309</v>
      </c>
      <c r="E1503" s="2" t="s">
        <v>310</v>
      </c>
      <c r="F1503" s="14" t="s">
        <v>3506</v>
      </c>
      <c r="G1503" s="14" t="s">
        <v>3507</v>
      </c>
      <c r="H1503" s="2" t="s">
        <v>16</v>
      </c>
      <c r="I1503" s="2" t="s">
        <v>3488</v>
      </c>
      <c r="J1503" s="2">
        <v>5.0</v>
      </c>
      <c r="K1503" s="19"/>
      <c r="L1503" s="11">
        <v>55000.0</v>
      </c>
    </row>
    <row r="1504" hidden="1">
      <c r="A1504" s="1"/>
      <c r="B1504" s="1"/>
      <c r="C1504" s="13"/>
      <c r="D1504" s="2"/>
      <c r="E1504" s="2"/>
      <c r="F1504" s="14"/>
      <c r="G1504" s="14"/>
      <c r="K1504" s="12"/>
      <c r="L1504" s="11">
        <v>45000.0</v>
      </c>
    </row>
    <row r="1505" hidden="1">
      <c r="A1505" s="8" t="s">
        <v>1296</v>
      </c>
      <c r="B1505" s="8" t="s">
        <v>1296</v>
      </c>
      <c r="C1505" s="13">
        <v>45877.45050925926</v>
      </c>
      <c r="D1505" s="2" t="s">
        <v>326</v>
      </c>
      <c r="E1505" s="2" t="s">
        <v>327</v>
      </c>
      <c r="F1505" s="14" t="s">
        <v>3486</v>
      </c>
      <c r="G1505" s="14" t="s">
        <v>3487</v>
      </c>
      <c r="H1505" s="2" t="s">
        <v>16</v>
      </c>
      <c r="I1505" s="2" t="s">
        <v>3488</v>
      </c>
      <c r="J1505" s="2">
        <v>10.0</v>
      </c>
      <c r="K1505" s="23" t="s">
        <v>4610</v>
      </c>
      <c r="L1505" s="11">
        <v>45000.0</v>
      </c>
    </row>
    <row r="1506" hidden="1">
      <c r="A1506" s="8" t="s">
        <v>1296</v>
      </c>
      <c r="B1506" s="8" t="s">
        <v>1296</v>
      </c>
      <c r="C1506" s="13">
        <v>45877.45050925926</v>
      </c>
      <c r="D1506" s="2" t="s">
        <v>326</v>
      </c>
      <c r="E1506" s="2" t="s">
        <v>327</v>
      </c>
      <c r="F1506" s="14" t="s">
        <v>3486</v>
      </c>
      <c r="G1506" s="14" t="s">
        <v>3487</v>
      </c>
      <c r="H1506" s="2" t="s">
        <v>16</v>
      </c>
      <c r="I1506" s="2" t="s">
        <v>3488</v>
      </c>
      <c r="J1506" s="2">
        <v>5.0</v>
      </c>
      <c r="K1506" s="23" t="s">
        <v>4611</v>
      </c>
      <c r="L1506" s="11">
        <v>45000.0</v>
      </c>
    </row>
    <row r="1507" hidden="1">
      <c r="A1507" s="8" t="s">
        <v>1297</v>
      </c>
      <c r="B1507" s="8" t="s">
        <v>1297</v>
      </c>
      <c r="C1507" s="13">
        <v>45877.467152777775</v>
      </c>
      <c r="D1507" s="2" t="s">
        <v>943</v>
      </c>
      <c r="E1507" s="2" t="s">
        <v>944</v>
      </c>
      <c r="F1507" s="14" t="s">
        <v>3486</v>
      </c>
      <c r="G1507" s="14" t="s">
        <v>3487</v>
      </c>
      <c r="H1507" s="2" t="s">
        <v>24</v>
      </c>
      <c r="I1507" s="2" t="s">
        <v>3491</v>
      </c>
      <c r="J1507" s="2">
        <v>1.0</v>
      </c>
      <c r="K1507" s="23" t="s">
        <v>4612</v>
      </c>
      <c r="L1507" s="11">
        <v>0.0</v>
      </c>
    </row>
    <row r="1508" hidden="1">
      <c r="A1508" s="8" t="s">
        <v>1298</v>
      </c>
      <c r="B1508" s="8" t="s">
        <v>1298</v>
      </c>
      <c r="C1508" s="13">
        <v>45877.59657407407</v>
      </c>
      <c r="D1508" s="2" t="s">
        <v>326</v>
      </c>
      <c r="E1508" s="2" t="s">
        <v>327</v>
      </c>
      <c r="F1508" s="14" t="s">
        <v>3486</v>
      </c>
      <c r="G1508" s="14" t="s">
        <v>3487</v>
      </c>
      <c r="H1508" s="2" t="s">
        <v>24</v>
      </c>
      <c r="I1508" s="2" t="s">
        <v>3614</v>
      </c>
      <c r="J1508" s="2">
        <v>1.0</v>
      </c>
      <c r="K1508" s="23" t="s">
        <v>4613</v>
      </c>
      <c r="L1508" s="11">
        <v>0.0</v>
      </c>
    </row>
    <row r="1509" hidden="1">
      <c r="A1509" s="8" t="s">
        <v>1298</v>
      </c>
      <c r="B1509" s="8" t="s">
        <v>1298</v>
      </c>
      <c r="C1509" s="13">
        <v>45877.59657407407</v>
      </c>
      <c r="D1509" s="2" t="s">
        <v>326</v>
      </c>
      <c r="E1509" s="2" t="s">
        <v>327</v>
      </c>
      <c r="F1509" s="14" t="s">
        <v>3486</v>
      </c>
      <c r="G1509" s="14" t="s">
        <v>3487</v>
      </c>
      <c r="H1509" s="2" t="s">
        <v>24</v>
      </c>
      <c r="I1509" s="2" t="s">
        <v>3491</v>
      </c>
      <c r="J1509" s="2">
        <v>9.0</v>
      </c>
      <c r="K1509" s="23" t="s">
        <v>4614</v>
      </c>
      <c r="L1509" s="11">
        <v>0.0</v>
      </c>
    </row>
    <row r="1510" hidden="1">
      <c r="A1510" s="8" t="s">
        <v>1296</v>
      </c>
      <c r="B1510" s="8" t="s">
        <v>1296</v>
      </c>
      <c r="C1510" s="13">
        <v>45877.45050925926</v>
      </c>
      <c r="D1510" s="2" t="s">
        <v>326</v>
      </c>
      <c r="E1510" s="2" t="s">
        <v>327</v>
      </c>
      <c r="F1510" s="14" t="s">
        <v>3486</v>
      </c>
      <c r="G1510" s="14" t="s">
        <v>3487</v>
      </c>
      <c r="H1510" s="2" t="s">
        <v>16</v>
      </c>
      <c r="I1510" s="2" t="s">
        <v>3488</v>
      </c>
      <c r="J1510" s="2">
        <v>4.0</v>
      </c>
      <c r="K1510" s="23" t="s">
        <v>4615</v>
      </c>
      <c r="L1510" s="11">
        <v>45000.0</v>
      </c>
    </row>
    <row r="1511" hidden="1">
      <c r="A1511" s="8" t="s">
        <v>1299</v>
      </c>
      <c r="B1511" s="8" t="s">
        <v>1299</v>
      </c>
      <c r="C1511" s="13">
        <v>45877.60041666667</v>
      </c>
      <c r="D1511" s="2" t="s">
        <v>326</v>
      </c>
      <c r="E1511" s="2" t="s">
        <v>327</v>
      </c>
      <c r="F1511" s="14" t="s">
        <v>3486</v>
      </c>
      <c r="G1511" s="14" t="s">
        <v>3487</v>
      </c>
      <c r="H1511" s="2" t="s">
        <v>159</v>
      </c>
      <c r="I1511" s="2" t="s">
        <v>3619</v>
      </c>
      <c r="J1511" s="2">
        <v>1.0</v>
      </c>
      <c r="K1511" s="23" t="s">
        <v>3730</v>
      </c>
      <c r="L1511" s="11">
        <v>0.0</v>
      </c>
    </row>
    <row r="1512" hidden="1">
      <c r="A1512" s="1"/>
      <c r="B1512" s="1"/>
      <c r="C1512" s="13"/>
      <c r="D1512" s="2"/>
      <c r="F1512" s="14"/>
      <c r="G1512" s="14"/>
      <c r="K1512" s="12"/>
      <c r="L1512" s="11">
        <v>60000.0</v>
      </c>
    </row>
    <row r="1513" hidden="1">
      <c r="A1513" s="1"/>
      <c r="B1513" s="1"/>
      <c r="C1513" s="13"/>
      <c r="D1513" s="2"/>
      <c r="F1513" s="14"/>
      <c r="G1513" s="14"/>
      <c r="K1513" s="12"/>
      <c r="L1513" s="11">
        <v>60000.0</v>
      </c>
    </row>
    <row r="1514" hidden="1">
      <c r="A1514" s="8" t="s">
        <v>1300</v>
      </c>
      <c r="B1514" s="8" t="s">
        <v>1300</v>
      </c>
      <c r="C1514" s="13">
        <v>45878.34489583333</v>
      </c>
      <c r="D1514" s="2" t="s">
        <v>679</v>
      </c>
      <c r="E1514" s="2" t="s">
        <v>680</v>
      </c>
      <c r="F1514" s="14" t="s">
        <v>3486</v>
      </c>
      <c r="G1514" s="14" t="s">
        <v>3487</v>
      </c>
      <c r="H1514" s="2" t="s">
        <v>16</v>
      </c>
      <c r="I1514" s="2" t="s">
        <v>3488</v>
      </c>
      <c r="J1514" s="2">
        <v>5.0</v>
      </c>
      <c r="K1514" s="23" t="s">
        <v>4616</v>
      </c>
      <c r="L1514" s="11">
        <v>65000.0</v>
      </c>
    </row>
    <row r="1515" hidden="1">
      <c r="A1515" s="8" t="s">
        <v>1301</v>
      </c>
      <c r="B1515" s="8" t="s">
        <v>1301</v>
      </c>
      <c r="C1515" s="13">
        <v>45878.34614583333</v>
      </c>
      <c r="D1515" s="2" t="s">
        <v>786</v>
      </c>
      <c r="E1515" s="2" t="s">
        <v>787</v>
      </c>
      <c r="F1515" s="14" t="s">
        <v>3486</v>
      </c>
      <c r="G1515" s="14" t="s">
        <v>3487</v>
      </c>
      <c r="H1515" s="2" t="s">
        <v>16</v>
      </c>
      <c r="I1515" s="2" t="s">
        <v>3488</v>
      </c>
      <c r="J1515" s="2">
        <v>1.0</v>
      </c>
      <c r="K1515" s="23" t="s">
        <v>4617</v>
      </c>
      <c r="L1515" s="11">
        <v>60000.0</v>
      </c>
    </row>
    <row r="1516" hidden="1">
      <c r="A1516" s="8" t="s">
        <v>1301</v>
      </c>
      <c r="B1516" s="8" t="s">
        <v>1301</v>
      </c>
      <c r="C1516" s="13">
        <v>45878.34614583333</v>
      </c>
      <c r="D1516" s="2" t="s">
        <v>786</v>
      </c>
      <c r="E1516" s="2" t="s">
        <v>787</v>
      </c>
      <c r="F1516" s="14" t="s">
        <v>3516</v>
      </c>
      <c r="G1516" s="14" t="s">
        <v>3517</v>
      </c>
      <c r="H1516" s="2" t="s">
        <v>16</v>
      </c>
      <c r="I1516" s="2" t="s">
        <v>3488</v>
      </c>
      <c r="J1516" s="2">
        <v>2.0</v>
      </c>
      <c r="K1516" s="23" t="s">
        <v>4618</v>
      </c>
      <c r="L1516" s="11">
        <v>170000.0</v>
      </c>
    </row>
    <row r="1517" hidden="1">
      <c r="A1517" s="8" t="s">
        <v>1302</v>
      </c>
      <c r="B1517" s="8" t="s">
        <v>1302</v>
      </c>
      <c r="C1517" s="13">
        <v>45878.723969907405</v>
      </c>
      <c r="D1517" s="2" t="s">
        <v>1303</v>
      </c>
      <c r="E1517" s="2" t="s">
        <v>1304</v>
      </c>
      <c r="F1517" s="14" t="s">
        <v>3835</v>
      </c>
      <c r="G1517" s="14" t="s">
        <v>3836</v>
      </c>
      <c r="H1517" s="2" t="s">
        <v>16</v>
      </c>
      <c r="I1517" s="2" t="s">
        <v>3488</v>
      </c>
      <c r="J1517" s="2">
        <v>1.0</v>
      </c>
      <c r="K1517" s="19"/>
      <c r="L1517" s="11">
        <v>80000.0</v>
      </c>
    </row>
    <row r="1518" hidden="1">
      <c r="A1518" s="8" t="s">
        <v>1306</v>
      </c>
      <c r="B1518" s="8" t="s">
        <v>1306</v>
      </c>
      <c r="C1518" s="13">
        <v>45880.44131944444</v>
      </c>
      <c r="D1518" s="2" t="s">
        <v>685</v>
      </c>
      <c r="E1518" s="2" t="s">
        <v>686</v>
      </c>
      <c r="F1518" s="14" t="s">
        <v>3493</v>
      </c>
      <c r="G1518" s="14" t="s">
        <v>3494</v>
      </c>
      <c r="H1518" s="2" t="s">
        <v>16</v>
      </c>
      <c r="I1518" s="2" t="s">
        <v>3488</v>
      </c>
      <c r="J1518" s="2">
        <v>1.0</v>
      </c>
      <c r="K1518" s="19"/>
      <c r="L1518" s="11">
        <v>189189.19</v>
      </c>
    </row>
    <row r="1519" hidden="1">
      <c r="A1519" s="8" t="s">
        <v>1307</v>
      </c>
      <c r="B1519" s="8" t="s">
        <v>1307</v>
      </c>
      <c r="C1519" s="13">
        <v>45880.4484375</v>
      </c>
      <c r="D1519" s="2" t="s">
        <v>951</v>
      </c>
      <c r="E1519" s="2" t="s">
        <v>952</v>
      </c>
      <c r="F1519" s="14" t="s">
        <v>3486</v>
      </c>
      <c r="G1519" s="14" t="s">
        <v>3487</v>
      </c>
      <c r="H1519" s="2" t="s">
        <v>24</v>
      </c>
      <c r="I1519" s="2" t="s">
        <v>3491</v>
      </c>
      <c r="J1519" s="2">
        <v>3.0</v>
      </c>
      <c r="K1519" s="23" t="s">
        <v>4619</v>
      </c>
      <c r="L1519" s="11">
        <v>0.0</v>
      </c>
    </row>
    <row r="1520" hidden="1">
      <c r="A1520" s="8" t="s">
        <v>1307</v>
      </c>
      <c r="B1520" s="8" t="s">
        <v>1307</v>
      </c>
      <c r="C1520" s="13">
        <v>45880.4484375</v>
      </c>
      <c r="D1520" s="2" t="s">
        <v>951</v>
      </c>
      <c r="E1520" s="2" t="s">
        <v>952</v>
      </c>
      <c r="F1520" s="14" t="s">
        <v>3516</v>
      </c>
      <c r="G1520" s="14" t="s">
        <v>3517</v>
      </c>
      <c r="H1520" s="2" t="s">
        <v>24</v>
      </c>
      <c r="I1520" s="2" t="s">
        <v>3491</v>
      </c>
      <c r="J1520" s="2">
        <v>1.0</v>
      </c>
      <c r="K1520" s="23" t="s">
        <v>4498</v>
      </c>
      <c r="L1520" s="11">
        <v>0.0</v>
      </c>
    </row>
    <row r="1521" hidden="1">
      <c r="A1521" s="8" t="s">
        <v>1308</v>
      </c>
      <c r="B1521" s="8" t="s">
        <v>1308</v>
      </c>
      <c r="C1521" s="13">
        <v>45880.456655092596</v>
      </c>
      <c r="D1521" s="2" t="s">
        <v>49</v>
      </c>
      <c r="E1521" s="2" t="s">
        <v>50</v>
      </c>
      <c r="F1521" s="14" t="s">
        <v>3486</v>
      </c>
      <c r="G1521" s="14" t="s">
        <v>3487</v>
      </c>
      <c r="H1521" s="2" t="s">
        <v>24</v>
      </c>
      <c r="I1521" s="2" t="s">
        <v>3491</v>
      </c>
      <c r="J1521" s="2">
        <v>2.0</v>
      </c>
      <c r="K1521" s="23" t="s">
        <v>4620</v>
      </c>
      <c r="L1521" s="11">
        <v>0.0</v>
      </c>
    </row>
    <row r="1522">
      <c r="A1522" s="8" t="s">
        <v>1309</v>
      </c>
      <c r="B1522" s="8" t="s">
        <v>1309</v>
      </c>
      <c r="C1522" s="13">
        <v>45880.45767361111</v>
      </c>
      <c r="D1522" s="2" t="s">
        <v>45</v>
      </c>
      <c r="E1522" s="2" t="s">
        <v>46</v>
      </c>
      <c r="F1522" s="14" t="s">
        <v>3516</v>
      </c>
      <c r="G1522" s="14" t="s">
        <v>3517</v>
      </c>
      <c r="H1522" s="2" t="s">
        <v>24</v>
      </c>
      <c r="I1522" s="2" t="s">
        <v>3491</v>
      </c>
      <c r="J1522" s="2">
        <v>1.0</v>
      </c>
      <c r="K1522" s="23" t="s">
        <v>4621</v>
      </c>
      <c r="L1522" s="11">
        <v>0.0</v>
      </c>
    </row>
    <row r="1523" hidden="1">
      <c r="A1523" s="8" t="s">
        <v>1310</v>
      </c>
      <c r="B1523" s="8" t="s">
        <v>1310</v>
      </c>
      <c r="C1523" s="13">
        <v>45880.51509259259</v>
      </c>
      <c r="D1523" s="2" t="s">
        <v>1311</v>
      </c>
      <c r="E1523" s="2" t="s">
        <v>1010</v>
      </c>
      <c r="F1523" s="14" t="s">
        <v>4622</v>
      </c>
      <c r="G1523" s="14" t="s">
        <v>4623</v>
      </c>
      <c r="H1523" s="2" t="s">
        <v>16</v>
      </c>
      <c r="I1523" s="2" t="s">
        <v>3488</v>
      </c>
      <c r="J1523" s="2">
        <v>1.0</v>
      </c>
      <c r="K1523" s="19"/>
      <c r="L1523" s="11">
        <v>400000.0</v>
      </c>
    </row>
    <row r="1524" hidden="1">
      <c r="A1524" s="8" t="s">
        <v>1313</v>
      </c>
      <c r="B1524" s="8" t="s">
        <v>1313</v>
      </c>
      <c r="C1524" s="13">
        <v>45880.5531712963</v>
      </c>
      <c r="D1524" s="2" t="s">
        <v>1084</v>
      </c>
      <c r="E1524" s="2" t="s">
        <v>1085</v>
      </c>
      <c r="F1524" s="14" t="s">
        <v>3516</v>
      </c>
      <c r="G1524" s="14" t="s">
        <v>3517</v>
      </c>
      <c r="H1524" s="2" t="s">
        <v>16</v>
      </c>
      <c r="I1524" s="2" t="s">
        <v>3488</v>
      </c>
      <c r="J1524" s="2">
        <v>5.0</v>
      </c>
      <c r="K1524" s="23" t="s">
        <v>4624</v>
      </c>
      <c r="L1524" s="11">
        <v>210000.0</v>
      </c>
    </row>
    <row r="1525" hidden="1">
      <c r="A1525" s="8" t="s">
        <v>1314</v>
      </c>
      <c r="B1525" s="8" t="s">
        <v>1314</v>
      </c>
      <c r="C1525" s="13">
        <v>45880.6275</v>
      </c>
      <c r="D1525" s="2" t="s">
        <v>685</v>
      </c>
      <c r="E1525" s="2" t="s">
        <v>686</v>
      </c>
      <c r="F1525" s="14" t="s">
        <v>3493</v>
      </c>
      <c r="G1525" s="14" t="s">
        <v>3494</v>
      </c>
      <c r="H1525" s="2" t="s">
        <v>24</v>
      </c>
      <c r="I1525" s="2" t="s">
        <v>3491</v>
      </c>
      <c r="J1525" s="2">
        <v>1.0</v>
      </c>
      <c r="K1525" s="19"/>
      <c r="L1525" s="11">
        <v>0.0</v>
      </c>
    </row>
    <row r="1526" hidden="1">
      <c r="A1526" s="8" t="s">
        <v>1315</v>
      </c>
      <c r="B1526" s="8" t="s">
        <v>1315</v>
      </c>
      <c r="C1526" s="13">
        <v>45880.68482638889</v>
      </c>
      <c r="D1526" s="2" t="s">
        <v>1084</v>
      </c>
      <c r="E1526" s="2" t="s">
        <v>1085</v>
      </c>
      <c r="F1526" s="14" t="s">
        <v>4203</v>
      </c>
      <c r="G1526" s="14" t="s">
        <v>4204</v>
      </c>
      <c r="H1526" s="2" t="s">
        <v>24</v>
      </c>
      <c r="I1526" s="2" t="s">
        <v>3491</v>
      </c>
      <c r="J1526" s="2">
        <v>4.0</v>
      </c>
      <c r="K1526" s="23" t="s">
        <v>4625</v>
      </c>
      <c r="L1526" s="11">
        <v>0.0</v>
      </c>
    </row>
    <row r="1527" hidden="1">
      <c r="A1527" s="8" t="s">
        <v>1315</v>
      </c>
      <c r="B1527" s="8" t="s">
        <v>1315</v>
      </c>
      <c r="C1527" s="13">
        <v>45880.68482638889</v>
      </c>
      <c r="D1527" s="2" t="s">
        <v>1084</v>
      </c>
      <c r="E1527" s="2" t="s">
        <v>1085</v>
      </c>
      <c r="F1527" s="14" t="s">
        <v>3516</v>
      </c>
      <c r="G1527" s="14" t="s">
        <v>3517</v>
      </c>
      <c r="H1527" s="2" t="s">
        <v>24</v>
      </c>
      <c r="I1527" s="2" t="s">
        <v>3491</v>
      </c>
      <c r="J1527" s="2">
        <v>4.0</v>
      </c>
      <c r="K1527" s="23" t="s">
        <v>4626</v>
      </c>
      <c r="L1527" s="11">
        <v>0.0</v>
      </c>
    </row>
    <row r="1528" hidden="1">
      <c r="A1528" s="8" t="s">
        <v>1315</v>
      </c>
      <c r="B1528" s="8" t="s">
        <v>1315</v>
      </c>
      <c r="C1528" s="13">
        <v>45880.68482638889</v>
      </c>
      <c r="D1528" s="2" t="s">
        <v>1084</v>
      </c>
      <c r="E1528" s="2" t="s">
        <v>1085</v>
      </c>
      <c r="F1528" s="14" t="s">
        <v>3516</v>
      </c>
      <c r="G1528" s="14" t="s">
        <v>3517</v>
      </c>
      <c r="H1528" s="2" t="s">
        <v>24</v>
      </c>
      <c r="I1528" s="2" t="s">
        <v>3614</v>
      </c>
      <c r="J1528" s="2">
        <v>1.0</v>
      </c>
      <c r="K1528" s="23" t="s">
        <v>4627</v>
      </c>
      <c r="L1528" s="11">
        <v>0.0</v>
      </c>
    </row>
    <row r="1529" hidden="1">
      <c r="A1529" s="8" t="s">
        <v>1316</v>
      </c>
      <c r="B1529" s="8" t="s">
        <v>1316</v>
      </c>
      <c r="C1529" s="13">
        <v>45881.339467592596</v>
      </c>
      <c r="D1529" s="2" t="s">
        <v>213</v>
      </c>
      <c r="E1529" s="2" t="s">
        <v>214</v>
      </c>
      <c r="F1529" s="14" t="s">
        <v>3486</v>
      </c>
      <c r="G1529" s="14" t="s">
        <v>3487</v>
      </c>
      <c r="H1529" s="2" t="s">
        <v>16</v>
      </c>
      <c r="I1529" s="2" t="s">
        <v>3488</v>
      </c>
      <c r="J1529" s="2">
        <v>7.0</v>
      </c>
      <c r="K1529" s="23" t="s">
        <v>4628</v>
      </c>
      <c r="L1529" s="11">
        <v>60000.0</v>
      </c>
    </row>
    <row r="1530" hidden="1">
      <c r="A1530" s="8" t="s">
        <v>1317</v>
      </c>
      <c r="B1530" s="8" t="s">
        <v>1317</v>
      </c>
      <c r="C1530" s="13">
        <v>45881.42590277778</v>
      </c>
      <c r="D1530" s="2" t="s">
        <v>213</v>
      </c>
      <c r="E1530" s="2" t="s">
        <v>214</v>
      </c>
      <c r="F1530" s="14" t="s">
        <v>3486</v>
      </c>
      <c r="G1530" s="14" t="s">
        <v>3487</v>
      </c>
      <c r="H1530" s="2" t="s">
        <v>24</v>
      </c>
      <c r="I1530" s="2" t="s">
        <v>3491</v>
      </c>
      <c r="J1530" s="2">
        <v>7.0</v>
      </c>
      <c r="K1530" s="23" t="s">
        <v>4629</v>
      </c>
      <c r="L1530" s="11">
        <v>0.0</v>
      </c>
    </row>
    <row r="1531" hidden="1">
      <c r="A1531" s="8" t="s">
        <v>1318</v>
      </c>
      <c r="B1531" s="8" t="s">
        <v>1318</v>
      </c>
      <c r="C1531" s="13">
        <v>45882.3537037037</v>
      </c>
      <c r="D1531" s="2" t="s">
        <v>1203</v>
      </c>
      <c r="E1531" s="2" t="s">
        <v>1204</v>
      </c>
      <c r="F1531" s="14" t="s">
        <v>3547</v>
      </c>
      <c r="G1531" s="14" t="s">
        <v>3548</v>
      </c>
      <c r="H1531" s="2" t="s">
        <v>16</v>
      </c>
      <c r="I1531" s="2" t="s">
        <v>3488</v>
      </c>
      <c r="J1531" s="2">
        <v>2.0</v>
      </c>
      <c r="K1531" s="19"/>
      <c r="L1531" s="11">
        <v>900000.0</v>
      </c>
    </row>
    <row r="1532">
      <c r="A1532" s="8" t="s">
        <v>1319</v>
      </c>
      <c r="B1532" s="8" t="s">
        <v>1319</v>
      </c>
      <c r="C1532" s="13">
        <v>45882.35675925926</v>
      </c>
      <c r="D1532" s="2" t="s">
        <v>45</v>
      </c>
      <c r="E1532" s="2" t="s">
        <v>46</v>
      </c>
      <c r="F1532" s="14" t="s">
        <v>3486</v>
      </c>
      <c r="G1532" s="14" t="s">
        <v>3487</v>
      </c>
      <c r="H1532" s="2" t="s">
        <v>16</v>
      </c>
      <c r="I1532" s="2" t="s">
        <v>3488</v>
      </c>
      <c r="J1532" s="2">
        <v>5.0</v>
      </c>
      <c r="K1532" s="23" t="s">
        <v>4630</v>
      </c>
      <c r="L1532" s="11">
        <v>60000.0</v>
      </c>
    </row>
    <row r="1533">
      <c r="A1533" s="8" t="s">
        <v>1319</v>
      </c>
      <c r="B1533" s="8" t="s">
        <v>1319</v>
      </c>
      <c r="C1533" s="13">
        <v>45882.35675925926</v>
      </c>
      <c r="D1533" s="2" t="s">
        <v>45</v>
      </c>
      <c r="E1533" s="2" t="s">
        <v>46</v>
      </c>
      <c r="F1533" s="14" t="s">
        <v>3522</v>
      </c>
      <c r="G1533" s="14" t="s">
        <v>3523</v>
      </c>
      <c r="H1533" s="2" t="s">
        <v>16</v>
      </c>
      <c r="I1533" s="2" t="s">
        <v>3488</v>
      </c>
      <c r="J1533" s="2">
        <v>10.0</v>
      </c>
      <c r="K1533" s="23" t="s">
        <v>4631</v>
      </c>
      <c r="L1533" s="11">
        <v>185000.0</v>
      </c>
    </row>
    <row r="1534" hidden="1">
      <c r="A1534" s="8" t="s">
        <v>1320</v>
      </c>
      <c r="B1534" s="8" t="s">
        <v>1320</v>
      </c>
      <c r="C1534" s="13">
        <v>45882.37621527778</v>
      </c>
      <c r="D1534" s="2" t="s">
        <v>1203</v>
      </c>
      <c r="E1534" s="2" t="s">
        <v>1204</v>
      </c>
      <c r="F1534" s="14" t="s">
        <v>3547</v>
      </c>
      <c r="G1534" s="14" t="s">
        <v>3548</v>
      </c>
      <c r="H1534" s="2" t="s">
        <v>24</v>
      </c>
      <c r="I1534" s="2" t="s">
        <v>3491</v>
      </c>
      <c r="J1534" s="2">
        <v>2.0</v>
      </c>
      <c r="K1534" s="19"/>
      <c r="L1534" s="11">
        <v>0.0</v>
      </c>
    </row>
    <row r="1535">
      <c r="A1535" s="8" t="s">
        <v>1321</v>
      </c>
      <c r="B1535" s="8" t="s">
        <v>1321</v>
      </c>
      <c r="C1535" s="13">
        <v>45882.4512962963</v>
      </c>
      <c r="D1535" s="2" t="s">
        <v>45</v>
      </c>
      <c r="E1535" s="2" t="s">
        <v>46</v>
      </c>
      <c r="F1535" s="14" t="s">
        <v>3493</v>
      </c>
      <c r="G1535" s="14" t="s">
        <v>3494</v>
      </c>
      <c r="H1535" s="2" t="s">
        <v>24</v>
      </c>
      <c r="I1535" s="2" t="s">
        <v>3491</v>
      </c>
      <c r="J1535" s="2">
        <v>4.0</v>
      </c>
      <c r="K1535" s="19"/>
      <c r="L1535" s="11">
        <v>0.0</v>
      </c>
    </row>
    <row r="1536">
      <c r="A1536" s="8" t="s">
        <v>1321</v>
      </c>
      <c r="B1536" s="8" t="s">
        <v>1321</v>
      </c>
      <c r="C1536" s="13">
        <v>45882.4512962963</v>
      </c>
      <c r="D1536" s="2" t="s">
        <v>45</v>
      </c>
      <c r="E1536" s="2" t="s">
        <v>46</v>
      </c>
      <c r="F1536" s="14" t="s">
        <v>3486</v>
      </c>
      <c r="G1536" s="14" t="s">
        <v>3487</v>
      </c>
      <c r="H1536" s="2" t="s">
        <v>24</v>
      </c>
      <c r="I1536" s="2" t="s">
        <v>3491</v>
      </c>
      <c r="J1536" s="2">
        <v>10.0</v>
      </c>
      <c r="K1536" s="23" t="s">
        <v>4632</v>
      </c>
      <c r="L1536" s="11">
        <v>0.0</v>
      </c>
    </row>
    <row r="1537">
      <c r="A1537" s="8" t="s">
        <v>1321</v>
      </c>
      <c r="B1537" s="8" t="s">
        <v>1321</v>
      </c>
      <c r="C1537" s="13">
        <v>45882.4512962963</v>
      </c>
      <c r="D1537" s="2" t="s">
        <v>45</v>
      </c>
      <c r="E1537" s="2" t="s">
        <v>46</v>
      </c>
      <c r="F1537" s="14" t="s">
        <v>3522</v>
      </c>
      <c r="G1537" s="14" t="s">
        <v>3523</v>
      </c>
      <c r="H1537" s="2" t="s">
        <v>24</v>
      </c>
      <c r="I1537" s="2" t="s">
        <v>3491</v>
      </c>
      <c r="J1537" s="2">
        <v>17.0</v>
      </c>
      <c r="K1537" s="23" t="s">
        <v>4633</v>
      </c>
      <c r="L1537" s="11">
        <v>0.0</v>
      </c>
    </row>
    <row r="1538" hidden="1">
      <c r="A1538" s="8" t="s">
        <v>1322</v>
      </c>
      <c r="B1538" s="8" t="s">
        <v>1322</v>
      </c>
      <c r="C1538" s="13">
        <v>45882.63003472222</v>
      </c>
      <c r="D1538" s="2" t="s">
        <v>934</v>
      </c>
      <c r="E1538" s="2" t="s">
        <v>935</v>
      </c>
      <c r="F1538" s="14" t="s">
        <v>3522</v>
      </c>
      <c r="G1538" s="14" t="s">
        <v>3523</v>
      </c>
      <c r="H1538" s="2" t="s">
        <v>24</v>
      </c>
      <c r="I1538" s="2" t="s">
        <v>3491</v>
      </c>
      <c r="J1538" s="2">
        <v>1.0</v>
      </c>
      <c r="K1538" s="23" t="s">
        <v>4634</v>
      </c>
      <c r="L1538" s="11">
        <v>0.0</v>
      </c>
    </row>
    <row r="1539" hidden="1">
      <c r="A1539" s="8" t="s">
        <v>1323</v>
      </c>
      <c r="B1539" s="8" t="s">
        <v>1323</v>
      </c>
      <c r="C1539" s="13">
        <v>45831.39236111111</v>
      </c>
      <c r="D1539" s="2" t="s">
        <v>943</v>
      </c>
      <c r="E1539" s="2" t="s">
        <v>944</v>
      </c>
      <c r="F1539" s="14" t="s">
        <v>4203</v>
      </c>
      <c r="G1539" s="14" t="s">
        <v>4204</v>
      </c>
      <c r="H1539" s="2" t="s">
        <v>24</v>
      </c>
      <c r="I1539" s="2" t="s">
        <v>3491</v>
      </c>
      <c r="J1539" s="2">
        <v>3.0</v>
      </c>
      <c r="K1539" s="23" t="s">
        <v>4635</v>
      </c>
      <c r="L1539" s="11">
        <v>0.0</v>
      </c>
    </row>
    <row r="1540" hidden="1">
      <c r="A1540" s="8" t="s">
        <v>1324</v>
      </c>
      <c r="B1540" s="8" t="s">
        <v>1324</v>
      </c>
      <c r="C1540" s="13">
        <v>45883.60422453703</v>
      </c>
      <c r="D1540" s="2" t="s">
        <v>951</v>
      </c>
      <c r="E1540" s="2" t="s">
        <v>952</v>
      </c>
      <c r="F1540" s="14" t="s">
        <v>3516</v>
      </c>
      <c r="G1540" s="14" t="s">
        <v>3517</v>
      </c>
      <c r="H1540" s="2" t="s">
        <v>16</v>
      </c>
      <c r="I1540" s="2" t="s">
        <v>3488</v>
      </c>
      <c r="J1540" s="2">
        <v>1.0</v>
      </c>
      <c r="K1540" s="23" t="s">
        <v>4636</v>
      </c>
      <c r="L1540" s="11">
        <v>165000.0</v>
      </c>
    </row>
    <row r="1541" hidden="1">
      <c r="A1541" s="8" t="s">
        <v>1324</v>
      </c>
      <c r="B1541" s="8" t="s">
        <v>1324</v>
      </c>
      <c r="C1541" s="13">
        <v>45883.60422453703</v>
      </c>
      <c r="D1541" s="2" t="s">
        <v>951</v>
      </c>
      <c r="E1541" s="2" t="s">
        <v>952</v>
      </c>
      <c r="F1541" s="14" t="s">
        <v>3486</v>
      </c>
      <c r="G1541" s="14" t="s">
        <v>3487</v>
      </c>
      <c r="H1541" s="2" t="s">
        <v>16</v>
      </c>
      <c r="I1541" s="2" t="s">
        <v>3488</v>
      </c>
      <c r="J1541" s="2">
        <v>4.0</v>
      </c>
      <c r="K1541" s="23" t="s">
        <v>4637</v>
      </c>
      <c r="L1541" s="11">
        <v>55000.0</v>
      </c>
    </row>
    <row r="1542" hidden="1">
      <c r="A1542" s="8" t="s">
        <v>1325</v>
      </c>
      <c r="B1542" s="8" t="s">
        <v>1325</v>
      </c>
      <c r="C1542" s="13">
        <v>45883.640694444446</v>
      </c>
      <c r="D1542" s="2" t="s">
        <v>951</v>
      </c>
      <c r="E1542" s="2" t="s">
        <v>952</v>
      </c>
      <c r="F1542" s="14" t="s">
        <v>3486</v>
      </c>
      <c r="G1542" s="14" t="s">
        <v>3487</v>
      </c>
      <c r="H1542" s="2" t="s">
        <v>24</v>
      </c>
      <c r="I1542" s="2" t="s">
        <v>3491</v>
      </c>
      <c r="J1542" s="2">
        <v>2.0</v>
      </c>
      <c r="K1542" s="23" t="s">
        <v>4638</v>
      </c>
      <c r="L1542" s="11">
        <v>0.0</v>
      </c>
    </row>
    <row r="1543" hidden="1">
      <c r="A1543" s="8" t="s">
        <v>1326</v>
      </c>
      <c r="B1543" s="8" t="s">
        <v>1326</v>
      </c>
      <c r="C1543" s="13">
        <v>45884.435949074075</v>
      </c>
      <c r="D1543" s="2" t="s">
        <v>786</v>
      </c>
      <c r="E1543" s="2" t="s">
        <v>787</v>
      </c>
      <c r="F1543" s="14" t="s">
        <v>3486</v>
      </c>
      <c r="G1543" s="14" t="s">
        <v>3487</v>
      </c>
      <c r="H1543" s="2" t="s">
        <v>16</v>
      </c>
      <c r="I1543" s="2" t="s">
        <v>3488</v>
      </c>
      <c r="J1543" s="2">
        <v>6.0</v>
      </c>
      <c r="K1543" s="23" t="s">
        <v>4639</v>
      </c>
      <c r="L1543" s="11">
        <v>60000.0</v>
      </c>
    </row>
    <row r="1544" hidden="1">
      <c r="A1544" s="8" t="s">
        <v>1327</v>
      </c>
      <c r="B1544" s="8" t="s">
        <v>1327</v>
      </c>
      <c r="C1544" s="13">
        <v>45884.48370370371</v>
      </c>
      <c r="D1544" s="2" t="s">
        <v>786</v>
      </c>
      <c r="E1544" s="2" t="s">
        <v>787</v>
      </c>
      <c r="F1544" s="14" t="s">
        <v>3486</v>
      </c>
      <c r="G1544" s="14" t="s">
        <v>3487</v>
      </c>
      <c r="H1544" s="2" t="s">
        <v>24</v>
      </c>
      <c r="I1544" s="2" t="s">
        <v>3491</v>
      </c>
      <c r="J1544" s="2">
        <v>3.0</v>
      </c>
      <c r="K1544" s="23" t="s">
        <v>4640</v>
      </c>
      <c r="L1544" s="11">
        <v>0.0</v>
      </c>
    </row>
    <row r="1545" hidden="1">
      <c r="A1545" s="8" t="s">
        <v>1327</v>
      </c>
      <c r="B1545" s="8" t="s">
        <v>1327</v>
      </c>
      <c r="C1545" s="13">
        <v>45884.48370370371</v>
      </c>
      <c r="D1545" s="2" t="s">
        <v>786</v>
      </c>
      <c r="E1545" s="2" t="s">
        <v>787</v>
      </c>
      <c r="F1545" s="14" t="s">
        <v>3516</v>
      </c>
      <c r="G1545" s="14" t="s">
        <v>3517</v>
      </c>
      <c r="H1545" s="2" t="s">
        <v>24</v>
      </c>
      <c r="I1545" s="2" t="s">
        <v>3491</v>
      </c>
      <c r="J1545" s="2">
        <v>2.0</v>
      </c>
      <c r="K1545" s="23" t="s">
        <v>4641</v>
      </c>
      <c r="L1545" s="11">
        <v>0.0</v>
      </c>
    </row>
    <row r="1546" hidden="1">
      <c r="A1546" s="8" t="s">
        <v>1328</v>
      </c>
      <c r="B1546" s="8" t="s">
        <v>1328</v>
      </c>
      <c r="C1546" s="13">
        <v>45884.48473379629</v>
      </c>
      <c r="D1546" s="2" t="s">
        <v>1084</v>
      </c>
      <c r="E1546" s="2" t="s">
        <v>1085</v>
      </c>
      <c r="F1546" s="14" t="s">
        <v>4203</v>
      </c>
      <c r="G1546" s="14" t="s">
        <v>4204</v>
      </c>
      <c r="H1546" s="2" t="s">
        <v>24</v>
      </c>
      <c r="I1546" s="2" t="s">
        <v>3491</v>
      </c>
      <c r="J1546" s="2">
        <v>4.0</v>
      </c>
      <c r="K1546" s="23" t="s">
        <v>4642</v>
      </c>
      <c r="L1546" s="11">
        <v>0.0</v>
      </c>
    </row>
    <row r="1547">
      <c r="A1547" s="8" t="s">
        <v>1329</v>
      </c>
      <c r="B1547" s="8" t="s">
        <v>1329</v>
      </c>
      <c r="C1547" s="13">
        <v>45885.34442129629</v>
      </c>
      <c r="D1547" s="2" t="s">
        <v>45</v>
      </c>
      <c r="E1547" s="2" t="s">
        <v>46</v>
      </c>
      <c r="F1547" s="14" t="s">
        <v>3522</v>
      </c>
      <c r="G1547" s="14" t="s">
        <v>3523</v>
      </c>
      <c r="H1547" s="2" t="s">
        <v>16</v>
      </c>
      <c r="I1547" s="2" t="s">
        <v>3488</v>
      </c>
      <c r="J1547" s="2">
        <v>10.0</v>
      </c>
      <c r="K1547" s="23" t="s">
        <v>4643</v>
      </c>
      <c r="L1547" s="11">
        <v>185000.0</v>
      </c>
    </row>
    <row r="1548">
      <c r="A1548" s="8" t="s">
        <v>1329</v>
      </c>
      <c r="B1548" s="8" t="s">
        <v>1329</v>
      </c>
      <c r="C1548" s="13">
        <v>45885.34442129629</v>
      </c>
      <c r="D1548" s="2" t="s">
        <v>45</v>
      </c>
      <c r="E1548" s="2" t="s">
        <v>46</v>
      </c>
      <c r="F1548" s="14" t="s">
        <v>3486</v>
      </c>
      <c r="G1548" s="14" t="s">
        <v>3487</v>
      </c>
      <c r="H1548" s="2" t="s">
        <v>16</v>
      </c>
      <c r="I1548" s="2" t="s">
        <v>3488</v>
      </c>
      <c r="J1548" s="2">
        <v>5.0</v>
      </c>
      <c r="K1548" s="23" t="s">
        <v>4644</v>
      </c>
      <c r="L1548" s="11">
        <v>60000.0</v>
      </c>
    </row>
    <row r="1549" hidden="1">
      <c r="A1549" s="8" t="s">
        <v>1330</v>
      </c>
      <c r="B1549" s="8" t="s">
        <v>1330</v>
      </c>
      <c r="C1549" s="13">
        <v>45885.45892361111</v>
      </c>
      <c r="D1549" s="2" t="s">
        <v>326</v>
      </c>
      <c r="E1549" s="2" t="s">
        <v>327</v>
      </c>
      <c r="F1549" s="14" t="s">
        <v>3486</v>
      </c>
      <c r="G1549" s="14" t="s">
        <v>3487</v>
      </c>
      <c r="H1549" s="2" t="s">
        <v>24</v>
      </c>
      <c r="I1549" s="2" t="s">
        <v>3491</v>
      </c>
      <c r="J1549" s="2">
        <v>5.0</v>
      </c>
      <c r="K1549" s="23" t="s">
        <v>4645</v>
      </c>
      <c r="L1549" s="11">
        <v>0.0</v>
      </c>
    </row>
    <row r="1550" hidden="1">
      <c r="A1550" s="1"/>
      <c r="B1550" s="1"/>
      <c r="C1550" s="13"/>
      <c r="D1550" s="2"/>
      <c r="E1550" s="2"/>
      <c r="F1550" s="14"/>
      <c r="G1550" s="14"/>
      <c r="H1550" s="2"/>
      <c r="I1550" s="2"/>
      <c r="J1550" s="2"/>
      <c r="K1550" s="12"/>
      <c r="L1550" s="11"/>
    </row>
    <row r="1551" hidden="1">
      <c r="A1551" s="8" t="s">
        <v>1331</v>
      </c>
      <c r="B1551" s="8" t="s">
        <v>1331</v>
      </c>
      <c r="C1551" s="13">
        <v>45888.34855324074</v>
      </c>
      <c r="D1551" s="2" t="s">
        <v>934</v>
      </c>
      <c r="E1551" s="2" t="s">
        <v>935</v>
      </c>
      <c r="F1551" s="14" t="s">
        <v>3522</v>
      </c>
      <c r="G1551" s="14" t="s">
        <v>3523</v>
      </c>
      <c r="H1551" s="2" t="s">
        <v>16</v>
      </c>
      <c r="I1551" s="2" t="s">
        <v>3488</v>
      </c>
      <c r="J1551" s="2">
        <v>1.0</v>
      </c>
      <c r="K1551" s="23" t="s">
        <v>4416</v>
      </c>
      <c r="L1551" s="11">
        <v>200000.0</v>
      </c>
    </row>
    <row r="1552" hidden="1">
      <c r="A1552" s="8" t="s">
        <v>1332</v>
      </c>
      <c r="B1552" s="8" t="s">
        <v>1332</v>
      </c>
      <c r="C1552" s="13">
        <v>45888.36211805556</v>
      </c>
      <c r="D1552" s="2" t="s">
        <v>1084</v>
      </c>
      <c r="E1552" s="2" t="s">
        <v>1085</v>
      </c>
      <c r="F1552" s="14" t="s">
        <v>4203</v>
      </c>
      <c r="G1552" s="14" t="s">
        <v>4204</v>
      </c>
      <c r="H1552" s="2" t="s">
        <v>16</v>
      </c>
      <c r="I1552" s="2" t="s">
        <v>3488</v>
      </c>
      <c r="J1552" s="2">
        <v>10.0</v>
      </c>
      <c r="K1552" s="23" t="s">
        <v>4646</v>
      </c>
      <c r="L1552" s="11">
        <v>70000.0</v>
      </c>
    </row>
    <row r="1553" hidden="1">
      <c r="A1553" s="8" t="s">
        <v>1333</v>
      </c>
      <c r="B1553" s="8" t="s">
        <v>1333</v>
      </c>
      <c r="C1553" s="13">
        <v>45888.363287037035</v>
      </c>
      <c r="D1553" s="2" t="s">
        <v>169</v>
      </c>
      <c r="E1553" s="2" t="s">
        <v>170</v>
      </c>
      <c r="F1553" s="14" t="s">
        <v>3522</v>
      </c>
      <c r="G1553" s="14" t="s">
        <v>3523</v>
      </c>
      <c r="H1553" s="2" t="s">
        <v>16</v>
      </c>
      <c r="I1553" s="2" t="s">
        <v>3488</v>
      </c>
      <c r="J1553" s="2">
        <v>8.0</v>
      </c>
      <c r="K1553" s="23" t="s">
        <v>4647</v>
      </c>
      <c r="L1553" s="16">
        <v>195000.0</v>
      </c>
    </row>
    <row r="1554" hidden="1">
      <c r="A1554" s="8" t="s">
        <v>1333</v>
      </c>
      <c r="B1554" s="8" t="s">
        <v>1333</v>
      </c>
      <c r="C1554" s="13">
        <v>45888.363287037035</v>
      </c>
      <c r="D1554" s="2" t="s">
        <v>169</v>
      </c>
      <c r="E1554" s="2" t="s">
        <v>170</v>
      </c>
      <c r="F1554" s="14" t="s">
        <v>3486</v>
      </c>
      <c r="G1554" s="14" t="s">
        <v>3487</v>
      </c>
      <c r="H1554" s="2" t="s">
        <v>16</v>
      </c>
      <c r="I1554" s="2" t="s">
        <v>3488</v>
      </c>
      <c r="J1554" s="2">
        <v>5.0</v>
      </c>
      <c r="K1554" s="23" t="s">
        <v>4648</v>
      </c>
      <c r="L1554" s="16">
        <v>60000.0</v>
      </c>
    </row>
    <row r="1555" hidden="1">
      <c r="A1555" s="8" t="s">
        <v>1334</v>
      </c>
      <c r="B1555" s="8" t="s">
        <v>1334</v>
      </c>
      <c r="C1555" s="13">
        <v>45888.37018518519</v>
      </c>
      <c r="D1555" s="2" t="s">
        <v>464</v>
      </c>
      <c r="E1555" s="2" t="s">
        <v>465</v>
      </c>
      <c r="F1555" s="14" t="s">
        <v>3493</v>
      </c>
      <c r="G1555" s="14" t="s">
        <v>3494</v>
      </c>
      <c r="H1555" s="2" t="s">
        <v>16</v>
      </c>
      <c r="I1555" s="2" t="s">
        <v>3488</v>
      </c>
      <c r="J1555" s="2">
        <v>1.0</v>
      </c>
      <c r="K1555" s="12"/>
      <c r="L1555" s="11">
        <v>210000.0</v>
      </c>
    </row>
    <row r="1556" hidden="1">
      <c r="A1556" s="8" t="s">
        <v>1334</v>
      </c>
      <c r="B1556" s="8" t="s">
        <v>1334</v>
      </c>
      <c r="C1556" s="13">
        <v>45888.37018518519</v>
      </c>
      <c r="D1556" s="2" t="s">
        <v>464</v>
      </c>
      <c r="E1556" s="2" t="s">
        <v>465</v>
      </c>
      <c r="F1556" s="14" t="s">
        <v>4203</v>
      </c>
      <c r="G1556" s="14" t="s">
        <v>4204</v>
      </c>
      <c r="H1556" s="2" t="s">
        <v>16</v>
      </c>
      <c r="I1556" s="2" t="s">
        <v>3488</v>
      </c>
      <c r="J1556" s="2">
        <v>3.0</v>
      </c>
      <c r="K1556" s="23" t="s">
        <v>4649</v>
      </c>
      <c r="L1556" s="11">
        <v>55000.0</v>
      </c>
    </row>
    <row r="1557" hidden="1">
      <c r="A1557" s="8" t="s">
        <v>1335</v>
      </c>
      <c r="B1557" s="8" t="s">
        <v>1335</v>
      </c>
      <c r="C1557" s="13">
        <v>45888.37793981482</v>
      </c>
      <c r="D1557" s="2" t="s">
        <v>934</v>
      </c>
      <c r="E1557" s="2" t="s">
        <v>935</v>
      </c>
      <c r="F1557" s="14" t="s">
        <v>3522</v>
      </c>
      <c r="G1557" s="14" t="s">
        <v>3523</v>
      </c>
      <c r="H1557" s="2" t="s">
        <v>24</v>
      </c>
      <c r="I1557" s="2" t="s">
        <v>3491</v>
      </c>
      <c r="J1557" s="2">
        <v>1.0</v>
      </c>
      <c r="K1557" s="23" t="s">
        <v>4493</v>
      </c>
      <c r="L1557" s="11">
        <v>0.0</v>
      </c>
    </row>
    <row r="1558" hidden="1">
      <c r="A1558" s="8" t="s">
        <v>1336</v>
      </c>
      <c r="B1558" s="8" t="s">
        <v>1336</v>
      </c>
      <c r="C1558" s="13">
        <v>45888.40789351852</v>
      </c>
      <c r="D1558" s="2" t="s">
        <v>685</v>
      </c>
      <c r="E1558" s="2" t="s">
        <v>686</v>
      </c>
      <c r="F1558" s="14" t="s">
        <v>3493</v>
      </c>
      <c r="G1558" s="14" t="s">
        <v>3494</v>
      </c>
      <c r="H1558" s="2" t="s">
        <v>16</v>
      </c>
      <c r="I1558" s="2" t="s">
        <v>3488</v>
      </c>
      <c r="J1558" s="2">
        <v>1.0</v>
      </c>
      <c r="K1558" s="19"/>
      <c r="L1558" s="11">
        <v>189189.19</v>
      </c>
    </row>
    <row r="1559" hidden="1">
      <c r="A1559" s="8" t="s">
        <v>1337</v>
      </c>
      <c r="B1559" s="8" t="s">
        <v>1337</v>
      </c>
      <c r="C1559" s="13">
        <v>45888.413125</v>
      </c>
      <c r="D1559" s="2" t="s">
        <v>1014</v>
      </c>
      <c r="E1559" s="2" t="s">
        <v>1015</v>
      </c>
      <c r="F1559" s="14" t="s">
        <v>3486</v>
      </c>
      <c r="G1559" s="14" t="s">
        <v>3487</v>
      </c>
      <c r="H1559" s="2" t="s">
        <v>24</v>
      </c>
      <c r="I1559" s="2" t="s">
        <v>3491</v>
      </c>
      <c r="J1559" s="2">
        <v>9.0</v>
      </c>
      <c r="K1559" s="23" t="s">
        <v>4650</v>
      </c>
      <c r="L1559" s="11">
        <v>0.0</v>
      </c>
    </row>
    <row r="1560" hidden="1">
      <c r="A1560" s="8" t="s">
        <v>1338</v>
      </c>
      <c r="B1560" s="8" t="s">
        <v>1338</v>
      </c>
      <c r="C1560" s="13">
        <v>45888.429027777776</v>
      </c>
      <c r="D1560" s="2" t="s">
        <v>1084</v>
      </c>
      <c r="E1560" s="2" t="s">
        <v>1085</v>
      </c>
      <c r="F1560" s="14" t="s">
        <v>4203</v>
      </c>
      <c r="G1560" s="14" t="s">
        <v>4204</v>
      </c>
      <c r="H1560" s="2" t="s">
        <v>24</v>
      </c>
      <c r="I1560" s="2" t="s">
        <v>3491</v>
      </c>
      <c r="J1560" s="2">
        <v>4.0</v>
      </c>
      <c r="K1560" s="23" t="s">
        <v>4651</v>
      </c>
      <c r="L1560" s="11">
        <v>0.0</v>
      </c>
    </row>
    <row r="1561" hidden="1">
      <c r="A1561" s="8" t="s">
        <v>1338</v>
      </c>
      <c r="B1561" s="8" t="s">
        <v>1338</v>
      </c>
      <c r="C1561" s="13">
        <v>45888.429027777776</v>
      </c>
      <c r="D1561" s="2" t="s">
        <v>1084</v>
      </c>
      <c r="E1561" s="2" t="s">
        <v>1085</v>
      </c>
      <c r="F1561" s="14" t="s">
        <v>3516</v>
      </c>
      <c r="G1561" s="14" t="s">
        <v>3517</v>
      </c>
      <c r="H1561" s="2" t="s">
        <v>24</v>
      </c>
      <c r="I1561" s="2" t="s">
        <v>3491</v>
      </c>
      <c r="J1561" s="2">
        <v>2.0</v>
      </c>
      <c r="K1561" s="23" t="s">
        <v>4652</v>
      </c>
      <c r="L1561" s="11">
        <v>0.0</v>
      </c>
    </row>
    <row r="1562" hidden="1">
      <c r="A1562" s="8" t="s">
        <v>1339</v>
      </c>
      <c r="B1562" s="8" t="s">
        <v>1339</v>
      </c>
      <c r="C1562" s="13">
        <v>45888.47076388889</v>
      </c>
      <c r="D1562" s="2" t="s">
        <v>464</v>
      </c>
      <c r="E1562" s="2" t="s">
        <v>465</v>
      </c>
      <c r="F1562" s="14" t="s">
        <v>4203</v>
      </c>
      <c r="G1562" s="14" t="s">
        <v>4204</v>
      </c>
      <c r="H1562" s="2" t="s">
        <v>24</v>
      </c>
      <c r="I1562" s="2" t="s">
        <v>3491</v>
      </c>
      <c r="J1562" s="2">
        <v>4.0</v>
      </c>
      <c r="K1562" s="23" t="s">
        <v>4653</v>
      </c>
      <c r="L1562" s="11">
        <v>0.0</v>
      </c>
    </row>
    <row r="1563" hidden="1">
      <c r="A1563" s="8" t="s">
        <v>1339</v>
      </c>
      <c r="B1563" s="8" t="s">
        <v>1339</v>
      </c>
      <c r="C1563" s="13">
        <v>45888.47076388889</v>
      </c>
      <c r="D1563" s="2" t="s">
        <v>464</v>
      </c>
      <c r="E1563" s="2" t="s">
        <v>465</v>
      </c>
      <c r="F1563" s="14" t="s">
        <v>3506</v>
      </c>
      <c r="G1563" s="14" t="s">
        <v>3507</v>
      </c>
      <c r="H1563" s="2" t="s">
        <v>24</v>
      </c>
      <c r="I1563" s="2" t="s">
        <v>3491</v>
      </c>
      <c r="J1563" s="2">
        <v>1.0</v>
      </c>
      <c r="K1563" s="23" t="s">
        <v>4295</v>
      </c>
      <c r="L1563" s="11">
        <v>0.0</v>
      </c>
    </row>
    <row r="1564" hidden="1">
      <c r="A1564" s="8" t="s">
        <v>1340</v>
      </c>
      <c r="B1564" s="8" t="s">
        <v>1340</v>
      </c>
      <c r="C1564" s="13">
        <v>45888.62630787037</v>
      </c>
      <c r="D1564" s="2" t="s">
        <v>685</v>
      </c>
      <c r="E1564" s="2" t="s">
        <v>686</v>
      </c>
      <c r="F1564" s="14" t="s">
        <v>3493</v>
      </c>
      <c r="G1564" s="14" t="s">
        <v>3494</v>
      </c>
      <c r="H1564" s="2" t="s">
        <v>24</v>
      </c>
      <c r="I1564" s="2" t="s">
        <v>3491</v>
      </c>
      <c r="J1564" s="2">
        <v>2.0</v>
      </c>
      <c r="K1564" s="19"/>
      <c r="L1564" s="11">
        <v>0.0</v>
      </c>
    </row>
    <row r="1565" hidden="1">
      <c r="A1565" s="8" t="s">
        <v>1341</v>
      </c>
      <c r="B1565" s="8" t="s">
        <v>1341</v>
      </c>
      <c r="C1565" s="13">
        <v>45888.62787037037</v>
      </c>
      <c r="D1565" s="2" t="s">
        <v>169</v>
      </c>
      <c r="E1565" s="2" t="s">
        <v>170</v>
      </c>
      <c r="F1565" s="14" t="s">
        <v>3486</v>
      </c>
      <c r="G1565" s="14" t="s">
        <v>3487</v>
      </c>
      <c r="H1565" s="2" t="s">
        <v>24</v>
      </c>
      <c r="I1565" s="2" t="s">
        <v>3491</v>
      </c>
      <c r="J1565" s="2">
        <v>2.0</v>
      </c>
      <c r="K1565" s="23" t="s">
        <v>4654</v>
      </c>
      <c r="L1565" s="11">
        <v>0.0</v>
      </c>
    </row>
    <row r="1566" hidden="1">
      <c r="A1566" s="8" t="s">
        <v>1341</v>
      </c>
      <c r="B1566" s="8" t="s">
        <v>1341</v>
      </c>
      <c r="C1566" s="13">
        <v>45888.62787037037</v>
      </c>
      <c r="D1566" s="2" t="s">
        <v>169</v>
      </c>
      <c r="E1566" s="2" t="s">
        <v>170</v>
      </c>
      <c r="F1566" s="14" t="s">
        <v>3522</v>
      </c>
      <c r="G1566" s="14" t="s">
        <v>3523</v>
      </c>
      <c r="H1566" s="2" t="s">
        <v>24</v>
      </c>
      <c r="I1566" s="2" t="s">
        <v>3491</v>
      </c>
      <c r="J1566" s="2">
        <v>8.0</v>
      </c>
      <c r="K1566" s="23" t="s">
        <v>4655</v>
      </c>
      <c r="L1566" s="11">
        <v>0.0</v>
      </c>
    </row>
    <row r="1567" hidden="1">
      <c r="A1567" s="1"/>
      <c r="B1567" s="1"/>
      <c r="C1567" s="13"/>
      <c r="D1567" s="2"/>
      <c r="E1567" s="2"/>
      <c r="F1567" s="14"/>
      <c r="G1567" s="14"/>
      <c r="H1567" s="2"/>
      <c r="I1567" s="2"/>
      <c r="J1567" s="2"/>
      <c r="K1567" s="12"/>
      <c r="L1567" s="11"/>
    </row>
    <row r="1568" hidden="1">
      <c r="A1568" s="1"/>
      <c r="B1568" s="1"/>
      <c r="C1568" s="13"/>
      <c r="D1568" s="2"/>
      <c r="E1568" s="2"/>
      <c r="F1568" s="14"/>
      <c r="G1568" s="14"/>
      <c r="H1568" s="2"/>
      <c r="I1568" s="2"/>
      <c r="J1568" s="2"/>
      <c r="K1568" s="12"/>
      <c r="L1568" s="11"/>
    </row>
    <row r="1569" hidden="1">
      <c r="A1569" s="1"/>
      <c r="B1569" s="1"/>
      <c r="C1569" s="13"/>
      <c r="D1569" s="2"/>
      <c r="E1569" s="2"/>
      <c r="F1569" s="14"/>
      <c r="G1569" s="14"/>
      <c r="H1569" s="2"/>
      <c r="I1569" s="2"/>
      <c r="J1569" s="2"/>
      <c r="K1569" s="19"/>
      <c r="L1569" s="11"/>
    </row>
    <row r="1570" hidden="1">
      <c r="A1570" s="1"/>
      <c r="B1570" s="1"/>
      <c r="C1570" s="13"/>
      <c r="D1570" s="2"/>
      <c r="E1570" s="2"/>
      <c r="F1570" s="14"/>
      <c r="G1570" s="14"/>
      <c r="H1570" s="2"/>
      <c r="I1570" s="2"/>
      <c r="J1570" s="2"/>
      <c r="K1570" s="12"/>
      <c r="L1570" s="11"/>
    </row>
    <row r="1571" hidden="1">
      <c r="A1571" s="8" t="s">
        <v>1343</v>
      </c>
      <c r="B1571" s="8" t="s">
        <v>1343</v>
      </c>
      <c r="C1571" s="13">
        <v>45889.625601851854</v>
      </c>
      <c r="D1571" s="2" t="s">
        <v>309</v>
      </c>
      <c r="E1571" s="2" t="s">
        <v>310</v>
      </c>
      <c r="F1571" s="14" t="s">
        <v>4045</v>
      </c>
      <c r="G1571" s="14" t="s">
        <v>4046</v>
      </c>
      <c r="H1571" s="2" t="s">
        <v>24</v>
      </c>
      <c r="I1571" s="2" t="s">
        <v>3491</v>
      </c>
      <c r="J1571" s="2">
        <v>1.0</v>
      </c>
      <c r="K1571" s="23" t="s">
        <v>4065</v>
      </c>
      <c r="L1571" s="11">
        <v>0.0</v>
      </c>
    </row>
    <row r="1572" hidden="1">
      <c r="A1572" s="8" t="s">
        <v>1343</v>
      </c>
      <c r="B1572" s="8" t="s">
        <v>1343</v>
      </c>
      <c r="C1572" s="13">
        <v>45889.625601851854</v>
      </c>
      <c r="D1572" s="2" t="s">
        <v>309</v>
      </c>
      <c r="E1572" s="2" t="s">
        <v>310</v>
      </c>
      <c r="F1572" s="14" t="s">
        <v>3493</v>
      </c>
      <c r="G1572" s="14" t="s">
        <v>3494</v>
      </c>
      <c r="H1572" s="2" t="s">
        <v>24</v>
      </c>
      <c r="I1572" s="2" t="s">
        <v>3491</v>
      </c>
      <c r="J1572" s="2">
        <v>3.0</v>
      </c>
      <c r="K1572" s="19"/>
      <c r="L1572" s="11">
        <v>0.0</v>
      </c>
    </row>
    <row r="1573" hidden="1">
      <c r="A1573" s="8" t="s">
        <v>1343</v>
      </c>
      <c r="B1573" s="8" t="s">
        <v>1343</v>
      </c>
      <c r="C1573" s="13">
        <v>45889.625601851854</v>
      </c>
      <c r="D1573" s="2" t="s">
        <v>309</v>
      </c>
      <c r="E1573" s="2" t="s">
        <v>310</v>
      </c>
      <c r="F1573" s="14" t="s">
        <v>3506</v>
      </c>
      <c r="G1573" s="14" t="s">
        <v>3507</v>
      </c>
      <c r="H1573" s="2" t="s">
        <v>24</v>
      </c>
      <c r="I1573" s="2" t="s">
        <v>3491</v>
      </c>
      <c r="J1573" s="2">
        <v>10.0</v>
      </c>
      <c r="K1573" s="19"/>
      <c r="L1573" s="11">
        <v>0.0</v>
      </c>
    </row>
    <row r="1574" hidden="1">
      <c r="A1574" s="8" t="s">
        <v>1344</v>
      </c>
      <c r="B1574" s="8" t="s">
        <v>1344</v>
      </c>
      <c r="C1574" s="13">
        <v>45890.3384375</v>
      </c>
      <c r="D1574" s="2" t="s">
        <v>55</v>
      </c>
      <c r="E1574" s="2" t="s">
        <v>56</v>
      </c>
      <c r="F1574" s="14" t="s">
        <v>3486</v>
      </c>
      <c r="G1574" s="14" t="s">
        <v>3487</v>
      </c>
      <c r="H1574" s="2" t="s">
        <v>16</v>
      </c>
      <c r="I1574" s="2" t="s">
        <v>3488</v>
      </c>
      <c r="J1574" s="2">
        <v>5.0</v>
      </c>
      <c r="K1574" s="23" t="s">
        <v>4656</v>
      </c>
      <c r="L1574" s="11">
        <v>60000.0</v>
      </c>
    </row>
    <row r="1575">
      <c r="A1575" s="8" t="s">
        <v>1345</v>
      </c>
      <c r="B1575" s="8" t="s">
        <v>1345</v>
      </c>
      <c r="C1575" s="13">
        <v>45890.34763888889</v>
      </c>
      <c r="D1575" s="2" t="s">
        <v>45</v>
      </c>
      <c r="E1575" s="2" t="s">
        <v>46</v>
      </c>
      <c r="F1575" s="14" t="s">
        <v>3522</v>
      </c>
      <c r="G1575" s="14" t="s">
        <v>3523</v>
      </c>
      <c r="H1575" s="2" t="s">
        <v>16</v>
      </c>
      <c r="I1575" s="2" t="s">
        <v>3488</v>
      </c>
      <c r="J1575" s="2">
        <v>10.0</v>
      </c>
      <c r="K1575" s="23" t="s">
        <v>4657</v>
      </c>
      <c r="L1575" s="11">
        <v>185000.0</v>
      </c>
    </row>
    <row r="1576" hidden="1">
      <c r="A1576" s="8" t="s">
        <v>1346</v>
      </c>
      <c r="B1576" s="8" t="s">
        <v>1346</v>
      </c>
      <c r="C1576" s="13">
        <v>45890.48949074074</v>
      </c>
      <c r="D1576" s="2" t="s">
        <v>786</v>
      </c>
      <c r="E1576" s="2" t="s">
        <v>787</v>
      </c>
      <c r="F1576" s="14" t="s">
        <v>3486</v>
      </c>
      <c r="G1576" s="14" t="s">
        <v>3487</v>
      </c>
      <c r="H1576" s="2" t="s">
        <v>24</v>
      </c>
      <c r="I1576" s="2" t="s">
        <v>3491</v>
      </c>
      <c r="J1576" s="2">
        <v>4.0</v>
      </c>
      <c r="K1576" s="23" t="s">
        <v>4658</v>
      </c>
      <c r="L1576" s="11">
        <v>0.0</v>
      </c>
    </row>
    <row r="1577" hidden="1">
      <c r="A1577" s="8" t="s">
        <v>1347</v>
      </c>
      <c r="B1577" s="8" t="s">
        <v>1347</v>
      </c>
      <c r="C1577" s="13">
        <v>45890.491435185184</v>
      </c>
      <c r="D1577" s="2" t="s">
        <v>55</v>
      </c>
      <c r="E1577" s="2" t="s">
        <v>56</v>
      </c>
      <c r="F1577" s="14" t="s">
        <v>3486</v>
      </c>
      <c r="G1577" s="14" t="s">
        <v>3487</v>
      </c>
      <c r="H1577" s="2" t="s">
        <v>24</v>
      </c>
      <c r="I1577" s="2" t="s">
        <v>3491</v>
      </c>
      <c r="J1577" s="2">
        <v>5.0</v>
      </c>
      <c r="K1577" s="23" t="s">
        <v>4659</v>
      </c>
      <c r="L1577" s="11">
        <v>0.0</v>
      </c>
    </row>
    <row r="1578" hidden="1">
      <c r="A1578" s="8" t="s">
        <v>1348</v>
      </c>
      <c r="B1578" s="8" t="s">
        <v>1348</v>
      </c>
      <c r="C1578" s="13">
        <v>45891.40032407407</v>
      </c>
      <c r="D1578" s="2" t="s">
        <v>464</v>
      </c>
      <c r="E1578" s="2" t="s">
        <v>465</v>
      </c>
      <c r="F1578" s="14" t="s">
        <v>3506</v>
      </c>
      <c r="G1578" s="14" t="s">
        <v>3507</v>
      </c>
      <c r="H1578" s="2" t="s">
        <v>16</v>
      </c>
      <c r="I1578" s="2" t="s">
        <v>3488</v>
      </c>
      <c r="J1578" s="2">
        <v>1.0</v>
      </c>
      <c r="K1578" s="19"/>
      <c r="L1578" s="11">
        <v>55000.0</v>
      </c>
    </row>
    <row r="1579" hidden="1">
      <c r="A1579" s="8" t="s">
        <v>1348</v>
      </c>
      <c r="B1579" s="8" t="s">
        <v>1348</v>
      </c>
      <c r="C1579" s="13">
        <v>45891.40032407407</v>
      </c>
      <c r="D1579" s="2" t="s">
        <v>464</v>
      </c>
      <c r="E1579" s="2" t="s">
        <v>465</v>
      </c>
      <c r="F1579" s="14" t="s">
        <v>4203</v>
      </c>
      <c r="G1579" s="14" t="s">
        <v>4204</v>
      </c>
      <c r="H1579" s="2" t="s">
        <v>16</v>
      </c>
      <c r="I1579" s="2" t="s">
        <v>3488</v>
      </c>
      <c r="J1579" s="2">
        <v>4.0</v>
      </c>
      <c r="K1579" s="23" t="s">
        <v>4660</v>
      </c>
      <c r="L1579" s="11">
        <v>55000.0</v>
      </c>
    </row>
    <row r="1580" hidden="1">
      <c r="A1580" s="8" t="s">
        <v>1349</v>
      </c>
      <c r="B1580" s="8" t="s">
        <v>1349</v>
      </c>
      <c r="C1580" s="13">
        <v>45891.438680555555</v>
      </c>
      <c r="D1580" s="2" t="s">
        <v>1084</v>
      </c>
      <c r="E1580" s="2" t="s">
        <v>1085</v>
      </c>
      <c r="F1580" s="14" t="s">
        <v>3516</v>
      </c>
      <c r="G1580" s="14" t="s">
        <v>3517</v>
      </c>
      <c r="H1580" s="2" t="s">
        <v>159</v>
      </c>
      <c r="I1580" s="2" t="s">
        <v>3619</v>
      </c>
      <c r="J1580" s="2">
        <v>1.0</v>
      </c>
      <c r="K1580" s="23" t="s">
        <v>4584</v>
      </c>
      <c r="L1580" s="11">
        <v>0.0</v>
      </c>
    </row>
    <row r="1581" hidden="1">
      <c r="A1581" s="8" t="s">
        <v>1350</v>
      </c>
      <c r="B1581" s="8" t="s">
        <v>1350</v>
      </c>
      <c r="C1581" s="13">
        <v>45891.44976851852</v>
      </c>
      <c r="D1581" s="2" t="s">
        <v>464</v>
      </c>
      <c r="E1581" s="2" t="s">
        <v>465</v>
      </c>
      <c r="F1581" s="14" t="s">
        <v>4203</v>
      </c>
      <c r="G1581" s="14" t="s">
        <v>4204</v>
      </c>
      <c r="H1581" s="2" t="s">
        <v>24</v>
      </c>
      <c r="I1581" s="2" t="s">
        <v>3491</v>
      </c>
      <c r="J1581" s="2">
        <v>5.0</v>
      </c>
      <c r="K1581" s="23" t="s">
        <v>4661</v>
      </c>
      <c r="L1581" s="11">
        <v>0.0</v>
      </c>
    </row>
    <row r="1582" hidden="1">
      <c r="A1582" s="8" t="s">
        <v>1351</v>
      </c>
      <c r="B1582" s="8" t="s">
        <v>1351</v>
      </c>
      <c r="C1582" s="13">
        <v>45891.55486111111</v>
      </c>
      <c r="D1582" s="2" t="s">
        <v>320</v>
      </c>
      <c r="E1582" s="2" t="s">
        <v>321</v>
      </c>
      <c r="F1582" s="14" t="s">
        <v>3516</v>
      </c>
      <c r="G1582" s="14" t="s">
        <v>3517</v>
      </c>
      <c r="H1582" s="2" t="s">
        <v>16</v>
      </c>
      <c r="I1582" s="2" t="s">
        <v>3488</v>
      </c>
      <c r="J1582" s="2">
        <v>1.0</v>
      </c>
      <c r="K1582" s="23" t="s">
        <v>4662</v>
      </c>
      <c r="L1582" s="11">
        <v>180000.0</v>
      </c>
    </row>
    <row r="1583" hidden="1">
      <c r="A1583" s="8" t="s">
        <v>1351</v>
      </c>
      <c r="B1583" s="8" t="s">
        <v>1351</v>
      </c>
      <c r="C1583" s="13">
        <v>45891.55486111111</v>
      </c>
      <c r="D1583" s="2" t="s">
        <v>320</v>
      </c>
      <c r="E1583" s="2" t="s">
        <v>321</v>
      </c>
      <c r="F1583" s="14" t="s">
        <v>3486</v>
      </c>
      <c r="G1583" s="14" t="s">
        <v>3487</v>
      </c>
      <c r="H1583" s="2" t="s">
        <v>16</v>
      </c>
      <c r="I1583" s="2" t="s">
        <v>3488</v>
      </c>
      <c r="J1583" s="2">
        <v>2.0</v>
      </c>
      <c r="K1583" s="23" t="s">
        <v>4663</v>
      </c>
      <c r="L1583" s="11">
        <v>70000.0</v>
      </c>
    </row>
    <row r="1584" hidden="1">
      <c r="A1584" s="8" t="s">
        <v>1353</v>
      </c>
      <c r="B1584" s="8" t="s">
        <v>1353</v>
      </c>
      <c r="C1584" s="13">
        <v>45891.5968287037</v>
      </c>
      <c r="D1584" s="2" t="s">
        <v>320</v>
      </c>
      <c r="E1584" s="2" t="s">
        <v>321</v>
      </c>
      <c r="F1584" s="14" t="s">
        <v>3486</v>
      </c>
      <c r="G1584" s="14" t="s">
        <v>3487</v>
      </c>
      <c r="H1584" s="2" t="s">
        <v>24</v>
      </c>
      <c r="I1584" s="2" t="s">
        <v>3491</v>
      </c>
      <c r="J1584" s="2">
        <v>1.0</v>
      </c>
      <c r="K1584" s="23" t="s">
        <v>4664</v>
      </c>
      <c r="L1584" s="11">
        <v>0.0</v>
      </c>
    </row>
    <row r="1585" hidden="1">
      <c r="A1585" s="8" t="s">
        <v>1354</v>
      </c>
      <c r="B1585" s="8" t="s">
        <v>1354</v>
      </c>
      <c r="C1585" s="13">
        <v>45891.63193287037</v>
      </c>
      <c r="D1585" s="2" t="s">
        <v>49</v>
      </c>
      <c r="E1585" s="2" t="s">
        <v>50</v>
      </c>
      <c r="F1585" s="14" t="s">
        <v>3486</v>
      </c>
      <c r="G1585" s="14" t="s">
        <v>3487</v>
      </c>
      <c r="H1585" s="2" t="s">
        <v>16</v>
      </c>
      <c r="I1585" s="2" t="s">
        <v>3488</v>
      </c>
      <c r="J1585" s="2">
        <v>5.0</v>
      </c>
      <c r="K1585" s="23" t="s">
        <v>4665</v>
      </c>
      <c r="L1585" s="11">
        <v>60000.0</v>
      </c>
    </row>
    <row r="1586" hidden="1">
      <c r="A1586" s="8" t="s">
        <v>1355</v>
      </c>
      <c r="B1586" s="8" t="s">
        <v>1355</v>
      </c>
      <c r="C1586" s="13">
        <v>45891.63521990741</v>
      </c>
      <c r="D1586" s="2" t="s">
        <v>309</v>
      </c>
      <c r="E1586" s="2" t="s">
        <v>310</v>
      </c>
      <c r="F1586" s="14" t="s">
        <v>3506</v>
      </c>
      <c r="G1586" s="14" t="s">
        <v>3507</v>
      </c>
      <c r="H1586" s="2" t="s">
        <v>16</v>
      </c>
      <c r="I1586" s="2" t="s">
        <v>3488</v>
      </c>
      <c r="J1586" s="2">
        <v>10.0</v>
      </c>
      <c r="K1586" s="23" t="s">
        <v>4666</v>
      </c>
      <c r="L1586" s="11">
        <v>55000.0</v>
      </c>
    </row>
    <row r="1587" hidden="1">
      <c r="A1587" s="8" t="s">
        <v>1355</v>
      </c>
      <c r="B1587" s="8" t="s">
        <v>1355</v>
      </c>
      <c r="C1587" s="13">
        <v>45891.63521990741</v>
      </c>
      <c r="D1587" s="2" t="s">
        <v>309</v>
      </c>
      <c r="E1587" s="2" t="s">
        <v>310</v>
      </c>
      <c r="F1587" s="14" t="s">
        <v>4045</v>
      </c>
      <c r="G1587" s="14" t="s">
        <v>4046</v>
      </c>
      <c r="H1587" s="2" t="s">
        <v>16</v>
      </c>
      <c r="I1587" s="2" t="s">
        <v>3488</v>
      </c>
      <c r="J1587" s="2">
        <v>1.0</v>
      </c>
      <c r="K1587" s="23" t="s">
        <v>4065</v>
      </c>
      <c r="L1587" s="11">
        <v>160000.0</v>
      </c>
    </row>
    <row r="1588" hidden="1">
      <c r="A1588" s="8" t="s">
        <v>1356</v>
      </c>
      <c r="B1588" s="8" t="s">
        <v>1356</v>
      </c>
      <c r="C1588" s="13">
        <v>45892.39827546296</v>
      </c>
      <c r="D1588" s="2" t="s">
        <v>943</v>
      </c>
      <c r="E1588" s="2" t="s">
        <v>944</v>
      </c>
      <c r="F1588" s="14" t="s">
        <v>3516</v>
      </c>
      <c r="G1588" s="14" t="s">
        <v>3517</v>
      </c>
      <c r="H1588" s="2" t="s">
        <v>16</v>
      </c>
      <c r="I1588" s="2" t="s">
        <v>3488</v>
      </c>
      <c r="J1588" s="2">
        <v>1.0</v>
      </c>
      <c r="K1588" s="23" t="s">
        <v>4667</v>
      </c>
      <c r="L1588" s="11">
        <v>165000.0</v>
      </c>
    </row>
    <row r="1589" hidden="1">
      <c r="A1589" s="8" t="s">
        <v>1356</v>
      </c>
      <c r="B1589" s="8" t="s">
        <v>1356</v>
      </c>
      <c r="C1589" s="13">
        <v>45892.39827546296</v>
      </c>
      <c r="D1589" s="2" t="s">
        <v>943</v>
      </c>
      <c r="E1589" s="2" t="s">
        <v>944</v>
      </c>
      <c r="F1589" s="14" t="s">
        <v>4203</v>
      </c>
      <c r="G1589" s="14" t="s">
        <v>4204</v>
      </c>
      <c r="H1589" s="2" t="s">
        <v>16</v>
      </c>
      <c r="I1589" s="2" t="s">
        <v>3488</v>
      </c>
      <c r="J1589" s="2">
        <v>3.0</v>
      </c>
      <c r="K1589" s="23" t="s">
        <v>4668</v>
      </c>
      <c r="L1589" s="11">
        <v>55000.0</v>
      </c>
    </row>
    <row r="1590" hidden="1">
      <c r="A1590" s="8" t="s">
        <v>1357</v>
      </c>
      <c r="B1590" s="8" t="s">
        <v>1357</v>
      </c>
      <c r="C1590" s="13">
        <v>45892.48930555556</v>
      </c>
      <c r="D1590" s="2" t="s">
        <v>943</v>
      </c>
      <c r="E1590" s="2" t="s">
        <v>944</v>
      </c>
      <c r="F1590" s="14" t="s">
        <v>4203</v>
      </c>
      <c r="G1590" s="14" t="s">
        <v>4204</v>
      </c>
      <c r="H1590" s="2" t="s">
        <v>24</v>
      </c>
      <c r="I1590" s="2" t="s">
        <v>3491</v>
      </c>
      <c r="J1590" s="2">
        <v>3.0</v>
      </c>
      <c r="K1590" s="23" t="s">
        <v>4669</v>
      </c>
      <c r="L1590" s="11">
        <v>0.0</v>
      </c>
    </row>
    <row r="1591" hidden="1">
      <c r="A1591" s="8" t="s">
        <v>1357</v>
      </c>
      <c r="B1591" s="8" t="s">
        <v>1357</v>
      </c>
      <c r="C1591" s="13">
        <v>45892.48930555556</v>
      </c>
      <c r="D1591" s="2" t="s">
        <v>943</v>
      </c>
      <c r="E1591" s="2" t="s">
        <v>944</v>
      </c>
      <c r="F1591" s="14" t="s">
        <v>3506</v>
      </c>
      <c r="G1591" s="14" t="s">
        <v>3507</v>
      </c>
      <c r="H1591" s="2" t="s">
        <v>24</v>
      </c>
      <c r="I1591" s="2" t="s">
        <v>3491</v>
      </c>
      <c r="J1591" s="2">
        <v>2.0</v>
      </c>
      <c r="K1591" s="23" t="s">
        <v>4670</v>
      </c>
      <c r="L1591" s="11">
        <v>0.0</v>
      </c>
    </row>
    <row r="1592" hidden="1">
      <c r="A1592" s="8" t="s">
        <v>1358</v>
      </c>
      <c r="B1592" s="8" t="s">
        <v>1358</v>
      </c>
      <c r="C1592" s="13">
        <v>45894.368414351855</v>
      </c>
      <c r="D1592" s="2" t="s">
        <v>951</v>
      </c>
      <c r="E1592" s="2" t="s">
        <v>952</v>
      </c>
      <c r="F1592" s="14" t="s">
        <v>3516</v>
      </c>
      <c r="G1592" s="14" t="s">
        <v>3517</v>
      </c>
      <c r="H1592" s="2" t="s">
        <v>16</v>
      </c>
      <c r="I1592" s="2" t="s">
        <v>3488</v>
      </c>
      <c r="J1592" s="2">
        <v>1.0</v>
      </c>
      <c r="K1592" s="23" t="s">
        <v>4671</v>
      </c>
      <c r="L1592" s="11">
        <v>165000.0</v>
      </c>
    </row>
    <row r="1593" hidden="1">
      <c r="A1593" s="8" t="s">
        <v>1358</v>
      </c>
      <c r="B1593" s="8" t="s">
        <v>1358</v>
      </c>
      <c r="C1593" s="13">
        <v>45894.368414351855</v>
      </c>
      <c r="D1593" s="2" t="s">
        <v>951</v>
      </c>
      <c r="E1593" s="2" t="s">
        <v>952</v>
      </c>
      <c r="F1593" s="14" t="s">
        <v>3486</v>
      </c>
      <c r="G1593" s="14" t="s">
        <v>3487</v>
      </c>
      <c r="H1593" s="2" t="s">
        <v>16</v>
      </c>
      <c r="I1593" s="2" t="s">
        <v>3488</v>
      </c>
      <c r="J1593" s="2">
        <v>4.0</v>
      </c>
      <c r="K1593" s="23" t="s">
        <v>4672</v>
      </c>
      <c r="L1593" s="11">
        <v>55000.0</v>
      </c>
    </row>
    <row r="1594">
      <c r="A1594" s="8" t="s">
        <v>1359</v>
      </c>
      <c r="B1594" s="8" t="s">
        <v>1359</v>
      </c>
      <c r="C1594" s="13">
        <v>45894.433287037034</v>
      </c>
      <c r="D1594" s="2" t="s">
        <v>45</v>
      </c>
      <c r="E1594" s="2" t="s">
        <v>46</v>
      </c>
      <c r="F1594" s="14" t="s">
        <v>3486</v>
      </c>
      <c r="G1594" s="14" t="s">
        <v>3487</v>
      </c>
      <c r="H1594" s="2" t="s">
        <v>16</v>
      </c>
      <c r="I1594" s="2" t="s">
        <v>3488</v>
      </c>
      <c r="J1594" s="2">
        <v>6.0</v>
      </c>
      <c r="K1594" s="23" t="s">
        <v>4673</v>
      </c>
      <c r="L1594" s="11">
        <v>60000.0</v>
      </c>
    </row>
    <row r="1595">
      <c r="A1595" s="8" t="s">
        <v>1359</v>
      </c>
      <c r="B1595" s="8" t="s">
        <v>1359</v>
      </c>
      <c r="C1595" s="13">
        <v>45894.433287037034</v>
      </c>
      <c r="D1595" s="2" t="s">
        <v>45</v>
      </c>
      <c r="E1595" s="2" t="s">
        <v>46</v>
      </c>
      <c r="F1595" s="14" t="s">
        <v>4203</v>
      </c>
      <c r="G1595" s="14" t="s">
        <v>4204</v>
      </c>
      <c r="H1595" s="2" t="s">
        <v>16</v>
      </c>
      <c r="I1595" s="2" t="s">
        <v>3488</v>
      </c>
      <c r="J1595" s="2">
        <v>4.0</v>
      </c>
      <c r="K1595" s="23" t="s">
        <v>4674</v>
      </c>
      <c r="L1595" s="11">
        <v>60000.0</v>
      </c>
    </row>
    <row r="1596" hidden="1">
      <c r="A1596" s="1"/>
      <c r="B1596" s="1"/>
      <c r="C1596" s="13"/>
      <c r="D1596" s="2"/>
      <c r="E1596" s="2"/>
      <c r="F1596" s="14"/>
      <c r="G1596" s="14"/>
      <c r="H1596" s="2"/>
      <c r="I1596" s="2"/>
      <c r="J1596" s="2"/>
      <c r="K1596" s="12"/>
      <c r="L1596" s="27"/>
    </row>
    <row r="1597">
      <c r="A1597" s="8" t="s">
        <v>1359</v>
      </c>
      <c r="B1597" s="8" t="s">
        <v>1359</v>
      </c>
      <c r="C1597" s="13">
        <v>45894.433287037034</v>
      </c>
      <c r="D1597" s="2" t="s">
        <v>45</v>
      </c>
      <c r="E1597" s="2" t="s">
        <v>46</v>
      </c>
      <c r="F1597" s="14" t="s">
        <v>3493</v>
      </c>
      <c r="G1597" s="14" t="s">
        <v>3494</v>
      </c>
      <c r="H1597" s="2" t="s">
        <v>16</v>
      </c>
      <c r="I1597" s="2" t="s">
        <v>3488</v>
      </c>
      <c r="J1597" s="2">
        <v>5.0</v>
      </c>
      <c r="K1597" s="23" t="s">
        <v>4675</v>
      </c>
      <c r="L1597" s="11">
        <v>210000.0</v>
      </c>
    </row>
    <row r="1598" hidden="1">
      <c r="A1598" s="8" t="s">
        <v>1360</v>
      </c>
      <c r="B1598" s="8" t="s">
        <v>1360</v>
      </c>
      <c r="C1598" s="13">
        <v>45894.45613425926</v>
      </c>
      <c r="D1598" s="2" t="s">
        <v>951</v>
      </c>
      <c r="E1598" s="2" t="s">
        <v>952</v>
      </c>
      <c r="F1598" s="14" t="s">
        <v>3486</v>
      </c>
      <c r="G1598" s="14" t="s">
        <v>3487</v>
      </c>
      <c r="H1598" s="2" t="s">
        <v>24</v>
      </c>
      <c r="I1598" s="2" t="s">
        <v>3491</v>
      </c>
      <c r="J1598" s="2">
        <v>3.0</v>
      </c>
      <c r="K1598" s="23" t="s">
        <v>4676</v>
      </c>
      <c r="L1598" s="11">
        <v>0.0</v>
      </c>
    </row>
    <row r="1599" hidden="1">
      <c r="A1599" s="8" t="s">
        <v>1360</v>
      </c>
      <c r="B1599" s="8" t="s">
        <v>1360</v>
      </c>
      <c r="C1599" s="13">
        <v>45894.45613425926</v>
      </c>
      <c r="D1599" s="2" t="s">
        <v>951</v>
      </c>
      <c r="E1599" s="2" t="s">
        <v>952</v>
      </c>
      <c r="F1599" s="14" t="s">
        <v>3516</v>
      </c>
      <c r="G1599" s="14" t="s">
        <v>3517</v>
      </c>
      <c r="H1599" s="2" t="s">
        <v>24</v>
      </c>
      <c r="I1599" s="2" t="s">
        <v>3491</v>
      </c>
      <c r="J1599" s="2">
        <v>1.0</v>
      </c>
      <c r="K1599" s="23" t="s">
        <v>4495</v>
      </c>
      <c r="L1599" s="11">
        <v>0.0</v>
      </c>
    </row>
    <row r="1600" hidden="1">
      <c r="A1600" s="8" t="s">
        <v>1361</v>
      </c>
      <c r="B1600" s="8" t="s">
        <v>1361</v>
      </c>
      <c r="C1600" s="13">
        <v>45894.579050925924</v>
      </c>
      <c r="D1600" s="2" t="s">
        <v>1203</v>
      </c>
      <c r="E1600" s="2" t="s">
        <v>1204</v>
      </c>
      <c r="F1600" s="14" t="s">
        <v>3547</v>
      </c>
      <c r="G1600" s="14" t="s">
        <v>3548</v>
      </c>
      <c r="H1600" s="2" t="s">
        <v>16</v>
      </c>
      <c r="I1600" s="2" t="s">
        <v>3488</v>
      </c>
      <c r="J1600" s="2">
        <v>2.0</v>
      </c>
      <c r="K1600" s="23" t="s">
        <v>4670</v>
      </c>
      <c r="L1600" s="11">
        <v>900000.0</v>
      </c>
    </row>
    <row r="1601" hidden="1">
      <c r="A1601" s="8" t="s">
        <v>1362</v>
      </c>
      <c r="B1601" s="8" t="s">
        <v>1362</v>
      </c>
      <c r="C1601" s="13">
        <v>45894.60895833333</v>
      </c>
      <c r="D1601" s="2" t="s">
        <v>1203</v>
      </c>
      <c r="E1601" s="2" t="s">
        <v>1204</v>
      </c>
      <c r="F1601" s="14" t="s">
        <v>3547</v>
      </c>
      <c r="G1601" s="14" t="s">
        <v>3548</v>
      </c>
      <c r="H1601" s="2" t="s">
        <v>24</v>
      </c>
      <c r="I1601" s="2" t="s">
        <v>3491</v>
      </c>
      <c r="J1601" s="2">
        <v>2.0</v>
      </c>
      <c r="K1601" s="19"/>
      <c r="L1601" s="11">
        <v>0.0</v>
      </c>
    </row>
    <row r="1602">
      <c r="A1602" s="8" t="s">
        <v>1363</v>
      </c>
      <c r="B1602" s="8" t="s">
        <v>1363</v>
      </c>
      <c r="C1602" s="13">
        <v>45895.4490625</v>
      </c>
      <c r="D1602" s="2" t="s">
        <v>45</v>
      </c>
      <c r="E1602" s="2" t="s">
        <v>46</v>
      </c>
      <c r="F1602" s="14" t="s">
        <v>3486</v>
      </c>
      <c r="G1602" s="14" t="s">
        <v>3487</v>
      </c>
      <c r="H1602" s="2" t="s">
        <v>16</v>
      </c>
      <c r="I1602" s="2" t="s">
        <v>3488</v>
      </c>
      <c r="J1602" s="2">
        <v>9.0</v>
      </c>
      <c r="K1602" s="23" t="s">
        <v>4677</v>
      </c>
      <c r="L1602" s="11">
        <v>60000.0</v>
      </c>
    </row>
    <row r="1603">
      <c r="A1603" s="8" t="s">
        <v>1363</v>
      </c>
      <c r="B1603" s="8" t="s">
        <v>1363</v>
      </c>
      <c r="C1603" s="13">
        <v>45895.4490625</v>
      </c>
      <c r="D1603" s="2" t="s">
        <v>45</v>
      </c>
      <c r="E1603" s="2" t="s">
        <v>46</v>
      </c>
      <c r="F1603" s="14" t="s">
        <v>4203</v>
      </c>
      <c r="G1603" s="14" t="s">
        <v>4204</v>
      </c>
      <c r="H1603" s="2" t="s">
        <v>16</v>
      </c>
      <c r="I1603" s="2" t="s">
        <v>3488</v>
      </c>
      <c r="J1603" s="2">
        <v>6.0</v>
      </c>
      <c r="K1603" s="23" t="s">
        <v>4678</v>
      </c>
      <c r="L1603" s="27"/>
    </row>
    <row r="1604" hidden="1">
      <c r="A1604" s="8" t="s">
        <v>1364</v>
      </c>
      <c r="B1604" s="8" t="s">
        <v>1364</v>
      </c>
      <c r="C1604" s="13">
        <v>45895.47479166667</v>
      </c>
      <c r="D1604" s="2" t="s">
        <v>786</v>
      </c>
      <c r="E1604" s="2" t="s">
        <v>787</v>
      </c>
      <c r="F1604" s="14" t="s">
        <v>3486</v>
      </c>
      <c r="G1604" s="14" t="s">
        <v>3487</v>
      </c>
      <c r="H1604" s="2" t="s">
        <v>16</v>
      </c>
      <c r="I1604" s="2" t="s">
        <v>3488</v>
      </c>
      <c r="J1604" s="2">
        <v>1.0</v>
      </c>
      <c r="K1604" s="23" t="s">
        <v>4679</v>
      </c>
      <c r="L1604" s="11">
        <v>60000.0</v>
      </c>
    </row>
    <row r="1605" hidden="1">
      <c r="A1605" s="8" t="s">
        <v>1364</v>
      </c>
      <c r="B1605" s="8" t="s">
        <v>1364</v>
      </c>
      <c r="C1605" s="13">
        <v>45895.47479166667</v>
      </c>
      <c r="D1605" s="2" t="s">
        <v>786</v>
      </c>
      <c r="E1605" s="2" t="s">
        <v>787</v>
      </c>
      <c r="F1605" s="14" t="s">
        <v>4203</v>
      </c>
      <c r="G1605" s="14" t="s">
        <v>4204</v>
      </c>
      <c r="H1605" s="2" t="s">
        <v>16</v>
      </c>
      <c r="I1605" s="2" t="s">
        <v>3488</v>
      </c>
      <c r="J1605" s="2">
        <v>4.0</v>
      </c>
      <c r="K1605" s="23" t="s">
        <v>4680</v>
      </c>
      <c r="L1605" s="11">
        <v>60000.0</v>
      </c>
    </row>
    <row r="1606">
      <c r="A1606" s="8" t="s">
        <v>1366</v>
      </c>
      <c r="B1606" s="8" t="s">
        <v>1366</v>
      </c>
      <c r="C1606" s="13">
        <v>45895.59725694444</v>
      </c>
      <c r="D1606" s="2" t="s">
        <v>45</v>
      </c>
      <c r="E1606" s="2" t="s">
        <v>46</v>
      </c>
      <c r="F1606" s="14" t="s">
        <v>3522</v>
      </c>
      <c r="G1606" s="14" t="s">
        <v>3523</v>
      </c>
      <c r="H1606" s="2" t="s">
        <v>24</v>
      </c>
      <c r="I1606" s="2" t="s">
        <v>3491</v>
      </c>
      <c r="J1606" s="2">
        <v>19.0</v>
      </c>
      <c r="K1606" s="23" t="s">
        <v>4681</v>
      </c>
      <c r="L1606" s="11">
        <v>0.0</v>
      </c>
    </row>
    <row r="1607">
      <c r="A1607" s="8" t="s">
        <v>1366</v>
      </c>
      <c r="B1607" s="8" t="s">
        <v>1366</v>
      </c>
      <c r="C1607" s="13">
        <v>45895.59725694444</v>
      </c>
      <c r="D1607" s="2" t="s">
        <v>45</v>
      </c>
      <c r="E1607" s="2" t="s">
        <v>46</v>
      </c>
      <c r="F1607" s="14" t="s">
        <v>3493</v>
      </c>
      <c r="G1607" s="14" t="s">
        <v>3494</v>
      </c>
      <c r="H1607" s="2" t="s">
        <v>24</v>
      </c>
      <c r="I1607" s="2" t="s">
        <v>3491</v>
      </c>
      <c r="J1607" s="2">
        <v>3.0</v>
      </c>
      <c r="K1607" s="19"/>
      <c r="L1607" s="11">
        <v>0.0</v>
      </c>
    </row>
    <row r="1608">
      <c r="A1608" s="8" t="s">
        <v>1366</v>
      </c>
      <c r="B1608" s="8" t="s">
        <v>1366</v>
      </c>
      <c r="C1608" s="13">
        <v>45895.59725694444</v>
      </c>
      <c r="D1608" s="2" t="s">
        <v>45</v>
      </c>
      <c r="E1608" s="2" t="s">
        <v>46</v>
      </c>
      <c r="F1608" s="14" t="s">
        <v>3486</v>
      </c>
      <c r="G1608" s="14" t="s">
        <v>3487</v>
      </c>
      <c r="H1608" s="2" t="s">
        <v>24</v>
      </c>
      <c r="I1608" s="2" t="s">
        <v>3491</v>
      </c>
      <c r="J1608" s="2">
        <v>18.0</v>
      </c>
      <c r="K1608" s="23" t="s">
        <v>4682</v>
      </c>
      <c r="L1608" s="11">
        <v>0.0</v>
      </c>
    </row>
    <row r="1609" hidden="1">
      <c r="A1609" s="8" t="s">
        <v>1367</v>
      </c>
      <c r="B1609" s="8" t="s">
        <v>1367</v>
      </c>
      <c r="C1609" s="13">
        <v>45896.34208333334</v>
      </c>
      <c r="D1609" s="2" t="s">
        <v>786</v>
      </c>
      <c r="E1609" s="2" t="s">
        <v>787</v>
      </c>
      <c r="F1609" s="14" t="s">
        <v>3486</v>
      </c>
      <c r="G1609" s="14" t="s">
        <v>3487</v>
      </c>
      <c r="H1609" s="2" t="s">
        <v>24</v>
      </c>
      <c r="I1609" s="2" t="s">
        <v>3491</v>
      </c>
      <c r="J1609" s="2">
        <v>2.0</v>
      </c>
      <c r="K1609" s="23" t="s">
        <v>4683</v>
      </c>
      <c r="L1609" s="11">
        <v>0.0</v>
      </c>
    </row>
    <row r="1610" hidden="1">
      <c r="A1610" s="8" t="s">
        <v>1368</v>
      </c>
      <c r="B1610" s="8" t="s">
        <v>1368</v>
      </c>
      <c r="C1610" s="13">
        <v>45896.402337962965</v>
      </c>
      <c r="D1610" s="2" t="s">
        <v>943</v>
      </c>
      <c r="E1610" s="2" t="s">
        <v>944</v>
      </c>
      <c r="F1610" s="14" t="s">
        <v>3506</v>
      </c>
      <c r="G1610" s="14" t="s">
        <v>3507</v>
      </c>
      <c r="H1610" s="2" t="s">
        <v>16</v>
      </c>
      <c r="I1610" s="2" t="s">
        <v>3488</v>
      </c>
      <c r="J1610" s="2">
        <v>2.0</v>
      </c>
      <c r="K1610" s="23" t="s">
        <v>4670</v>
      </c>
      <c r="L1610" s="11">
        <v>50000.0</v>
      </c>
    </row>
    <row r="1611" hidden="1">
      <c r="A1611" s="8" t="s">
        <v>1369</v>
      </c>
      <c r="B1611" s="8" t="s">
        <v>1369</v>
      </c>
      <c r="C1611" s="13">
        <v>45896.404490740744</v>
      </c>
      <c r="D1611" s="2" t="s">
        <v>904</v>
      </c>
      <c r="E1611" s="2" t="s">
        <v>905</v>
      </c>
      <c r="F1611" s="14" t="s">
        <v>3486</v>
      </c>
      <c r="G1611" s="14" t="s">
        <v>3487</v>
      </c>
      <c r="H1611" s="2" t="s">
        <v>16</v>
      </c>
      <c r="I1611" s="2" t="s">
        <v>3488</v>
      </c>
      <c r="J1611" s="2">
        <v>3.0</v>
      </c>
      <c r="K1611" s="23" t="s">
        <v>4684</v>
      </c>
      <c r="L1611" s="11">
        <v>75000.0</v>
      </c>
    </row>
    <row r="1612" hidden="1">
      <c r="A1612" s="8" t="s">
        <v>1370</v>
      </c>
      <c r="B1612" s="8" t="s">
        <v>1370</v>
      </c>
      <c r="C1612" s="13">
        <v>45896.4090162037</v>
      </c>
      <c r="D1612" s="2" t="s">
        <v>1371</v>
      </c>
      <c r="E1612" s="2" t="s">
        <v>1372</v>
      </c>
      <c r="F1612" s="14" t="s">
        <v>3486</v>
      </c>
      <c r="G1612" s="14" t="s">
        <v>3487</v>
      </c>
      <c r="H1612" s="2" t="s">
        <v>16</v>
      </c>
      <c r="I1612" s="2" t="s">
        <v>3488</v>
      </c>
      <c r="J1612" s="2">
        <v>5.0</v>
      </c>
      <c r="K1612" s="23" t="s">
        <v>4685</v>
      </c>
      <c r="L1612" s="11">
        <v>60000.0</v>
      </c>
    </row>
    <row r="1613" hidden="1">
      <c r="A1613" s="8" t="s">
        <v>1374</v>
      </c>
      <c r="B1613" s="8" t="s">
        <v>1374</v>
      </c>
      <c r="C1613" s="13">
        <v>45896.48153935185</v>
      </c>
      <c r="D1613" s="2" t="s">
        <v>49</v>
      </c>
      <c r="E1613" s="2" t="s">
        <v>50</v>
      </c>
      <c r="F1613" s="14" t="s">
        <v>3486</v>
      </c>
      <c r="G1613" s="14" t="s">
        <v>3487</v>
      </c>
      <c r="H1613" s="2" t="s">
        <v>24</v>
      </c>
      <c r="I1613" s="2" t="s">
        <v>3491</v>
      </c>
      <c r="J1613" s="2">
        <v>7.0</v>
      </c>
      <c r="K1613" s="23" t="s">
        <v>4686</v>
      </c>
      <c r="L1613" s="11">
        <v>0.0</v>
      </c>
    </row>
    <row r="1614" hidden="1">
      <c r="A1614" s="8" t="s">
        <v>1375</v>
      </c>
      <c r="B1614" s="8" t="s">
        <v>1375</v>
      </c>
      <c r="C1614" s="13">
        <v>45896.484560185185</v>
      </c>
      <c r="D1614" s="2" t="s">
        <v>20</v>
      </c>
      <c r="E1614" s="2" t="s">
        <v>21</v>
      </c>
      <c r="F1614" s="14" t="s">
        <v>3486</v>
      </c>
      <c r="G1614" s="14" t="s">
        <v>3487</v>
      </c>
      <c r="H1614" s="2" t="s">
        <v>24</v>
      </c>
      <c r="I1614" s="2" t="s">
        <v>3491</v>
      </c>
      <c r="J1614" s="2">
        <v>4.0</v>
      </c>
      <c r="K1614" s="23" t="s">
        <v>4687</v>
      </c>
      <c r="L1614" s="11">
        <v>0.0</v>
      </c>
    </row>
    <row r="1615" hidden="1">
      <c r="A1615" s="8" t="s">
        <v>1375</v>
      </c>
      <c r="B1615" s="8" t="s">
        <v>1375</v>
      </c>
      <c r="C1615" s="13">
        <v>45896.484560185185</v>
      </c>
      <c r="D1615" s="2" t="s">
        <v>20</v>
      </c>
      <c r="E1615" s="2" t="s">
        <v>21</v>
      </c>
      <c r="F1615" s="14" t="s">
        <v>3493</v>
      </c>
      <c r="G1615" s="14" t="s">
        <v>3494</v>
      </c>
      <c r="H1615" s="2" t="s">
        <v>24</v>
      </c>
      <c r="I1615" s="2" t="s">
        <v>3491</v>
      </c>
      <c r="J1615" s="2">
        <v>1.0</v>
      </c>
      <c r="K1615" s="23" t="s">
        <v>4688</v>
      </c>
      <c r="L1615" s="11">
        <v>0.0</v>
      </c>
    </row>
    <row r="1616" hidden="1">
      <c r="A1616" s="8" t="s">
        <v>1375</v>
      </c>
      <c r="B1616" s="8" t="s">
        <v>1375</v>
      </c>
      <c r="C1616" s="13">
        <v>45896.484560185185</v>
      </c>
      <c r="D1616" s="2" t="s">
        <v>20</v>
      </c>
      <c r="E1616" s="2" t="s">
        <v>21</v>
      </c>
      <c r="F1616" s="14" t="s">
        <v>3486</v>
      </c>
      <c r="G1616" s="14" t="s">
        <v>3487</v>
      </c>
      <c r="H1616" s="2" t="s">
        <v>24</v>
      </c>
      <c r="I1616" s="2" t="s">
        <v>3614</v>
      </c>
      <c r="J1616" s="2">
        <v>4.0</v>
      </c>
      <c r="K1616" s="23" t="s">
        <v>4689</v>
      </c>
      <c r="L1616" s="11">
        <v>0.0</v>
      </c>
    </row>
    <row r="1617" hidden="1">
      <c r="A1617" s="8" t="s">
        <v>1376</v>
      </c>
      <c r="B1617" s="8" t="s">
        <v>1376</v>
      </c>
      <c r="C1617" s="13">
        <v>45896.5330787037</v>
      </c>
      <c r="D1617" s="2" t="s">
        <v>951</v>
      </c>
      <c r="E1617" s="2" t="s">
        <v>952</v>
      </c>
      <c r="F1617" s="14" t="s">
        <v>3486</v>
      </c>
      <c r="G1617" s="14" t="s">
        <v>3487</v>
      </c>
      <c r="H1617" s="2" t="s">
        <v>16</v>
      </c>
      <c r="I1617" s="2" t="s">
        <v>3488</v>
      </c>
      <c r="J1617" s="2">
        <v>5.0</v>
      </c>
      <c r="K1617" s="23" t="s">
        <v>4690</v>
      </c>
      <c r="L1617" s="11">
        <v>55000.0</v>
      </c>
    </row>
    <row r="1618" hidden="1">
      <c r="A1618" s="8" t="s">
        <v>1377</v>
      </c>
      <c r="B1618" s="8" t="s">
        <v>1377</v>
      </c>
      <c r="C1618" s="13">
        <v>45896.580034722225</v>
      </c>
      <c r="D1618" s="2" t="s">
        <v>904</v>
      </c>
      <c r="E1618" s="2" t="s">
        <v>905</v>
      </c>
      <c r="F1618" s="14" t="s">
        <v>4203</v>
      </c>
      <c r="G1618" s="14" t="s">
        <v>4204</v>
      </c>
      <c r="H1618" s="2" t="s">
        <v>24</v>
      </c>
      <c r="I1618" s="2" t="s">
        <v>3491</v>
      </c>
      <c r="J1618" s="2">
        <v>3.0</v>
      </c>
      <c r="K1618" s="23" t="s">
        <v>4594</v>
      </c>
      <c r="L1618" s="11">
        <v>0.0</v>
      </c>
    </row>
    <row r="1619" hidden="1">
      <c r="A1619" s="8" t="s">
        <v>1378</v>
      </c>
      <c r="B1619" s="8" t="s">
        <v>1378</v>
      </c>
      <c r="C1619" s="13">
        <v>45896.61032407408</v>
      </c>
      <c r="D1619" s="2" t="s">
        <v>951</v>
      </c>
      <c r="E1619" s="2" t="s">
        <v>952</v>
      </c>
      <c r="F1619" s="14" t="s">
        <v>3486</v>
      </c>
      <c r="G1619" s="14" t="s">
        <v>3487</v>
      </c>
      <c r="H1619" s="2" t="s">
        <v>24</v>
      </c>
      <c r="I1619" s="2" t="s">
        <v>3491</v>
      </c>
      <c r="J1619" s="2">
        <v>4.0</v>
      </c>
      <c r="K1619" s="23" t="s">
        <v>4691</v>
      </c>
      <c r="L1619" s="11">
        <v>0.0</v>
      </c>
    </row>
    <row r="1620">
      <c r="A1620" s="8" t="s">
        <v>1379</v>
      </c>
      <c r="B1620" s="8" t="s">
        <v>1379</v>
      </c>
      <c r="C1620" s="13">
        <v>45897.352638888886</v>
      </c>
      <c r="D1620" s="2" t="s">
        <v>45</v>
      </c>
      <c r="E1620" s="2" t="s">
        <v>46</v>
      </c>
      <c r="F1620" s="14" t="s">
        <v>3522</v>
      </c>
      <c r="G1620" s="14" t="s">
        <v>3523</v>
      </c>
      <c r="H1620" s="2" t="s">
        <v>16</v>
      </c>
      <c r="I1620" s="2" t="s">
        <v>3488</v>
      </c>
      <c r="J1620" s="2">
        <v>10.0</v>
      </c>
      <c r="K1620" s="23" t="s">
        <v>4692</v>
      </c>
      <c r="L1620" s="11">
        <v>185000.0</v>
      </c>
    </row>
    <row r="1621" hidden="1">
      <c r="A1621" s="1"/>
      <c r="B1621" s="1"/>
      <c r="C1621" s="13"/>
      <c r="D1621" s="2"/>
      <c r="E1621" s="2"/>
      <c r="F1621" s="14"/>
      <c r="G1621" s="14"/>
      <c r="H1621" s="2"/>
      <c r="I1621" s="2"/>
      <c r="J1621" s="2"/>
      <c r="K1621" s="12"/>
      <c r="L1621" s="11"/>
    </row>
    <row r="1622" hidden="1">
      <c r="A1622" s="8" t="s">
        <v>1380</v>
      </c>
      <c r="B1622" s="8" t="s">
        <v>1380</v>
      </c>
      <c r="C1622" s="13">
        <v>45897.35702546296</v>
      </c>
      <c r="D1622" s="2" t="s">
        <v>1084</v>
      </c>
      <c r="E1622" s="2" t="s">
        <v>1085</v>
      </c>
      <c r="F1622" s="14" t="s">
        <v>3516</v>
      </c>
      <c r="G1622" s="14" t="s">
        <v>3517</v>
      </c>
      <c r="H1622" s="2" t="s">
        <v>16</v>
      </c>
      <c r="I1622" s="2" t="s">
        <v>3488</v>
      </c>
      <c r="J1622" s="2">
        <v>5.0</v>
      </c>
      <c r="K1622" s="23" t="s">
        <v>4693</v>
      </c>
      <c r="L1622" s="11">
        <v>210000.0</v>
      </c>
    </row>
    <row r="1623" hidden="1">
      <c r="A1623" s="8" t="s">
        <v>1380</v>
      </c>
      <c r="B1623" s="8" t="s">
        <v>1380</v>
      </c>
      <c r="C1623" s="13">
        <v>45897.35702546296</v>
      </c>
      <c r="D1623" s="2" t="s">
        <v>1084</v>
      </c>
      <c r="E1623" s="2" t="s">
        <v>1085</v>
      </c>
      <c r="F1623" s="14" t="s">
        <v>3486</v>
      </c>
      <c r="G1623" s="14" t="s">
        <v>3487</v>
      </c>
      <c r="H1623" s="2" t="s">
        <v>16</v>
      </c>
      <c r="I1623" s="2" t="s">
        <v>3488</v>
      </c>
      <c r="J1623" s="2">
        <v>7.0</v>
      </c>
      <c r="K1623" s="23" t="s">
        <v>4694</v>
      </c>
      <c r="L1623" s="11">
        <v>60000.0</v>
      </c>
    </row>
    <row r="1624" hidden="1">
      <c r="A1624" s="8" t="s">
        <v>1380</v>
      </c>
      <c r="B1624" s="8" t="s">
        <v>1380</v>
      </c>
      <c r="C1624" s="13">
        <v>45897.35702546296</v>
      </c>
      <c r="D1624" s="2" t="s">
        <v>1084</v>
      </c>
      <c r="E1624" s="2" t="s">
        <v>1085</v>
      </c>
      <c r="F1624" s="14" t="s">
        <v>4203</v>
      </c>
      <c r="G1624" s="14" t="s">
        <v>4204</v>
      </c>
      <c r="H1624" s="2" t="s">
        <v>16</v>
      </c>
      <c r="I1624" s="2" t="s">
        <v>3488</v>
      </c>
      <c r="J1624" s="2">
        <v>3.0</v>
      </c>
      <c r="K1624" s="23" t="s">
        <v>4695</v>
      </c>
      <c r="L1624" s="11">
        <v>70000.0</v>
      </c>
    </row>
    <row r="1625">
      <c r="A1625" s="8" t="s">
        <v>1379</v>
      </c>
      <c r="B1625" s="8" t="s">
        <v>1379</v>
      </c>
      <c r="C1625" s="13">
        <v>45897.352638888886</v>
      </c>
      <c r="D1625" s="2" t="s">
        <v>45</v>
      </c>
      <c r="E1625" s="2" t="s">
        <v>46</v>
      </c>
      <c r="F1625" s="14" t="s">
        <v>3486</v>
      </c>
      <c r="G1625" s="14" t="s">
        <v>3487</v>
      </c>
      <c r="H1625" s="2" t="s">
        <v>16</v>
      </c>
      <c r="I1625" s="2" t="s">
        <v>3488</v>
      </c>
      <c r="J1625" s="2">
        <v>8.0</v>
      </c>
      <c r="K1625" s="23" t="s">
        <v>4696</v>
      </c>
      <c r="L1625" s="11">
        <v>60000.0</v>
      </c>
    </row>
    <row r="1626">
      <c r="A1626" s="8" t="s">
        <v>1379</v>
      </c>
      <c r="B1626" s="8" t="s">
        <v>1379</v>
      </c>
      <c r="C1626" s="13">
        <v>45897.352638888886</v>
      </c>
      <c r="D1626" s="2" t="s">
        <v>45</v>
      </c>
      <c r="E1626" s="2" t="s">
        <v>46</v>
      </c>
      <c r="F1626" s="14" t="s">
        <v>4203</v>
      </c>
      <c r="G1626" s="14" t="s">
        <v>4204</v>
      </c>
      <c r="H1626" s="2" t="s">
        <v>16</v>
      </c>
      <c r="I1626" s="2" t="s">
        <v>3488</v>
      </c>
      <c r="J1626" s="2">
        <v>2.0</v>
      </c>
      <c r="K1626" s="23" t="s">
        <v>4697</v>
      </c>
      <c r="L1626" s="11">
        <v>60000.0</v>
      </c>
    </row>
    <row r="1627" hidden="1">
      <c r="A1627" s="8" t="s">
        <v>1381</v>
      </c>
      <c r="B1627" s="8" t="s">
        <v>1381</v>
      </c>
      <c r="C1627" s="13">
        <v>45897.44210648148</v>
      </c>
      <c r="D1627" s="2" t="s">
        <v>1084</v>
      </c>
      <c r="E1627" s="2" t="s">
        <v>1085</v>
      </c>
      <c r="F1627" s="14" t="s">
        <v>3516</v>
      </c>
      <c r="G1627" s="14" t="s">
        <v>3517</v>
      </c>
      <c r="H1627" s="2" t="s">
        <v>24</v>
      </c>
      <c r="I1627" s="2" t="s">
        <v>3491</v>
      </c>
      <c r="J1627" s="2">
        <v>4.0</v>
      </c>
      <c r="K1627" s="23" t="s">
        <v>4698</v>
      </c>
      <c r="L1627" s="11">
        <v>0.0</v>
      </c>
    </row>
    <row r="1628" hidden="1">
      <c r="A1628" s="8" t="s">
        <v>1381</v>
      </c>
      <c r="B1628" s="8" t="s">
        <v>1381</v>
      </c>
      <c r="C1628" s="13">
        <v>45897.44210648148</v>
      </c>
      <c r="D1628" s="2" t="s">
        <v>1084</v>
      </c>
      <c r="E1628" s="2" t="s">
        <v>1085</v>
      </c>
      <c r="F1628" s="14" t="s">
        <v>4203</v>
      </c>
      <c r="G1628" s="14" t="s">
        <v>4204</v>
      </c>
      <c r="H1628" s="2" t="s">
        <v>24</v>
      </c>
      <c r="I1628" s="2" t="s">
        <v>3491</v>
      </c>
      <c r="J1628" s="2">
        <v>6.0</v>
      </c>
      <c r="K1628" s="23" t="s">
        <v>4699</v>
      </c>
      <c r="L1628" s="11">
        <v>0.0</v>
      </c>
    </row>
    <row r="1629" hidden="1">
      <c r="A1629" s="8" t="s">
        <v>1381</v>
      </c>
      <c r="B1629" s="8" t="s">
        <v>1381</v>
      </c>
      <c r="C1629" s="13">
        <v>45897.44210648148</v>
      </c>
      <c r="D1629" s="2" t="s">
        <v>1084</v>
      </c>
      <c r="E1629" s="2" t="s">
        <v>1085</v>
      </c>
      <c r="F1629" s="14" t="s">
        <v>3516</v>
      </c>
      <c r="G1629" s="14" t="s">
        <v>3517</v>
      </c>
      <c r="H1629" s="2" t="s">
        <v>24</v>
      </c>
      <c r="I1629" s="2" t="s">
        <v>3614</v>
      </c>
      <c r="J1629" s="2">
        <v>1.0</v>
      </c>
      <c r="K1629" s="23" t="s">
        <v>4700</v>
      </c>
      <c r="L1629" s="11">
        <v>0.0</v>
      </c>
    </row>
    <row r="1630" hidden="1">
      <c r="A1630" s="8" t="s">
        <v>1382</v>
      </c>
      <c r="B1630" s="8" t="s">
        <v>1382</v>
      </c>
      <c r="C1630" s="13">
        <v>45897.46325231482</v>
      </c>
      <c r="D1630" s="2" t="s">
        <v>169</v>
      </c>
      <c r="E1630" s="2" t="s">
        <v>170</v>
      </c>
      <c r="F1630" s="14" t="s">
        <v>3522</v>
      </c>
      <c r="G1630" s="14" t="s">
        <v>3523</v>
      </c>
      <c r="H1630" s="2" t="s">
        <v>16</v>
      </c>
      <c r="I1630" s="2" t="s">
        <v>3488</v>
      </c>
      <c r="J1630" s="2">
        <v>8.0</v>
      </c>
      <c r="K1630" s="23" t="s">
        <v>4701</v>
      </c>
      <c r="L1630" s="16">
        <v>195000.0</v>
      </c>
    </row>
    <row r="1631" hidden="1">
      <c r="A1631" s="8" t="s">
        <v>1383</v>
      </c>
      <c r="B1631" s="8" t="s">
        <v>1383</v>
      </c>
      <c r="C1631" s="13">
        <v>45897.46875</v>
      </c>
      <c r="D1631" s="2" t="s">
        <v>1237</v>
      </c>
      <c r="E1631" s="2" t="s">
        <v>1238</v>
      </c>
      <c r="F1631" s="14" t="s">
        <v>4203</v>
      </c>
      <c r="G1631" s="14" t="s">
        <v>4204</v>
      </c>
      <c r="H1631" s="2" t="s">
        <v>24</v>
      </c>
      <c r="I1631" s="2" t="s">
        <v>3491</v>
      </c>
      <c r="J1631" s="2">
        <v>5.0</v>
      </c>
      <c r="K1631" s="23" t="s">
        <v>4702</v>
      </c>
      <c r="L1631" s="11">
        <v>0.0</v>
      </c>
    </row>
    <row r="1632" hidden="1">
      <c r="A1632" s="8" t="s">
        <v>1383</v>
      </c>
      <c r="B1632" s="8" t="s">
        <v>1383</v>
      </c>
      <c r="C1632" s="13">
        <v>45897.46875</v>
      </c>
      <c r="D1632" s="2" t="s">
        <v>1237</v>
      </c>
      <c r="E1632" s="2" t="s">
        <v>1238</v>
      </c>
      <c r="F1632" s="14" t="s">
        <v>3516</v>
      </c>
      <c r="G1632" s="14" t="s">
        <v>3517</v>
      </c>
      <c r="H1632" s="2" t="s">
        <v>24</v>
      </c>
      <c r="I1632" s="2" t="s">
        <v>3491</v>
      </c>
      <c r="J1632" s="2">
        <v>3.0</v>
      </c>
      <c r="K1632" s="23" t="s">
        <v>4703</v>
      </c>
      <c r="L1632" s="11">
        <v>0.0</v>
      </c>
    </row>
    <row r="1633" hidden="1">
      <c r="A1633" s="8" t="s">
        <v>1384</v>
      </c>
      <c r="B1633" s="8" t="s">
        <v>1384</v>
      </c>
      <c r="C1633" s="13">
        <v>45897.60212962963</v>
      </c>
      <c r="D1633" s="2" t="s">
        <v>169</v>
      </c>
      <c r="E1633" s="2" t="s">
        <v>170</v>
      </c>
      <c r="F1633" s="14" t="s">
        <v>3493</v>
      </c>
      <c r="G1633" s="14" t="s">
        <v>3494</v>
      </c>
      <c r="H1633" s="2" t="s">
        <v>24</v>
      </c>
      <c r="I1633" s="2" t="s">
        <v>3491</v>
      </c>
      <c r="J1633" s="2">
        <v>3.0</v>
      </c>
      <c r="K1633" s="23" t="s">
        <v>4704</v>
      </c>
      <c r="L1633" s="11">
        <v>0.0</v>
      </c>
    </row>
    <row r="1634" hidden="1">
      <c r="A1634" s="8" t="s">
        <v>1384</v>
      </c>
      <c r="B1634" s="8" t="s">
        <v>1384</v>
      </c>
      <c r="C1634" s="13">
        <v>45897.60212962963</v>
      </c>
      <c r="D1634" s="2" t="s">
        <v>169</v>
      </c>
      <c r="E1634" s="2" t="s">
        <v>170</v>
      </c>
      <c r="F1634" s="14" t="s">
        <v>3486</v>
      </c>
      <c r="G1634" s="14" t="s">
        <v>3487</v>
      </c>
      <c r="H1634" s="2" t="s">
        <v>24</v>
      </c>
      <c r="I1634" s="2" t="s">
        <v>3491</v>
      </c>
      <c r="J1634" s="2">
        <v>4.0</v>
      </c>
      <c r="K1634" s="23" t="s">
        <v>4705</v>
      </c>
      <c r="L1634" s="11">
        <v>0.0</v>
      </c>
    </row>
    <row r="1635" hidden="1">
      <c r="A1635" s="1"/>
      <c r="B1635" s="1"/>
      <c r="C1635" s="13"/>
      <c r="D1635" s="2"/>
      <c r="E1635" s="2"/>
      <c r="F1635" s="14"/>
      <c r="G1635" s="14"/>
      <c r="H1635" s="2"/>
      <c r="I1635" s="2"/>
      <c r="J1635" s="2"/>
      <c r="K1635" s="12"/>
      <c r="L1635" s="11"/>
    </row>
    <row r="1636" hidden="1">
      <c r="A1636" s="8" t="s">
        <v>1384</v>
      </c>
      <c r="B1636" s="8" t="s">
        <v>1384</v>
      </c>
      <c r="C1636" s="13">
        <v>45897.60212962963</v>
      </c>
      <c r="D1636" s="2" t="s">
        <v>169</v>
      </c>
      <c r="E1636" s="2" t="s">
        <v>170</v>
      </c>
      <c r="F1636" s="14" t="s">
        <v>3522</v>
      </c>
      <c r="G1636" s="14" t="s">
        <v>3523</v>
      </c>
      <c r="H1636" s="2" t="s">
        <v>24</v>
      </c>
      <c r="I1636" s="2" t="s">
        <v>3491</v>
      </c>
      <c r="J1636" s="2">
        <v>7.0</v>
      </c>
      <c r="K1636" s="23" t="s">
        <v>4706</v>
      </c>
      <c r="L1636" s="11">
        <v>0.0</v>
      </c>
    </row>
    <row r="1637" hidden="1">
      <c r="A1637" s="8" t="s">
        <v>1385</v>
      </c>
      <c r="B1637" s="8" t="s">
        <v>1385</v>
      </c>
      <c r="C1637" s="13">
        <v>45897.62805555556</v>
      </c>
      <c r="D1637" s="2" t="s">
        <v>326</v>
      </c>
      <c r="E1637" s="2" t="s">
        <v>327</v>
      </c>
      <c r="F1637" s="14" t="s">
        <v>3486</v>
      </c>
      <c r="G1637" s="14" t="s">
        <v>3487</v>
      </c>
      <c r="H1637" s="2" t="s">
        <v>24</v>
      </c>
      <c r="I1637" s="2" t="s">
        <v>3491</v>
      </c>
      <c r="J1637" s="2">
        <v>15.0</v>
      </c>
      <c r="K1637" s="23" t="s">
        <v>4707</v>
      </c>
      <c r="L1637" s="11">
        <v>0.0</v>
      </c>
    </row>
    <row r="1638" hidden="1">
      <c r="A1638" s="8" t="s">
        <v>1386</v>
      </c>
      <c r="B1638" s="8" t="s">
        <v>1386</v>
      </c>
      <c r="C1638" s="13">
        <v>45897.652349537035</v>
      </c>
      <c r="D1638" s="2" t="s">
        <v>1014</v>
      </c>
      <c r="E1638" s="2" t="s">
        <v>1015</v>
      </c>
      <c r="F1638" s="14" t="s">
        <v>3486</v>
      </c>
      <c r="G1638" s="14" t="s">
        <v>3487</v>
      </c>
      <c r="H1638" s="2" t="s">
        <v>24</v>
      </c>
      <c r="I1638" s="2" t="s">
        <v>3491</v>
      </c>
      <c r="J1638" s="2">
        <v>5.0</v>
      </c>
      <c r="K1638" s="23" t="s">
        <v>4708</v>
      </c>
      <c r="L1638" s="11">
        <v>0.0</v>
      </c>
    </row>
    <row r="1639" hidden="1">
      <c r="A1639" s="8" t="s">
        <v>1386</v>
      </c>
      <c r="B1639" s="8" t="s">
        <v>1386</v>
      </c>
      <c r="C1639" s="13">
        <v>45897.652349537035</v>
      </c>
      <c r="D1639" s="2" t="s">
        <v>1014</v>
      </c>
      <c r="E1639" s="2" t="s">
        <v>1015</v>
      </c>
      <c r="F1639" s="14" t="s">
        <v>3486</v>
      </c>
      <c r="G1639" s="14" t="s">
        <v>3487</v>
      </c>
      <c r="H1639" s="2" t="s">
        <v>24</v>
      </c>
      <c r="I1639" s="2" t="s">
        <v>3614</v>
      </c>
      <c r="J1639" s="2">
        <v>4.0</v>
      </c>
      <c r="K1639" s="23" t="s">
        <v>4709</v>
      </c>
      <c r="L1639" s="11">
        <v>0.0</v>
      </c>
    </row>
    <row r="1640" hidden="1">
      <c r="A1640" s="8" t="s">
        <v>1387</v>
      </c>
      <c r="B1640" s="8" t="s">
        <v>1387</v>
      </c>
      <c r="C1640" s="13">
        <v>45898.37396990741</v>
      </c>
      <c r="D1640" s="2" t="s">
        <v>326</v>
      </c>
      <c r="E1640" s="2" t="s">
        <v>327</v>
      </c>
      <c r="F1640" s="14" t="s">
        <v>3486</v>
      </c>
      <c r="G1640" s="14" t="s">
        <v>3487</v>
      </c>
      <c r="H1640" s="2" t="s">
        <v>16</v>
      </c>
      <c r="I1640" s="2" t="s">
        <v>3488</v>
      </c>
      <c r="J1640" s="2">
        <v>20.0</v>
      </c>
      <c r="K1640" s="23" t="s">
        <v>4710</v>
      </c>
      <c r="L1640" s="11">
        <v>45000.0</v>
      </c>
    </row>
    <row r="1641" hidden="1">
      <c r="A1641" s="1"/>
      <c r="B1641" s="1"/>
      <c r="C1641" s="13"/>
      <c r="D1641" s="2"/>
      <c r="E1641" s="2"/>
      <c r="F1641" s="14"/>
      <c r="G1641" s="14"/>
      <c r="H1641" s="2"/>
      <c r="I1641" s="2"/>
      <c r="J1641" s="2"/>
      <c r="K1641" s="12"/>
      <c r="L1641" s="27"/>
    </row>
    <row r="1642" hidden="1">
      <c r="A1642" s="8" t="s">
        <v>1388</v>
      </c>
      <c r="B1642" s="8" t="s">
        <v>1388</v>
      </c>
      <c r="C1642" s="13">
        <v>45898.38087962963</v>
      </c>
      <c r="D1642" s="2" t="s">
        <v>1228</v>
      </c>
      <c r="E1642" s="2" t="s">
        <v>1229</v>
      </c>
      <c r="F1642" s="14" t="s">
        <v>3486</v>
      </c>
      <c r="G1642" s="14" t="s">
        <v>3487</v>
      </c>
      <c r="H1642" s="2" t="s">
        <v>16</v>
      </c>
      <c r="I1642" s="2" t="s">
        <v>3488</v>
      </c>
      <c r="J1642" s="2">
        <v>10.0</v>
      </c>
      <c r="K1642" s="23" t="s">
        <v>4711</v>
      </c>
      <c r="L1642" s="11">
        <v>55000.0</v>
      </c>
    </row>
    <row r="1643" hidden="1">
      <c r="A1643" s="8" t="s">
        <v>1389</v>
      </c>
      <c r="B1643" s="8" t="s">
        <v>1389</v>
      </c>
      <c r="C1643" s="13">
        <v>45898.47336805556</v>
      </c>
      <c r="D1643" s="2" t="s">
        <v>109</v>
      </c>
      <c r="E1643" s="2" t="s">
        <v>110</v>
      </c>
      <c r="F1643" s="14" t="s">
        <v>3522</v>
      </c>
      <c r="G1643" s="14" t="s">
        <v>3523</v>
      </c>
      <c r="H1643" s="2" t="s">
        <v>24</v>
      </c>
      <c r="I1643" s="2" t="s">
        <v>3491</v>
      </c>
      <c r="J1643" s="2">
        <v>1.0</v>
      </c>
      <c r="K1643" s="23" t="s">
        <v>4318</v>
      </c>
      <c r="L1643" s="11">
        <v>0.0</v>
      </c>
    </row>
    <row r="1644" hidden="1">
      <c r="A1644" s="8" t="s">
        <v>1389</v>
      </c>
      <c r="B1644" s="8" t="s">
        <v>1389</v>
      </c>
      <c r="C1644" s="13">
        <v>45898.47336805556</v>
      </c>
      <c r="D1644" s="2" t="s">
        <v>109</v>
      </c>
      <c r="E1644" s="2" t="s">
        <v>110</v>
      </c>
      <c r="F1644" s="14" t="s">
        <v>3486</v>
      </c>
      <c r="G1644" s="14" t="s">
        <v>3487</v>
      </c>
      <c r="H1644" s="2" t="s">
        <v>24</v>
      </c>
      <c r="I1644" s="2" t="s">
        <v>3491</v>
      </c>
      <c r="J1644" s="2">
        <v>3.0</v>
      </c>
      <c r="K1644" s="23" t="s">
        <v>4712</v>
      </c>
      <c r="L1644" s="11">
        <v>0.0</v>
      </c>
    </row>
    <row r="1645" hidden="1">
      <c r="A1645" s="8" t="s">
        <v>1390</v>
      </c>
      <c r="B1645" s="8" t="s">
        <v>1390</v>
      </c>
      <c r="C1645" s="13">
        <v>45898.60475694444</v>
      </c>
      <c r="D1645" s="2" t="s">
        <v>1228</v>
      </c>
      <c r="E1645" s="2" t="s">
        <v>1229</v>
      </c>
      <c r="F1645" s="14" t="s">
        <v>3486</v>
      </c>
      <c r="G1645" s="14" t="s">
        <v>3487</v>
      </c>
      <c r="H1645" s="2" t="s">
        <v>24</v>
      </c>
      <c r="I1645" s="2" t="s">
        <v>3491</v>
      </c>
      <c r="J1645" s="2">
        <v>10.0</v>
      </c>
      <c r="K1645" s="23" t="s">
        <v>4713</v>
      </c>
      <c r="L1645" s="11">
        <v>0.0</v>
      </c>
    </row>
    <row r="1646" hidden="1">
      <c r="A1646" s="8" t="s">
        <v>1391</v>
      </c>
      <c r="B1646" s="8" t="s">
        <v>1391</v>
      </c>
      <c r="C1646" s="13">
        <v>45898.61517361111</v>
      </c>
      <c r="D1646" s="2" t="s">
        <v>213</v>
      </c>
      <c r="E1646" s="2" t="s">
        <v>214</v>
      </c>
      <c r="F1646" s="14" t="s">
        <v>3486</v>
      </c>
      <c r="G1646" s="14" t="s">
        <v>3487</v>
      </c>
      <c r="H1646" s="2" t="s">
        <v>24</v>
      </c>
      <c r="I1646" s="2" t="s">
        <v>3491</v>
      </c>
      <c r="J1646" s="2">
        <v>4.0</v>
      </c>
      <c r="K1646" s="23" t="s">
        <v>4714</v>
      </c>
      <c r="L1646" s="11">
        <v>0.0</v>
      </c>
    </row>
    <row r="1647">
      <c r="A1647" s="8" t="s">
        <v>1392</v>
      </c>
      <c r="B1647" s="8" t="s">
        <v>1392</v>
      </c>
      <c r="C1647" s="13">
        <v>45899.409525462965</v>
      </c>
      <c r="D1647" s="2" t="s">
        <v>45</v>
      </c>
      <c r="E1647" s="2" t="s">
        <v>46</v>
      </c>
      <c r="F1647" s="14" t="s">
        <v>3522</v>
      </c>
      <c r="G1647" s="14" t="s">
        <v>3523</v>
      </c>
      <c r="H1647" s="2" t="s">
        <v>16</v>
      </c>
      <c r="I1647" s="2" t="s">
        <v>3488</v>
      </c>
      <c r="J1647" s="2">
        <v>9.0</v>
      </c>
      <c r="K1647" s="23" t="s">
        <v>4715</v>
      </c>
      <c r="L1647" s="11">
        <v>185000.0</v>
      </c>
    </row>
    <row r="1648" hidden="1">
      <c r="A1648" s="8" t="s">
        <v>1393</v>
      </c>
      <c r="B1648" s="8" t="s">
        <v>1393</v>
      </c>
      <c r="C1648" s="13">
        <v>45899.530694444446</v>
      </c>
      <c r="D1648" s="2" t="s">
        <v>679</v>
      </c>
      <c r="E1648" s="2" t="s">
        <v>680</v>
      </c>
      <c r="F1648" s="14" t="s">
        <v>3486</v>
      </c>
      <c r="G1648" s="14" t="s">
        <v>3487</v>
      </c>
      <c r="H1648" s="2" t="s">
        <v>24</v>
      </c>
      <c r="I1648" s="2" t="s">
        <v>3491</v>
      </c>
      <c r="J1648" s="2">
        <v>1.0</v>
      </c>
      <c r="K1648" s="23" t="s">
        <v>4566</v>
      </c>
      <c r="L1648" s="11">
        <v>0.0</v>
      </c>
    </row>
    <row r="1649" hidden="1">
      <c r="A1649" s="8" t="s">
        <v>1394</v>
      </c>
      <c r="B1649" s="8" t="s">
        <v>1394</v>
      </c>
      <c r="C1649" s="13">
        <v>45899.531805555554</v>
      </c>
      <c r="D1649" s="2" t="s">
        <v>464</v>
      </c>
      <c r="E1649" s="2" t="s">
        <v>465</v>
      </c>
      <c r="F1649" s="14" t="s">
        <v>4203</v>
      </c>
      <c r="G1649" s="14" t="s">
        <v>4204</v>
      </c>
      <c r="H1649" s="2" t="s">
        <v>24</v>
      </c>
      <c r="I1649" s="2" t="s">
        <v>3491</v>
      </c>
      <c r="J1649" s="2">
        <v>3.0</v>
      </c>
      <c r="K1649" s="23" t="s">
        <v>4716</v>
      </c>
      <c r="L1649" s="11">
        <v>0.0</v>
      </c>
    </row>
    <row r="1650" hidden="1">
      <c r="A1650" s="8" t="s">
        <v>1395</v>
      </c>
      <c r="B1650" s="8" t="s">
        <v>1395</v>
      </c>
      <c r="C1650" s="13">
        <v>45899.5328125</v>
      </c>
      <c r="D1650" s="2" t="s">
        <v>799</v>
      </c>
      <c r="E1650" s="2" t="s">
        <v>800</v>
      </c>
      <c r="F1650" s="14" t="s">
        <v>4203</v>
      </c>
      <c r="G1650" s="14" t="s">
        <v>4204</v>
      </c>
      <c r="H1650" s="2" t="s">
        <v>24</v>
      </c>
      <c r="I1650" s="2" t="s">
        <v>3491</v>
      </c>
      <c r="J1650" s="2">
        <v>1.0</v>
      </c>
      <c r="K1650" s="23" t="s">
        <v>3897</v>
      </c>
      <c r="L1650" s="11">
        <v>0.0</v>
      </c>
    </row>
    <row r="1651" hidden="1">
      <c r="A1651" s="8" t="s">
        <v>1396</v>
      </c>
      <c r="B1651" s="8" t="s">
        <v>1396</v>
      </c>
      <c r="C1651" s="13">
        <v>45899.533472222225</v>
      </c>
      <c r="D1651" s="2" t="s">
        <v>934</v>
      </c>
      <c r="E1651" s="2" t="s">
        <v>935</v>
      </c>
      <c r="F1651" s="14" t="s">
        <v>3522</v>
      </c>
      <c r="G1651" s="14" t="s">
        <v>3523</v>
      </c>
      <c r="H1651" s="2" t="s">
        <v>24</v>
      </c>
      <c r="I1651" s="2" t="s">
        <v>3491</v>
      </c>
      <c r="J1651" s="2">
        <v>1.0</v>
      </c>
      <c r="K1651" s="23" t="s">
        <v>4555</v>
      </c>
      <c r="L1651" s="11">
        <v>0.0</v>
      </c>
    </row>
    <row r="1652" hidden="1">
      <c r="A1652" s="8" t="s">
        <v>1397</v>
      </c>
      <c r="B1652" s="8" t="s">
        <v>1397</v>
      </c>
      <c r="C1652" s="13">
        <v>45899.602175925924</v>
      </c>
      <c r="D1652" s="2" t="s">
        <v>934</v>
      </c>
      <c r="E1652" s="2" t="s">
        <v>935</v>
      </c>
      <c r="F1652" s="14" t="s">
        <v>3522</v>
      </c>
      <c r="G1652" s="14" t="s">
        <v>3523</v>
      </c>
      <c r="H1652" s="2" t="s">
        <v>16</v>
      </c>
      <c r="I1652" s="2" t="s">
        <v>3488</v>
      </c>
      <c r="J1652" s="2">
        <v>1.0</v>
      </c>
      <c r="K1652" s="23" t="s">
        <v>4555</v>
      </c>
      <c r="L1652" s="11">
        <v>200000.0</v>
      </c>
    </row>
    <row r="1653" hidden="1">
      <c r="A1653" s="8" t="s">
        <v>1398</v>
      </c>
      <c r="B1653" s="8" t="s">
        <v>1398</v>
      </c>
      <c r="C1653" s="13">
        <v>45899.64346064815</v>
      </c>
      <c r="D1653" s="10" t="s">
        <v>1399</v>
      </c>
      <c r="E1653" s="2" t="s">
        <v>1400</v>
      </c>
      <c r="F1653" s="14" t="s">
        <v>3486</v>
      </c>
      <c r="G1653" s="14" t="s">
        <v>3487</v>
      </c>
      <c r="H1653" s="2" t="s">
        <v>16</v>
      </c>
      <c r="I1653" s="2" t="s">
        <v>3488</v>
      </c>
      <c r="J1653" s="2">
        <v>10.0</v>
      </c>
      <c r="K1653" s="23" t="s">
        <v>4717</v>
      </c>
      <c r="L1653" s="11">
        <v>55000.0</v>
      </c>
      <c r="N1653" s="2" t="s">
        <v>4718</v>
      </c>
    </row>
    <row r="1654" hidden="1">
      <c r="A1654" s="8" t="s">
        <v>1402</v>
      </c>
      <c r="B1654" s="8" t="s">
        <v>1402</v>
      </c>
      <c r="C1654" s="13">
        <v>45901.3503125</v>
      </c>
      <c r="D1654" s="2" t="s">
        <v>1084</v>
      </c>
      <c r="E1654" s="2" t="s">
        <v>1085</v>
      </c>
      <c r="F1654" s="14" t="s">
        <v>4203</v>
      </c>
      <c r="G1654" s="14" t="s">
        <v>4204</v>
      </c>
      <c r="H1654" s="2" t="s">
        <v>16</v>
      </c>
      <c r="I1654" s="2" t="s">
        <v>3488</v>
      </c>
      <c r="J1654" s="2">
        <v>10.0</v>
      </c>
      <c r="K1654" s="23" t="s">
        <v>4719</v>
      </c>
      <c r="L1654" s="11">
        <v>70000.0</v>
      </c>
    </row>
    <row r="1655" hidden="1">
      <c r="A1655" s="8" t="s">
        <v>1403</v>
      </c>
      <c r="B1655" s="8" t="s">
        <v>1403</v>
      </c>
      <c r="C1655" s="13">
        <v>45901.35319444445</v>
      </c>
      <c r="D1655" s="2" t="s">
        <v>1084</v>
      </c>
      <c r="E1655" s="2" t="s">
        <v>1085</v>
      </c>
      <c r="F1655" s="14" t="s">
        <v>3516</v>
      </c>
      <c r="G1655" s="14" t="s">
        <v>3517</v>
      </c>
      <c r="H1655" s="2" t="s">
        <v>159</v>
      </c>
      <c r="I1655" s="2" t="s">
        <v>3619</v>
      </c>
      <c r="J1655" s="2">
        <v>1.0</v>
      </c>
      <c r="K1655" s="23" t="s">
        <v>4720</v>
      </c>
      <c r="L1655" s="11">
        <v>0.0</v>
      </c>
    </row>
    <row r="1656" hidden="1">
      <c r="A1656" s="8" t="s">
        <v>1404</v>
      </c>
      <c r="B1656" s="8" t="s">
        <v>1404</v>
      </c>
      <c r="C1656" s="13">
        <v>45901.361284722225</v>
      </c>
      <c r="D1656" s="2" t="s">
        <v>493</v>
      </c>
      <c r="E1656" s="2" t="s">
        <v>494</v>
      </c>
      <c r="F1656" s="14" t="s">
        <v>3486</v>
      </c>
      <c r="G1656" s="14" t="s">
        <v>3487</v>
      </c>
      <c r="H1656" s="2" t="s">
        <v>16</v>
      </c>
      <c r="I1656" s="2" t="s">
        <v>3488</v>
      </c>
      <c r="J1656" s="2">
        <v>10.0</v>
      </c>
      <c r="K1656" s="23" t="s">
        <v>4721</v>
      </c>
      <c r="L1656" s="11">
        <v>50000.0</v>
      </c>
    </row>
    <row r="1657" hidden="1">
      <c r="A1657" s="8" t="s">
        <v>1405</v>
      </c>
      <c r="B1657" s="8" t="s">
        <v>1405</v>
      </c>
      <c r="C1657" s="13">
        <v>45901.36375</v>
      </c>
      <c r="D1657" s="2" t="s">
        <v>1406</v>
      </c>
      <c r="E1657" s="2" t="s">
        <v>1407</v>
      </c>
      <c r="F1657" s="14" t="s">
        <v>3506</v>
      </c>
      <c r="G1657" s="14" t="s">
        <v>3507</v>
      </c>
      <c r="H1657" s="2" t="s">
        <v>16</v>
      </c>
      <c r="I1657" s="2" t="s">
        <v>3488</v>
      </c>
      <c r="J1657" s="2">
        <v>2.0</v>
      </c>
      <c r="K1657" s="23" t="s">
        <v>4722</v>
      </c>
      <c r="L1657" s="11">
        <v>75000.0</v>
      </c>
    </row>
    <row r="1658" hidden="1">
      <c r="A1658" s="8" t="s">
        <v>1409</v>
      </c>
      <c r="B1658" s="8" t="s">
        <v>1409</v>
      </c>
      <c r="C1658" s="13">
        <v>45901.44354166667</v>
      </c>
      <c r="D1658" s="2" t="s">
        <v>464</v>
      </c>
      <c r="E1658" s="2" t="s">
        <v>465</v>
      </c>
      <c r="F1658" s="14" t="s">
        <v>4203</v>
      </c>
      <c r="G1658" s="14" t="s">
        <v>4204</v>
      </c>
      <c r="H1658" s="2" t="s">
        <v>16</v>
      </c>
      <c r="I1658" s="2" t="s">
        <v>3488</v>
      </c>
      <c r="J1658" s="2">
        <v>4.0</v>
      </c>
      <c r="K1658" s="23" t="s">
        <v>4723</v>
      </c>
      <c r="L1658" s="11">
        <v>55000.0</v>
      </c>
    </row>
    <row r="1659" hidden="1">
      <c r="A1659" s="8" t="s">
        <v>1409</v>
      </c>
      <c r="B1659" s="8" t="s">
        <v>1409</v>
      </c>
      <c r="C1659" s="13">
        <v>45901.44354166667</v>
      </c>
      <c r="D1659" s="2" t="s">
        <v>464</v>
      </c>
      <c r="E1659" s="2" t="s">
        <v>465</v>
      </c>
      <c r="F1659" s="14" t="s">
        <v>3506</v>
      </c>
      <c r="G1659" s="14" t="s">
        <v>3507</v>
      </c>
      <c r="H1659" s="2" t="s">
        <v>16</v>
      </c>
      <c r="I1659" s="2" t="s">
        <v>3488</v>
      </c>
      <c r="J1659" s="2">
        <v>1.0</v>
      </c>
      <c r="K1659" s="23" t="s">
        <v>4724</v>
      </c>
      <c r="L1659" s="11">
        <v>55000.0</v>
      </c>
    </row>
    <row r="1660" hidden="1">
      <c r="A1660" s="8" t="s">
        <v>1410</v>
      </c>
      <c r="B1660" s="8" t="s">
        <v>1410</v>
      </c>
      <c r="C1660" s="13">
        <v>45901.44537037037</v>
      </c>
      <c r="D1660" s="2" t="s">
        <v>1084</v>
      </c>
      <c r="E1660" s="2" t="s">
        <v>1085</v>
      </c>
      <c r="F1660" s="14" t="s">
        <v>4203</v>
      </c>
      <c r="G1660" s="14" t="s">
        <v>4204</v>
      </c>
      <c r="H1660" s="2" t="s">
        <v>24</v>
      </c>
      <c r="I1660" s="2" t="s">
        <v>3491</v>
      </c>
      <c r="J1660" s="2">
        <v>2.0</v>
      </c>
      <c r="K1660" s="23" t="s">
        <v>4725</v>
      </c>
      <c r="L1660" s="11">
        <v>0.0</v>
      </c>
    </row>
    <row r="1661" hidden="1">
      <c r="A1661" s="8" t="s">
        <v>1411</v>
      </c>
      <c r="B1661" s="8" t="s">
        <v>1411</v>
      </c>
      <c r="C1661" s="13">
        <v>45901.46844907408</v>
      </c>
      <c r="D1661" s="2" t="s">
        <v>169</v>
      </c>
      <c r="E1661" s="2" t="s">
        <v>170</v>
      </c>
      <c r="F1661" s="14" t="s">
        <v>3522</v>
      </c>
      <c r="G1661" s="14" t="s">
        <v>3523</v>
      </c>
      <c r="H1661" s="2" t="s">
        <v>24</v>
      </c>
      <c r="I1661" s="2" t="s">
        <v>3491</v>
      </c>
      <c r="J1661" s="2">
        <v>3.0</v>
      </c>
      <c r="K1661" s="23" t="s">
        <v>4726</v>
      </c>
      <c r="L1661" s="11">
        <v>0.0</v>
      </c>
    </row>
    <row r="1662" hidden="1">
      <c r="A1662" s="8" t="s">
        <v>1412</v>
      </c>
      <c r="B1662" s="8" t="s">
        <v>1412</v>
      </c>
      <c r="C1662" s="13">
        <v>45901.624976851854</v>
      </c>
      <c r="D1662" s="2" t="s">
        <v>464</v>
      </c>
      <c r="E1662" s="2" t="s">
        <v>465</v>
      </c>
      <c r="F1662" s="14" t="s">
        <v>4203</v>
      </c>
      <c r="G1662" s="14" t="s">
        <v>4204</v>
      </c>
      <c r="H1662" s="2" t="s">
        <v>24</v>
      </c>
      <c r="I1662" s="2" t="s">
        <v>3491</v>
      </c>
      <c r="J1662" s="2">
        <v>1.0</v>
      </c>
      <c r="K1662" s="23" t="s">
        <v>4228</v>
      </c>
      <c r="L1662" s="11">
        <v>0.0</v>
      </c>
    </row>
    <row r="1663" hidden="1">
      <c r="A1663" s="8" t="s">
        <v>1413</v>
      </c>
      <c r="B1663" s="8" t="s">
        <v>1413</v>
      </c>
      <c r="C1663" s="13">
        <v>45901.625868055555</v>
      </c>
      <c r="D1663" s="2" t="s">
        <v>326</v>
      </c>
      <c r="E1663" s="2" t="s">
        <v>327</v>
      </c>
      <c r="F1663" s="14" t="s">
        <v>3486</v>
      </c>
      <c r="G1663" s="14" t="s">
        <v>3487</v>
      </c>
      <c r="H1663" s="2" t="s">
        <v>24</v>
      </c>
      <c r="I1663" s="2" t="s">
        <v>3491</v>
      </c>
      <c r="J1663" s="2">
        <v>3.0</v>
      </c>
      <c r="K1663" s="23" t="s">
        <v>4727</v>
      </c>
      <c r="L1663" s="11">
        <v>0.0</v>
      </c>
    </row>
    <row r="1664" hidden="1">
      <c r="A1664" s="8" t="s">
        <v>1414</v>
      </c>
      <c r="B1664" s="8" t="s">
        <v>1414</v>
      </c>
      <c r="C1664" s="13">
        <v>45901.664606481485</v>
      </c>
      <c r="D1664" s="2" t="s">
        <v>493</v>
      </c>
      <c r="E1664" s="2" t="s">
        <v>494</v>
      </c>
      <c r="F1664" s="14" t="s">
        <v>3486</v>
      </c>
      <c r="G1664" s="14" t="s">
        <v>3487</v>
      </c>
      <c r="H1664" s="2" t="s">
        <v>24</v>
      </c>
      <c r="I1664" s="2" t="s">
        <v>3491</v>
      </c>
      <c r="J1664" s="2">
        <v>5.0</v>
      </c>
      <c r="K1664" s="23" t="s">
        <v>4728</v>
      </c>
      <c r="L1664" s="11">
        <v>0.0</v>
      </c>
    </row>
    <row r="1665" hidden="1">
      <c r="A1665" s="8" t="s">
        <v>1133</v>
      </c>
      <c r="B1665" s="8" t="s">
        <v>1133</v>
      </c>
      <c r="C1665" s="13">
        <v>45840.51180555556</v>
      </c>
      <c r="D1665" s="2" t="s">
        <v>169</v>
      </c>
      <c r="E1665" s="2" t="s">
        <v>170</v>
      </c>
      <c r="F1665" s="14" t="s">
        <v>4729</v>
      </c>
      <c r="G1665" s="14" t="s">
        <v>4730</v>
      </c>
      <c r="H1665" s="2" t="s">
        <v>16</v>
      </c>
      <c r="I1665" s="2" t="s">
        <v>3488</v>
      </c>
      <c r="J1665" s="2">
        <v>1.0</v>
      </c>
      <c r="K1665" s="19"/>
      <c r="L1665" s="11">
        <v>100000.0</v>
      </c>
    </row>
    <row r="1666" hidden="1">
      <c r="A1666" s="8" t="s">
        <v>1285</v>
      </c>
      <c r="B1666" s="8" t="s">
        <v>1285</v>
      </c>
      <c r="C1666" s="13">
        <v>45875.48800925926</v>
      </c>
      <c r="D1666" s="2" t="s">
        <v>169</v>
      </c>
      <c r="E1666" s="2" t="s">
        <v>170</v>
      </c>
      <c r="F1666" s="14" t="s">
        <v>4729</v>
      </c>
      <c r="G1666" s="14" t="s">
        <v>4730</v>
      </c>
      <c r="H1666" s="2" t="s">
        <v>16</v>
      </c>
      <c r="I1666" s="2" t="s">
        <v>3488</v>
      </c>
      <c r="J1666" s="2">
        <v>1.0</v>
      </c>
      <c r="K1666" s="19"/>
      <c r="L1666" s="11">
        <v>100000.0</v>
      </c>
    </row>
    <row r="1667" hidden="1">
      <c r="A1667" s="8" t="s">
        <v>1333</v>
      </c>
      <c r="B1667" s="8" t="s">
        <v>1333</v>
      </c>
      <c r="C1667" s="13">
        <v>45888.363287037035</v>
      </c>
      <c r="D1667" s="2" t="s">
        <v>169</v>
      </c>
      <c r="E1667" s="2" t="s">
        <v>170</v>
      </c>
      <c r="F1667" s="14" t="s">
        <v>4729</v>
      </c>
      <c r="G1667" s="14" t="s">
        <v>4730</v>
      </c>
      <c r="H1667" s="2" t="s">
        <v>16</v>
      </c>
      <c r="I1667" s="2" t="s">
        <v>3488</v>
      </c>
      <c r="J1667" s="2">
        <v>1.0</v>
      </c>
      <c r="K1667" s="19"/>
      <c r="L1667" s="11">
        <v>100000.0</v>
      </c>
    </row>
    <row r="1668" hidden="1">
      <c r="A1668" s="8" t="s">
        <v>1382</v>
      </c>
      <c r="B1668" s="8" t="s">
        <v>1382</v>
      </c>
      <c r="C1668" s="13">
        <v>45897.46325231482</v>
      </c>
      <c r="D1668" s="2" t="s">
        <v>169</v>
      </c>
      <c r="E1668" s="2" t="s">
        <v>170</v>
      </c>
      <c r="F1668" s="14" t="s">
        <v>4729</v>
      </c>
      <c r="G1668" s="14" t="s">
        <v>4730</v>
      </c>
      <c r="H1668" s="2" t="s">
        <v>16</v>
      </c>
      <c r="I1668" s="2" t="s">
        <v>3488</v>
      </c>
      <c r="J1668" s="2">
        <v>1.0</v>
      </c>
      <c r="K1668" s="19"/>
      <c r="L1668" s="11">
        <v>100000.0</v>
      </c>
    </row>
    <row r="1669" hidden="1">
      <c r="A1669" s="8" t="s">
        <v>1415</v>
      </c>
      <c r="B1669" s="8" t="s">
        <v>1415</v>
      </c>
      <c r="C1669" s="13">
        <v>45902.384305555555</v>
      </c>
      <c r="D1669" s="2" t="s">
        <v>213</v>
      </c>
      <c r="E1669" s="2" t="s">
        <v>214</v>
      </c>
      <c r="F1669" s="14" t="s">
        <v>3486</v>
      </c>
      <c r="G1669" s="14" t="s">
        <v>3487</v>
      </c>
      <c r="H1669" s="2" t="s">
        <v>16</v>
      </c>
      <c r="I1669" s="2" t="s">
        <v>3488</v>
      </c>
      <c r="J1669" s="2">
        <v>10.0</v>
      </c>
      <c r="K1669" s="23" t="s">
        <v>4731</v>
      </c>
      <c r="L1669" s="11">
        <v>60000.0</v>
      </c>
    </row>
    <row r="1670" hidden="1">
      <c r="A1670" s="8" t="s">
        <v>1416</v>
      </c>
      <c r="B1670" s="8" t="s">
        <v>1416</v>
      </c>
      <c r="C1670" s="13">
        <v>45902.38717592593</v>
      </c>
      <c r="D1670" s="2" t="s">
        <v>951</v>
      </c>
      <c r="E1670" s="2" t="s">
        <v>952</v>
      </c>
      <c r="F1670" s="14" t="s">
        <v>3486</v>
      </c>
      <c r="G1670" s="14" t="s">
        <v>3487</v>
      </c>
      <c r="H1670" s="2" t="s">
        <v>16</v>
      </c>
      <c r="I1670" s="2" t="s">
        <v>3488</v>
      </c>
      <c r="J1670" s="2">
        <v>4.0</v>
      </c>
      <c r="K1670" s="23" t="s">
        <v>4732</v>
      </c>
      <c r="L1670" s="11">
        <v>55000.0</v>
      </c>
    </row>
    <row r="1671" hidden="1">
      <c r="A1671" s="8" t="s">
        <v>1416</v>
      </c>
      <c r="B1671" s="8" t="s">
        <v>1416</v>
      </c>
      <c r="C1671" s="13">
        <v>45902.38717592593</v>
      </c>
      <c r="D1671" s="2" t="s">
        <v>951</v>
      </c>
      <c r="E1671" s="2" t="s">
        <v>952</v>
      </c>
      <c r="F1671" s="14" t="s">
        <v>3516</v>
      </c>
      <c r="G1671" s="14" t="s">
        <v>3517</v>
      </c>
      <c r="H1671" s="2" t="s">
        <v>16</v>
      </c>
      <c r="I1671" s="2" t="s">
        <v>3488</v>
      </c>
      <c r="J1671" s="2">
        <v>1.0</v>
      </c>
      <c r="K1671" s="23" t="s">
        <v>4733</v>
      </c>
      <c r="L1671" s="11">
        <v>165000.0</v>
      </c>
    </row>
    <row r="1672">
      <c r="A1672" s="8" t="s">
        <v>1417</v>
      </c>
      <c r="B1672" s="8" t="s">
        <v>1417</v>
      </c>
      <c r="C1672" s="13">
        <v>45902.658217592594</v>
      </c>
      <c r="D1672" s="2" t="s">
        <v>45</v>
      </c>
      <c r="E1672" s="2" t="s">
        <v>46</v>
      </c>
      <c r="F1672" s="14" t="s">
        <v>3522</v>
      </c>
      <c r="G1672" s="14" t="s">
        <v>3523</v>
      </c>
      <c r="H1672" s="2" t="s">
        <v>16</v>
      </c>
      <c r="I1672" s="2" t="s">
        <v>3488</v>
      </c>
      <c r="J1672" s="2">
        <v>3.0</v>
      </c>
      <c r="K1672" s="23" t="s">
        <v>4726</v>
      </c>
      <c r="L1672" s="11">
        <v>185000.0</v>
      </c>
    </row>
    <row r="1673">
      <c r="A1673" s="8" t="s">
        <v>1417</v>
      </c>
      <c r="B1673" s="8" t="s">
        <v>1417</v>
      </c>
      <c r="C1673" s="13">
        <v>45902.658217592594</v>
      </c>
      <c r="D1673" s="2" t="s">
        <v>45</v>
      </c>
      <c r="E1673" s="2" t="s">
        <v>46</v>
      </c>
      <c r="F1673" s="14" t="s">
        <v>3493</v>
      </c>
      <c r="G1673" s="14" t="s">
        <v>3494</v>
      </c>
      <c r="H1673" s="2" t="s">
        <v>16</v>
      </c>
      <c r="I1673" s="2" t="s">
        <v>3488</v>
      </c>
      <c r="J1673" s="2">
        <v>5.0</v>
      </c>
      <c r="K1673" s="23" t="s">
        <v>4734</v>
      </c>
      <c r="L1673" s="11">
        <v>210000.0</v>
      </c>
    </row>
    <row r="1674" hidden="1">
      <c r="A1674" s="8" t="s">
        <v>1418</v>
      </c>
      <c r="B1674" s="8" t="s">
        <v>1418</v>
      </c>
      <c r="C1674" s="13">
        <v>45902.66574074074</v>
      </c>
      <c r="D1674" s="2" t="s">
        <v>951</v>
      </c>
      <c r="E1674" s="2" t="s">
        <v>952</v>
      </c>
      <c r="F1674" s="14" t="s">
        <v>3516</v>
      </c>
      <c r="G1674" s="14" t="s">
        <v>3517</v>
      </c>
      <c r="H1674" s="2" t="s">
        <v>24</v>
      </c>
      <c r="I1674" s="2" t="s">
        <v>3491</v>
      </c>
      <c r="J1674" s="2">
        <v>1.0</v>
      </c>
      <c r="K1674" s="23" t="s">
        <v>4636</v>
      </c>
      <c r="L1674" s="11">
        <v>0.0</v>
      </c>
    </row>
    <row r="1675" hidden="1">
      <c r="A1675" s="8" t="s">
        <v>1418</v>
      </c>
      <c r="B1675" s="8" t="s">
        <v>1418</v>
      </c>
      <c r="C1675" s="13">
        <v>45902.66574074074</v>
      </c>
      <c r="D1675" s="2" t="s">
        <v>951</v>
      </c>
      <c r="E1675" s="2" t="s">
        <v>952</v>
      </c>
      <c r="F1675" s="14" t="s">
        <v>3486</v>
      </c>
      <c r="G1675" s="14" t="s">
        <v>3487</v>
      </c>
      <c r="H1675" s="2" t="s">
        <v>24</v>
      </c>
      <c r="I1675" s="2" t="s">
        <v>3491</v>
      </c>
      <c r="J1675" s="2">
        <v>5.0</v>
      </c>
      <c r="K1675" s="23" t="s">
        <v>4735</v>
      </c>
      <c r="L1675" s="11">
        <v>0.0</v>
      </c>
    </row>
    <row r="1676" hidden="1">
      <c r="A1676" s="8" t="s">
        <v>1419</v>
      </c>
      <c r="B1676" s="8" t="s">
        <v>1419</v>
      </c>
      <c r="C1676" s="13">
        <v>45903.3993287037</v>
      </c>
      <c r="D1676" s="2" t="s">
        <v>55</v>
      </c>
      <c r="E1676" s="2" t="s">
        <v>56</v>
      </c>
      <c r="F1676" s="14" t="s">
        <v>3486</v>
      </c>
      <c r="G1676" s="14" t="s">
        <v>3487</v>
      </c>
      <c r="H1676" s="2" t="s">
        <v>24</v>
      </c>
      <c r="I1676" s="2" t="s">
        <v>3491</v>
      </c>
      <c r="J1676" s="2">
        <v>4.0</v>
      </c>
      <c r="K1676" s="23" t="s">
        <v>4736</v>
      </c>
      <c r="L1676" s="11">
        <v>0.0</v>
      </c>
    </row>
    <row r="1677" hidden="1">
      <c r="A1677" s="8" t="s">
        <v>1420</v>
      </c>
      <c r="B1677" s="8" t="s">
        <v>1420</v>
      </c>
      <c r="C1677" s="13">
        <v>45903.49108796296</v>
      </c>
      <c r="D1677" s="2" t="s">
        <v>1203</v>
      </c>
      <c r="E1677" s="2" t="s">
        <v>1204</v>
      </c>
      <c r="F1677" s="14" t="s">
        <v>3547</v>
      </c>
      <c r="G1677" s="14" t="s">
        <v>3548</v>
      </c>
      <c r="H1677" s="2" t="s">
        <v>16</v>
      </c>
      <c r="I1677" s="2" t="s">
        <v>3488</v>
      </c>
      <c r="J1677" s="2">
        <v>2.0</v>
      </c>
      <c r="K1677" s="19"/>
      <c r="L1677" s="11">
        <v>900000.0</v>
      </c>
    </row>
    <row r="1678" hidden="1">
      <c r="A1678" s="8" t="s">
        <v>1421</v>
      </c>
      <c r="B1678" s="8" t="s">
        <v>1421</v>
      </c>
      <c r="C1678" s="13">
        <v>45903.513761574075</v>
      </c>
      <c r="D1678" s="2" t="s">
        <v>55</v>
      </c>
      <c r="E1678" s="2" t="s">
        <v>56</v>
      </c>
      <c r="F1678" s="14" t="s">
        <v>3486</v>
      </c>
      <c r="G1678" s="14" t="s">
        <v>3487</v>
      </c>
      <c r="H1678" s="2" t="s">
        <v>16</v>
      </c>
      <c r="I1678" s="2" t="s">
        <v>3488</v>
      </c>
      <c r="J1678" s="2">
        <v>5.0</v>
      </c>
      <c r="K1678" s="23" t="s">
        <v>4737</v>
      </c>
      <c r="L1678" s="11">
        <v>60000.0</v>
      </c>
    </row>
    <row r="1679" hidden="1">
      <c r="A1679" s="8" t="s">
        <v>1422</v>
      </c>
      <c r="B1679" s="8" t="s">
        <v>1422</v>
      </c>
      <c r="C1679" s="13">
        <v>45904.36384259259</v>
      </c>
      <c r="D1679" s="2" t="s">
        <v>943</v>
      </c>
      <c r="E1679" s="2" t="s">
        <v>944</v>
      </c>
      <c r="F1679" s="14" t="s">
        <v>3486</v>
      </c>
      <c r="G1679" s="14" t="s">
        <v>3487</v>
      </c>
      <c r="H1679" s="2" t="s">
        <v>16</v>
      </c>
      <c r="I1679" s="2" t="s">
        <v>3488</v>
      </c>
      <c r="J1679" s="2">
        <v>4.0</v>
      </c>
      <c r="K1679" s="23" t="s">
        <v>4738</v>
      </c>
      <c r="L1679" s="11">
        <v>50000.0</v>
      </c>
    </row>
    <row r="1680" hidden="1">
      <c r="A1680" s="8" t="s">
        <v>1423</v>
      </c>
      <c r="B1680" s="8" t="s">
        <v>1423</v>
      </c>
      <c r="C1680" s="13">
        <v>45904.366215277776</v>
      </c>
      <c r="D1680" s="2" t="s">
        <v>1203</v>
      </c>
      <c r="E1680" s="2" t="s">
        <v>1204</v>
      </c>
      <c r="F1680" s="14" t="s">
        <v>3547</v>
      </c>
      <c r="G1680" s="14" t="s">
        <v>3548</v>
      </c>
      <c r="H1680" s="2" t="s">
        <v>24</v>
      </c>
      <c r="I1680" s="2" t="s">
        <v>3491</v>
      </c>
      <c r="J1680" s="2">
        <v>2.0</v>
      </c>
      <c r="K1680" s="23" t="s">
        <v>4670</v>
      </c>
      <c r="L1680" s="11">
        <v>0.0</v>
      </c>
    </row>
    <row r="1681" hidden="1">
      <c r="A1681" s="8" t="s">
        <v>1424</v>
      </c>
      <c r="B1681" s="8" t="s">
        <v>1424</v>
      </c>
      <c r="C1681" s="13">
        <v>45904.54890046296</v>
      </c>
      <c r="D1681" s="2" t="s">
        <v>943</v>
      </c>
      <c r="E1681" s="2" t="s">
        <v>944</v>
      </c>
      <c r="F1681" s="14" t="s">
        <v>4203</v>
      </c>
      <c r="G1681" s="14" t="s">
        <v>4204</v>
      </c>
      <c r="H1681" s="2" t="s">
        <v>24</v>
      </c>
      <c r="I1681" s="2" t="s">
        <v>3491</v>
      </c>
      <c r="J1681" s="2">
        <v>3.0</v>
      </c>
      <c r="K1681" s="23" t="s">
        <v>4739</v>
      </c>
      <c r="L1681" s="11">
        <v>0.0</v>
      </c>
    </row>
    <row r="1682" hidden="1">
      <c r="A1682" s="8" t="s">
        <v>1424</v>
      </c>
      <c r="B1682" s="8" t="s">
        <v>1424</v>
      </c>
      <c r="C1682" s="13">
        <v>45904.54890046296</v>
      </c>
      <c r="D1682" s="2" t="s">
        <v>943</v>
      </c>
      <c r="E1682" s="2" t="s">
        <v>944</v>
      </c>
      <c r="F1682" s="14" t="s">
        <v>3506</v>
      </c>
      <c r="G1682" s="14" t="s">
        <v>3507</v>
      </c>
      <c r="H1682" s="2" t="s">
        <v>24</v>
      </c>
      <c r="I1682" s="2" t="s">
        <v>3491</v>
      </c>
      <c r="J1682" s="2">
        <v>3.0</v>
      </c>
      <c r="K1682" s="23" t="s">
        <v>4704</v>
      </c>
      <c r="L1682" s="11">
        <v>0.0</v>
      </c>
    </row>
    <row r="1683" hidden="1">
      <c r="A1683" s="8" t="s">
        <v>1425</v>
      </c>
      <c r="B1683" s="8" t="s">
        <v>1425</v>
      </c>
      <c r="C1683" s="13">
        <v>45904.55064814815</v>
      </c>
      <c r="D1683" s="2" t="s">
        <v>326</v>
      </c>
      <c r="E1683" s="2" t="s">
        <v>327</v>
      </c>
      <c r="F1683" s="14" t="s">
        <v>3486</v>
      </c>
      <c r="G1683" s="14" t="s">
        <v>3487</v>
      </c>
      <c r="H1683" s="2" t="s">
        <v>24</v>
      </c>
      <c r="I1683" s="2" t="s">
        <v>3491</v>
      </c>
      <c r="J1683" s="2">
        <v>10.0</v>
      </c>
      <c r="K1683" s="23" t="s">
        <v>4740</v>
      </c>
      <c r="L1683" s="11">
        <v>0.0</v>
      </c>
    </row>
    <row r="1684" hidden="1">
      <c r="A1684" s="8" t="s">
        <v>1425</v>
      </c>
      <c r="B1684" s="8" t="s">
        <v>1425</v>
      </c>
      <c r="C1684" s="13">
        <v>45904.55064814815</v>
      </c>
      <c r="D1684" s="2" t="s">
        <v>326</v>
      </c>
      <c r="E1684" s="2" t="s">
        <v>327</v>
      </c>
      <c r="F1684" s="14" t="s">
        <v>3522</v>
      </c>
      <c r="G1684" s="14" t="s">
        <v>3523</v>
      </c>
      <c r="H1684" s="2" t="s">
        <v>24</v>
      </c>
      <c r="I1684" s="2" t="s">
        <v>3491</v>
      </c>
      <c r="J1684" s="2">
        <v>1.0</v>
      </c>
      <c r="K1684" s="23" t="s">
        <v>4246</v>
      </c>
      <c r="L1684" s="11">
        <v>0.0</v>
      </c>
    </row>
    <row r="1685" hidden="1">
      <c r="A1685" s="8" t="s">
        <v>1425</v>
      </c>
      <c r="B1685" s="8" t="s">
        <v>1425</v>
      </c>
      <c r="C1685" s="13">
        <v>45904.55064814815</v>
      </c>
      <c r="D1685" s="2" t="s">
        <v>326</v>
      </c>
      <c r="E1685" s="2" t="s">
        <v>327</v>
      </c>
      <c r="F1685" s="14" t="s">
        <v>3522</v>
      </c>
      <c r="G1685" s="14" t="s">
        <v>3523</v>
      </c>
      <c r="H1685" s="2" t="s">
        <v>24</v>
      </c>
      <c r="I1685" s="2" t="s">
        <v>3614</v>
      </c>
      <c r="J1685" s="2">
        <v>1.0</v>
      </c>
      <c r="K1685" s="23" t="s">
        <v>4741</v>
      </c>
      <c r="L1685" s="11">
        <v>0.0</v>
      </c>
    </row>
    <row r="1686" hidden="1">
      <c r="A1686" s="8" t="s">
        <v>1426</v>
      </c>
      <c r="B1686" s="8" t="s">
        <v>1426</v>
      </c>
      <c r="C1686" s="13">
        <v>45906.348391203705</v>
      </c>
      <c r="D1686" s="2" t="s">
        <v>1084</v>
      </c>
      <c r="E1686" s="2" t="s">
        <v>1085</v>
      </c>
      <c r="F1686" s="14" t="s">
        <v>3516</v>
      </c>
      <c r="G1686" s="14" t="s">
        <v>3517</v>
      </c>
      <c r="H1686" s="2" t="s">
        <v>24</v>
      </c>
      <c r="I1686" s="2" t="s">
        <v>3491</v>
      </c>
      <c r="J1686" s="2">
        <v>2.0</v>
      </c>
      <c r="K1686" s="23" t="s">
        <v>4742</v>
      </c>
      <c r="L1686" s="11">
        <v>0.0</v>
      </c>
    </row>
    <row r="1687" hidden="1">
      <c r="A1687" s="8" t="s">
        <v>1426</v>
      </c>
      <c r="B1687" s="8" t="s">
        <v>1426</v>
      </c>
      <c r="C1687" s="13">
        <v>45906.348391203705</v>
      </c>
      <c r="D1687" s="2" t="s">
        <v>1084</v>
      </c>
      <c r="E1687" s="2" t="s">
        <v>1085</v>
      </c>
      <c r="F1687" s="14" t="s">
        <v>3486</v>
      </c>
      <c r="G1687" s="14" t="s">
        <v>3487</v>
      </c>
      <c r="H1687" s="2" t="s">
        <v>24</v>
      </c>
      <c r="I1687" s="2" t="s">
        <v>3491</v>
      </c>
      <c r="J1687" s="2">
        <v>3.0</v>
      </c>
      <c r="K1687" s="23" t="s">
        <v>4743</v>
      </c>
      <c r="L1687" s="11">
        <v>0.0</v>
      </c>
    </row>
    <row r="1688" hidden="1">
      <c r="A1688" s="8" t="s">
        <v>1426</v>
      </c>
      <c r="B1688" s="8" t="s">
        <v>1426</v>
      </c>
      <c r="C1688" s="13">
        <v>45906.348391203705</v>
      </c>
      <c r="D1688" s="2" t="s">
        <v>1084</v>
      </c>
      <c r="E1688" s="2" t="s">
        <v>1085</v>
      </c>
      <c r="F1688" s="14" t="s">
        <v>4203</v>
      </c>
      <c r="G1688" s="14" t="s">
        <v>4204</v>
      </c>
      <c r="H1688" s="2" t="s">
        <v>24</v>
      </c>
      <c r="I1688" s="2" t="s">
        <v>3491</v>
      </c>
      <c r="J1688" s="2">
        <v>4.0</v>
      </c>
      <c r="K1688" s="23" t="s">
        <v>4744</v>
      </c>
      <c r="L1688" s="11">
        <v>0.0</v>
      </c>
    </row>
    <row r="1689" hidden="1">
      <c r="A1689" s="1"/>
      <c r="B1689" s="1"/>
      <c r="C1689" s="13"/>
      <c r="D1689" s="2"/>
      <c r="E1689" s="2"/>
      <c r="F1689" s="14"/>
      <c r="G1689" s="14"/>
      <c r="H1689" s="2"/>
      <c r="I1689" s="2"/>
      <c r="J1689" s="2"/>
      <c r="K1689" s="12"/>
      <c r="L1689" s="11"/>
    </row>
    <row r="1690" hidden="1">
      <c r="A1690" s="8" t="s">
        <v>1428</v>
      </c>
      <c r="B1690" s="8" t="s">
        <v>1428</v>
      </c>
      <c r="C1690" s="13">
        <v>45906.36127314815</v>
      </c>
      <c r="D1690" s="2" t="s">
        <v>49</v>
      </c>
      <c r="E1690" s="2" t="s">
        <v>50</v>
      </c>
      <c r="F1690" s="14" t="s">
        <v>3486</v>
      </c>
      <c r="G1690" s="14" t="s">
        <v>3487</v>
      </c>
      <c r="H1690" s="2" t="s">
        <v>24</v>
      </c>
      <c r="I1690" s="2" t="s">
        <v>3491</v>
      </c>
      <c r="J1690" s="2">
        <v>1.0</v>
      </c>
      <c r="K1690" s="23" t="s">
        <v>4745</v>
      </c>
      <c r="L1690" s="11">
        <v>0.0</v>
      </c>
    </row>
    <row r="1691" hidden="1">
      <c r="A1691" s="8" t="s">
        <v>1429</v>
      </c>
      <c r="B1691" s="8" t="s">
        <v>1429</v>
      </c>
      <c r="C1691" s="13">
        <v>45906.382048611114</v>
      </c>
      <c r="D1691" s="2" t="s">
        <v>786</v>
      </c>
      <c r="E1691" s="2" t="s">
        <v>787</v>
      </c>
      <c r="F1691" s="14" t="s">
        <v>3486</v>
      </c>
      <c r="G1691" s="14" t="s">
        <v>3487</v>
      </c>
      <c r="H1691" s="2" t="s">
        <v>16</v>
      </c>
      <c r="I1691" s="2" t="s">
        <v>3488</v>
      </c>
      <c r="J1691" s="2">
        <v>6.0</v>
      </c>
      <c r="K1691" s="23" t="s">
        <v>4746</v>
      </c>
      <c r="L1691" s="11">
        <v>60000.0</v>
      </c>
    </row>
    <row r="1692" hidden="1">
      <c r="A1692" s="8" t="s">
        <v>1430</v>
      </c>
      <c r="B1692" s="8" t="s">
        <v>1430</v>
      </c>
      <c r="C1692" s="13">
        <v>45906.383622685185</v>
      </c>
      <c r="D1692" s="2" t="s">
        <v>1311</v>
      </c>
      <c r="E1692" s="2" t="s">
        <v>1010</v>
      </c>
      <c r="F1692" s="14" t="s">
        <v>4203</v>
      </c>
      <c r="G1692" s="14" t="s">
        <v>4204</v>
      </c>
      <c r="H1692" s="2" t="s">
        <v>16</v>
      </c>
      <c r="I1692" s="2" t="s">
        <v>3488</v>
      </c>
      <c r="J1692" s="2">
        <v>1.0</v>
      </c>
      <c r="K1692" s="23" t="s">
        <v>4412</v>
      </c>
      <c r="L1692" s="11">
        <v>80000.0</v>
      </c>
    </row>
    <row r="1693" hidden="1">
      <c r="A1693" s="8" t="s">
        <v>1431</v>
      </c>
      <c r="B1693" s="8" t="s">
        <v>1431</v>
      </c>
      <c r="C1693" s="13">
        <v>45906.4278587963</v>
      </c>
      <c r="D1693" s="2" t="s">
        <v>1183</v>
      </c>
      <c r="E1693" s="2" t="s">
        <v>1184</v>
      </c>
      <c r="F1693" s="14" t="s">
        <v>3486</v>
      </c>
      <c r="G1693" s="14" t="s">
        <v>3487</v>
      </c>
      <c r="H1693" s="2" t="s">
        <v>16</v>
      </c>
      <c r="I1693" s="2" t="s">
        <v>3488</v>
      </c>
      <c r="J1693" s="2">
        <v>1.0</v>
      </c>
      <c r="K1693" s="23" t="s">
        <v>4747</v>
      </c>
      <c r="L1693" s="11">
        <v>70000.0</v>
      </c>
    </row>
    <row r="1694" hidden="1">
      <c r="A1694" s="8" t="s">
        <v>1432</v>
      </c>
      <c r="B1694" s="8" t="s">
        <v>1432</v>
      </c>
      <c r="C1694" s="13">
        <v>45906.461909722224</v>
      </c>
      <c r="D1694" s="2" t="s">
        <v>1183</v>
      </c>
      <c r="E1694" s="2" t="s">
        <v>1184</v>
      </c>
      <c r="F1694" s="14" t="s">
        <v>3486</v>
      </c>
      <c r="G1694" s="14" t="s">
        <v>3487</v>
      </c>
      <c r="H1694" s="2" t="s">
        <v>24</v>
      </c>
      <c r="I1694" s="2" t="s">
        <v>3491</v>
      </c>
      <c r="J1694" s="2">
        <v>1.0</v>
      </c>
      <c r="K1694" s="23" t="s">
        <v>3503</v>
      </c>
      <c r="L1694" s="11">
        <v>0.0</v>
      </c>
    </row>
    <row r="1695" hidden="1">
      <c r="A1695" s="8" t="s">
        <v>1433</v>
      </c>
      <c r="B1695" s="8" t="s">
        <v>1433</v>
      </c>
      <c r="C1695" s="13">
        <v>45906.52075231481</v>
      </c>
      <c r="D1695" s="2" t="s">
        <v>1311</v>
      </c>
      <c r="E1695" s="2" t="s">
        <v>1010</v>
      </c>
      <c r="F1695" s="14" t="s">
        <v>3486</v>
      </c>
      <c r="G1695" s="14" t="s">
        <v>3487</v>
      </c>
      <c r="H1695" s="2" t="s">
        <v>24</v>
      </c>
      <c r="I1695" s="2" t="s">
        <v>3491</v>
      </c>
      <c r="J1695" s="2">
        <v>1.0</v>
      </c>
      <c r="K1695" s="23" t="s">
        <v>4475</v>
      </c>
      <c r="L1695" s="11">
        <v>0.0</v>
      </c>
    </row>
    <row r="1696" hidden="1">
      <c r="A1696" s="8" t="s">
        <v>1433</v>
      </c>
      <c r="B1696" s="8" t="s">
        <v>1433</v>
      </c>
      <c r="C1696" s="13">
        <v>45906.52075231481</v>
      </c>
      <c r="D1696" s="2" t="s">
        <v>1311</v>
      </c>
      <c r="E1696" s="2" t="s">
        <v>1010</v>
      </c>
      <c r="F1696" s="14" t="s">
        <v>3506</v>
      </c>
      <c r="G1696" s="14" t="s">
        <v>3507</v>
      </c>
      <c r="H1696" s="2" t="s">
        <v>24</v>
      </c>
      <c r="I1696" s="2" t="s">
        <v>3491</v>
      </c>
      <c r="J1696" s="2">
        <v>2.0</v>
      </c>
      <c r="K1696" s="23" t="s">
        <v>4748</v>
      </c>
      <c r="L1696" s="11">
        <v>0.0</v>
      </c>
    </row>
    <row r="1697" hidden="1">
      <c r="A1697" s="8" t="s">
        <v>1434</v>
      </c>
      <c r="B1697" s="8" t="s">
        <v>1434</v>
      </c>
      <c r="C1697" s="13">
        <v>45906.52202546296</v>
      </c>
      <c r="D1697" s="2" t="s">
        <v>786</v>
      </c>
      <c r="E1697" s="2" t="s">
        <v>787</v>
      </c>
      <c r="F1697" s="14" t="s">
        <v>3486</v>
      </c>
      <c r="G1697" s="14" t="s">
        <v>3487</v>
      </c>
      <c r="H1697" s="2" t="s">
        <v>24</v>
      </c>
      <c r="I1697" s="2" t="s">
        <v>3491</v>
      </c>
      <c r="J1697" s="2">
        <v>9.0</v>
      </c>
      <c r="K1697" s="23" t="s">
        <v>4749</v>
      </c>
      <c r="L1697" s="11">
        <v>0.0</v>
      </c>
    </row>
    <row r="1698" hidden="1">
      <c r="A1698" s="8" t="s">
        <v>1435</v>
      </c>
      <c r="B1698" s="8" t="s">
        <v>1435</v>
      </c>
      <c r="C1698" s="13">
        <v>45906.52744212963</v>
      </c>
      <c r="D1698" s="2" t="s">
        <v>326</v>
      </c>
      <c r="E1698" s="2" t="s">
        <v>327</v>
      </c>
      <c r="F1698" s="14" t="s">
        <v>3486</v>
      </c>
      <c r="G1698" s="14" t="s">
        <v>3487</v>
      </c>
      <c r="H1698" s="2" t="s">
        <v>24</v>
      </c>
      <c r="I1698" s="2" t="s">
        <v>3491</v>
      </c>
      <c r="J1698" s="2">
        <v>6.0</v>
      </c>
      <c r="K1698" s="23" t="s">
        <v>4750</v>
      </c>
      <c r="L1698" s="11">
        <v>0.0</v>
      </c>
    </row>
    <row r="1699" hidden="1">
      <c r="A1699" s="1" t="s">
        <v>1436</v>
      </c>
      <c r="B1699" s="1" t="s">
        <v>1436</v>
      </c>
      <c r="C1699" s="13">
        <v>45861.54027777778</v>
      </c>
      <c r="D1699" s="2" t="s">
        <v>1228</v>
      </c>
      <c r="E1699" s="2" t="s">
        <v>1229</v>
      </c>
      <c r="F1699" s="14" t="s">
        <v>3486</v>
      </c>
      <c r="G1699" s="14" t="s">
        <v>3487</v>
      </c>
      <c r="H1699" s="2" t="s">
        <v>16</v>
      </c>
      <c r="I1699" s="2" t="s">
        <v>3488</v>
      </c>
      <c r="J1699" s="2">
        <v>10.0</v>
      </c>
      <c r="K1699" s="23" t="s">
        <v>4751</v>
      </c>
      <c r="L1699" s="11">
        <v>55000.0</v>
      </c>
    </row>
    <row r="1700" hidden="1">
      <c r="A1700" s="1" t="s">
        <v>1436</v>
      </c>
      <c r="B1700" s="8" t="s">
        <v>1436</v>
      </c>
      <c r="C1700" s="13">
        <v>45861.54027777778</v>
      </c>
      <c r="D1700" s="2" t="s">
        <v>1228</v>
      </c>
      <c r="E1700" s="2" t="s">
        <v>1229</v>
      </c>
      <c r="F1700" s="14" t="s">
        <v>3493</v>
      </c>
      <c r="G1700" s="14" t="s">
        <v>3494</v>
      </c>
      <c r="H1700" s="2" t="s">
        <v>16</v>
      </c>
      <c r="I1700" s="2" t="s">
        <v>3488</v>
      </c>
      <c r="J1700" s="2">
        <v>2.0</v>
      </c>
      <c r="K1700" s="19"/>
      <c r="L1700" s="11">
        <v>210000.0</v>
      </c>
    </row>
    <row r="1701" hidden="1">
      <c r="A1701" s="8" t="s">
        <v>1437</v>
      </c>
      <c r="B1701" s="8" t="s">
        <v>1437</v>
      </c>
      <c r="C1701" s="13">
        <v>45908.34265046296</v>
      </c>
      <c r="D1701" s="2" t="s">
        <v>326</v>
      </c>
      <c r="E1701" s="2" t="s">
        <v>327</v>
      </c>
      <c r="F1701" s="14" t="s">
        <v>3486</v>
      </c>
      <c r="G1701" s="14" t="s">
        <v>3487</v>
      </c>
      <c r="H1701" s="2" t="s">
        <v>16</v>
      </c>
      <c r="I1701" s="2" t="s">
        <v>3488</v>
      </c>
      <c r="J1701" s="2">
        <v>10.0</v>
      </c>
      <c r="K1701" s="23" t="s">
        <v>4752</v>
      </c>
      <c r="L1701" s="11">
        <v>45000.0</v>
      </c>
    </row>
    <row r="1702" hidden="1">
      <c r="A1702" s="8" t="s">
        <v>1438</v>
      </c>
      <c r="B1702" s="8" t="s">
        <v>1438</v>
      </c>
      <c r="C1702" s="13">
        <v>45908.34410879629</v>
      </c>
      <c r="D1702" s="2" t="s">
        <v>943</v>
      </c>
      <c r="E1702" s="2" t="s">
        <v>944</v>
      </c>
      <c r="F1702" s="14" t="s">
        <v>3506</v>
      </c>
      <c r="G1702" s="14" t="s">
        <v>3507</v>
      </c>
      <c r="H1702" s="2" t="s">
        <v>16</v>
      </c>
      <c r="I1702" s="2" t="s">
        <v>3488</v>
      </c>
      <c r="J1702" s="2">
        <v>3.0</v>
      </c>
      <c r="K1702" s="23" t="s">
        <v>4704</v>
      </c>
      <c r="L1702" s="11">
        <v>50000.0</v>
      </c>
    </row>
    <row r="1703" hidden="1">
      <c r="A1703" s="8" t="s">
        <v>1439</v>
      </c>
      <c r="B1703" s="8" t="s">
        <v>1439</v>
      </c>
      <c r="C1703" s="13">
        <v>45908.34452546296</v>
      </c>
      <c r="D1703" s="2" t="s">
        <v>1144</v>
      </c>
      <c r="E1703" s="2" t="s">
        <v>1145</v>
      </c>
      <c r="F1703" s="14" t="s">
        <v>3506</v>
      </c>
      <c r="G1703" s="14" t="s">
        <v>3507</v>
      </c>
      <c r="H1703" s="2" t="s">
        <v>16</v>
      </c>
      <c r="I1703" s="2" t="s">
        <v>3488</v>
      </c>
      <c r="J1703" s="2">
        <v>2.0</v>
      </c>
      <c r="K1703" s="23" t="s">
        <v>4748</v>
      </c>
      <c r="L1703" s="11">
        <v>70000.0</v>
      </c>
    </row>
    <row r="1704" hidden="1">
      <c r="A1704" s="8" t="s">
        <v>1441</v>
      </c>
      <c r="B1704" s="8" t="s">
        <v>1441</v>
      </c>
      <c r="C1704" s="13">
        <v>45908.37688657407</v>
      </c>
      <c r="D1704" s="2" t="s">
        <v>1084</v>
      </c>
      <c r="E1704" s="2" t="s">
        <v>1085</v>
      </c>
      <c r="F1704" s="14" t="s">
        <v>3516</v>
      </c>
      <c r="G1704" s="14" t="s">
        <v>3517</v>
      </c>
      <c r="H1704" s="2" t="s">
        <v>16</v>
      </c>
      <c r="I1704" s="2" t="s">
        <v>3488</v>
      </c>
      <c r="J1704" s="2">
        <v>5.0</v>
      </c>
      <c r="K1704" s="23" t="s">
        <v>4753</v>
      </c>
      <c r="L1704" s="11">
        <v>210000.0</v>
      </c>
    </row>
    <row r="1705" hidden="1">
      <c r="A1705" s="8" t="s">
        <v>1442</v>
      </c>
      <c r="B1705" s="8" t="s">
        <v>1442</v>
      </c>
      <c r="C1705" s="13">
        <v>45908.451516203706</v>
      </c>
      <c r="D1705" s="2" t="s">
        <v>1084</v>
      </c>
      <c r="E1705" s="2" t="s">
        <v>1085</v>
      </c>
      <c r="F1705" s="14" t="s">
        <v>3486</v>
      </c>
      <c r="G1705" s="14" t="s">
        <v>3487</v>
      </c>
      <c r="H1705" s="2" t="s">
        <v>24</v>
      </c>
      <c r="I1705" s="2" t="s">
        <v>3491</v>
      </c>
      <c r="J1705" s="2">
        <v>4.0</v>
      </c>
      <c r="K1705" s="23" t="s">
        <v>4754</v>
      </c>
      <c r="L1705" s="11">
        <v>0.0</v>
      </c>
    </row>
    <row r="1706" hidden="1">
      <c r="A1706" s="8" t="s">
        <v>1442</v>
      </c>
      <c r="B1706" s="8" t="s">
        <v>1442</v>
      </c>
      <c r="C1706" s="13">
        <v>45908.451516203706</v>
      </c>
      <c r="D1706" s="2" t="s">
        <v>1084</v>
      </c>
      <c r="E1706" s="2" t="s">
        <v>1085</v>
      </c>
      <c r="F1706" s="14" t="s">
        <v>3516</v>
      </c>
      <c r="G1706" s="14" t="s">
        <v>3517</v>
      </c>
      <c r="H1706" s="2" t="s">
        <v>24</v>
      </c>
      <c r="I1706" s="2" t="s">
        <v>3491</v>
      </c>
      <c r="J1706" s="2">
        <v>1.0</v>
      </c>
      <c r="K1706" s="23" t="s">
        <v>4755</v>
      </c>
      <c r="L1706" s="11">
        <v>0.0</v>
      </c>
    </row>
    <row r="1707" hidden="1">
      <c r="A1707" s="8" t="s">
        <v>1442</v>
      </c>
      <c r="B1707" s="8" t="s">
        <v>1442</v>
      </c>
      <c r="C1707" s="13">
        <v>45908.451516203706</v>
      </c>
      <c r="D1707" s="2" t="s">
        <v>1084</v>
      </c>
      <c r="E1707" s="2" t="s">
        <v>1085</v>
      </c>
      <c r="F1707" s="14" t="s">
        <v>4203</v>
      </c>
      <c r="G1707" s="14" t="s">
        <v>4204</v>
      </c>
      <c r="H1707" s="2" t="s">
        <v>24</v>
      </c>
      <c r="I1707" s="2" t="s">
        <v>3491</v>
      </c>
      <c r="J1707" s="2">
        <v>1.0</v>
      </c>
      <c r="K1707" s="23" t="s">
        <v>4756</v>
      </c>
      <c r="L1707" s="11">
        <v>0.0</v>
      </c>
    </row>
    <row r="1708" hidden="1">
      <c r="A1708" s="8" t="s">
        <v>1443</v>
      </c>
      <c r="B1708" s="8" t="s">
        <v>1443</v>
      </c>
      <c r="C1708" s="13">
        <v>45908.45606481482</v>
      </c>
      <c r="D1708" s="2" t="s">
        <v>951</v>
      </c>
      <c r="E1708" s="2" t="s">
        <v>952</v>
      </c>
      <c r="F1708" s="14" t="s">
        <v>3486</v>
      </c>
      <c r="G1708" s="14" t="s">
        <v>3487</v>
      </c>
      <c r="H1708" s="2" t="s">
        <v>16</v>
      </c>
      <c r="I1708" s="2" t="s">
        <v>3488</v>
      </c>
      <c r="J1708" s="2">
        <v>4.0</v>
      </c>
      <c r="K1708" s="23" t="s">
        <v>4757</v>
      </c>
      <c r="L1708" s="11">
        <v>55000.0</v>
      </c>
    </row>
    <row r="1709" hidden="1">
      <c r="A1709" s="8" t="s">
        <v>1444</v>
      </c>
      <c r="B1709" s="8" t="s">
        <v>1444</v>
      </c>
      <c r="C1709" s="13">
        <v>45908.49046296296</v>
      </c>
      <c r="D1709" s="2" t="s">
        <v>951</v>
      </c>
      <c r="E1709" s="2" t="s">
        <v>952</v>
      </c>
      <c r="F1709" s="14" t="s">
        <v>3486</v>
      </c>
      <c r="G1709" s="14" t="s">
        <v>3487</v>
      </c>
      <c r="H1709" s="2" t="s">
        <v>24</v>
      </c>
      <c r="I1709" s="2" t="s">
        <v>3491</v>
      </c>
      <c r="J1709" s="2">
        <v>4.0</v>
      </c>
      <c r="K1709" s="23" t="s">
        <v>4758</v>
      </c>
      <c r="L1709" s="11">
        <v>0.0</v>
      </c>
    </row>
    <row r="1710" hidden="1">
      <c r="A1710" s="8" t="s">
        <v>1445</v>
      </c>
      <c r="B1710" s="8" t="s">
        <v>1445</v>
      </c>
      <c r="C1710" s="13">
        <v>45908.5221875</v>
      </c>
      <c r="D1710" s="2" t="s">
        <v>213</v>
      </c>
      <c r="E1710" s="2" t="s">
        <v>214</v>
      </c>
      <c r="F1710" s="14" t="s">
        <v>3486</v>
      </c>
      <c r="G1710" s="14" t="s">
        <v>3487</v>
      </c>
      <c r="H1710" s="2" t="s">
        <v>24</v>
      </c>
      <c r="I1710" s="2" t="s">
        <v>3491</v>
      </c>
      <c r="J1710" s="2">
        <v>5.0</v>
      </c>
      <c r="K1710" s="23" t="s">
        <v>4759</v>
      </c>
      <c r="L1710" s="11">
        <v>0.0</v>
      </c>
    </row>
    <row r="1711" hidden="1">
      <c r="A1711" s="8" t="s">
        <v>1445</v>
      </c>
      <c r="B1711" s="8" t="s">
        <v>1445</v>
      </c>
      <c r="C1711" s="13">
        <v>45908.5221875</v>
      </c>
      <c r="D1711" s="2" t="s">
        <v>213</v>
      </c>
      <c r="E1711" s="2" t="s">
        <v>214</v>
      </c>
      <c r="F1711" s="14" t="s">
        <v>3486</v>
      </c>
      <c r="G1711" s="14" t="s">
        <v>3487</v>
      </c>
      <c r="H1711" s="2" t="s">
        <v>24</v>
      </c>
      <c r="I1711" s="2" t="s">
        <v>3614</v>
      </c>
      <c r="J1711" s="2">
        <v>1.0</v>
      </c>
      <c r="K1711" s="23" t="s">
        <v>4228</v>
      </c>
      <c r="L1711" s="11">
        <v>0.0</v>
      </c>
    </row>
    <row r="1712" hidden="1">
      <c r="A1712" s="8" t="s">
        <v>1446</v>
      </c>
      <c r="B1712" s="8" t="s">
        <v>1446</v>
      </c>
      <c r="C1712" s="13">
        <v>45908.52940972222</v>
      </c>
      <c r="D1712" s="2" t="s">
        <v>1228</v>
      </c>
      <c r="E1712" s="2" t="s">
        <v>1229</v>
      </c>
      <c r="F1712" s="14" t="s">
        <v>3493</v>
      </c>
      <c r="G1712" s="14" t="s">
        <v>3494</v>
      </c>
      <c r="H1712" s="2" t="s">
        <v>24</v>
      </c>
      <c r="I1712" s="2" t="s">
        <v>3491</v>
      </c>
      <c r="J1712" s="2">
        <v>2.0</v>
      </c>
      <c r="K1712" s="23" t="s">
        <v>4670</v>
      </c>
      <c r="L1712" s="11">
        <v>0.0</v>
      </c>
    </row>
    <row r="1713" hidden="1">
      <c r="A1713" s="8" t="s">
        <v>1446</v>
      </c>
      <c r="B1713" s="8" t="s">
        <v>1446</v>
      </c>
      <c r="C1713" s="13">
        <v>45908.52940972222</v>
      </c>
      <c r="D1713" s="2" t="s">
        <v>1228</v>
      </c>
      <c r="E1713" s="2" t="s">
        <v>1229</v>
      </c>
      <c r="F1713" s="14" t="s">
        <v>3486</v>
      </c>
      <c r="G1713" s="14" t="s">
        <v>3487</v>
      </c>
      <c r="H1713" s="2" t="s">
        <v>24</v>
      </c>
      <c r="I1713" s="2" t="s">
        <v>3491</v>
      </c>
      <c r="J1713" s="2">
        <v>5.0</v>
      </c>
      <c r="K1713" s="23" t="s">
        <v>4760</v>
      </c>
      <c r="L1713" s="11">
        <v>0.0</v>
      </c>
    </row>
    <row r="1714" hidden="1">
      <c r="A1714" s="8" t="s">
        <v>1447</v>
      </c>
      <c r="B1714" s="8" t="s">
        <v>1447</v>
      </c>
      <c r="C1714" s="13">
        <v>45909.40738425926</v>
      </c>
      <c r="D1714" s="2" t="s">
        <v>1084</v>
      </c>
      <c r="E1714" s="2" t="s">
        <v>1085</v>
      </c>
      <c r="F1714" s="14" t="s">
        <v>4203</v>
      </c>
      <c r="G1714" s="14" t="s">
        <v>4204</v>
      </c>
      <c r="H1714" s="2" t="s">
        <v>16</v>
      </c>
      <c r="I1714" s="2" t="s">
        <v>3488</v>
      </c>
      <c r="J1714" s="2">
        <v>10.0</v>
      </c>
      <c r="K1714" s="23" t="s">
        <v>4761</v>
      </c>
      <c r="L1714" s="11">
        <v>70000.0</v>
      </c>
    </row>
    <row r="1715">
      <c r="A1715" s="8" t="s">
        <v>1448</v>
      </c>
      <c r="B1715" s="8" t="s">
        <v>1448</v>
      </c>
      <c r="C1715" s="13">
        <v>45909.41106481481</v>
      </c>
      <c r="D1715" s="2" t="s">
        <v>45</v>
      </c>
      <c r="E1715" s="2" t="s">
        <v>46</v>
      </c>
      <c r="F1715" s="14" t="s">
        <v>3522</v>
      </c>
      <c r="G1715" s="14" t="s">
        <v>3523</v>
      </c>
      <c r="H1715" s="2" t="s">
        <v>16</v>
      </c>
      <c r="I1715" s="2" t="s">
        <v>3488</v>
      </c>
      <c r="J1715" s="2">
        <v>6.0</v>
      </c>
      <c r="K1715" s="23" t="s">
        <v>4762</v>
      </c>
      <c r="L1715" s="11">
        <v>185000.0</v>
      </c>
    </row>
    <row r="1716">
      <c r="A1716" s="8" t="s">
        <v>1448</v>
      </c>
      <c r="B1716" s="8" t="s">
        <v>1448</v>
      </c>
      <c r="C1716" s="13">
        <v>45909.41106481481</v>
      </c>
      <c r="D1716" s="2" t="s">
        <v>45</v>
      </c>
      <c r="E1716" s="2" t="s">
        <v>46</v>
      </c>
      <c r="F1716" s="14" t="s">
        <v>3493</v>
      </c>
      <c r="G1716" s="14" t="s">
        <v>3494</v>
      </c>
      <c r="H1716" s="2" t="s">
        <v>16</v>
      </c>
      <c r="I1716" s="2" t="s">
        <v>3488</v>
      </c>
      <c r="J1716" s="2">
        <v>5.0</v>
      </c>
      <c r="K1716" s="23" t="s">
        <v>4734</v>
      </c>
      <c r="L1716" s="11">
        <v>210000.0</v>
      </c>
    </row>
    <row r="1717">
      <c r="A1717" s="8" t="s">
        <v>1449</v>
      </c>
      <c r="B1717" s="8" t="s">
        <v>1449</v>
      </c>
      <c r="C1717" s="13">
        <v>45909.67020833334</v>
      </c>
      <c r="D1717" s="2" t="s">
        <v>45</v>
      </c>
      <c r="E1717" s="2" t="s">
        <v>46</v>
      </c>
      <c r="F1717" s="14" t="s">
        <v>3522</v>
      </c>
      <c r="G1717" s="14" t="s">
        <v>3523</v>
      </c>
      <c r="H1717" s="2" t="s">
        <v>24</v>
      </c>
      <c r="I1717" s="2" t="s">
        <v>3491</v>
      </c>
      <c r="J1717" s="2">
        <v>14.0</v>
      </c>
      <c r="K1717" s="23" t="s">
        <v>4763</v>
      </c>
      <c r="L1717" s="11">
        <v>0.0</v>
      </c>
    </row>
    <row r="1718">
      <c r="A1718" s="8" t="s">
        <v>1449</v>
      </c>
      <c r="B1718" s="8" t="s">
        <v>1449</v>
      </c>
      <c r="C1718" s="13">
        <v>45909.67020833334</v>
      </c>
      <c r="D1718" s="2" t="s">
        <v>45</v>
      </c>
      <c r="E1718" s="2" t="s">
        <v>46</v>
      </c>
      <c r="F1718" s="14" t="s">
        <v>3486</v>
      </c>
      <c r="G1718" s="14" t="s">
        <v>3487</v>
      </c>
      <c r="H1718" s="2" t="s">
        <v>24</v>
      </c>
      <c r="I1718" s="2" t="s">
        <v>3491</v>
      </c>
      <c r="J1718" s="2">
        <v>11.0</v>
      </c>
      <c r="K1718" s="23" t="s">
        <v>4764</v>
      </c>
      <c r="L1718" s="11">
        <v>0.0</v>
      </c>
    </row>
    <row r="1719" hidden="1">
      <c r="A1719" s="8" t="s">
        <v>1450</v>
      </c>
      <c r="B1719" s="8" t="s">
        <v>1450</v>
      </c>
      <c r="C1719" s="13">
        <v>45910.37024305556</v>
      </c>
      <c r="D1719" s="2" t="s">
        <v>13</v>
      </c>
      <c r="E1719" s="2" t="s">
        <v>14</v>
      </c>
      <c r="F1719" s="14" t="s">
        <v>3486</v>
      </c>
      <c r="G1719" s="14" t="s">
        <v>3487</v>
      </c>
      <c r="H1719" s="2" t="s">
        <v>16</v>
      </c>
      <c r="I1719" s="2" t="s">
        <v>3488</v>
      </c>
      <c r="J1719" s="2">
        <v>15.0</v>
      </c>
      <c r="K1719" s="23" t="s">
        <v>4765</v>
      </c>
      <c r="L1719" s="11">
        <v>65000.0</v>
      </c>
    </row>
    <row r="1720">
      <c r="A1720" s="8" t="s">
        <v>1451</v>
      </c>
      <c r="B1720" s="8" t="s">
        <v>1451</v>
      </c>
      <c r="C1720" s="13">
        <v>45910.46359953703</v>
      </c>
      <c r="D1720" s="2" t="s">
        <v>45</v>
      </c>
      <c r="E1720" s="2" t="s">
        <v>46</v>
      </c>
      <c r="F1720" s="14" t="s">
        <v>3486</v>
      </c>
      <c r="G1720" s="14" t="s">
        <v>3487</v>
      </c>
      <c r="H1720" s="2" t="s">
        <v>24</v>
      </c>
      <c r="I1720" s="2" t="s">
        <v>3491</v>
      </c>
      <c r="J1720" s="2">
        <v>12.0</v>
      </c>
      <c r="K1720" s="23" t="s">
        <v>4766</v>
      </c>
      <c r="L1720" s="11">
        <v>0.0</v>
      </c>
    </row>
    <row r="1721" hidden="1">
      <c r="A1721" s="8" t="s">
        <v>1452</v>
      </c>
      <c r="B1721" s="8" t="s">
        <v>1452</v>
      </c>
      <c r="C1721" s="13">
        <v>45911.33715277778</v>
      </c>
      <c r="D1721" s="2" t="s">
        <v>213</v>
      </c>
      <c r="E1721" s="2" t="s">
        <v>214</v>
      </c>
      <c r="F1721" s="14" t="s">
        <v>3486</v>
      </c>
      <c r="G1721" s="14" t="s">
        <v>3487</v>
      </c>
      <c r="H1721" s="2" t="s">
        <v>16</v>
      </c>
      <c r="I1721" s="2" t="s">
        <v>3488</v>
      </c>
      <c r="J1721" s="2">
        <v>15.0</v>
      </c>
      <c r="K1721" s="23" t="s">
        <v>4767</v>
      </c>
      <c r="L1721" s="11">
        <v>60000.0</v>
      </c>
    </row>
    <row r="1722" hidden="1">
      <c r="A1722" s="1"/>
      <c r="B1722" s="1"/>
      <c r="C1722" s="13"/>
      <c r="D1722" s="2"/>
      <c r="E1722" s="2"/>
      <c r="F1722" s="14"/>
      <c r="G1722" s="14"/>
      <c r="H1722" s="2"/>
      <c r="I1722" s="2"/>
      <c r="J1722" s="2"/>
      <c r="K1722" s="12"/>
      <c r="L1722" s="11"/>
    </row>
    <row r="1723" hidden="1">
      <c r="A1723" s="8" t="s">
        <v>1454</v>
      </c>
      <c r="B1723" s="8" t="s">
        <v>1454</v>
      </c>
      <c r="C1723" s="13">
        <v>45911.3593287037</v>
      </c>
      <c r="D1723" s="2" t="s">
        <v>109</v>
      </c>
      <c r="E1723" s="2" t="s">
        <v>110</v>
      </c>
      <c r="F1723" s="14" t="s">
        <v>3522</v>
      </c>
      <c r="G1723" s="14" t="s">
        <v>3523</v>
      </c>
      <c r="H1723" s="2" t="s">
        <v>16</v>
      </c>
      <c r="I1723" s="2" t="s">
        <v>3488</v>
      </c>
      <c r="J1723" s="2">
        <v>3.0</v>
      </c>
      <c r="K1723" s="23" t="s">
        <v>4768</v>
      </c>
      <c r="L1723" s="11">
        <v>190000.0</v>
      </c>
    </row>
    <row r="1724" hidden="1">
      <c r="A1724" s="1"/>
      <c r="B1724" s="1"/>
      <c r="C1724" s="13"/>
      <c r="D1724" s="2"/>
      <c r="E1724" s="2"/>
      <c r="F1724" s="14"/>
      <c r="G1724" s="14"/>
      <c r="H1724" s="2"/>
      <c r="I1724" s="2"/>
      <c r="J1724" s="2"/>
      <c r="K1724" s="12"/>
      <c r="L1724" s="11"/>
    </row>
    <row r="1725" hidden="1">
      <c r="A1725" s="8" t="s">
        <v>1455</v>
      </c>
      <c r="B1725" s="8" t="s">
        <v>1455</v>
      </c>
      <c r="C1725" s="13">
        <v>45911.3612037037</v>
      </c>
      <c r="D1725" s="2" t="s">
        <v>169</v>
      </c>
      <c r="E1725" s="2" t="s">
        <v>170</v>
      </c>
      <c r="F1725" s="14" t="s">
        <v>3522</v>
      </c>
      <c r="G1725" s="14" t="s">
        <v>3523</v>
      </c>
      <c r="H1725" s="2" t="s">
        <v>16</v>
      </c>
      <c r="I1725" s="2" t="s">
        <v>3488</v>
      </c>
      <c r="J1725" s="2">
        <v>5.0</v>
      </c>
      <c r="K1725" s="23" t="s">
        <v>4769</v>
      </c>
      <c r="L1725" s="11">
        <v>195000.0</v>
      </c>
    </row>
    <row r="1726" hidden="1">
      <c r="A1726" s="8" t="s">
        <v>1456</v>
      </c>
      <c r="B1726" s="8" t="s">
        <v>1456</v>
      </c>
      <c r="C1726" s="13">
        <v>45911.40394675926</v>
      </c>
      <c r="D1726" s="2" t="s">
        <v>13</v>
      </c>
      <c r="E1726" s="2" t="s">
        <v>14</v>
      </c>
      <c r="F1726" s="14" t="s">
        <v>3486</v>
      </c>
      <c r="G1726" s="14" t="s">
        <v>3487</v>
      </c>
      <c r="H1726" s="2" t="s">
        <v>24</v>
      </c>
      <c r="I1726" s="2" t="s">
        <v>3491</v>
      </c>
      <c r="J1726" s="2">
        <v>11.0</v>
      </c>
      <c r="K1726" s="23" t="s">
        <v>4770</v>
      </c>
      <c r="L1726" s="11">
        <v>0.0</v>
      </c>
    </row>
    <row r="1727" hidden="1">
      <c r="A1727" s="8" t="s">
        <v>1456</v>
      </c>
      <c r="B1727" s="8" t="s">
        <v>1456</v>
      </c>
      <c r="C1727" s="13">
        <v>45911.40394675926</v>
      </c>
      <c r="D1727" s="2" t="s">
        <v>13</v>
      </c>
      <c r="E1727" s="2" t="s">
        <v>14</v>
      </c>
      <c r="F1727" s="14" t="s">
        <v>3486</v>
      </c>
      <c r="G1727" s="14" t="s">
        <v>3487</v>
      </c>
      <c r="H1727" s="2" t="s">
        <v>24</v>
      </c>
      <c r="I1727" s="2" t="s">
        <v>3614</v>
      </c>
      <c r="J1727" s="2">
        <v>4.0</v>
      </c>
      <c r="K1727" s="23" t="s">
        <v>4771</v>
      </c>
      <c r="L1727" s="11">
        <v>0.0</v>
      </c>
    </row>
    <row r="1728" hidden="1">
      <c r="A1728" s="8" t="s">
        <v>1454</v>
      </c>
      <c r="B1728" s="8" t="s">
        <v>1454</v>
      </c>
      <c r="C1728" s="13">
        <v>45911.3593287037</v>
      </c>
      <c r="D1728" s="2" t="s">
        <v>109</v>
      </c>
      <c r="E1728" s="2" t="s">
        <v>110</v>
      </c>
      <c r="F1728" s="14" t="s">
        <v>3486</v>
      </c>
      <c r="G1728" s="14" t="s">
        <v>3487</v>
      </c>
      <c r="H1728" s="2" t="s">
        <v>16</v>
      </c>
      <c r="I1728" s="2" t="s">
        <v>3488</v>
      </c>
      <c r="J1728" s="2">
        <v>4.0</v>
      </c>
      <c r="K1728" s="23" t="s">
        <v>4772</v>
      </c>
      <c r="L1728" s="11">
        <v>60000.0</v>
      </c>
    </row>
    <row r="1729" hidden="1">
      <c r="A1729" s="8" t="s">
        <v>1455</v>
      </c>
      <c r="B1729" s="8" t="s">
        <v>1455</v>
      </c>
      <c r="C1729" s="13">
        <v>45911.3612037037</v>
      </c>
      <c r="D1729" s="2" t="s">
        <v>169</v>
      </c>
      <c r="E1729" s="2" t="s">
        <v>170</v>
      </c>
      <c r="F1729" s="14" t="s">
        <v>3493</v>
      </c>
      <c r="G1729" s="14" t="s">
        <v>3494</v>
      </c>
      <c r="H1729" s="2" t="s">
        <v>16</v>
      </c>
      <c r="I1729" s="2" t="s">
        <v>3488</v>
      </c>
      <c r="J1729" s="2">
        <v>1.0</v>
      </c>
      <c r="K1729" s="23" t="s">
        <v>4688</v>
      </c>
      <c r="L1729" s="11">
        <v>215000.0</v>
      </c>
    </row>
    <row r="1730" hidden="1">
      <c r="A1730" s="8" t="s">
        <v>1457</v>
      </c>
      <c r="B1730" s="8" t="s">
        <v>1457</v>
      </c>
      <c r="C1730" s="13">
        <v>45911.489849537036</v>
      </c>
      <c r="D1730" s="2" t="s">
        <v>213</v>
      </c>
      <c r="E1730" s="2" t="s">
        <v>214</v>
      </c>
      <c r="F1730" s="14" t="s">
        <v>3486</v>
      </c>
      <c r="G1730" s="14" t="s">
        <v>3487</v>
      </c>
      <c r="H1730" s="2" t="s">
        <v>24</v>
      </c>
      <c r="I1730" s="2" t="s">
        <v>3491</v>
      </c>
      <c r="J1730" s="2">
        <v>6.0</v>
      </c>
      <c r="K1730" s="23" t="s">
        <v>4773</v>
      </c>
      <c r="L1730" s="11">
        <v>0.0</v>
      </c>
    </row>
    <row r="1731" hidden="1">
      <c r="A1731" s="8" t="s">
        <v>1458</v>
      </c>
      <c r="B1731" s="8" t="s">
        <v>1458</v>
      </c>
      <c r="C1731" s="13">
        <v>45911.49130787037</v>
      </c>
      <c r="D1731" s="2" t="s">
        <v>169</v>
      </c>
      <c r="E1731" s="2" t="s">
        <v>170</v>
      </c>
      <c r="F1731" s="14" t="s">
        <v>3486</v>
      </c>
      <c r="G1731" s="14" t="s">
        <v>3487</v>
      </c>
      <c r="H1731" s="2" t="s">
        <v>24</v>
      </c>
      <c r="I1731" s="2" t="s">
        <v>3491</v>
      </c>
      <c r="J1731" s="2">
        <v>1.0</v>
      </c>
      <c r="K1731" s="23" t="s">
        <v>4121</v>
      </c>
      <c r="L1731" s="11">
        <v>0.0</v>
      </c>
    </row>
    <row r="1732" hidden="1">
      <c r="A1732" s="8" t="s">
        <v>1459</v>
      </c>
      <c r="B1732" s="8" t="s">
        <v>1459</v>
      </c>
      <c r="C1732" s="13">
        <v>45911.49490740741</v>
      </c>
      <c r="D1732" s="2" t="s">
        <v>109</v>
      </c>
      <c r="E1732" s="2" t="s">
        <v>110</v>
      </c>
      <c r="F1732" s="14" t="s">
        <v>3486</v>
      </c>
      <c r="G1732" s="14" t="s">
        <v>3487</v>
      </c>
      <c r="H1732" s="2" t="s">
        <v>24</v>
      </c>
      <c r="I1732" s="2" t="s">
        <v>3491</v>
      </c>
      <c r="J1732" s="2">
        <v>1.0</v>
      </c>
      <c r="K1732" s="23" t="s">
        <v>4774</v>
      </c>
      <c r="L1732" s="11">
        <v>0.0</v>
      </c>
    </row>
    <row r="1733" hidden="1">
      <c r="A1733" s="8" t="s">
        <v>1459</v>
      </c>
      <c r="B1733" s="8" t="s">
        <v>1459</v>
      </c>
      <c r="C1733" s="13">
        <v>45911.49490740741</v>
      </c>
      <c r="D1733" s="2" t="s">
        <v>109</v>
      </c>
      <c r="E1733" s="2" t="s">
        <v>110</v>
      </c>
      <c r="F1733" s="14" t="s">
        <v>3516</v>
      </c>
      <c r="G1733" s="14" t="s">
        <v>3517</v>
      </c>
      <c r="H1733" s="2" t="s">
        <v>24</v>
      </c>
      <c r="I1733" s="2" t="s">
        <v>3491</v>
      </c>
      <c r="J1733" s="2">
        <v>1.0</v>
      </c>
      <c r="K1733" s="23" t="s">
        <v>4775</v>
      </c>
      <c r="L1733" s="11">
        <v>0.0</v>
      </c>
    </row>
    <row r="1734" hidden="1">
      <c r="A1734" s="8" t="s">
        <v>1459</v>
      </c>
      <c r="B1734" s="8" t="s">
        <v>1459</v>
      </c>
      <c r="C1734" s="13">
        <v>45911.49490740741</v>
      </c>
      <c r="D1734" s="2" t="s">
        <v>109</v>
      </c>
      <c r="E1734" s="2" t="s">
        <v>110</v>
      </c>
      <c r="F1734" s="14" t="s">
        <v>3522</v>
      </c>
      <c r="G1734" s="14" t="s">
        <v>3523</v>
      </c>
      <c r="H1734" s="2" t="s">
        <v>24</v>
      </c>
      <c r="I1734" s="2" t="s">
        <v>3491</v>
      </c>
      <c r="J1734" s="2">
        <v>4.0</v>
      </c>
      <c r="K1734" s="23" t="s">
        <v>4776</v>
      </c>
      <c r="L1734" s="11">
        <v>0.0</v>
      </c>
    </row>
    <row r="1735" hidden="1">
      <c r="A1735" s="8" t="s">
        <v>1460</v>
      </c>
      <c r="B1735" s="8" t="s">
        <v>1460</v>
      </c>
      <c r="C1735" s="13">
        <v>45911.653182870374</v>
      </c>
      <c r="D1735" s="2" t="s">
        <v>169</v>
      </c>
      <c r="E1735" s="2" t="s">
        <v>170</v>
      </c>
      <c r="F1735" s="14" t="s">
        <v>3486</v>
      </c>
      <c r="G1735" s="14" t="s">
        <v>3487</v>
      </c>
      <c r="H1735" s="2" t="s">
        <v>24</v>
      </c>
      <c r="I1735" s="2" t="s">
        <v>3491</v>
      </c>
      <c r="J1735" s="2">
        <v>2.0</v>
      </c>
      <c r="K1735" s="23" t="s">
        <v>4777</v>
      </c>
      <c r="L1735" s="11">
        <v>0.0</v>
      </c>
    </row>
    <row r="1736" hidden="1">
      <c r="A1736" s="8" t="s">
        <v>1460</v>
      </c>
      <c r="B1736" s="8" t="s">
        <v>1460</v>
      </c>
      <c r="C1736" s="13">
        <v>45911.653182870374</v>
      </c>
      <c r="D1736" s="2" t="s">
        <v>169</v>
      </c>
      <c r="E1736" s="2" t="s">
        <v>170</v>
      </c>
      <c r="F1736" s="14" t="s">
        <v>3522</v>
      </c>
      <c r="G1736" s="14" t="s">
        <v>3523</v>
      </c>
      <c r="H1736" s="2" t="s">
        <v>24</v>
      </c>
      <c r="I1736" s="2" t="s">
        <v>3491</v>
      </c>
      <c r="J1736" s="2">
        <v>5.0</v>
      </c>
      <c r="K1736" s="23" t="s">
        <v>4778</v>
      </c>
      <c r="L1736" s="11">
        <v>0.0</v>
      </c>
    </row>
    <row r="1737" hidden="1">
      <c r="A1737" s="8" t="s">
        <v>1461</v>
      </c>
      <c r="B1737" s="8" t="s">
        <v>1461</v>
      </c>
      <c r="C1737" s="13">
        <v>45911.668078703704</v>
      </c>
      <c r="D1737" s="2" t="s">
        <v>392</v>
      </c>
      <c r="E1737" s="2" t="s">
        <v>393</v>
      </c>
      <c r="F1737" s="14" t="s">
        <v>3506</v>
      </c>
      <c r="G1737" s="14" t="s">
        <v>3507</v>
      </c>
      <c r="H1737" s="2" t="s">
        <v>24</v>
      </c>
      <c r="I1737" s="2" t="s">
        <v>3491</v>
      </c>
      <c r="J1737" s="2">
        <v>6.0</v>
      </c>
      <c r="K1737" s="23" t="s">
        <v>4779</v>
      </c>
      <c r="L1737" s="11">
        <v>0.0</v>
      </c>
    </row>
    <row r="1738" hidden="1">
      <c r="A1738" s="8" t="s">
        <v>1462</v>
      </c>
      <c r="B1738" s="8" t="s">
        <v>1462</v>
      </c>
      <c r="C1738" s="13">
        <v>45912.3794212963</v>
      </c>
      <c r="D1738" s="2" t="s">
        <v>1228</v>
      </c>
      <c r="E1738" s="2" t="s">
        <v>1229</v>
      </c>
      <c r="F1738" s="14" t="s">
        <v>3486</v>
      </c>
      <c r="G1738" s="14" t="s">
        <v>3487</v>
      </c>
      <c r="H1738" s="2" t="s">
        <v>16</v>
      </c>
      <c r="I1738" s="2" t="s">
        <v>3488</v>
      </c>
      <c r="J1738" s="2">
        <v>6.0</v>
      </c>
      <c r="K1738" s="23" t="s">
        <v>4780</v>
      </c>
      <c r="L1738" s="11">
        <v>55000.0</v>
      </c>
    </row>
    <row r="1739" hidden="1">
      <c r="A1739" s="8" t="s">
        <v>1463</v>
      </c>
      <c r="B1739" s="8" t="s">
        <v>1463</v>
      </c>
      <c r="C1739" s="13">
        <v>45912.38028935185</v>
      </c>
      <c r="D1739" s="2" t="s">
        <v>326</v>
      </c>
      <c r="E1739" s="2" t="s">
        <v>327</v>
      </c>
      <c r="F1739" s="14" t="s">
        <v>3486</v>
      </c>
      <c r="G1739" s="14" t="s">
        <v>3487</v>
      </c>
      <c r="H1739" s="2" t="s">
        <v>16</v>
      </c>
      <c r="I1739" s="2" t="s">
        <v>3488</v>
      </c>
      <c r="J1739" s="2">
        <v>10.0</v>
      </c>
      <c r="K1739" s="23" t="s">
        <v>4781</v>
      </c>
      <c r="L1739" s="11">
        <v>45000.0</v>
      </c>
    </row>
    <row r="1740" hidden="1">
      <c r="A1740" s="8" t="s">
        <v>1462</v>
      </c>
      <c r="B1740" s="8" t="s">
        <v>1462</v>
      </c>
      <c r="C1740" s="13">
        <v>45912.3794212963</v>
      </c>
      <c r="D1740" s="2" t="s">
        <v>1228</v>
      </c>
      <c r="E1740" s="2" t="s">
        <v>1229</v>
      </c>
      <c r="F1740" s="14" t="s">
        <v>3493</v>
      </c>
      <c r="G1740" s="14" t="s">
        <v>3494</v>
      </c>
      <c r="H1740" s="2" t="s">
        <v>16</v>
      </c>
      <c r="I1740" s="2" t="s">
        <v>3488</v>
      </c>
      <c r="J1740" s="2">
        <v>2.0</v>
      </c>
      <c r="K1740" s="23" t="s">
        <v>4670</v>
      </c>
      <c r="L1740" s="11">
        <v>210000.0</v>
      </c>
    </row>
    <row r="1741" hidden="1">
      <c r="A1741" s="1"/>
      <c r="B1741" s="1"/>
      <c r="C1741" s="13"/>
      <c r="D1741" s="2"/>
      <c r="E1741" s="2"/>
      <c r="F1741" s="14"/>
      <c r="G1741" s="14"/>
      <c r="H1741" s="2"/>
      <c r="I1741" s="2"/>
      <c r="J1741" s="2"/>
      <c r="K1741" s="12"/>
      <c r="L1741" s="11"/>
    </row>
    <row r="1742" hidden="1">
      <c r="A1742" s="8" t="s">
        <v>1465</v>
      </c>
      <c r="B1742" s="8" t="s">
        <v>1465</v>
      </c>
      <c r="C1742" s="13">
        <v>45912.38248842592</v>
      </c>
      <c r="D1742" s="2" t="s">
        <v>904</v>
      </c>
      <c r="E1742" s="2" t="s">
        <v>905</v>
      </c>
      <c r="F1742" s="14" t="s">
        <v>3493</v>
      </c>
      <c r="G1742" s="14" t="s">
        <v>3494</v>
      </c>
      <c r="H1742" s="2" t="s">
        <v>16</v>
      </c>
      <c r="I1742" s="2" t="s">
        <v>3488</v>
      </c>
      <c r="J1742" s="2">
        <v>1.0</v>
      </c>
      <c r="K1742" s="19"/>
      <c r="L1742" s="11">
        <v>200000.0</v>
      </c>
    </row>
    <row r="1743" hidden="1">
      <c r="A1743" s="8" t="s">
        <v>1466</v>
      </c>
      <c r="B1743" s="8" t="s">
        <v>1466</v>
      </c>
      <c r="C1743" s="13">
        <v>45912.584085648145</v>
      </c>
      <c r="D1743" s="2" t="s">
        <v>885</v>
      </c>
      <c r="E1743" s="2" t="s">
        <v>886</v>
      </c>
      <c r="F1743" s="14" t="s">
        <v>3486</v>
      </c>
      <c r="G1743" s="14" t="s">
        <v>3487</v>
      </c>
      <c r="H1743" s="2" t="s">
        <v>24</v>
      </c>
      <c r="I1743" s="2" t="s">
        <v>3491</v>
      </c>
      <c r="J1743" s="2">
        <v>1.0</v>
      </c>
      <c r="K1743" s="23" t="s">
        <v>4528</v>
      </c>
      <c r="L1743" s="11">
        <v>0.0</v>
      </c>
    </row>
    <row r="1744" hidden="1">
      <c r="A1744" s="8" t="s">
        <v>1466</v>
      </c>
      <c r="B1744" s="8" t="s">
        <v>1466</v>
      </c>
      <c r="C1744" s="13">
        <v>45912.584085648145</v>
      </c>
      <c r="D1744" s="2" t="s">
        <v>885</v>
      </c>
      <c r="E1744" s="2" t="s">
        <v>886</v>
      </c>
      <c r="F1744" s="14" t="s">
        <v>3522</v>
      </c>
      <c r="G1744" s="14" t="s">
        <v>3523</v>
      </c>
      <c r="H1744" s="2" t="s">
        <v>24</v>
      </c>
      <c r="I1744" s="2" t="s">
        <v>3491</v>
      </c>
      <c r="J1744" s="2">
        <v>1.0</v>
      </c>
      <c r="K1744" s="23" t="s">
        <v>3854</v>
      </c>
      <c r="L1744" s="11">
        <v>0.0</v>
      </c>
    </row>
    <row r="1745" hidden="1">
      <c r="A1745" s="28"/>
      <c r="B1745" s="28"/>
      <c r="C1745" s="29"/>
      <c r="F1745" s="14" t="s">
        <v>3486</v>
      </c>
      <c r="G1745" s="14" t="s">
        <v>3487</v>
      </c>
      <c r="I1745" s="2" t="s">
        <v>3491</v>
      </c>
      <c r="J1745" s="2">
        <v>2.0</v>
      </c>
      <c r="K1745" s="23" t="s">
        <v>4782</v>
      </c>
      <c r="L1745" s="11">
        <v>0.0</v>
      </c>
    </row>
    <row r="1746" hidden="1">
      <c r="A1746" s="28"/>
      <c r="B1746" s="28"/>
      <c r="C1746" s="29"/>
      <c r="F1746" s="14" t="s">
        <v>3486</v>
      </c>
      <c r="G1746" s="14" t="s">
        <v>3487</v>
      </c>
      <c r="I1746" s="2" t="s">
        <v>3488</v>
      </c>
      <c r="J1746" s="2">
        <v>2.0</v>
      </c>
      <c r="K1746" s="23" t="s">
        <v>4783</v>
      </c>
      <c r="L1746" s="27"/>
    </row>
    <row r="1747" hidden="1">
      <c r="A1747" s="8" t="s">
        <v>1464</v>
      </c>
      <c r="B1747" s="8" t="s">
        <v>1464</v>
      </c>
      <c r="C1747" s="13">
        <v>45912.38164351852</v>
      </c>
      <c r="D1747" s="2" t="s">
        <v>885</v>
      </c>
      <c r="E1747" s="2" t="s">
        <v>886</v>
      </c>
      <c r="F1747" s="14" t="s">
        <v>3486</v>
      </c>
      <c r="G1747" s="14" t="s">
        <v>3487</v>
      </c>
      <c r="H1747" s="2" t="s">
        <v>16</v>
      </c>
      <c r="I1747" s="2" t="s">
        <v>3488</v>
      </c>
      <c r="J1747" s="2">
        <v>2.0</v>
      </c>
      <c r="K1747" s="23" t="s">
        <v>4782</v>
      </c>
      <c r="L1747" s="11">
        <v>70000.0</v>
      </c>
    </row>
    <row r="1748">
      <c r="A1748" s="8" t="s">
        <v>1453</v>
      </c>
      <c r="B1748" s="8" t="s">
        <v>1453</v>
      </c>
      <c r="C1748" s="13">
        <v>45911.33866898148</v>
      </c>
      <c r="D1748" s="2" t="s">
        <v>45</v>
      </c>
      <c r="E1748" s="2" t="s">
        <v>46</v>
      </c>
      <c r="F1748" s="14" t="s">
        <v>3522</v>
      </c>
      <c r="G1748" s="14" t="s">
        <v>3523</v>
      </c>
      <c r="H1748" s="2" t="s">
        <v>16</v>
      </c>
      <c r="I1748" s="2" t="s">
        <v>3488</v>
      </c>
      <c r="J1748" s="2">
        <v>5.0</v>
      </c>
      <c r="K1748" s="23" t="s">
        <v>4784</v>
      </c>
      <c r="L1748" s="11">
        <v>185000.0</v>
      </c>
    </row>
    <row r="1749" hidden="1">
      <c r="A1749" s="8" t="s">
        <v>1467</v>
      </c>
      <c r="B1749" s="8" t="s">
        <v>1467</v>
      </c>
      <c r="C1749" s="13">
        <v>45912.59519675926</v>
      </c>
      <c r="D1749" s="2" t="s">
        <v>326</v>
      </c>
      <c r="E1749" s="2" t="s">
        <v>327</v>
      </c>
      <c r="F1749" s="14" t="s">
        <v>3522</v>
      </c>
      <c r="G1749" s="14" t="s">
        <v>3523</v>
      </c>
      <c r="H1749" s="2" t="s">
        <v>24</v>
      </c>
      <c r="I1749" s="2" t="s">
        <v>3491</v>
      </c>
      <c r="J1749" s="2">
        <v>2.0</v>
      </c>
      <c r="K1749" s="23" t="s">
        <v>4785</v>
      </c>
      <c r="L1749" s="11">
        <v>0.0</v>
      </c>
    </row>
    <row r="1750" hidden="1">
      <c r="A1750" s="8" t="s">
        <v>1467</v>
      </c>
      <c r="B1750" s="8" t="s">
        <v>1467</v>
      </c>
      <c r="C1750" s="13">
        <v>45912.59519675926</v>
      </c>
      <c r="D1750" s="2" t="s">
        <v>326</v>
      </c>
      <c r="E1750" s="2" t="s">
        <v>327</v>
      </c>
      <c r="F1750" s="14" t="s">
        <v>3486</v>
      </c>
      <c r="G1750" s="14" t="s">
        <v>3487</v>
      </c>
      <c r="H1750" s="2" t="s">
        <v>24</v>
      </c>
      <c r="I1750" s="2" t="s">
        <v>3491</v>
      </c>
      <c r="J1750" s="2">
        <v>12.0</v>
      </c>
      <c r="K1750" s="23" t="s">
        <v>4786</v>
      </c>
      <c r="L1750" s="11">
        <v>0.0</v>
      </c>
    </row>
    <row r="1751" hidden="1">
      <c r="A1751" s="8" t="s">
        <v>1468</v>
      </c>
      <c r="B1751" s="8" t="s">
        <v>1468</v>
      </c>
      <c r="C1751" s="13">
        <v>45912.62982638889</v>
      </c>
      <c r="D1751" s="2" t="s">
        <v>392</v>
      </c>
      <c r="E1751" s="2" t="s">
        <v>393</v>
      </c>
      <c r="F1751" s="14" t="s">
        <v>3506</v>
      </c>
      <c r="G1751" s="14" t="s">
        <v>3507</v>
      </c>
      <c r="H1751" s="2" t="s">
        <v>16</v>
      </c>
      <c r="I1751" s="2" t="s">
        <v>3488</v>
      </c>
      <c r="J1751" s="2">
        <v>6.0</v>
      </c>
      <c r="K1751" s="19"/>
      <c r="L1751" s="11">
        <v>50000.0</v>
      </c>
    </row>
    <row r="1752">
      <c r="A1752" s="8" t="s">
        <v>1469</v>
      </c>
      <c r="B1752" s="8" t="s">
        <v>1469</v>
      </c>
      <c r="C1752" s="13">
        <v>45913.34074074074</v>
      </c>
      <c r="D1752" s="2" t="s">
        <v>45</v>
      </c>
      <c r="E1752" s="2" t="s">
        <v>46</v>
      </c>
      <c r="F1752" s="14" t="s">
        <v>3522</v>
      </c>
      <c r="G1752" s="14" t="s">
        <v>3523</v>
      </c>
      <c r="H1752" s="2" t="s">
        <v>16</v>
      </c>
      <c r="I1752" s="2" t="s">
        <v>3488</v>
      </c>
      <c r="J1752" s="2">
        <v>5.0</v>
      </c>
      <c r="K1752" s="23" t="s">
        <v>4787</v>
      </c>
      <c r="L1752" s="11">
        <v>185000.0</v>
      </c>
    </row>
    <row r="1753" hidden="1">
      <c r="A1753" s="8" t="s">
        <v>1470</v>
      </c>
      <c r="B1753" s="8" t="s">
        <v>1470</v>
      </c>
      <c r="C1753" s="13">
        <v>45913.35074074074</v>
      </c>
      <c r="D1753" s="2" t="s">
        <v>786</v>
      </c>
      <c r="E1753" s="2" t="s">
        <v>787</v>
      </c>
      <c r="F1753" s="14" t="s">
        <v>3486</v>
      </c>
      <c r="G1753" s="14" t="s">
        <v>3487</v>
      </c>
      <c r="H1753" s="2" t="s">
        <v>16</v>
      </c>
      <c r="I1753" s="2" t="s">
        <v>3488</v>
      </c>
      <c r="J1753" s="2">
        <v>5.0</v>
      </c>
      <c r="K1753" s="23" t="s">
        <v>4788</v>
      </c>
      <c r="L1753" s="11">
        <v>60000.0</v>
      </c>
    </row>
    <row r="1754" hidden="1">
      <c r="A1754" s="8" t="s">
        <v>1471</v>
      </c>
      <c r="B1754" s="8" t="s">
        <v>1471</v>
      </c>
      <c r="C1754" s="13">
        <v>45913.358298611114</v>
      </c>
      <c r="D1754" s="2" t="s">
        <v>885</v>
      </c>
      <c r="E1754" s="2" t="s">
        <v>886</v>
      </c>
      <c r="F1754" s="14" t="s">
        <v>3522</v>
      </c>
      <c r="G1754" s="14" t="s">
        <v>3523</v>
      </c>
      <c r="H1754" s="2" t="s">
        <v>16</v>
      </c>
      <c r="I1754" s="2" t="s">
        <v>3488</v>
      </c>
      <c r="J1754" s="2">
        <v>1.0</v>
      </c>
      <c r="K1754" s="23" t="s">
        <v>4388</v>
      </c>
      <c r="L1754" s="11">
        <v>195000.0</v>
      </c>
    </row>
    <row r="1755" hidden="1">
      <c r="A1755" s="1"/>
      <c r="B1755" s="1"/>
      <c r="C1755" s="13"/>
      <c r="D1755" s="2"/>
      <c r="E1755" s="2"/>
      <c r="F1755" s="14"/>
      <c r="G1755" s="14"/>
      <c r="H1755" s="2"/>
      <c r="I1755" s="2"/>
      <c r="J1755" s="2"/>
      <c r="K1755" s="19"/>
      <c r="L1755" s="11"/>
    </row>
    <row r="1756">
      <c r="A1756" s="8" t="s">
        <v>1472</v>
      </c>
      <c r="B1756" s="8" t="s">
        <v>1472</v>
      </c>
      <c r="C1756" s="13">
        <v>45913.48409722222</v>
      </c>
      <c r="D1756" s="2" t="s">
        <v>45</v>
      </c>
      <c r="E1756" s="2" t="s">
        <v>46</v>
      </c>
      <c r="F1756" s="14" t="s">
        <v>3493</v>
      </c>
      <c r="G1756" s="14" t="s">
        <v>3494</v>
      </c>
      <c r="H1756" s="2" t="s">
        <v>24</v>
      </c>
      <c r="I1756" s="2" t="s">
        <v>3491</v>
      </c>
      <c r="J1756" s="2">
        <v>1.0</v>
      </c>
      <c r="K1756" s="23" t="s">
        <v>4688</v>
      </c>
      <c r="L1756" s="11">
        <v>0.0</v>
      </c>
    </row>
    <row r="1757" hidden="1">
      <c r="A1757" s="8" t="s">
        <v>1473</v>
      </c>
      <c r="B1757" s="8" t="s">
        <v>1473</v>
      </c>
      <c r="C1757" s="13">
        <v>45913.48479166667</v>
      </c>
      <c r="D1757" s="2" t="s">
        <v>786</v>
      </c>
      <c r="E1757" s="2" t="s">
        <v>787</v>
      </c>
      <c r="F1757" s="14" t="s">
        <v>3486</v>
      </c>
      <c r="G1757" s="14" t="s">
        <v>3487</v>
      </c>
      <c r="H1757" s="2" t="s">
        <v>24</v>
      </c>
      <c r="I1757" s="2" t="s">
        <v>3491</v>
      </c>
      <c r="J1757" s="2">
        <v>5.0</v>
      </c>
      <c r="K1757" s="23" t="s">
        <v>4789</v>
      </c>
      <c r="L1757" s="11">
        <v>0.0</v>
      </c>
    </row>
    <row r="1758" hidden="1">
      <c r="A1758" s="8" t="s">
        <v>1474</v>
      </c>
      <c r="B1758" s="8" t="s">
        <v>1474</v>
      </c>
      <c r="C1758" s="13">
        <v>45913.48877314815</v>
      </c>
      <c r="D1758" s="2" t="s">
        <v>904</v>
      </c>
      <c r="E1758" s="2" t="s">
        <v>905</v>
      </c>
      <c r="F1758" s="14" t="s">
        <v>3493</v>
      </c>
      <c r="G1758" s="14" t="s">
        <v>3494</v>
      </c>
      <c r="H1758" s="2" t="s">
        <v>24</v>
      </c>
      <c r="I1758" s="2" t="s">
        <v>3491</v>
      </c>
      <c r="J1758" s="2">
        <v>1.0</v>
      </c>
      <c r="K1758" s="23" t="s">
        <v>4688</v>
      </c>
      <c r="L1758" s="11">
        <v>0.0</v>
      </c>
    </row>
    <row r="1759" hidden="1">
      <c r="A1759" s="8" t="s">
        <v>1475</v>
      </c>
      <c r="B1759" s="8" t="s">
        <v>1475</v>
      </c>
      <c r="C1759" s="13">
        <v>45913.49836805555</v>
      </c>
      <c r="D1759" s="2" t="s">
        <v>1476</v>
      </c>
      <c r="E1759" s="2" t="s">
        <v>1477</v>
      </c>
      <c r="F1759" s="14" t="s">
        <v>3493</v>
      </c>
      <c r="G1759" s="14" t="s">
        <v>3494</v>
      </c>
      <c r="H1759" s="2" t="s">
        <v>16</v>
      </c>
      <c r="I1759" s="2" t="s">
        <v>3488</v>
      </c>
      <c r="J1759" s="2">
        <v>1.0</v>
      </c>
      <c r="K1759" s="23" t="s">
        <v>4688</v>
      </c>
      <c r="L1759" s="11">
        <v>500000.0</v>
      </c>
    </row>
    <row r="1760" hidden="1">
      <c r="A1760" s="8" t="s">
        <v>1479</v>
      </c>
      <c r="B1760" s="8" t="s">
        <v>1479</v>
      </c>
      <c r="C1760" s="13">
        <v>45913.66913194444</v>
      </c>
      <c r="D1760" s="2" t="s">
        <v>951</v>
      </c>
      <c r="E1760" s="2" t="s">
        <v>952</v>
      </c>
      <c r="F1760" s="14" t="s">
        <v>3486</v>
      </c>
      <c r="G1760" s="14" t="s">
        <v>3487</v>
      </c>
      <c r="H1760" s="2" t="s">
        <v>16</v>
      </c>
      <c r="I1760" s="2" t="s">
        <v>3488</v>
      </c>
      <c r="J1760" s="2">
        <v>5.0</v>
      </c>
      <c r="K1760" s="23" t="s">
        <v>4790</v>
      </c>
      <c r="L1760" s="11">
        <v>55000.0</v>
      </c>
    </row>
    <row r="1761" hidden="1">
      <c r="A1761" s="8" t="s">
        <v>1480</v>
      </c>
      <c r="B1761" s="8" t="s">
        <v>1480</v>
      </c>
      <c r="C1761" s="13">
        <v>45915.34680555556</v>
      </c>
      <c r="D1761" s="2" t="s">
        <v>951</v>
      </c>
      <c r="E1761" s="2" t="s">
        <v>952</v>
      </c>
      <c r="F1761" s="14" t="s">
        <v>3486</v>
      </c>
      <c r="G1761" s="14" t="s">
        <v>3487</v>
      </c>
      <c r="H1761" s="2" t="s">
        <v>24</v>
      </c>
      <c r="I1761" s="2" t="s">
        <v>3491</v>
      </c>
      <c r="J1761" s="2">
        <v>5.0</v>
      </c>
      <c r="K1761" s="23" t="s">
        <v>4791</v>
      </c>
      <c r="L1761" s="11">
        <v>0.0</v>
      </c>
    </row>
    <row r="1762" hidden="1">
      <c r="A1762" s="8" t="s">
        <v>1481</v>
      </c>
      <c r="B1762" s="8" t="s">
        <v>1481</v>
      </c>
      <c r="C1762" s="13">
        <v>45915.36953703704</v>
      </c>
      <c r="D1762" s="2" t="s">
        <v>49</v>
      </c>
      <c r="E1762" s="2" t="s">
        <v>50</v>
      </c>
      <c r="F1762" s="14" t="s">
        <v>3486</v>
      </c>
      <c r="G1762" s="14" t="s">
        <v>3487</v>
      </c>
      <c r="H1762" s="2" t="s">
        <v>16</v>
      </c>
      <c r="I1762" s="2" t="s">
        <v>3488</v>
      </c>
      <c r="J1762" s="2">
        <v>5.0</v>
      </c>
      <c r="K1762" s="23" t="s">
        <v>4792</v>
      </c>
      <c r="L1762" s="11">
        <v>60000.0</v>
      </c>
    </row>
    <row r="1763" hidden="1">
      <c r="A1763" s="8" t="s">
        <v>1482</v>
      </c>
      <c r="B1763" s="8" t="s">
        <v>1482</v>
      </c>
      <c r="C1763" s="13">
        <v>45915.40625</v>
      </c>
      <c r="D1763" s="2" t="s">
        <v>49</v>
      </c>
      <c r="E1763" s="2" t="s">
        <v>50</v>
      </c>
      <c r="F1763" s="14" t="s">
        <v>3486</v>
      </c>
      <c r="G1763" s="14" t="s">
        <v>3487</v>
      </c>
      <c r="H1763" s="2" t="s">
        <v>24</v>
      </c>
      <c r="I1763" s="2" t="s">
        <v>3491</v>
      </c>
      <c r="J1763" s="2">
        <v>1.0</v>
      </c>
      <c r="K1763" s="23" t="s">
        <v>4793</v>
      </c>
      <c r="L1763" s="11">
        <v>0.0</v>
      </c>
    </row>
    <row r="1764">
      <c r="A1764" s="8" t="s">
        <v>1483</v>
      </c>
      <c r="B1764" s="8" t="s">
        <v>1483</v>
      </c>
      <c r="C1764" s="13">
        <v>45915.56512731482</v>
      </c>
      <c r="D1764" s="2" t="s">
        <v>45</v>
      </c>
      <c r="E1764" s="2" t="s">
        <v>46</v>
      </c>
      <c r="F1764" s="14" t="s">
        <v>3522</v>
      </c>
      <c r="G1764" s="14" t="s">
        <v>3523</v>
      </c>
      <c r="H1764" s="2" t="s">
        <v>16</v>
      </c>
      <c r="I1764" s="2" t="s">
        <v>3488</v>
      </c>
      <c r="J1764" s="2">
        <v>8.0</v>
      </c>
      <c r="K1764" s="23" t="s">
        <v>4794</v>
      </c>
      <c r="L1764" s="11">
        <v>185000.0</v>
      </c>
    </row>
    <row r="1765">
      <c r="A1765" s="8" t="s">
        <v>1484</v>
      </c>
      <c r="B1765" s="8" t="s">
        <v>1484</v>
      </c>
      <c r="C1765" s="13">
        <v>45916.343773148146</v>
      </c>
      <c r="D1765" s="2" t="s">
        <v>45</v>
      </c>
      <c r="E1765" s="2" t="s">
        <v>46</v>
      </c>
      <c r="F1765" s="14" t="s">
        <v>3522</v>
      </c>
      <c r="G1765" s="14" t="s">
        <v>3523</v>
      </c>
      <c r="H1765" s="2" t="s">
        <v>24</v>
      </c>
      <c r="I1765" s="2" t="s">
        <v>3491</v>
      </c>
      <c r="J1765" s="2">
        <v>23.0</v>
      </c>
      <c r="K1765" s="23" t="s">
        <v>4795</v>
      </c>
      <c r="L1765" s="11">
        <v>0.0</v>
      </c>
    </row>
    <row r="1766">
      <c r="A1766" s="8" t="s">
        <v>1485</v>
      </c>
      <c r="B1766" s="8" t="s">
        <v>1485</v>
      </c>
      <c r="C1766" s="13">
        <v>45916.35209490741</v>
      </c>
      <c r="D1766" s="2" t="s">
        <v>45</v>
      </c>
      <c r="E1766" s="2" t="s">
        <v>46</v>
      </c>
      <c r="F1766" s="14" t="s">
        <v>3486</v>
      </c>
      <c r="G1766" s="14" t="s">
        <v>3487</v>
      </c>
      <c r="H1766" s="2" t="s">
        <v>16</v>
      </c>
      <c r="I1766" s="2" t="s">
        <v>3488</v>
      </c>
      <c r="J1766" s="2">
        <v>10.0</v>
      </c>
      <c r="K1766" s="23" t="s">
        <v>4796</v>
      </c>
      <c r="L1766" s="11">
        <v>60000.0</v>
      </c>
    </row>
    <row r="1767">
      <c r="A1767" s="8" t="s">
        <v>1485</v>
      </c>
      <c r="B1767" s="8" t="s">
        <v>1485</v>
      </c>
      <c r="C1767" s="13">
        <v>45916.35209490741</v>
      </c>
      <c r="D1767" s="2" t="s">
        <v>45</v>
      </c>
      <c r="E1767" s="2" t="s">
        <v>46</v>
      </c>
      <c r="F1767" s="14" t="s">
        <v>3585</v>
      </c>
      <c r="G1767" s="14" t="s">
        <v>3586</v>
      </c>
      <c r="H1767" s="2" t="s">
        <v>16</v>
      </c>
      <c r="I1767" s="2" t="s">
        <v>3488</v>
      </c>
      <c r="J1767" s="2">
        <v>1.0</v>
      </c>
      <c r="K1767" s="23" t="s">
        <v>4503</v>
      </c>
      <c r="L1767" s="11">
        <v>400000.0</v>
      </c>
    </row>
    <row r="1768" hidden="1">
      <c r="A1768" s="8" t="s">
        <v>1486</v>
      </c>
      <c r="B1768" s="8" t="s">
        <v>1486</v>
      </c>
      <c r="C1768" s="13">
        <v>45916.454305555555</v>
      </c>
      <c r="D1768" s="2" t="s">
        <v>213</v>
      </c>
      <c r="E1768" s="2" t="s">
        <v>214</v>
      </c>
      <c r="F1768" s="14" t="s">
        <v>3486</v>
      </c>
      <c r="G1768" s="14" t="s">
        <v>3487</v>
      </c>
      <c r="H1768" s="2" t="s">
        <v>24</v>
      </c>
      <c r="I1768" s="2" t="s">
        <v>3491</v>
      </c>
      <c r="J1768" s="2">
        <v>11.0</v>
      </c>
      <c r="K1768" s="23" t="s">
        <v>4797</v>
      </c>
      <c r="L1768" s="11">
        <v>0.0</v>
      </c>
    </row>
    <row r="1769" hidden="1">
      <c r="A1769" s="8" t="s">
        <v>1486</v>
      </c>
      <c r="B1769" s="8" t="s">
        <v>1486</v>
      </c>
      <c r="C1769" s="13">
        <v>45916.454305555555</v>
      </c>
      <c r="D1769" s="2" t="s">
        <v>213</v>
      </c>
      <c r="E1769" s="2" t="s">
        <v>214</v>
      </c>
      <c r="F1769" s="14" t="s">
        <v>3506</v>
      </c>
      <c r="G1769" s="14" t="s">
        <v>3507</v>
      </c>
      <c r="H1769" s="2" t="s">
        <v>24</v>
      </c>
      <c r="I1769" s="2" t="s">
        <v>3491</v>
      </c>
      <c r="J1769" s="2">
        <v>1.0</v>
      </c>
      <c r="K1769" s="23" t="s">
        <v>4798</v>
      </c>
      <c r="L1769" s="11">
        <v>0.0</v>
      </c>
    </row>
    <row r="1770">
      <c r="A1770" s="8" t="s">
        <v>1487</v>
      </c>
      <c r="B1770" s="8" t="s">
        <v>1487</v>
      </c>
      <c r="C1770" s="13">
        <v>45916.45773148148</v>
      </c>
      <c r="D1770" s="2" t="s">
        <v>45</v>
      </c>
      <c r="E1770" s="2" t="s">
        <v>46</v>
      </c>
      <c r="F1770" s="14" t="s">
        <v>3486</v>
      </c>
      <c r="G1770" s="14" t="s">
        <v>3487</v>
      </c>
      <c r="H1770" s="2" t="s">
        <v>24</v>
      </c>
      <c r="I1770" s="2" t="s">
        <v>3491</v>
      </c>
      <c r="J1770" s="2">
        <v>8.0</v>
      </c>
      <c r="K1770" s="23" t="s">
        <v>4799</v>
      </c>
      <c r="L1770" s="11">
        <v>0.0</v>
      </c>
    </row>
    <row r="1771" hidden="1">
      <c r="A1771" s="8" t="s">
        <v>1488</v>
      </c>
      <c r="B1771" s="8" t="s">
        <v>1488</v>
      </c>
      <c r="C1771" s="13">
        <v>45917.361226851855</v>
      </c>
      <c r="D1771" s="2" t="s">
        <v>943</v>
      </c>
      <c r="E1771" s="2" t="s">
        <v>944</v>
      </c>
      <c r="F1771" s="14" t="s">
        <v>3486</v>
      </c>
      <c r="G1771" s="14" t="s">
        <v>3487</v>
      </c>
      <c r="H1771" s="2" t="s">
        <v>16</v>
      </c>
      <c r="I1771" s="2" t="s">
        <v>3488</v>
      </c>
      <c r="J1771" s="2">
        <v>4.0</v>
      </c>
      <c r="K1771" s="23" t="s">
        <v>4800</v>
      </c>
      <c r="L1771" s="11">
        <v>50000.0</v>
      </c>
    </row>
    <row r="1772" hidden="1">
      <c r="A1772" s="8" t="s">
        <v>1489</v>
      </c>
      <c r="B1772" s="8" t="s">
        <v>1489</v>
      </c>
      <c r="C1772" s="13">
        <v>45916.68015046296</v>
      </c>
      <c r="D1772" s="2" t="s">
        <v>951</v>
      </c>
      <c r="E1772" s="2" t="s">
        <v>952</v>
      </c>
      <c r="F1772" s="14" t="s">
        <v>3516</v>
      </c>
      <c r="G1772" s="14" t="s">
        <v>3517</v>
      </c>
      <c r="H1772" s="2" t="s">
        <v>16</v>
      </c>
      <c r="I1772" s="2" t="s">
        <v>3488</v>
      </c>
      <c r="J1772" s="2">
        <v>2.0</v>
      </c>
      <c r="K1772" s="23" t="s">
        <v>4801</v>
      </c>
      <c r="L1772" s="11">
        <v>165000.0</v>
      </c>
    </row>
    <row r="1773" hidden="1">
      <c r="A1773" s="8" t="s">
        <v>1490</v>
      </c>
      <c r="B1773" s="8" t="s">
        <v>1490</v>
      </c>
      <c r="C1773" s="13">
        <v>45917.365381944444</v>
      </c>
      <c r="D1773" s="2" t="s">
        <v>951</v>
      </c>
      <c r="E1773" s="2" t="s">
        <v>952</v>
      </c>
      <c r="F1773" s="14" t="s">
        <v>3516</v>
      </c>
      <c r="G1773" s="14" t="s">
        <v>3517</v>
      </c>
      <c r="H1773" s="2" t="s">
        <v>24</v>
      </c>
      <c r="I1773" s="2" t="s">
        <v>3491</v>
      </c>
      <c r="J1773" s="2">
        <v>1.0</v>
      </c>
      <c r="K1773" s="23" t="s">
        <v>4671</v>
      </c>
      <c r="L1773" s="11">
        <v>0.0</v>
      </c>
    </row>
    <row r="1774" hidden="1">
      <c r="A1774" s="8" t="s">
        <v>1491</v>
      </c>
      <c r="B1774" s="8" t="s">
        <v>1491</v>
      </c>
      <c r="C1774" s="13">
        <v>45917.518055555556</v>
      </c>
      <c r="D1774" s="2" t="s">
        <v>943</v>
      </c>
      <c r="E1774" s="2" t="s">
        <v>944</v>
      </c>
      <c r="F1774" s="14" t="s">
        <v>3486</v>
      </c>
      <c r="G1774" s="14" t="s">
        <v>3487</v>
      </c>
      <c r="H1774" s="2" t="s">
        <v>24</v>
      </c>
      <c r="I1774" s="2" t="s">
        <v>3491</v>
      </c>
      <c r="J1774" s="2">
        <v>4.0</v>
      </c>
      <c r="K1774" s="23" t="s">
        <v>4802</v>
      </c>
      <c r="L1774" s="11">
        <v>0.0</v>
      </c>
    </row>
    <row r="1775" hidden="1">
      <c r="A1775" s="8" t="s">
        <v>1491</v>
      </c>
      <c r="B1775" s="8" t="s">
        <v>1491</v>
      </c>
      <c r="C1775" s="13">
        <v>45917.518055555556</v>
      </c>
      <c r="D1775" s="2" t="s">
        <v>943</v>
      </c>
      <c r="E1775" s="2" t="s">
        <v>944</v>
      </c>
      <c r="F1775" s="14" t="s">
        <v>3506</v>
      </c>
      <c r="G1775" s="14" t="s">
        <v>3507</v>
      </c>
      <c r="H1775" s="2" t="s">
        <v>24</v>
      </c>
      <c r="I1775" s="2" t="s">
        <v>3491</v>
      </c>
      <c r="J1775" s="2">
        <v>1.0</v>
      </c>
      <c r="K1775" s="23" t="s">
        <v>4688</v>
      </c>
      <c r="L1775" s="11">
        <v>0.0</v>
      </c>
    </row>
    <row r="1776" hidden="1">
      <c r="A1776" s="8" t="s">
        <v>1492</v>
      </c>
      <c r="B1776" s="8" t="s">
        <v>1492</v>
      </c>
      <c r="C1776" s="13">
        <v>45917.51900462963</v>
      </c>
      <c r="D1776" s="2" t="s">
        <v>812</v>
      </c>
      <c r="E1776" s="2" t="s">
        <v>813</v>
      </c>
      <c r="F1776" s="14" t="s">
        <v>3506</v>
      </c>
      <c r="G1776" s="14" t="s">
        <v>3507</v>
      </c>
      <c r="H1776" s="2" t="s">
        <v>24</v>
      </c>
      <c r="I1776" s="2" t="s">
        <v>3491</v>
      </c>
      <c r="J1776" s="2">
        <v>29.0</v>
      </c>
      <c r="K1776" s="19"/>
      <c r="L1776" s="11">
        <v>0.0</v>
      </c>
    </row>
    <row r="1777" hidden="1">
      <c r="A1777" s="8" t="s">
        <v>1493</v>
      </c>
      <c r="B1777" s="8" t="s">
        <v>1493</v>
      </c>
      <c r="C1777" s="13">
        <v>45917.649097222224</v>
      </c>
      <c r="D1777" s="2" t="s">
        <v>326</v>
      </c>
      <c r="E1777" s="2" t="s">
        <v>327</v>
      </c>
      <c r="F1777" s="14" t="s">
        <v>3486</v>
      </c>
      <c r="G1777" s="14" t="s">
        <v>3487</v>
      </c>
      <c r="H1777" s="2" t="s">
        <v>16</v>
      </c>
      <c r="I1777" s="2" t="s">
        <v>3488</v>
      </c>
      <c r="J1777" s="2">
        <v>20.0</v>
      </c>
      <c r="K1777" s="23" t="s">
        <v>4803</v>
      </c>
      <c r="L1777" s="11">
        <v>45000.0</v>
      </c>
    </row>
    <row r="1778" hidden="1">
      <c r="A1778" s="8" t="s">
        <v>1494</v>
      </c>
      <c r="B1778" s="8" t="s">
        <v>1494</v>
      </c>
      <c r="C1778" s="13">
        <v>45918.368310185186</v>
      </c>
      <c r="D1778" s="2" t="s">
        <v>812</v>
      </c>
      <c r="E1778" s="2" t="s">
        <v>813</v>
      </c>
      <c r="F1778" s="14" t="s">
        <v>3506</v>
      </c>
      <c r="G1778" s="14" t="s">
        <v>3507</v>
      </c>
      <c r="H1778" s="2" t="s">
        <v>16</v>
      </c>
      <c r="I1778" s="2" t="s">
        <v>3488</v>
      </c>
      <c r="J1778" s="2">
        <v>29.0</v>
      </c>
      <c r="K1778" s="23" t="s">
        <v>4804</v>
      </c>
      <c r="L1778" s="11">
        <v>50000.0</v>
      </c>
    </row>
    <row r="1779" hidden="1">
      <c r="A1779" s="8" t="s">
        <v>1495</v>
      </c>
      <c r="B1779" s="8" t="s">
        <v>1495</v>
      </c>
      <c r="C1779" s="13">
        <v>45918.35894675926</v>
      </c>
      <c r="D1779" s="2" t="s">
        <v>1084</v>
      </c>
      <c r="E1779" s="2" t="s">
        <v>1085</v>
      </c>
      <c r="F1779" s="14" t="s">
        <v>3516</v>
      </c>
      <c r="G1779" s="14" t="s">
        <v>3517</v>
      </c>
      <c r="H1779" s="2" t="s">
        <v>24</v>
      </c>
      <c r="I1779" s="2" t="s">
        <v>3491</v>
      </c>
      <c r="J1779" s="2">
        <v>4.0</v>
      </c>
      <c r="K1779" s="23" t="s">
        <v>4805</v>
      </c>
      <c r="L1779" s="11">
        <v>0.0</v>
      </c>
    </row>
    <row r="1780" hidden="1">
      <c r="A1780" s="8" t="s">
        <v>1495</v>
      </c>
      <c r="B1780" s="8" t="s">
        <v>1495</v>
      </c>
      <c r="C1780" s="13">
        <v>45918.35894675926</v>
      </c>
      <c r="D1780" s="2" t="s">
        <v>1084</v>
      </c>
      <c r="E1780" s="2" t="s">
        <v>1085</v>
      </c>
      <c r="F1780" s="14" t="s">
        <v>4203</v>
      </c>
      <c r="G1780" s="14" t="s">
        <v>4204</v>
      </c>
      <c r="H1780" s="2" t="s">
        <v>24</v>
      </c>
      <c r="I1780" s="2" t="s">
        <v>3491</v>
      </c>
      <c r="J1780" s="2">
        <v>9.0</v>
      </c>
      <c r="K1780" s="23" t="s">
        <v>4806</v>
      </c>
      <c r="L1780" s="11">
        <v>0.0</v>
      </c>
    </row>
    <row r="1781" hidden="1">
      <c r="A1781" s="8" t="s">
        <v>1496</v>
      </c>
      <c r="B1781" s="8" t="s">
        <v>1496</v>
      </c>
      <c r="C1781" s="13">
        <v>45918.36730324074</v>
      </c>
      <c r="D1781" s="2" t="s">
        <v>213</v>
      </c>
      <c r="E1781" s="2" t="s">
        <v>214</v>
      </c>
      <c r="F1781" s="14" t="s">
        <v>3506</v>
      </c>
      <c r="G1781" s="14" t="s">
        <v>3507</v>
      </c>
      <c r="H1781" s="2" t="s">
        <v>16</v>
      </c>
      <c r="I1781" s="2" t="s">
        <v>3488</v>
      </c>
      <c r="J1781" s="2">
        <v>1.0</v>
      </c>
      <c r="K1781" s="23" t="s">
        <v>4798</v>
      </c>
      <c r="L1781" s="11">
        <v>60000.0</v>
      </c>
    </row>
    <row r="1782" hidden="1">
      <c r="A1782" s="8" t="s">
        <v>1496</v>
      </c>
      <c r="B1782" s="8" t="s">
        <v>1496</v>
      </c>
      <c r="C1782" s="13">
        <v>45918.36730324074</v>
      </c>
      <c r="D1782" s="2" t="s">
        <v>213</v>
      </c>
      <c r="E1782" s="2" t="s">
        <v>214</v>
      </c>
      <c r="F1782" s="14" t="s">
        <v>4203</v>
      </c>
      <c r="G1782" s="14" t="s">
        <v>4204</v>
      </c>
      <c r="H1782" s="2" t="s">
        <v>16</v>
      </c>
      <c r="I1782" s="2" t="s">
        <v>3488</v>
      </c>
      <c r="J1782" s="2">
        <v>10.0</v>
      </c>
      <c r="K1782" s="23" t="s">
        <v>4807</v>
      </c>
      <c r="L1782" s="11">
        <v>60000.0</v>
      </c>
    </row>
    <row r="1783" hidden="1">
      <c r="A1783" s="1"/>
      <c r="B1783" s="1"/>
      <c r="C1783" s="13"/>
      <c r="D1783" s="2"/>
      <c r="E1783" s="2"/>
      <c r="F1783" s="14"/>
      <c r="G1783" s="14"/>
      <c r="H1783" s="2"/>
      <c r="I1783" s="2"/>
      <c r="J1783" s="2"/>
      <c r="K1783" s="12"/>
      <c r="L1783" s="11"/>
    </row>
    <row r="1784" hidden="1">
      <c r="A1784" s="8" t="s">
        <v>1497</v>
      </c>
      <c r="B1784" s="8" t="s">
        <v>1497</v>
      </c>
      <c r="C1784" s="13">
        <v>45918.37185185185</v>
      </c>
      <c r="D1784" s="2" t="s">
        <v>20</v>
      </c>
      <c r="E1784" s="2" t="s">
        <v>21</v>
      </c>
      <c r="F1784" s="14" t="s">
        <v>3486</v>
      </c>
      <c r="G1784" s="14" t="s">
        <v>3487</v>
      </c>
      <c r="H1784" s="2" t="s">
        <v>16</v>
      </c>
      <c r="I1784" s="2" t="s">
        <v>3488</v>
      </c>
      <c r="J1784" s="2">
        <v>5.0</v>
      </c>
      <c r="K1784" s="23" t="s">
        <v>4808</v>
      </c>
      <c r="L1784" s="11">
        <v>60000.0</v>
      </c>
    </row>
    <row r="1785" hidden="1">
      <c r="A1785" s="8" t="s">
        <v>1497</v>
      </c>
      <c r="B1785" s="8" t="s">
        <v>1497</v>
      </c>
      <c r="C1785" s="13">
        <v>45918.37185185185</v>
      </c>
      <c r="D1785" s="2" t="s">
        <v>20</v>
      </c>
      <c r="E1785" s="2" t="s">
        <v>21</v>
      </c>
      <c r="F1785" s="14" t="s">
        <v>3493</v>
      </c>
      <c r="G1785" s="14" t="s">
        <v>3494</v>
      </c>
      <c r="H1785" s="2" t="s">
        <v>16</v>
      </c>
      <c r="I1785" s="2" t="s">
        <v>3488</v>
      </c>
      <c r="J1785" s="2">
        <v>1.0</v>
      </c>
      <c r="K1785" s="23" t="s">
        <v>4688</v>
      </c>
      <c r="L1785" s="11">
        <v>210000.0</v>
      </c>
    </row>
    <row r="1786" hidden="1">
      <c r="A1786" s="1"/>
      <c r="B1786" s="1"/>
      <c r="C1786" s="13"/>
      <c r="D1786" s="2"/>
      <c r="E1786" s="2"/>
      <c r="F1786" s="14" t="s">
        <v>3486</v>
      </c>
      <c r="G1786" s="14" t="s">
        <v>3487</v>
      </c>
      <c r="H1786" s="2"/>
      <c r="I1786" s="2" t="s">
        <v>3491</v>
      </c>
      <c r="J1786" s="2">
        <v>10.0</v>
      </c>
      <c r="K1786" s="23" t="s">
        <v>4809</v>
      </c>
      <c r="L1786" s="11">
        <v>45000.0</v>
      </c>
    </row>
    <row r="1787" hidden="1">
      <c r="A1787" s="1"/>
      <c r="B1787" s="1"/>
      <c r="C1787" s="13"/>
      <c r="D1787" s="2"/>
      <c r="E1787" s="2"/>
      <c r="F1787" s="14"/>
      <c r="G1787" s="14"/>
      <c r="H1787" s="2"/>
      <c r="I1787" s="2"/>
      <c r="J1787" s="2"/>
      <c r="K1787" s="12"/>
      <c r="L1787" s="11"/>
    </row>
    <row r="1788" hidden="1">
      <c r="A1788" s="28"/>
      <c r="B1788" s="28"/>
      <c r="C1788" s="29"/>
      <c r="F1788" s="14" t="s">
        <v>3486</v>
      </c>
      <c r="G1788" s="14" t="s">
        <v>3487</v>
      </c>
      <c r="I1788" s="2" t="s">
        <v>3491</v>
      </c>
      <c r="J1788" s="2">
        <v>10.0</v>
      </c>
      <c r="K1788" s="23" t="s">
        <v>4809</v>
      </c>
      <c r="L1788" s="11">
        <v>0.0</v>
      </c>
    </row>
    <row r="1789" hidden="1">
      <c r="A1789" s="8" t="s">
        <v>1498</v>
      </c>
      <c r="B1789" s="8" t="s">
        <v>1498</v>
      </c>
      <c r="C1789" s="13">
        <v>45918.43210648148</v>
      </c>
      <c r="D1789" s="2" t="s">
        <v>326</v>
      </c>
      <c r="E1789" s="2" t="s">
        <v>327</v>
      </c>
      <c r="F1789" s="14" t="s">
        <v>3486</v>
      </c>
      <c r="G1789" s="14" t="s">
        <v>3487</v>
      </c>
      <c r="H1789" s="2" t="s">
        <v>24</v>
      </c>
      <c r="I1789" s="2" t="s">
        <v>3491</v>
      </c>
      <c r="J1789" s="2">
        <v>10.0</v>
      </c>
      <c r="K1789" s="23" t="s">
        <v>4809</v>
      </c>
      <c r="L1789" s="11">
        <v>0.0</v>
      </c>
    </row>
    <row r="1790" hidden="1">
      <c r="A1790" s="8" t="s">
        <v>1499</v>
      </c>
      <c r="B1790" s="8" t="s">
        <v>1499</v>
      </c>
      <c r="C1790" s="13">
        <v>45918.46178240741</v>
      </c>
      <c r="D1790" s="2" t="s">
        <v>353</v>
      </c>
      <c r="E1790" s="2" t="s">
        <v>1500</v>
      </c>
      <c r="F1790" s="14" t="s">
        <v>3910</v>
      </c>
      <c r="G1790" s="14" t="s">
        <v>3911</v>
      </c>
      <c r="H1790" s="2" t="s">
        <v>16</v>
      </c>
      <c r="I1790" s="2" t="s">
        <v>3488</v>
      </c>
      <c r="J1790" s="2">
        <v>1.0</v>
      </c>
      <c r="K1790" s="23" t="s">
        <v>4688</v>
      </c>
      <c r="L1790" s="11">
        <v>50000.0</v>
      </c>
    </row>
    <row r="1791" hidden="1">
      <c r="A1791" s="8" t="s">
        <v>1499</v>
      </c>
      <c r="B1791" s="8" t="s">
        <v>1499</v>
      </c>
      <c r="C1791" s="13">
        <v>45918.46178240741</v>
      </c>
      <c r="D1791" s="2" t="s">
        <v>353</v>
      </c>
      <c r="E1791" s="2" t="s">
        <v>1500</v>
      </c>
      <c r="F1791" s="14" t="s">
        <v>3486</v>
      </c>
      <c r="G1791" s="14" t="s">
        <v>3487</v>
      </c>
      <c r="H1791" s="2" t="s">
        <v>16</v>
      </c>
      <c r="I1791" s="2" t="s">
        <v>3488</v>
      </c>
      <c r="J1791" s="2">
        <v>1.0</v>
      </c>
      <c r="K1791" s="23" t="s">
        <v>4810</v>
      </c>
      <c r="L1791" s="11">
        <v>80000.0</v>
      </c>
    </row>
    <row r="1792" hidden="1">
      <c r="A1792" s="8" t="s">
        <v>1502</v>
      </c>
      <c r="B1792" s="8" t="s">
        <v>1502</v>
      </c>
      <c r="C1792" s="13">
        <v>45918.68369212963</v>
      </c>
      <c r="D1792" s="2" t="s">
        <v>309</v>
      </c>
      <c r="E1792" s="2" t="s">
        <v>310</v>
      </c>
      <c r="F1792" s="14" t="s">
        <v>3486</v>
      </c>
      <c r="G1792" s="14" t="s">
        <v>3487</v>
      </c>
      <c r="H1792" s="2" t="s">
        <v>24</v>
      </c>
      <c r="I1792" s="2" t="s">
        <v>3491</v>
      </c>
      <c r="J1792" s="2">
        <v>3.0</v>
      </c>
      <c r="K1792" s="23" t="s">
        <v>4811</v>
      </c>
      <c r="L1792" s="11">
        <v>0.0</v>
      </c>
    </row>
    <row r="1793" hidden="1">
      <c r="A1793" s="8" t="s">
        <v>1502</v>
      </c>
      <c r="B1793" s="8" t="s">
        <v>1502</v>
      </c>
      <c r="C1793" s="13">
        <v>45918.68369212963</v>
      </c>
      <c r="D1793" s="2" t="s">
        <v>309</v>
      </c>
      <c r="E1793" s="2" t="s">
        <v>310</v>
      </c>
      <c r="F1793" s="14" t="s">
        <v>3493</v>
      </c>
      <c r="G1793" s="14" t="s">
        <v>3494</v>
      </c>
      <c r="H1793" s="2" t="s">
        <v>24</v>
      </c>
      <c r="I1793" s="2" t="s">
        <v>3491</v>
      </c>
      <c r="J1793" s="2">
        <v>1.0</v>
      </c>
      <c r="K1793" s="23" t="s">
        <v>4688</v>
      </c>
      <c r="L1793" s="11">
        <v>0.0</v>
      </c>
    </row>
    <row r="1794" hidden="1">
      <c r="A1794" s="8" t="s">
        <v>1502</v>
      </c>
      <c r="B1794" s="8" t="s">
        <v>1502</v>
      </c>
      <c r="C1794" s="13">
        <v>45918.68369212963</v>
      </c>
      <c r="D1794" s="2" t="s">
        <v>309</v>
      </c>
      <c r="E1794" s="2" t="s">
        <v>310</v>
      </c>
      <c r="F1794" s="14" t="s">
        <v>3516</v>
      </c>
      <c r="G1794" s="14" t="s">
        <v>3517</v>
      </c>
      <c r="H1794" s="2" t="s">
        <v>24</v>
      </c>
      <c r="I1794" s="2" t="s">
        <v>3491</v>
      </c>
      <c r="J1794" s="2">
        <v>1.0</v>
      </c>
      <c r="K1794" s="23" t="s">
        <v>4588</v>
      </c>
      <c r="L1794" s="11">
        <v>0.0</v>
      </c>
    </row>
    <row r="1795" hidden="1">
      <c r="A1795" s="8" t="s">
        <v>1502</v>
      </c>
      <c r="B1795" s="8" t="s">
        <v>1502</v>
      </c>
      <c r="C1795" s="13">
        <v>45918.68369212963</v>
      </c>
      <c r="D1795" s="2" t="s">
        <v>309</v>
      </c>
      <c r="E1795" s="2" t="s">
        <v>310</v>
      </c>
      <c r="F1795" s="14" t="s">
        <v>3516</v>
      </c>
      <c r="G1795" s="14" t="s">
        <v>3517</v>
      </c>
      <c r="H1795" s="2" t="s">
        <v>24</v>
      </c>
      <c r="I1795" s="2" t="s">
        <v>3614</v>
      </c>
      <c r="J1795" s="2">
        <v>1.0</v>
      </c>
      <c r="K1795" s="23" t="s">
        <v>4812</v>
      </c>
      <c r="L1795" s="11">
        <v>0.0</v>
      </c>
    </row>
    <row r="1796" hidden="1">
      <c r="A1796" s="8" t="s">
        <v>1502</v>
      </c>
      <c r="B1796" s="8" t="s">
        <v>1502</v>
      </c>
      <c r="C1796" s="13">
        <v>45918.68369212963</v>
      </c>
      <c r="D1796" s="2" t="s">
        <v>309</v>
      </c>
      <c r="E1796" s="2" t="s">
        <v>310</v>
      </c>
      <c r="F1796" s="14" t="s">
        <v>3506</v>
      </c>
      <c r="G1796" s="14" t="s">
        <v>3507</v>
      </c>
      <c r="H1796" s="2" t="s">
        <v>24</v>
      </c>
      <c r="I1796" s="2" t="s">
        <v>3491</v>
      </c>
      <c r="J1796" s="2">
        <v>10.0</v>
      </c>
      <c r="K1796" s="23" t="s">
        <v>4813</v>
      </c>
      <c r="L1796" s="11">
        <v>0.0</v>
      </c>
    </row>
    <row r="1797" hidden="1">
      <c r="A1797" s="8" t="s">
        <v>1503</v>
      </c>
      <c r="B1797" s="8" t="s">
        <v>1503</v>
      </c>
      <c r="C1797" s="13">
        <v>45918.68709490741</v>
      </c>
      <c r="D1797" s="2" t="s">
        <v>213</v>
      </c>
      <c r="E1797" s="2" t="s">
        <v>214</v>
      </c>
      <c r="F1797" s="14" t="s">
        <v>3486</v>
      </c>
      <c r="G1797" s="14" t="s">
        <v>3487</v>
      </c>
      <c r="H1797" s="2" t="s">
        <v>24</v>
      </c>
      <c r="I1797" s="2" t="s">
        <v>3491</v>
      </c>
      <c r="J1797" s="2">
        <v>3.0</v>
      </c>
      <c r="K1797" s="23" t="s">
        <v>4814</v>
      </c>
      <c r="L1797" s="11">
        <v>0.0</v>
      </c>
    </row>
    <row r="1798" hidden="1">
      <c r="A1798" s="8" t="s">
        <v>1504</v>
      </c>
      <c r="B1798" s="8" t="s">
        <v>1504</v>
      </c>
      <c r="C1798" s="13">
        <v>45919.58709490741</v>
      </c>
      <c r="D1798" s="2" t="s">
        <v>309</v>
      </c>
      <c r="E1798" s="2" t="s">
        <v>310</v>
      </c>
      <c r="F1798" s="14" t="s">
        <v>3493</v>
      </c>
      <c r="G1798" s="14" t="s">
        <v>3494</v>
      </c>
      <c r="H1798" s="2" t="s">
        <v>16</v>
      </c>
      <c r="I1798" s="2" t="s">
        <v>3488</v>
      </c>
      <c r="J1798" s="2">
        <v>3.0</v>
      </c>
      <c r="K1798" s="23" t="s">
        <v>4704</v>
      </c>
      <c r="L1798" s="11">
        <v>200000.0</v>
      </c>
    </row>
    <row r="1799" hidden="1">
      <c r="A1799" s="8" t="s">
        <v>1504</v>
      </c>
      <c r="B1799" s="8" t="s">
        <v>1504</v>
      </c>
      <c r="C1799" s="13">
        <v>45919.58709490741</v>
      </c>
      <c r="D1799" s="2" t="s">
        <v>309</v>
      </c>
      <c r="E1799" s="2" t="s">
        <v>310</v>
      </c>
      <c r="F1799" s="14" t="s">
        <v>3506</v>
      </c>
      <c r="G1799" s="14" t="s">
        <v>3507</v>
      </c>
      <c r="H1799" s="2" t="s">
        <v>16</v>
      </c>
      <c r="I1799" s="2" t="s">
        <v>3488</v>
      </c>
      <c r="J1799" s="2">
        <v>9.0</v>
      </c>
      <c r="K1799" s="23" t="s">
        <v>4815</v>
      </c>
      <c r="L1799" s="11">
        <v>55000.0</v>
      </c>
    </row>
    <row r="1800" hidden="1">
      <c r="A1800" s="1"/>
      <c r="B1800" s="1"/>
      <c r="C1800" s="13"/>
      <c r="D1800" s="2"/>
      <c r="E1800" s="2"/>
      <c r="F1800" s="14"/>
      <c r="G1800" s="14"/>
      <c r="H1800" s="2"/>
      <c r="I1800" s="2"/>
      <c r="J1800" s="2"/>
      <c r="K1800" s="12"/>
      <c r="L1800" s="11"/>
    </row>
    <row r="1801" hidden="1">
      <c r="A1801" s="8" t="s">
        <v>1505</v>
      </c>
      <c r="B1801" s="8" t="s">
        <v>1505</v>
      </c>
      <c r="C1801" s="13">
        <v>45919.59028935185</v>
      </c>
      <c r="D1801" s="2" t="s">
        <v>309</v>
      </c>
      <c r="E1801" s="2" t="s">
        <v>310</v>
      </c>
      <c r="F1801" s="14" t="s">
        <v>3516</v>
      </c>
      <c r="G1801" s="14" t="s">
        <v>3517</v>
      </c>
      <c r="H1801" s="2" t="s">
        <v>159</v>
      </c>
      <c r="I1801" s="2" t="s">
        <v>3619</v>
      </c>
      <c r="J1801" s="2">
        <v>1.0</v>
      </c>
      <c r="K1801" s="23" t="s">
        <v>4720</v>
      </c>
      <c r="L1801" s="11">
        <v>0.0</v>
      </c>
    </row>
    <row r="1802" hidden="1">
      <c r="A1802" s="8" t="s">
        <v>1506</v>
      </c>
      <c r="B1802" s="8" t="s">
        <v>1506</v>
      </c>
      <c r="C1802" s="13">
        <v>45919.59371527778</v>
      </c>
      <c r="D1802" s="2" t="s">
        <v>109</v>
      </c>
      <c r="E1802" s="2" t="s">
        <v>110</v>
      </c>
      <c r="F1802" s="14" t="s">
        <v>3522</v>
      </c>
      <c r="G1802" s="14" t="s">
        <v>3523</v>
      </c>
      <c r="H1802" s="2" t="s">
        <v>16</v>
      </c>
      <c r="I1802" s="2" t="s">
        <v>3488</v>
      </c>
      <c r="J1802" s="2">
        <v>4.0</v>
      </c>
      <c r="K1802" s="23" t="s">
        <v>4816</v>
      </c>
      <c r="L1802" s="11">
        <v>190000.0</v>
      </c>
    </row>
    <row r="1803" hidden="1">
      <c r="A1803" s="8" t="s">
        <v>1506</v>
      </c>
      <c r="B1803" s="8" t="s">
        <v>1506</v>
      </c>
      <c r="C1803" s="13">
        <v>45919.59371527778</v>
      </c>
      <c r="D1803" s="2" t="s">
        <v>109</v>
      </c>
      <c r="E1803" s="2" t="s">
        <v>110</v>
      </c>
      <c r="F1803" s="14" t="s">
        <v>3516</v>
      </c>
      <c r="G1803" s="14" t="s">
        <v>3517</v>
      </c>
      <c r="H1803" s="2" t="s">
        <v>16</v>
      </c>
      <c r="I1803" s="2" t="s">
        <v>3488</v>
      </c>
      <c r="J1803" s="2">
        <v>1.0</v>
      </c>
      <c r="K1803" s="23" t="s">
        <v>4812</v>
      </c>
      <c r="L1803" s="11">
        <v>160000.0</v>
      </c>
    </row>
    <row r="1804" hidden="1">
      <c r="A1804" s="8" t="s">
        <v>1507</v>
      </c>
      <c r="B1804" s="8" t="s">
        <v>1507</v>
      </c>
      <c r="C1804" s="13">
        <v>45919.65185185185</v>
      </c>
      <c r="D1804" s="2" t="s">
        <v>1237</v>
      </c>
      <c r="E1804" s="2" t="s">
        <v>1238</v>
      </c>
      <c r="F1804" s="14" t="s">
        <v>4203</v>
      </c>
      <c r="G1804" s="14" t="s">
        <v>4204</v>
      </c>
      <c r="H1804" s="2" t="s">
        <v>24</v>
      </c>
      <c r="I1804" s="2" t="s">
        <v>3491</v>
      </c>
      <c r="J1804" s="2">
        <v>2.0</v>
      </c>
      <c r="K1804" s="23" t="s">
        <v>4817</v>
      </c>
      <c r="L1804" s="11">
        <v>0.0</v>
      </c>
    </row>
    <row r="1805" hidden="1">
      <c r="A1805" s="8" t="s">
        <v>1508</v>
      </c>
      <c r="B1805" s="8" t="s">
        <v>1508</v>
      </c>
      <c r="C1805" s="13">
        <v>45919.702465277776</v>
      </c>
      <c r="D1805" s="2" t="s">
        <v>109</v>
      </c>
      <c r="E1805" s="2" t="s">
        <v>110</v>
      </c>
      <c r="F1805" s="14" t="s">
        <v>3486</v>
      </c>
      <c r="G1805" s="14" t="s">
        <v>3487</v>
      </c>
      <c r="H1805" s="2" t="s">
        <v>24</v>
      </c>
      <c r="I1805" s="2" t="s">
        <v>3491</v>
      </c>
      <c r="J1805" s="2">
        <v>1.0</v>
      </c>
      <c r="K1805" s="23" t="s">
        <v>4165</v>
      </c>
      <c r="L1805" s="11">
        <v>0.0</v>
      </c>
    </row>
    <row r="1806" hidden="1">
      <c r="A1806" s="8" t="s">
        <v>1508</v>
      </c>
      <c r="B1806" s="8" t="s">
        <v>1508</v>
      </c>
      <c r="C1806" s="13">
        <v>45919.702465277776</v>
      </c>
      <c r="D1806" s="2" t="s">
        <v>109</v>
      </c>
      <c r="E1806" s="2" t="s">
        <v>110</v>
      </c>
      <c r="F1806" s="14" t="s">
        <v>3522</v>
      </c>
      <c r="G1806" s="14" t="s">
        <v>3523</v>
      </c>
      <c r="H1806" s="2" t="s">
        <v>24</v>
      </c>
      <c r="I1806" s="2" t="s">
        <v>3491</v>
      </c>
      <c r="J1806" s="2">
        <v>4.0</v>
      </c>
      <c r="K1806" s="23" t="s">
        <v>4818</v>
      </c>
      <c r="L1806" s="11">
        <v>0.0</v>
      </c>
    </row>
    <row r="1807" hidden="1">
      <c r="A1807" s="8" t="s">
        <v>1509</v>
      </c>
      <c r="B1807" s="8" t="s">
        <v>1509</v>
      </c>
      <c r="C1807" s="13">
        <v>45919.70353009259</v>
      </c>
      <c r="D1807" s="2" t="s">
        <v>309</v>
      </c>
      <c r="E1807" s="2" t="s">
        <v>310</v>
      </c>
      <c r="F1807" s="14" t="s">
        <v>3493</v>
      </c>
      <c r="G1807" s="14" t="s">
        <v>3494</v>
      </c>
      <c r="H1807" s="2" t="s">
        <v>24</v>
      </c>
      <c r="I1807" s="2" t="s">
        <v>3491</v>
      </c>
      <c r="J1807" s="2">
        <v>3.0</v>
      </c>
      <c r="K1807" s="23" t="s">
        <v>4704</v>
      </c>
      <c r="L1807" s="11">
        <v>0.0</v>
      </c>
    </row>
    <row r="1808" hidden="1">
      <c r="A1808" s="8" t="s">
        <v>1510</v>
      </c>
      <c r="B1808" s="8" t="s">
        <v>1510</v>
      </c>
      <c r="C1808" s="13">
        <v>45920.358194444445</v>
      </c>
      <c r="D1808" s="2" t="s">
        <v>320</v>
      </c>
      <c r="E1808" s="2" t="s">
        <v>321</v>
      </c>
      <c r="F1808" s="14" t="s">
        <v>3516</v>
      </c>
      <c r="G1808" s="14" t="s">
        <v>3517</v>
      </c>
      <c r="H1808" s="2" t="s">
        <v>16</v>
      </c>
      <c r="I1808" s="2" t="s">
        <v>3488</v>
      </c>
      <c r="J1808" s="2">
        <v>1.0</v>
      </c>
      <c r="K1808" s="23" t="s">
        <v>4495</v>
      </c>
      <c r="L1808" s="11">
        <v>180000.0</v>
      </c>
    </row>
    <row r="1809" hidden="1">
      <c r="A1809" s="8" t="s">
        <v>1510</v>
      </c>
      <c r="B1809" s="8" t="s">
        <v>1510</v>
      </c>
      <c r="C1809" s="13">
        <v>45920.358194444445</v>
      </c>
      <c r="D1809" s="2" t="s">
        <v>320</v>
      </c>
      <c r="E1809" s="2" t="s">
        <v>321</v>
      </c>
      <c r="F1809" s="14" t="s">
        <v>3486</v>
      </c>
      <c r="G1809" s="14" t="s">
        <v>3487</v>
      </c>
      <c r="H1809" s="2" t="s">
        <v>16</v>
      </c>
      <c r="I1809" s="2" t="s">
        <v>3488</v>
      </c>
      <c r="J1809" s="2">
        <v>1.0</v>
      </c>
      <c r="K1809" s="23" t="s">
        <v>3733</v>
      </c>
      <c r="L1809" s="11">
        <v>70000.0</v>
      </c>
    </row>
    <row r="1810">
      <c r="A1810" s="8" t="s">
        <v>1511</v>
      </c>
      <c r="B1810" s="8" t="s">
        <v>1511</v>
      </c>
      <c r="C1810" s="13">
        <v>45920.51771990741</v>
      </c>
      <c r="D1810" s="2" t="s">
        <v>45</v>
      </c>
      <c r="E1810" s="2" t="s">
        <v>46</v>
      </c>
      <c r="F1810" s="14" t="s">
        <v>3486</v>
      </c>
      <c r="G1810" s="14" t="s">
        <v>3487</v>
      </c>
      <c r="H1810" s="2" t="s">
        <v>24</v>
      </c>
      <c r="I1810" s="2" t="s">
        <v>3491</v>
      </c>
      <c r="J1810" s="2">
        <v>3.0</v>
      </c>
      <c r="K1810" s="23" t="s">
        <v>4819</v>
      </c>
      <c r="L1810" s="11">
        <v>0.0</v>
      </c>
    </row>
    <row r="1811">
      <c r="A1811" s="8" t="s">
        <v>1511</v>
      </c>
      <c r="B1811" s="8" t="s">
        <v>1511</v>
      </c>
      <c r="C1811" s="13">
        <v>45920.51771990741</v>
      </c>
      <c r="D1811" s="2" t="s">
        <v>45</v>
      </c>
      <c r="E1811" s="2" t="s">
        <v>46</v>
      </c>
      <c r="F1811" s="14" t="s">
        <v>3522</v>
      </c>
      <c r="G1811" s="14" t="s">
        <v>3523</v>
      </c>
      <c r="H1811" s="2" t="s">
        <v>24</v>
      </c>
      <c r="I1811" s="2" t="s">
        <v>3491</v>
      </c>
      <c r="J1811" s="2">
        <v>14.0</v>
      </c>
      <c r="K1811" s="23" t="s">
        <v>4820</v>
      </c>
      <c r="L1811" s="11">
        <v>0.0</v>
      </c>
    </row>
    <row r="1812" hidden="1">
      <c r="A1812" s="8" t="s">
        <v>1512</v>
      </c>
      <c r="B1812" s="8" t="s">
        <v>1512</v>
      </c>
      <c r="C1812" s="13">
        <v>45920.51974537037</v>
      </c>
      <c r="D1812" s="2" t="s">
        <v>320</v>
      </c>
      <c r="E1812" s="2" t="s">
        <v>321</v>
      </c>
      <c r="F1812" s="14" t="s">
        <v>3486</v>
      </c>
      <c r="G1812" s="14" t="s">
        <v>3487</v>
      </c>
      <c r="H1812" s="2" t="s">
        <v>24</v>
      </c>
      <c r="I1812" s="2" t="s">
        <v>3491</v>
      </c>
      <c r="J1812" s="2">
        <v>1.0</v>
      </c>
      <c r="K1812" s="23" t="s">
        <v>4406</v>
      </c>
      <c r="L1812" s="11">
        <v>0.0</v>
      </c>
    </row>
    <row r="1813" hidden="1">
      <c r="A1813" s="8" t="s">
        <v>1512</v>
      </c>
      <c r="B1813" s="8" t="s">
        <v>1512</v>
      </c>
      <c r="C1813" s="13">
        <v>45920.51974537037</v>
      </c>
      <c r="D1813" s="2" t="s">
        <v>320</v>
      </c>
      <c r="E1813" s="2" t="s">
        <v>321</v>
      </c>
      <c r="F1813" s="14" t="s">
        <v>3516</v>
      </c>
      <c r="G1813" s="14" t="s">
        <v>3517</v>
      </c>
      <c r="H1813" s="2" t="s">
        <v>24</v>
      </c>
      <c r="I1813" s="2" t="s">
        <v>3491</v>
      </c>
      <c r="J1813" s="2">
        <v>1.0</v>
      </c>
      <c r="K1813" s="23" t="s">
        <v>4662</v>
      </c>
      <c r="L1813" s="11">
        <v>0.0</v>
      </c>
    </row>
    <row r="1814" hidden="1">
      <c r="A1814" s="8" t="s">
        <v>1513</v>
      </c>
      <c r="B1814" s="8" t="s">
        <v>1513</v>
      </c>
      <c r="C1814" s="13">
        <v>45922.45142361111</v>
      </c>
      <c r="D1814" s="2" t="s">
        <v>1203</v>
      </c>
      <c r="E1814" s="2" t="s">
        <v>1204</v>
      </c>
      <c r="F1814" s="14" t="s">
        <v>3547</v>
      </c>
      <c r="G1814" s="14" t="s">
        <v>3548</v>
      </c>
      <c r="H1814" s="2" t="s">
        <v>24</v>
      </c>
      <c r="I1814" s="2" t="s">
        <v>3614</v>
      </c>
      <c r="J1814" s="2">
        <v>1.0</v>
      </c>
      <c r="K1814" s="19"/>
      <c r="L1814" s="11">
        <v>0.0</v>
      </c>
    </row>
    <row r="1815">
      <c r="A1815" s="8" t="s">
        <v>1514</v>
      </c>
      <c r="B1815" s="8" t="s">
        <v>1514</v>
      </c>
      <c r="C1815" s="13">
        <v>45922.60189814815</v>
      </c>
      <c r="D1815" s="2" t="s">
        <v>45</v>
      </c>
      <c r="E1815" s="2" t="s">
        <v>46</v>
      </c>
      <c r="F1815" s="14" t="s">
        <v>3522</v>
      </c>
      <c r="G1815" s="14" t="s">
        <v>3523</v>
      </c>
      <c r="H1815" s="2" t="s">
        <v>16</v>
      </c>
      <c r="I1815" s="2" t="s">
        <v>3488</v>
      </c>
      <c r="J1815" s="2">
        <v>10.0</v>
      </c>
      <c r="K1815" s="23" t="s">
        <v>4821</v>
      </c>
      <c r="L1815" s="11">
        <v>185000.0</v>
      </c>
    </row>
    <row r="1816">
      <c r="A1816" s="8" t="s">
        <v>1515</v>
      </c>
      <c r="B1816" s="8" t="s">
        <v>1515</v>
      </c>
      <c r="C1816" s="13">
        <v>45922.65332175926</v>
      </c>
      <c r="D1816" s="2" t="s">
        <v>45</v>
      </c>
      <c r="E1816" s="2" t="s">
        <v>46</v>
      </c>
      <c r="F1816" s="14" t="s">
        <v>3493</v>
      </c>
      <c r="G1816" s="14" t="s">
        <v>3494</v>
      </c>
      <c r="H1816" s="2" t="s">
        <v>24</v>
      </c>
      <c r="I1816" s="2" t="s">
        <v>3491</v>
      </c>
      <c r="J1816" s="2">
        <v>2.0</v>
      </c>
      <c r="K1816" s="23" t="s">
        <v>4670</v>
      </c>
      <c r="L1816" s="11">
        <v>0.0</v>
      </c>
    </row>
    <row r="1817" hidden="1">
      <c r="A1817" s="8" t="s">
        <v>1516</v>
      </c>
      <c r="B1817" s="8" t="s">
        <v>1516</v>
      </c>
      <c r="C1817" s="13">
        <v>45923.354317129626</v>
      </c>
      <c r="D1817" s="2" t="s">
        <v>786</v>
      </c>
      <c r="E1817" s="2" t="s">
        <v>787</v>
      </c>
      <c r="F1817" s="14" t="s">
        <v>3486</v>
      </c>
      <c r="G1817" s="14" t="s">
        <v>3487</v>
      </c>
      <c r="H1817" s="2" t="s">
        <v>16</v>
      </c>
      <c r="I1817" s="2" t="s">
        <v>3488</v>
      </c>
      <c r="J1817" s="2">
        <v>3.0</v>
      </c>
      <c r="K1817" s="23" t="s">
        <v>4822</v>
      </c>
      <c r="L1817" s="11">
        <v>60000.0</v>
      </c>
    </row>
    <row r="1818" hidden="1">
      <c r="A1818" s="8" t="s">
        <v>1517</v>
      </c>
      <c r="B1818" s="8" t="s">
        <v>1517</v>
      </c>
      <c r="C1818" s="13">
        <v>45923.360300925924</v>
      </c>
      <c r="D1818" s="2" t="s">
        <v>943</v>
      </c>
      <c r="E1818" s="2" t="s">
        <v>944</v>
      </c>
      <c r="F1818" s="14" t="s">
        <v>4203</v>
      </c>
      <c r="G1818" s="14" t="s">
        <v>4204</v>
      </c>
      <c r="H1818" s="2" t="s">
        <v>16</v>
      </c>
      <c r="I1818" s="2" t="s">
        <v>3488</v>
      </c>
      <c r="J1818" s="2">
        <v>3.0</v>
      </c>
      <c r="K1818" s="23" t="s">
        <v>4823</v>
      </c>
      <c r="L1818" s="11">
        <v>55000.0</v>
      </c>
    </row>
    <row r="1819" hidden="1">
      <c r="A1819" s="8" t="s">
        <v>1517</v>
      </c>
      <c r="B1819" s="8" t="s">
        <v>1517</v>
      </c>
      <c r="C1819" s="13">
        <v>45923.360300925924</v>
      </c>
      <c r="D1819" s="2" t="s">
        <v>943</v>
      </c>
      <c r="E1819" s="2" t="s">
        <v>944</v>
      </c>
      <c r="F1819" s="14" t="s">
        <v>3506</v>
      </c>
      <c r="G1819" s="14" t="s">
        <v>3507</v>
      </c>
      <c r="H1819" s="2" t="s">
        <v>16</v>
      </c>
      <c r="I1819" s="2" t="s">
        <v>3488</v>
      </c>
      <c r="J1819" s="2">
        <v>1.0</v>
      </c>
      <c r="K1819" s="23" t="s">
        <v>4688</v>
      </c>
      <c r="L1819" s="11">
        <v>50000.0</v>
      </c>
    </row>
    <row r="1820" hidden="1">
      <c r="A1820" s="8" t="s">
        <v>1518</v>
      </c>
      <c r="B1820" s="8" t="s">
        <v>1518</v>
      </c>
      <c r="C1820" s="13">
        <v>45923.38313657408</v>
      </c>
      <c r="D1820" s="2" t="s">
        <v>1519</v>
      </c>
      <c r="E1820" s="2" t="s">
        <v>1520</v>
      </c>
      <c r="F1820" s="14" t="s">
        <v>4203</v>
      </c>
      <c r="G1820" s="14" t="s">
        <v>4204</v>
      </c>
      <c r="H1820" s="2" t="s">
        <v>16</v>
      </c>
      <c r="I1820" s="2" t="s">
        <v>3488</v>
      </c>
      <c r="J1820" s="2">
        <v>1.0</v>
      </c>
      <c r="K1820" s="23" t="s">
        <v>4406</v>
      </c>
      <c r="L1820" s="11">
        <v>65000.0</v>
      </c>
    </row>
    <row r="1821" hidden="1">
      <c r="A1821" s="8" t="s">
        <v>1522</v>
      </c>
      <c r="B1821" s="8" t="s">
        <v>1522</v>
      </c>
      <c r="C1821" s="13">
        <v>45923.38631944444</v>
      </c>
      <c r="D1821" s="2" t="s">
        <v>1523</v>
      </c>
      <c r="E1821" s="2" t="s">
        <v>1524</v>
      </c>
      <c r="F1821" s="14" t="s">
        <v>3835</v>
      </c>
      <c r="G1821" s="14" t="s">
        <v>3836</v>
      </c>
      <c r="H1821" s="2" t="s">
        <v>16</v>
      </c>
      <c r="I1821" s="2" t="s">
        <v>3488</v>
      </c>
      <c r="J1821" s="2">
        <v>1.0</v>
      </c>
      <c r="K1821" s="23" t="s">
        <v>4824</v>
      </c>
      <c r="L1821" s="11">
        <v>60000.0</v>
      </c>
    </row>
    <row r="1822" hidden="1">
      <c r="A1822" s="8" t="s">
        <v>1526</v>
      </c>
      <c r="B1822" s="8" t="s">
        <v>1526</v>
      </c>
      <c r="C1822" s="13">
        <v>45923.40394675926</v>
      </c>
      <c r="D1822" s="2" t="s">
        <v>1519</v>
      </c>
      <c r="E1822" s="2" t="s">
        <v>1520</v>
      </c>
      <c r="F1822" s="14" t="s">
        <v>3506</v>
      </c>
      <c r="G1822" s="14" t="s">
        <v>3507</v>
      </c>
      <c r="H1822" s="2" t="s">
        <v>24</v>
      </c>
      <c r="I1822" s="2" t="s">
        <v>3491</v>
      </c>
      <c r="J1822" s="2">
        <v>1.0</v>
      </c>
      <c r="K1822" s="23" t="s">
        <v>4688</v>
      </c>
      <c r="L1822" s="11">
        <v>0.0</v>
      </c>
    </row>
    <row r="1823" hidden="1">
      <c r="A1823" s="8" t="s">
        <v>1527</v>
      </c>
      <c r="B1823" s="8" t="s">
        <v>1527</v>
      </c>
      <c r="C1823" s="13">
        <v>45923.586226851854</v>
      </c>
      <c r="D1823" s="2" t="s">
        <v>904</v>
      </c>
      <c r="E1823" s="2" t="s">
        <v>905</v>
      </c>
      <c r="F1823" s="14" t="s">
        <v>3486</v>
      </c>
      <c r="G1823" s="14" t="s">
        <v>3487</v>
      </c>
      <c r="H1823" s="2" t="s">
        <v>24</v>
      </c>
      <c r="I1823" s="2" t="s">
        <v>3491</v>
      </c>
      <c r="J1823" s="2">
        <v>2.0</v>
      </c>
      <c r="K1823" s="23" t="s">
        <v>4825</v>
      </c>
      <c r="L1823" s="11">
        <v>0.0</v>
      </c>
    </row>
    <row r="1824" hidden="1">
      <c r="A1824" s="8" t="s">
        <v>1528</v>
      </c>
      <c r="B1824" s="8" t="s">
        <v>1528</v>
      </c>
      <c r="C1824" s="13">
        <v>45923.58707175926</v>
      </c>
      <c r="D1824" s="2" t="s">
        <v>943</v>
      </c>
      <c r="E1824" s="2" t="s">
        <v>944</v>
      </c>
      <c r="F1824" s="14" t="s">
        <v>3486</v>
      </c>
      <c r="G1824" s="14" t="s">
        <v>3487</v>
      </c>
      <c r="H1824" s="2" t="s">
        <v>24</v>
      </c>
      <c r="I1824" s="2" t="s">
        <v>3491</v>
      </c>
      <c r="J1824" s="2">
        <v>1.0</v>
      </c>
      <c r="K1824" s="23" t="s">
        <v>3503</v>
      </c>
      <c r="L1824" s="11">
        <v>0.0</v>
      </c>
    </row>
    <row r="1825" hidden="1">
      <c r="A1825" s="8" t="s">
        <v>1528</v>
      </c>
      <c r="B1825" s="8" t="s">
        <v>1528</v>
      </c>
      <c r="C1825" s="13">
        <v>45923.58707175926</v>
      </c>
      <c r="D1825" s="2" t="s">
        <v>943</v>
      </c>
      <c r="E1825" s="2" t="s">
        <v>944</v>
      </c>
      <c r="F1825" s="14" t="s">
        <v>3506</v>
      </c>
      <c r="G1825" s="14" t="s">
        <v>3507</v>
      </c>
      <c r="H1825" s="2" t="s">
        <v>24</v>
      </c>
      <c r="I1825" s="2" t="s">
        <v>3491</v>
      </c>
      <c r="J1825" s="2">
        <v>2.0</v>
      </c>
      <c r="K1825" s="23" t="s">
        <v>4670</v>
      </c>
      <c r="L1825" s="11">
        <v>0.0</v>
      </c>
    </row>
    <row r="1826" hidden="1">
      <c r="A1826" s="8" t="s">
        <v>1529</v>
      </c>
      <c r="B1826" s="8" t="s">
        <v>1529</v>
      </c>
      <c r="C1826" s="13">
        <v>45923.5875</v>
      </c>
      <c r="D1826" s="2" t="s">
        <v>786</v>
      </c>
      <c r="E1826" s="2" t="s">
        <v>787</v>
      </c>
      <c r="F1826" s="14" t="s">
        <v>3486</v>
      </c>
      <c r="G1826" s="14" t="s">
        <v>3487</v>
      </c>
      <c r="H1826" s="2" t="s">
        <v>24</v>
      </c>
      <c r="I1826" s="2" t="s">
        <v>3491</v>
      </c>
      <c r="J1826" s="2">
        <v>5.0</v>
      </c>
      <c r="K1826" s="23" t="s">
        <v>4826</v>
      </c>
      <c r="L1826" s="11">
        <v>0.0</v>
      </c>
    </row>
    <row r="1827" hidden="1">
      <c r="A1827" s="8" t="s">
        <v>1530</v>
      </c>
      <c r="B1827" s="8" t="s">
        <v>1530</v>
      </c>
      <c r="C1827" s="13">
        <v>45923.58894675926</v>
      </c>
      <c r="D1827" s="2" t="s">
        <v>464</v>
      </c>
      <c r="E1827" s="2" t="s">
        <v>465</v>
      </c>
      <c r="F1827" s="14" t="s">
        <v>4203</v>
      </c>
      <c r="G1827" s="14" t="s">
        <v>4204</v>
      </c>
      <c r="H1827" s="2" t="s">
        <v>24</v>
      </c>
      <c r="I1827" s="2" t="s">
        <v>3491</v>
      </c>
      <c r="J1827" s="2">
        <v>4.0</v>
      </c>
      <c r="K1827" s="23" t="s">
        <v>4827</v>
      </c>
      <c r="L1827" s="11">
        <v>0.0</v>
      </c>
    </row>
    <row r="1828" hidden="1">
      <c r="A1828" s="8" t="s">
        <v>1530</v>
      </c>
      <c r="B1828" s="8" t="s">
        <v>1530</v>
      </c>
      <c r="C1828" s="13">
        <v>45923.58894675926</v>
      </c>
      <c r="D1828" s="2" t="s">
        <v>464</v>
      </c>
      <c r="E1828" s="2" t="s">
        <v>465</v>
      </c>
      <c r="F1828" s="14" t="s">
        <v>3493</v>
      </c>
      <c r="G1828" s="14" t="s">
        <v>3494</v>
      </c>
      <c r="H1828" s="2" t="s">
        <v>24</v>
      </c>
      <c r="I1828" s="2" t="s">
        <v>3491</v>
      </c>
      <c r="J1828" s="2">
        <v>1.0</v>
      </c>
      <c r="K1828" s="23" t="s">
        <v>4688</v>
      </c>
      <c r="L1828" s="11">
        <v>0.0</v>
      </c>
    </row>
    <row r="1829" hidden="1">
      <c r="A1829" s="8" t="s">
        <v>1531</v>
      </c>
      <c r="B1829" s="8" t="s">
        <v>1531</v>
      </c>
      <c r="C1829" s="13">
        <v>45923.589907407404</v>
      </c>
      <c r="D1829" s="2" t="s">
        <v>326</v>
      </c>
      <c r="E1829" s="2" t="s">
        <v>327</v>
      </c>
      <c r="F1829" s="14" t="s">
        <v>3486</v>
      </c>
      <c r="G1829" s="14" t="s">
        <v>3487</v>
      </c>
      <c r="H1829" s="2" t="s">
        <v>24</v>
      </c>
      <c r="I1829" s="2" t="s">
        <v>3491</v>
      </c>
      <c r="J1829" s="2">
        <v>11.0</v>
      </c>
      <c r="K1829" s="23" t="s">
        <v>4828</v>
      </c>
      <c r="L1829" s="11">
        <v>0.0</v>
      </c>
    </row>
    <row r="1830" hidden="1">
      <c r="A1830" s="8" t="s">
        <v>1532</v>
      </c>
      <c r="B1830" s="8" t="s">
        <v>1532</v>
      </c>
      <c r="C1830" s="13">
        <v>45923.62472222222</v>
      </c>
      <c r="D1830" s="10" t="s">
        <v>1399</v>
      </c>
      <c r="E1830" s="2" t="s">
        <v>1400</v>
      </c>
      <c r="F1830" s="14" t="s">
        <v>3486</v>
      </c>
      <c r="G1830" s="14" t="s">
        <v>3487</v>
      </c>
      <c r="H1830" s="2" t="s">
        <v>16</v>
      </c>
      <c r="I1830" s="2" t="s">
        <v>3488</v>
      </c>
      <c r="J1830" s="2">
        <v>10.0</v>
      </c>
      <c r="K1830" s="23" t="s">
        <v>4829</v>
      </c>
      <c r="L1830" s="11">
        <v>55000.0</v>
      </c>
    </row>
    <row r="1831" hidden="1">
      <c r="A1831" s="8" t="s">
        <v>1533</v>
      </c>
      <c r="B1831" s="8" t="s">
        <v>1533</v>
      </c>
      <c r="C1831" s="13">
        <v>45923.70034722222</v>
      </c>
      <c r="D1831" s="10" t="s">
        <v>1399</v>
      </c>
      <c r="E1831" s="2" t="s">
        <v>1400</v>
      </c>
      <c r="F1831" s="14" t="s">
        <v>3486</v>
      </c>
      <c r="G1831" s="14" t="s">
        <v>3487</v>
      </c>
      <c r="H1831" s="2" t="s">
        <v>24</v>
      </c>
      <c r="I1831" s="2" t="s">
        <v>3491</v>
      </c>
      <c r="J1831" s="2">
        <v>5.0</v>
      </c>
      <c r="K1831" s="23" t="s">
        <v>4830</v>
      </c>
      <c r="L1831" s="11">
        <v>0.0</v>
      </c>
    </row>
    <row r="1832" hidden="1">
      <c r="A1832" s="8" t="s">
        <v>1534</v>
      </c>
      <c r="B1832" s="8" t="s">
        <v>1534</v>
      </c>
      <c r="C1832" s="13">
        <v>45924.367118055554</v>
      </c>
      <c r="D1832" s="2" t="s">
        <v>1084</v>
      </c>
      <c r="E1832" s="2" t="s">
        <v>1085</v>
      </c>
      <c r="F1832" s="14" t="s">
        <v>3516</v>
      </c>
      <c r="G1832" s="14" t="s">
        <v>3517</v>
      </c>
      <c r="H1832" s="2" t="s">
        <v>16</v>
      </c>
      <c r="I1832" s="2" t="s">
        <v>3488</v>
      </c>
      <c r="J1832" s="2">
        <v>5.0</v>
      </c>
      <c r="K1832" s="23" t="s">
        <v>4831</v>
      </c>
      <c r="L1832" s="11">
        <v>210000.0</v>
      </c>
    </row>
    <row r="1833" hidden="1">
      <c r="A1833" s="8" t="s">
        <v>1535</v>
      </c>
      <c r="B1833" s="8" t="s">
        <v>1535</v>
      </c>
      <c r="C1833" s="13">
        <v>45924.37144675926</v>
      </c>
      <c r="D1833" s="2" t="s">
        <v>951</v>
      </c>
      <c r="E1833" s="2" t="s">
        <v>952</v>
      </c>
      <c r="F1833" s="14" t="s">
        <v>3486</v>
      </c>
      <c r="G1833" s="14" t="s">
        <v>3487</v>
      </c>
      <c r="H1833" s="2" t="s">
        <v>16</v>
      </c>
      <c r="I1833" s="2" t="s">
        <v>3488</v>
      </c>
      <c r="J1833" s="2">
        <v>4.0</v>
      </c>
      <c r="K1833" s="23" t="s">
        <v>4832</v>
      </c>
      <c r="L1833" s="11">
        <v>55000.0</v>
      </c>
    </row>
    <row r="1834">
      <c r="A1834" s="8" t="s">
        <v>1536</v>
      </c>
      <c r="B1834" s="8" t="s">
        <v>1536</v>
      </c>
      <c r="C1834" s="13">
        <v>45924.37400462963</v>
      </c>
      <c r="D1834" s="2" t="s">
        <v>45</v>
      </c>
      <c r="E1834" s="2" t="s">
        <v>46</v>
      </c>
      <c r="F1834" s="14" t="s">
        <v>3522</v>
      </c>
      <c r="G1834" s="14" t="s">
        <v>3523</v>
      </c>
      <c r="H1834" s="2" t="s">
        <v>16</v>
      </c>
      <c r="I1834" s="2" t="s">
        <v>3488</v>
      </c>
      <c r="J1834" s="2">
        <v>6.0</v>
      </c>
      <c r="K1834" s="23" t="s">
        <v>4833</v>
      </c>
      <c r="L1834" s="11">
        <v>185000.0</v>
      </c>
    </row>
    <row r="1835">
      <c r="A1835" s="8" t="s">
        <v>1536</v>
      </c>
      <c r="B1835" s="8" t="s">
        <v>1536</v>
      </c>
      <c r="C1835" s="13">
        <v>45924.37400462963</v>
      </c>
      <c r="D1835" s="2" t="s">
        <v>45</v>
      </c>
      <c r="E1835" s="2" t="s">
        <v>46</v>
      </c>
      <c r="F1835" s="14" t="s">
        <v>3486</v>
      </c>
      <c r="G1835" s="14" t="s">
        <v>3487</v>
      </c>
      <c r="H1835" s="2" t="s">
        <v>16</v>
      </c>
      <c r="I1835" s="2" t="s">
        <v>3488</v>
      </c>
      <c r="J1835" s="2">
        <v>6.0</v>
      </c>
      <c r="K1835" s="23" t="s">
        <v>4834</v>
      </c>
      <c r="L1835" s="11">
        <v>60000.0</v>
      </c>
    </row>
    <row r="1836" hidden="1">
      <c r="A1836" s="8" t="s">
        <v>1537</v>
      </c>
      <c r="B1836" s="8" t="s">
        <v>1537</v>
      </c>
      <c r="C1836" s="13">
        <v>45924.40516203704</v>
      </c>
      <c r="D1836" s="2" t="s">
        <v>20</v>
      </c>
      <c r="E1836" s="2" t="s">
        <v>21</v>
      </c>
      <c r="F1836" s="14" t="s">
        <v>3493</v>
      </c>
      <c r="G1836" s="14" t="s">
        <v>3494</v>
      </c>
      <c r="H1836" s="2" t="s">
        <v>16</v>
      </c>
      <c r="I1836" s="2" t="s">
        <v>3488</v>
      </c>
      <c r="J1836" s="2">
        <v>1.0</v>
      </c>
      <c r="K1836" s="23" t="s">
        <v>4688</v>
      </c>
      <c r="L1836" s="11">
        <v>210000.0</v>
      </c>
    </row>
    <row r="1837" hidden="1">
      <c r="A1837" s="8" t="s">
        <v>1537</v>
      </c>
      <c r="B1837" s="8" t="s">
        <v>1537</v>
      </c>
      <c r="C1837" s="13">
        <v>45924.40516203704</v>
      </c>
      <c r="D1837" s="2" t="s">
        <v>20</v>
      </c>
      <c r="E1837" s="2" t="s">
        <v>21</v>
      </c>
      <c r="F1837" s="14" t="s">
        <v>3486</v>
      </c>
      <c r="G1837" s="14" t="s">
        <v>3487</v>
      </c>
      <c r="H1837" s="2" t="s">
        <v>16</v>
      </c>
      <c r="I1837" s="2" t="s">
        <v>3488</v>
      </c>
      <c r="J1837" s="2">
        <v>10.0</v>
      </c>
      <c r="K1837" s="23" t="s">
        <v>4835</v>
      </c>
      <c r="L1837" s="11">
        <v>60000.0</v>
      </c>
    </row>
    <row r="1838" hidden="1">
      <c r="A1838" s="8" t="s">
        <v>1538</v>
      </c>
      <c r="B1838" s="8" t="s">
        <v>1538</v>
      </c>
      <c r="C1838" s="13">
        <v>45924.574467592596</v>
      </c>
      <c r="D1838" s="2" t="s">
        <v>1519</v>
      </c>
      <c r="E1838" s="2" t="s">
        <v>1520</v>
      </c>
      <c r="F1838" s="14" t="s">
        <v>4203</v>
      </c>
      <c r="G1838" s="14" t="s">
        <v>4204</v>
      </c>
      <c r="H1838" s="2" t="s">
        <v>16</v>
      </c>
      <c r="I1838" s="2" t="s">
        <v>3488</v>
      </c>
      <c r="J1838" s="2">
        <v>3.0</v>
      </c>
      <c r="K1838" s="23" t="s">
        <v>4836</v>
      </c>
      <c r="L1838" s="11">
        <v>65000.0</v>
      </c>
    </row>
    <row r="1839" hidden="1">
      <c r="A1839" s="8" t="s">
        <v>1539</v>
      </c>
      <c r="B1839" s="8" t="s">
        <v>1539</v>
      </c>
      <c r="C1839" s="13">
        <v>45924.60070601852</v>
      </c>
      <c r="D1839" s="2" t="s">
        <v>1519</v>
      </c>
      <c r="E1839" s="2" t="s">
        <v>1520</v>
      </c>
      <c r="F1839" s="14" t="s">
        <v>4203</v>
      </c>
      <c r="G1839" s="14" t="s">
        <v>4204</v>
      </c>
      <c r="H1839" s="2" t="s">
        <v>24</v>
      </c>
      <c r="I1839" s="2" t="s">
        <v>3491</v>
      </c>
      <c r="J1839" s="2">
        <v>1.0</v>
      </c>
      <c r="K1839" s="23" t="s">
        <v>4406</v>
      </c>
      <c r="L1839" s="11">
        <v>0.0</v>
      </c>
    </row>
    <row r="1840" hidden="1">
      <c r="A1840" s="8" t="s">
        <v>1540</v>
      </c>
      <c r="B1840" s="8" t="s">
        <v>1540</v>
      </c>
      <c r="C1840" s="13">
        <v>45924.608125</v>
      </c>
      <c r="D1840" s="2" t="s">
        <v>1084</v>
      </c>
      <c r="E1840" s="2" t="s">
        <v>1085</v>
      </c>
      <c r="F1840" s="14" t="s">
        <v>3516</v>
      </c>
      <c r="G1840" s="14" t="s">
        <v>3517</v>
      </c>
      <c r="H1840" s="2" t="s">
        <v>24</v>
      </c>
      <c r="I1840" s="2" t="s">
        <v>3491</v>
      </c>
      <c r="J1840" s="2">
        <v>2.0</v>
      </c>
      <c r="K1840" s="23" t="s">
        <v>4837</v>
      </c>
      <c r="L1840" s="11">
        <v>0.0</v>
      </c>
    </row>
    <row r="1841" hidden="1">
      <c r="A1841" s="8" t="s">
        <v>1540</v>
      </c>
      <c r="B1841" s="8" t="s">
        <v>1540</v>
      </c>
      <c r="C1841" s="13">
        <v>45924.608125</v>
      </c>
      <c r="D1841" s="2" t="s">
        <v>1084</v>
      </c>
      <c r="E1841" s="2" t="s">
        <v>1085</v>
      </c>
      <c r="F1841" s="14" t="s">
        <v>4203</v>
      </c>
      <c r="G1841" s="14" t="s">
        <v>4204</v>
      </c>
      <c r="H1841" s="2" t="s">
        <v>24</v>
      </c>
      <c r="I1841" s="2" t="s">
        <v>3491</v>
      </c>
      <c r="J1841" s="2">
        <v>4.0</v>
      </c>
      <c r="K1841" s="23" t="s">
        <v>4838</v>
      </c>
      <c r="L1841" s="11">
        <v>0.0</v>
      </c>
    </row>
    <row r="1842" hidden="1">
      <c r="A1842" s="8" t="s">
        <v>1541</v>
      </c>
      <c r="B1842" s="8" t="s">
        <v>1541</v>
      </c>
      <c r="C1842" s="13">
        <v>45924.63827546296</v>
      </c>
      <c r="D1842" s="2" t="s">
        <v>326</v>
      </c>
      <c r="E1842" s="2" t="s">
        <v>327</v>
      </c>
      <c r="F1842" s="14" t="s">
        <v>3486</v>
      </c>
      <c r="G1842" s="14" t="s">
        <v>3487</v>
      </c>
      <c r="H1842" s="2" t="s">
        <v>16</v>
      </c>
      <c r="I1842" s="2" t="s">
        <v>3488</v>
      </c>
      <c r="J1842" s="2">
        <v>20.0</v>
      </c>
      <c r="K1842" s="23" t="s">
        <v>4839</v>
      </c>
      <c r="L1842" s="11">
        <v>45000.0</v>
      </c>
    </row>
    <row r="1843" hidden="1">
      <c r="A1843" s="8" t="s">
        <v>1542</v>
      </c>
      <c r="B1843" s="8" t="s">
        <v>1542</v>
      </c>
      <c r="C1843" s="13">
        <v>45925.35712962963</v>
      </c>
      <c r="D1843" s="2" t="s">
        <v>943</v>
      </c>
      <c r="E1843" s="2" t="s">
        <v>944</v>
      </c>
      <c r="F1843" s="14" t="s">
        <v>3506</v>
      </c>
      <c r="G1843" s="14" t="s">
        <v>3507</v>
      </c>
      <c r="H1843" s="2" t="s">
        <v>16</v>
      </c>
      <c r="I1843" s="2" t="s">
        <v>3488</v>
      </c>
      <c r="J1843" s="2">
        <v>2.0</v>
      </c>
      <c r="K1843" s="23" t="s">
        <v>4670</v>
      </c>
      <c r="L1843" s="11">
        <v>50000.0</v>
      </c>
    </row>
    <row r="1844" hidden="1">
      <c r="A1844" s="8" t="s">
        <v>1543</v>
      </c>
      <c r="B1844" s="8" t="s">
        <v>1543</v>
      </c>
      <c r="C1844" s="13">
        <v>45925.35748842593</v>
      </c>
      <c r="D1844" s="2" t="s">
        <v>943</v>
      </c>
      <c r="E1844" s="2" t="s">
        <v>944</v>
      </c>
      <c r="F1844" s="14" t="s">
        <v>3486</v>
      </c>
      <c r="G1844" s="14" t="s">
        <v>3487</v>
      </c>
      <c r="H1844" s="2" t="s">
        <v>159</v>
      </c>
      <c r="I1844" s="2" t="s">
        <v>3619</v>
      </c>
      <c r="J1844" s="2">
        <v>1.0</v>
      </c>
      <c r="K1844" s="23" t="s">
        <v>4612</v>
      </c>
      <c r="L1844" s="11">
        <v>50000.0</v>
      </c>
    </row>
    <row r="1845" hidden="1">
      <c r="A1845" s="8" t="s">
        <v>1544</v>
      </c>
      <c r="B1845" s="8" t="s">
        <v>1544</v>
      </c>
      <c r="C1845" s="13">
        <v>45925.37299768518</v>
      </c>
      <c r="D1845" s="2" t="s">
        <v>169</v>
      </c>
      <c r="E1845" s="2" t="s">
        <v>170</v>
      </c>
      <c r="F1845" s="14" t="s">
        <v>3522</v>
      </c>
      <c r="G1845" s="14" t="s">
        <v>3523</v>
      </c>
      <c r="H1845" s="2" t="s">
        <v>16</v>
      </c>
      <c r="I1845" s="2" t="s">
        <v>3488</v>
      </c>
      <c r="J1845" s="2">
        <v>6.0</v>
      </c>
      <c r="K1845" s="23" t="s">
        <v>4840</v>
      </c>
      <c r="L1845" s="11">
        <v>195000.0</v>
      </c>
    </row>
    <row r="1846" hidden="1">
      <c r="A1846" s="8" t="s">
        <v>1545</v>
      </c>
      <c r="B1846" s="8" t="s">
        <v>1545</v>
      </c>
      <c r="C1846" s="13">
        <v>45925.45459490741</v>
      </c>
      <c r="D1846" s="2" t="s">
        <v>943</v>
      </c>
      <c r="E1846" s="2" t="s">
        <v>944</v>
      </c>
      <c r="F1846" s="14" t="s">
        <v>4203</v>
      </c>
      <c r="G1846" s="14" t="s">
        <v>4204</v>
      </c>
      <c r="H1846" s="2" t="s">
        <v>24</v>
      </c>
      <c r="I1846" s="2" t="s">
        <v>3491</v>
      </c>
      <c r="J1846" s="2">
        <v>1.0</v>
      </c>
      <c r="K1846" s="23" t="s">
        <v>4841</v>
      </c>
      <c r="L1846" s="11">
        <v>0.0</v>
      </c>
    </row>
    <row r="1847" hidden="1">
      <c r="A1847" s="8" t="s">
        <v>1545</v>
      </c>
      <c r="B1847" s="8" t="s">
        <v>1545</v>
      </c>
      <c r="C1847" s="13">
        <v>45925.45459490741</v>
      </c>
      <c r="D1847" s="2" t="s">
        <v>943</v>
      </c>
      <c r="E1847" s="2" t="s">
        <v>944</v>
      </c>
      <c r="F1847" s="14" t="s">
        <v>3486</v>
      </c>
      <c r="G1847" s="14" t="s">
        <v>3487</v>
      </c>
      <c r="H1847" s="2" t="s">
        <v>24</v>
      </c>
      <c r="I1847" s="2" t="s">
        <v>3614</v>
      </c>
      <c r="J1847" s="2">
        <v>1.0</v>
      </c>
      <c r="K1847" s="23" t="s">
        <v>4842</v>
      </c>
      <c r="L1847" s="11">
        <v>0.0</v>
      </c>
    </row>
    <row r="1848">
      <c r="A1848" s="8" t="s">
        <v>1546</v>
      </c>
      <c r="B1848" s="8" t="s">
        <v>1546</v>
      </c>
      <c r="C1848" s="13">
        <v>45925.46853009259</v>
      </c>
      <c r="D1848" s="2" t="s">
        <v>45</v>
      </c>
      <c r="E1848" s="2" t="s">
        <v>46</v>
      </c>
      <c r="F1848" s="14" t="s">
        <v>3522</v>
      </c>
      <c r="G1848" s="14" t="s">
        <v>3523</v>
      </c>
      <c r="H1848" s="2" t="s">
        <v>24</v>
      </c>
      <c r="I1848" s="2" t="s">
        <v>3491</v>
      </c>
      <c r="J1848" s="2">
        <v>4.0</v>
      </c>
      <c r="K1848" s="23" t="s">
        <v>4843</v>
      </c>
      <c r="L1848" s="11">
        <v>0.0</v>
      </c>
    </row>
    <row r="1849" hidden="1">
      <c r="A1849" s="8" t="s">
        <v>1547</v>
      </c>
      <c r="B1849" s="8" t="s">
        <v>1547</v>
      </c>
      <c r="C1849" s="13">
        <v>45925.469872685186</v>
      </c>
      <c r="D1849" s="2" t="s">
        <v>951</v>
      </c>
      <c r="E1849" s="2" t="s">
        <v>952</v>
      </c>
      <c r="F1849" s="14" t="s">
        <v>3486</v>
      </c>
      <c r="G1849" s="14" t="s">
        <v>3487</v>
      </c>
      <c r="H1849" s="2" t="s">
        <v>24</v>
      </c>
      <c r="I1849" s="2" t="s">
        <v>3491</v>
      </c>
      <c r="J1849" s="2">
        <v>3.0</v>
      </c>
      <c r="K1849" s="23" t="s">
        <v>4844</v>
      </c>
      <c r="L1849" s="11">
        <v>0.0</v>
      </c>
    </row>
    <row r="1850" hidden="1">
      <c r="A1850" s="8" t="s">
        <v>1548</v>
      </c>
      <c r="B1850" s="8" t="s">
        <v>1548</v>
      </c>
      <c r="C1850" s="13">
        <v>45925.47076388889</v>
      </c>
      <c r="D1850" s="2" t="s">
        <v>326</v>
      </c>
      <c r="E1850" s="2" t="s">
        <v>327</v>
      </c>
      <c r="F1850" s="14" t="s">
        <v>3486</v>
      </c>
      <c r="G1850" s="14" t="s">
        <v>3487</v>
      </c>
      <c r="H1850" s="2" t="s">
        <v>24</v>
      </c>
      <c r="I1850" s="2" t="s">
        <v>3491</v>
      </c>
      <c r="J1850" s="2">
        <v>8.0</v>
      </c>
      <c r="K1850" s="23" t="s">
        <v>4845</v>
      </c>
      <c r="L1850" s="11">
        <v>0.0</v>
      </c>
    </row>
    <row r="1851" hidden="1">
      <c r="A1851" s="8" t="s">
        <v>1549</v>
      </c>
      <c r="B1851" s="8" t="s">
        <v>1549</v>
      </c>
      <c r="C1851" s="13">
        <v>45925.59806712963</v>
      </c>
      <c r="D1851" s="2" t="s">
        <v>169</v>
      </c>
      <c r="E1851" s="2" t="s">
        <v>170</v>
      </c>
      <c r="F1851" s="14" t="s">
        <v>3486</v>
      </c>
      <c r="G1851" s="14" t="s">
        <v>3487</v>
      </c>
      <c r="H1851" s="2" t="s">
        <v>24</v>
      </c>
      <c r="I1851" s="2" t="s">
        <v>3491</v>
      </c>
      <c r="J1851" s="2">
        <v>1.0</v>
      </c>
      <c r="K1851" s="23" t="s">
        <v>4132</v>
      </c>
      <c r="L1851" s="11">
        <v>0.0</v>
      </c>
    </row>
    <row r="1852" hidden="1">
      <c r="A1852" s="8" t="s">
        <v>1549</v>
      </c>
      <c r="B1852" s="8" t="s">
        <v>1549</v>
      </c>
      <c r="C1852" s="13">
        <v>45925.59806712963</v>
      </c>
      <c r="D1852" s="2" t="s">
        <v>169</v>
      </c>
      <c r="E1852" s="2" t="s">
        <v>170</v>
      </c>
      <c r="F1852" s="14" t="s">
        <v>3522</v>
      </c>
      <c r="G1852" s="14" t="s">
        <v>3523</v>
      </c>
      <c r="H1852" s="2" t="s">
        <v>24</v>
      </c>
      <c r="I1852" s="2" t="s">
        <v>3491</v>
      </c>
      <c r="J1852" s="2">
        <v>6.0</v>
      </c>
      <c r="K1852" s="23" t="s">
        <v>4846</v>
      </c>
      <c r="L1852" s="11">
        <v>0.0</v>
      </c>
    </row>
    <row r="1853" hidden="1">
      <c r="A1853" s="8" t="s">
        <v>1550</v>
      </c>
      <c r="B1853" s="8" t="s">
        <v>1550</v>
      </c>
      <c r="C1853" s="13">
        <v>45926.343506944446</v>
      </c>
      <c r="D1853" s="2" t="s">
        <v>1311</v>
      </c>
      <c r="E1853" s="2" t="s">
        <v>1010</v>
      </c>
      <c r="F1853" s="14" t="s">
        <v>4203</v>
      </c>
      <c r="G1853" s="14" t="s">
        <v>4204</v>
      </c>
      <c r="H1853" s="2" t="s">
        <v>16</v>
      </c>
      <c r="I1853" s="2" t="s">
        <v>3488</v>
      </c>
      <c r="J1853" s="2">
        <v>1.0</v>
      </c>
      <c r="K1853" s="23" t="s">
        <v>4183</v>
      </c>
      <c r="L1853" s="11">
        <v>80000.0</v>
      </c>
    </row>
    <row r="1854" hidden="1">
      <c r="A1854" s="8" t="s">
        <v>1551</v>
      </c>
      <c r="B1854" s="8" t="s">
        <v>1551</v>
      </c>
      <c r="C1854" s="13">
        <v>45926.36158564815</v>
      </c>
      <c r="D1854" s="2" t="s">
        <v>1311</v>
      </c>
      <c r="E1854" s="2" t="s">
        <v>1010</v>
      </c>
      <c r="F1854" s="14" t="s">
        <v>4203</v>
      </c>
      <c r="G1854" s="14" t="s">
        <v>4204</v>
      </c>
      <c r="H1854" s="2" t="s">
        <v>24</v>
      </c>
      <c r="I1854" s="2" t="s">
        <v>3491</v>
      </c>
      <c r="J1854" s="2">
        <v>1.0</v>
      </c>
      <c r="K1854" s="23" t="s">
        <v>4412</v>
      </c>
      <c r="L1854" s="11">
        <v>0.0</v>
      </c>
    </row>
    <row r="1855" hidden="1">
      <c r="A1855" s="8" t="s">
        <v>1551</v>
      </c>
      <c r="B1855" s="8" t="s">
        <v>1551</v>
      </c>
      <c r="C1855" s="13">
        <v>45926.36158564815</v>
      </c>
      <c r="D1855" s="2" t="s">
        <v>1311</v>
      </c>
      <c r="E1855" s="2" t="s">
        <v>1010</v>
      </c>
      <c r="F1855" s="14" t="s">
        <v>3506</v>
      </c>
      <c r="G1855" s="14" t="s">
        <v>3507</v>
      </c>
      <c r="H1855" s="2" t="s">
        <v>24</v>
      </c>
      <c r="I1855" s="2" t="s">
        <v>3491</v>
      </c>
      <c r="J1855" s="2">
        <v>2.0</v>
      </c>
      <c r="K1855" s="23" t="s">
        <v>4847</v>
      </c>
      <c r="L1855" s="11">
        <v>0.0</v>
      </c>
    </row>
    <row r="1856" hidden="1">
      <c r="A1856" s="8" t="s">
        <v>1552</v>
      </c>
      <c r="B1856" s="8" t="s">
        <v>1552</v>
      </c>
      <c r="C1856" s="13">
        <v>45926.61864583333</v>
      </c>
      <c r="D1856" s="2" t="s">
        <v>904</v>
      </c>
      <c r="E1856" s="2" t="s">
        <v>905</v>
      </c>
      <c r="F1856" s="14" t="s">
        <v>4203</v>
      </c>
      <c r="G1856" s="14" t="s">
        <v>4204</v>
      </c>
      <c r="H1856" s="2" t="s">
        <v>16</v>
      </c>
      <c r="I1856" s="2" t="s">
        <v>3488</v>
      </c>
      <c r="J1856" s="2">
        <v>2.0</v>
      </c>
      <c r="K1856" s="23" t="s">
        <v>4848</v>
      </c>
      <c r="L1856" s="11">
        <v>75000.0</v>
      </c>
    </row>
    <row r="1857">
      <c r="A1857" s="8" t="s">
        <v>1553</v>
      </c>
      <c r="B1857" s="8" t="s">
        <v>1553</v>
      </c>
      <c r="C1857" s="13">
        <v>45927.36041666667</v>
      </c>
      <c r="D1857" s="2" t="s">
        <v>45</v>
      </c>
      <c r="E1857" s="2" t="s">
        <v>46</v>
      </c>
      <c r="F1857" s="14" t="s">
        <v>3522</v>
      </c>
      <c r="G1857" s="14" t="s">
        <v>3523</v>
      </c>
      <c r="H1857" s="2" t="s">
        <v>16</v>
      </c>
      <c r="I1857" s="2" t="s">
        <v>3488</v>
      </c>
      <c r="J1857" s="2">
        <v>10.0</v>
      </c>
      <c r="K1857" s="23" t="s">
        <v>4849</v>
      </c>
      <c r="L1857" s="11">
        <v>185000.0</v>
      </c>
    </row>
    <row r="1858" hidden="1">
      <c r="A1858" s="8" t="s">
        <v>1554</v>
      </c>
      <c r="B1858" s="8" t="s">
        <v>1554</v>
      </c>
      <c r="C1858" s="13">
        <v>45927.361805555556</v>
      </c>
      <c r="D1858" s="2" t="s">
        <v>464</v>
      </c>
      <c r="E1858" s="2" t="s">
        <v>465</v>
      </c>
      <c r="F1858" s="14" t="s">
        <v>4203</v>
      </c>
      <c r="G1858" s="14" t="s">
        <v>4204</v>
      </c>
      <c r="H1858" s="2" t="s">
        <v>16</v>
      </c>
      <c r="I1858" s="2" t="s">
        <v>3488</v>
      </c>
      <c r="J1858" s="2">
        <v>5.0</v>
      </c>
      <c r="K1858" s="23" t="s">
        <v>4850</v>
      </c>
      <c r="L1858" s="11">
        <v>55000.0</v>
      </c>
    </row>
    <row r="1859" hidden="1">
      <c r="A1859" s="8" t="s">
        <v>1555</v>
      </c>
      <c r="B1859" s="8" t="s">
        <v>1555</v>
      </c>
      <c r="C1859" s="13">
        <v>45927.368055555555</v>
      </c>
      <c r="D1859" s="2" t="s">
        <v>493</v>
      </c>
      <c r="E1859" s="2" t="s">
        <v>494</v>
      </c>
      <c r="F1859" s="14" t="s">
        <v>3486</v>
      </c>
      <c r="G1859" s="14" t="s">
        <v>3487</v>
      </c>
      <c r="H1859" s="2" t="s">
        <v>159</v>
      </c>
      <c r="I1859" s="2" t="s">
        <v>3619</v>
      </c>
      <c r="J1859" s="2">
        <v>2.0</v>
      </c>
      <c r="K1859" s="23" t="s">
        <v>4851</v>
      </c>
      <c r="L1859" s="11">
        <v>50000.0</v>
      </c>
    </row>
    <row r="1860">
      <c r="A1860" s="8" t="s">
        <v>1556</v>
      </c>
      <c r="B1860" s="8" t="s">
        <v>1556</v>
      </c>
      <c r="C1860" s="13">
        <v>45927.390752314815</v>
      </c>
      <c r="D1860" s="2" t="s">
        <v>45</v>
      </c>
      <c r="E1860" s="2" t="s">
        <v>46</v>
      </c>
      <c r="F1860" s="14" t="s">
        <v>3522</v>
      </c>
      <c r="G1860" s="14" t="s">
        <v>3523</v>
      </c>
      <c r="H1860" s="2" t="s">
        <v>24</v>
      </c>
      <c r="I1860" s="2" t="s">
        <v>3491</v>
      </c>
      <c r="J1860" s="2">
        <v>1.0</v>
      </c>
      <c r="K1860" s="23" t="s">
        <v>4852</v>
      </c>
      <c r="L1860" s="11">
        <v>0.0</v>
      </c>
    </row>
    <row r="1861" hidden="1">
      <c r="A1861" s="8" t="s">
        <v>1557</v>
      </c>
      <c r="B1861" s="8" t="s">
        <v>1557</v>
      </c>
      <c r="C1861" s="13">
        <v>45927.47534722222</v>
      </c>
      <c r="D1861" s="2" t="s">
        <v>493</v>
      </c>
      <c r="E1861" s="2" t="s">
        <v>494</v>
      </c>
      <c r="F1861" s="14" t="s">
        <v>3486</v>
      </c>
      <c r="G1861" s="14" t="s">
        <v>3487</v>
      </c>
      <c r="H1861" s="2" t="s">
        <v>24</v>
      </c>
      <c r="I1861" s="2" t="s">
        <v>3491</v>
      </c>
      <c r="J1861" s="2">
        <v>8.0</v>
      </c>
      <c r="K1861" s="23" t="s">
        <v>4853</v>
      </c>
      <c r="L1861" s="11">
        <v>0.0</v>
      </c>
    </row>
    <row r="1862" hidden="1">
      <c r="A1862" s="8" t="s">
        <v>1557</v>
      </c>
      <c r="B1862" s="8" t="s">
        <v>1557</v>
      </c>
      <c r="C1862" s="13">
        <v>45927.47534722222</v>
      </c>
      <c r="D1862" s="2" t="s">
        <v>493</v>
      </c>
      <c r="E1862" s="2" t="s">
        <v>494</v>
      </c>
      <c r="F1862" s="14" t="s">
        <v>3486</v>
      </c>
      <c r="G1862" s="14" t="s">
        <v>3487</v>
      </c>
      <c r="H1862" s="2" t="s">
        <v>24</v>
      </c>
      <c r="I1862" s="2" t="s">
        <v>3614</v>
      </c>
      <c r="J1862" s="2">
        <v>1.0</v>
      </c>
      <c r="K1862" s="23" t="s">
        <v>4854</v>
      </c>
      <c r="L1862" s="11">
        <v>0.0</v>
      </c>
    </row>
    <row r="1863" hidden="1">
      <c r="A1863" s="8" t="s">
        <v>1558</v>
      </c>
      <c r="B1863" s="8" t="s">
        <v>1558</v>
      </c>
      <c r="C1863" s="13">
        <v>45927.478530092594</v>
      </c>
      <c r="D1863" s="2" t="s">
        <v>464</v>
      </c>
      <c r="E1863" s="2" t="s">
        <v>465</v>
      </c>
      <c r="F1863" s="14" t="s">
        <v>3506</v>
      </c>
      <c r="G1863" s="14" t="s">
        <v>3507</v>
      </c>
      <c r="H1863" s="2" t="s">
        <v>24</v>
      </c>
      <c r="I1863" s="2" t="s">
        <v>3491</v>
      </c>
      <c r="J1863" s="2">
        <v>1.0</v>
      </c>
      <c r="K1863" s="23" t="s">
        <v>4724</v>
      </c>
      <c r="L1863" s="11">
        <v>0.0</v>
      </c>
    </row>
    <row r="1864" hidden="1">
      <c r="A1864" s="8" t="s">
        <v>1559</v>
      </c>
      <c r="B1864" s="8" t="s">
        <v>1559</v>
      </c>
      <c r="C1864" s="13">
        <v>45927.47888888889</v>
      </c>
      <c r="D1864" s="2" t="s">
        <v>326</v>
      </c>
      <c r="E1864" s="2" t="s">
        <v>327</v>
      </c>
      <c r="F1864" s="14" t="s">
        <v>3486</v>
      </c>
      <c r="G1864" s="14" t="s">
        <v>3487</v>
      </c>
      <c r="H1864" s="2" t="s">
        <v>24</v>
      </c>
      <c r="I1864" s="2" t="s">
        <v>3491</v>
      </c>
      <c r="J1864" s="2">
        <v>2.0</v>
      </c>
      <c r="K1864" s="23" t="s">
        <v>4855</v>
      </c>
      <c r="L1864" s="11">
        <v>0.0</v>
      </c>
    </row>
    <row r="1865" hidden="1">
      <c r="A1865" s="8" t="s">
        <v>1560</v>
      </c>
      <c r="B1865" s="8" t="s">
        <v>1560</v>
      </c>
      <c r="C1865" s="13">
        <v>45927.486921296295</v>
      </c>
      <c r="D1865" s="2" t="s">
        <v>20</v>
      </c>
      <c r="E1865" s="2" t="s">
        <v>21</v>
      </c>
      <c r="F1865" s="14" t="s">
        <v>3486</v>
      </c>
      <c r="G1865" s="14" t="s">
        <v>3487</v>
      </c>
      <c r="H1865" s="2" t="s">
        <v>16</v>
      </c>
      <c r="I1865" s="2" t="s">
        <v>3488</v>
      </c>
      <c r="J1865" s="2">
        <v>6.0</v>
      </c>
      <c r="K1865" s="23" t="s">
        <v>4856</v>
      </c>
      <c r="L1865" s="11">
        <v>60000.0</v>
      </c>
    </row>
    <row r="1866" hidden="1">
      <c r="A1866" s="8" t="s">
        <v>1544</v>
      </c>
      <c r="B1866" s="8" t="s">
        <v>1544</v>
      </c>
      <c r="C1866" s="13">
        <v>45925.37299768518</v>
      </c>
      <c r="D1866" s="2" t="s">
        <v>169</v>
      </c>
      <c r="E1866" s="2" t="s">
        <v>170</v>
      </c>
      <c r="F1866" s="14" t="s">
        <v>4729</v>
      </c>
      <c r="G1866" s="14" t="s">
        <v>4730</v>
      </c>
      <c r="H1866" s="2" t="s">
        <v>16</v>
      </c>
      <c r="I1866" s="2" t="s">
        <v>3488</v>
      </c>
      <c r="J1866" s="2">
        <v>1.0</v>
      </c>
      <c r="K1866" s="19"/>
      <c r="L1866" s="11">
        <v>100000.0</v>
      </c>
    </row>
    <row r="1867" hidden="1">
      <c r="A1867" s="8" t="s">
        <v>1455</v>
      </c>
      <c r="B1867" s="8" t="s">
        <v>1455</v>
      </c>
      <c r="C1867" s="13">
        <v>45911.3612037037</v>
      </c>
      <c r="D1867" s="2" t="s">
        <v>169</v>
      </c>
      <c r="E1867" s="2" t="s">
        <v>170</v>
      </c>
      <c r="F1867" s="14" t="s">
        <v>4729</v>
      </c>
      <c r="G1867" s="14" t="s">
        <v>4730</v>
      </c>
      <c r="H1867" s="2" t="s">
        <v>16</v>
      </c>
      <c r="I1867" s="2" t="s">
        <v>3488</v>
      </c>
      <c r="J1867" s="2">
        <v>1.0</v>
      </c>
      <c r="K1867" s="19"/>
      <c r="L1867" s="11">
        <v>100000.0</v>
      </c>
    </row>
    <row r="1868" hidden="1">
      <c r="A1868" s="8" t="s">
        <v>1561</v>
      </c>
      <c r="B1868" s="8" t="s">
        <v>1561</v>
      </c>
      <c r="C1868" s="13">
        <v>45927.59462962963</v>
      </c>
      <c r="D1868" s="2" t="s">
        <v>20</v>
      </c>
      <c r="E1868" s="2" t="s">
        <v>21</v>
      </c>
      <c r="F1868" s="14" t="s">
        <v>3486</v>
      </c>
      <c r="G1868" s="14" t="s">
        <v>3487</v>
      </c>
      <c r="H1868" s="2" t="s">
        <v>24</v>
      </c>
      <c r="I1868" s="2" t="s">
        <v>3491</v>
      </c>
      <c r="J1868" s="2">
        <v>8.0</v>
      </c>
      <c r="K1868" s="23" t="s">
        <v>4857</v>
      </c>
      <c r="L1868" s="11">
        <v>0.0</v>
      </c>
    </row>
    <row r="1869" hidden="1">
      <c r="A1869" s="8" t="s">
        <v>1562</v>
      </c>
      <c r="B1869" s="8" t="s">
        <v>1562</v>
      </c>
      <c r="C1869" s="13">
        <v>45927.606516203705</v>
      </c>
      <c r="D1869" s="2" t="s">
        <v>1406</v>
      </c>
      <c r="E1869" s="2" t="s">
        <v>1407</v>
      </c>
      <c r="F1869" s="14" t="s">
        <v>3506</v>
      </c>
      <c r="G1869" s="14" t="s">
        <v>3507</v>
      </c>
      <c r="H1869" s="2" t="s">
        <v>24</v>
      </c>
      <c r="I1869" s="2" t="s">
        <v>3491</v>
      </c>
      <c r="J1869" s="2">
        <v>2.0</v>
      </c>
      <c r="K1869" s="23" t="s">
        <v>4858</v>
      </c>
      <c r="L1869" s="11">
        <v>0.0</v>
      </c>
    </row>
    <row r="1870" hidden="1">
      <c r="A1870" s="8" t="s">
        <v>1563</v>
      </c>
      <c r="B1870" s="8" t="s">
        <v>1563</v>
      </c>
      <c r="C1870" s="13">
        <v>45929.37200231481</v>
      </c>
      <c r="D1870" s="2" t="s">
        <v>1564</v>
      </c>
      <c r="E1870" s="2" t="s">
        <v>1565</v>
      </c>
      <c r="F1870" s="14" t="s">
        <v>4203</v>
      </c>
      <c r="G1870" s="14" t="s">
        <v>4204</v>
      </c>
      <c r="H1870" s="2" t="s">
        <v>16</v>
      </c>
      <c r="I1870" s="2" t="s">
        <v>3488</v>
      </c>
      <c r="J1870" s="2">
        <v>1.0</v>
      </c>
      <c r="K1870" s="23" t="s">
        <v>4859</v>
      </c>
      <c r="L1870" s="11">
        <v>80000.0</v>
      </c>
    </row>
    <row r="1871" hidden="1">
      <c r="A1871" s="8" t="s">
        <v>1563</v>
      </c>
      <c r="B1871" s="8" t="s">
        <v>1563</v>
      </c>
      <c r="C1871" s="13">
        <v>45929.37200231481</v>
      </c>
      <c r="D1871" s="2" t="s">
        <v>1564</v>
      </c>
      <c r="E1871" s="2" t="s">
        <v>1565</v>
      </c>
      <c r="F1871" s="14" t="s">
        <v>3493</v>
      </c>
      <c r="G1871" s="14" t="s">
        <v>3494</v>
      </c>
      <c r="H1871" s="2" t="s">
        <v>16</v>
      </c>
      <c r="I1871" s="2" t="s">
        <v>3488</v>
      </c>
      <c r="J1871" s="2">
        <v>1.0</v>
      </c>
      <c r="K1871" s="23" t="s">
        <v>4688</v>
      </c>
      <c r="L1871" s="11">
        <v>210000.0</v>
      </c>
    </row>
    <row r="1872" hidden="1">
      <c r="A1872" s="8" t="s">
        <v>1567</v>
      </c>
      <c r="B1872" s="8" t="s">
        <v>1567</v>
      </c>
      <c r="C1872" s="13">
        <v>45929.42978009259</v>
      </c>
      <c r="D1872" s="2" t="s">
        <v>1311</v>
      </c>
      <c r="E1872" s="2" t="s">
        <v>1010</v>
      </c>
      <c r="F1872" s="14" t="s">
        <v>3506</v>
      </c>
      <c r="G1872" s="14" t="s">
        <v>3507</v>
      </c>
      <c r="H1872" s="2" t="s">
        <v>16</v>
      </c>
      <c r="I1872" s="2" t="s">
        <v>3488</v>
      </c>
      <c r="J1872" s="2">
        <v>2.0</v>
      </c>
      <c r="K1872" s="23" t="s">
        <v>4847</v>
      </c>
      <c r="L1872" s="11">
        <v>70000.0</v>
      </c>
    </row>
    <row r="1873" hidden="1">
      <c r="A1873" s="8" t="s">
        <v>1568</v>
      </c>
      <c r="B1873" s="8" t="s">
        <v>1568</v>
      </c>
      <c r="C1873" s="13">
        <v>45929.50282407407</v>
      </c>
      <c r="D1873" s="2" t="s">
        <v>49</v>
      </c>
      <c r="E1873" s="2" t="s">
        <v>50</v>
      </c>
      <c r="F1873" s="14" t="s">
        <v>3486</v>
      </c>
      <c r="G1873" s="14" t="s">
        <v>3487</v>
      </c>
      <c r="H1873" s="2" t="s">
        <v>24</v>
      </c>
      <c r="I1873" s="2" t="s">
        <v>3491</v>
      </c>
      <c r="J1873" s="2">
        <v>2.0</v>
      </c>
      <c r="K1873" s="23" t="s">
        <v>4860</v>
      </c>
      <c r="L1873" s="11">
        <v>0.0</v>
      </c>
    </row>
    <row r="1874" hidden="1">
      <c r="A1874" s="8" t="s">
        <v>1569</v>
      </c>
      <c r="B1874" s="8" t="s">
        <v>1569</v>
      </c>
      <c r="C1874" s="13">
        <v>45929.50518518518</v>
      </c>
      <c r="D1874" s="2" t="s">
        <v>55</v>
      </c>
      <c r="E1874" s="2" t="s">
        <v>56</v>
      </c>
      <c r="F1874" s="14" t="s">
        <v>3486</v>
      </c>
      <c r="G1874" s="14" t="s">
        <v>3487</v>
      </c>
      <c r="H1874" s="2" t="s">
        <v>24</v>
      </c>
      <c r="I1874" s="2" t="s">
        <v>3491</v>
      </c>
      <c r="J1874" s="2">
        <v>2.0</v>
      </c>
      <c r="K1874" s="23" t="s">
        <v>4861</v>
      </c>
      <c r="L1874" s="11">
        <v>0.0</v>
      </c>
    </row>
    <row r="1875" hidden="1">
      <c r="A1875" s="8" t="s">
        <v>1570</v>
      </c>
      <c r="B1875" s="8" t="s">
        <v>1570</v>
      </c>
      <c r="C1875" s="13">
        <v>45929.50572916667</v>
      </c>
      <c r="D1875" s="2" t="s">
        <v>109</v>
      </c>
      <c r="E1875" s="2" t="s">
        <v>110</v>
      </c>
      <c r="F1875" s="14" t="s">
        <v>3486</v>
      </c>
      <c r="G1875" s="14" t="s">
        <v>3487</v>
      </c>
      <c r="H1875" s="2" t="s">
        <v>24</v>
      </c>
      <c r="I1875" s="2" t="s">
        <v>3491</v>
      </c>
      <c r="J1875" s="2">
        <v>2.0</v>
      </c>
      <c r="K1875" s="23" t="s">
        <v>4862</v>
      </c>
      <c r="L1875" s="11">
        <v>0.0</v>
      </c>
    </row>
    <row r="1876" hidden="1">
      <c r="A1876" s="8" t="s">
        <v>1570</v>
      </c>
      <c r="B1876" s="8" t="s">
        <v>1570</v>
      </c>
      <c r="C1876" s="13">
        <v>45929.50572916667</v>
      </c>
      <c r="D1876" s="2" t="s">
        <v>109</v>
      </c>
      <c r="E1876" s="2" t="s">
        <v>110</v>
      </c>
      <c r="F1876" s="14" t="s">
        <v>3522</v>
      </c>
      <c r="G1876" s="14" t="s">
        <v>3523</v>
      </c>
      <c r="H1876" s="2" t="s">
        <v>24</v>
      </c>
      <c r="I1876" s="2" t="s">
        <v>3491</v>
      </c>
      <c r="J1876" s="2">
        <v>1.0</v>
      </c>
      <c r="K1876" s="23" t="s">
        <v>4339</v>
      </c>
      <c r="L1876" s="11">
        <v>0.0</v>
      </c>
    </row>
    <row r="1877" hidden="1">
      <c r="A1877" s="8" t="s">
        <v>1571</v>
      </c>
      <c r="B1877" s="8" t="s">
        <v>1571</v>
      </c>
      <c r="C1877" s="13">
        <v>45929.50630787037</v>
      </c>
      <c r="D1877" s="2" t="s">
        <v>951</v>
      </c>
      <c r="E1877" s="2" t="s">
        <v>952</v>
      </c>
      <c r="F1877" s="14" t="s">
        <v>3486</v>
      </c>
      <c r="G1877" s="14" t="s">
        <v>3487</v>
      </c>
      <c r="H1877" s="2" t="s">
        <v>24</v>
      </c>
      <c r="I1877" s="2" t="s">
        <v>3491</v>
      </c>
      <c r="J1877" s="2">
        <v>2.0</v>
      </c>
      <c r="K1877" s="23" t="s">
        <v>4863</v>
      </c>
      <c r="L1877" s="11">
        <v>0.0</v>
      </c>
    </row>
    <row r="1878" hidden="1">
      <c r="A1878" s="8" t="s">
        <v>1571</v>
      </c>
      <c r="B1878" s="8" t="s">
        <v>1571</v>
      </c>
      <c r="C1878" s="13">
        <v>45929.50630787037</v>
      </c>
      <c r="D1878" s="2" t="s">
        <v>951</v>
      </c>
      <c r="E1878" s="2" t="s">
        <v>952</v>
      </c>
      <c r="F1878" s="14" t="s">
        <v>3516</v>
      </c>
      <c r="G1878" s="14" t="s">
        <v>3517</v>
      </c>
      <c r="H1878" s="2" t="s">
        <v>24</v>
      </c>
      <c r="I1878" s="2" t="s">
        <v>3491</v>
      </c>
      <c r="J1878" s="2">
        <v>1.0</v>
      </c>
      <c r="K1878" s="23" t="s">
        <v>4733</v>
      </c>
      <c r="L1878" s="11">
        <v>0.0</v>
      </c>
    </row>
    <row r="1879" hidden="1">
      <c r="A1879" s="8" t="s">
        <v>1572</v>
      </c>
      <c r="B1879" s="8" t="s">
        <v>1572</v>
      </c>
      <c r="C1879" s="13">
        <v>45929.85039351852</v>
      </c>
      <c r="D1879" s="2" t="s">
        <v>1573</v>
      </c>
      <c r="E1879" s="2" t="s">
        <v>1574</v>
      </c>
      <c r="F1879" s="14" t="s">
        <v>3835</v>
      </c>
      <c r="G1879" s="14" t="s">
        <v>3836</v>
      </c>
      <c r="H1879" s="2" t="s">
        <v>16</v>
      </c>
      <c r="I1879" s="2" t="s">
        <v>3488</v>
      </c>
      <c r="J1879" s="2">
        <v>1.0</v>
      </c>
      <c r="K1879" s="23" t="s">
        <v>4864</v>
      </c>
      <c r="L1879" s="11">
        <v>60000.0</v>
      </c>
    </row>
    <row r="1880" hidden="1">
      <c r="A1880" s="8" t="s">
        <v>1576</v>
      </c>
      <c r="B1880" s="8" t="s">
        <v>1576</v>
      </c>
      <c r="C1880" s="13">
        <v>45930.364270833335</v>
      </c>
      <c r="D1880" s="2" t="s">
        <v>326</v>
      </c>
      <c r="E1880" s="2" t="s">
        <v>327</v>
      </c>
      <c r="F1880" s="14" t="s">
        <v>3486</v>
      </c>
      <c r="G1880" s="14" t="s">
        <v>3487</v>
      </c>
      <c r="H1880" s="2" t="s">
        <v>16</v>
      </c>
      <c r="I1880" s="2" t="s">
        <v>3488</v>
      </c>
      <c r="J1880" s="2">
        <v>20.0</v>
      </c>
      <c r="K1880" s="23" t="s">
        <v>4865</v>
      </c>
      <c r="L1880" s="11">
        <v>45000.0</v>
      </c>
    </row>
    <row r="1881" hidden="1">
      <c r="A1881" s="8" t="s">
        <v>1577</v>
      </c>
      <c r="B1881" s="8" t="s">
        <v>1577</v>
      </c>
      <c r="C1881" s="13">
        <v>45930.366956018515</v>
      </c>
      <c r="D1881" s="2" t="s">
        <v>20</v>
      </c>
      <c r="E1881" s="2" t="s">
        <v>21</v>
      </c>
      <c r="F1881" s="14" t="s">
        <v>3486</v>
      </c>
      <c r="G1881" s="14" t="s">
        <v>3487</v>
      </c>
      <c r="H1881" s="2" t="s">
        <v>16</v>
      </c>
      <c r="I1881" s="2" t="s">
        <v>3488</v>
      </c>
      <c r="J1881" s="2">
        <v>6.0</v>
      </c>
      <c r="K1881" s="23" t="s">
        <v>4866</v>
      </c>
      <c r="L1881" s="11">
        <v>60000.0</v>
      </c>
    </row>
    <row r="1882" hidden="1">
      <c r="A1882" s="8" t="s">
        <v>1577</v>
      </c>
      <c r="B1882" s="8" t="s">
        <v>1577</v>
      </c>
      <c r="C1882" s="13">
        <v>45930.366956018515</v>
      </c>
      <c r="D1882" s="2" t="s">
        <v>20</v>
      </c>
      <c r="E1882" s="2" t="s">
        <v>21</v>
      </c>
      <c r="F1882" s="14" t="s">
        <v>4203</v>
      </c>
      <c r="G1882" s="14" t="s">
        <v>4204</v>
      </c>
      <c r="H1882" s="2" t="s">
        <v>16</v>
      </c>
      <c r="I1882" s="2" t="s">
        <v>3488</v>
      </c>
      <c r="J1882" s="2">
        <v>4.0</v>
      </c>
      <c r="K1882" s="23" t="s">
        <v>4867</v>
      </c>
      <c r="L1882" s="11">
        <v>60000.0</v>
      </c>
    </row>
    <row r="1883" hidden="1">
      <c r="A1883" s="8" t="s">
        <v>1577</v>
      </c>
      <c r="B1883" s="8" t="s">
        <v>1577</v>
      </c>
      <c r="C1883" s="13">
        <v>45930.366956018515</v>
      </c>
      <c r="D1883" s="2" t="s">
        <v>20</v>
      </c>
      <c r="E1883" s="2" t="s">
        <v>21</v>
      </c>
      <c r="F1883" s="14" t="s">
        <v>3493</v>
      </c>
      <c r="G1883" s="14" t="s">
        <v>3494</v>
      </c>
      <c r="H1883" s="2" t="s">
        <v>16</v>
      </c>
      <c r="I1883" s="2" t="s">
        <v>3488</v>
      </c>
      <c r="J1883" s="2">
        <v>1.0</v>
      </c>
      <c r="K1883" s="23" t="s">
        <v>4688</v>
      </c>
      <c r="L1883" s="11">
        <v>210000.0</v>
      </c>
    </row>
    <row r="1884" hidden="1">
      <c r="A1884" s="8" t="s">
        <v>1578</v>
      </c>
      <c r="B1884" s="8" t="s">
        <v>1578</v>
      </c>
      <c r="C1884" s="13">
        <v>45930.372453703705</v>
      </c>
      <c r="D1884" s="2" t="s">
        <v>464</v>
      </c>
      <c r="E1884" s="2" t="s">
        <v>465</v>
      </c>
      <c r="F1884" s="14" t="s">
        <v>3506</v>
      </c>
      <c r="G1884" s="14" t="s">
        <v>3507</v>
      </c>
      <c r="H1884" s="2" t="s">
        <v>16</v>
      </c>
      <c r="I1884" s="2" t="s">
        <v>3488</v>
      </c>
      <c r="J1884" s="2">
        <v>1.0</v>
      </c>
      <c r="K1884" s="23" t="s">
        <v>4724</v>
      </c>
      <c r="L1884" s="11">
        <v>55000.0</v>
      </c>
    </row>
    <row r="1885" hidden="1">
      <c r="A1885" s="8" t="s">
        <v>1579</v>
      </c>
      <c r="B1885" s="8" t="s">
        <v>1579</v>
      </c>
      <c r="C1885" s="13">
        <v>45889.495092592595</v>
      </c>
      <c r="D1885" s="2" t="s">
        <v>309</v>
      </c>
      <c r="E1885" s="2" t="s">
        <v>310</v>
      </c>
      <c r="F1885" s="14" t="s">
        <v>3486</v>
      </c>
      <c r="G1885" s="14" t="s">
        <v>3487</v>
      </c>
      <c r="H1885" s="2" t="s">
        <v>16</v>
      </c>
      <c r="I1885" s="2" t="s">
        <v>3488</v>
      </c>
      <c r="J1885" s="2">
        <v>5.0</v>
      </c>
      <c r="K1885" s="23" t="s">
        <v>4868</v>
      </c>
      <c r="L1885" s="11">
        <v>55000.0</v>
      </c>
    </row>
    <row r="1886" hidden="1">
      <c r="A1886" s="8" t="s">
        <v>1579</v>
      </c>
      <c r="B1886" s="8" t="s">
        <v>1579</v>
      </c>
      <c r="C1886" s="13">
        <v>45889.495092592595</v>
      </c>
      <c r="D1886" s="2" t="s">
        <v>309</v>
      </c>
      <c r="E1886" s="2" t="s">
        <v>310</v>
      </c>
      <c r="F1886" s="14" t="s">
        <v>3516</v>
      </c>
      <c r="G1886" s="14" t="s">
        <v>3517</v>
      </c>
      <c r="H1886" s="2" t="s">
        <v>16</v>
      </c>
      <c r="I1886" s="2" t="s">
        <v>3488</v>
      </c>
      <c r="J1886" s="2">
        <v>1.0</v>
      </c>
      <c r="K1886" s="23" t="s">
        <v>4812</v>
      </c>
      <c r="L1886" s="11">
        <v>160000.0</v>
      </c>
    </row>
    <row r="1887" hidden="1">
      <c r="A1887" s="8" t="s">
        <v>1579</v>
      </c>
      <c r="B1887" s="8" t="s">
        <v>1579</v>
      </c>
      <c r="C1887" s="13">
        <v>45889.495092592595</v>
      </c>
      <c r="D1887" s="2" t="s">
        <v>309</v>
      </c>
      <c r="E1887" s="2" t="s">
        <v>310</v>
      </c>
      <c r="F1887" s="14" t="s">
        <v>3493</v>
      </c>
      <c r="G1887" s="14" t="s">
        <v>3494</v>
      </c>
      <c r="H1887" s="2" t="s">
        <v>16</v>
      </c>
      <c r="I1887" s="2" t="s">
        <v>3488</v>
      </c>
      <c r="J1887" s="2">
        <v>4.0</v>
      </c>
      <c r="K1887" s="19"/>
      <c r="L1887" s="11">
        <v>200000.0</v>
      </c>
    </row>
    <row r="1888" hidden="1">
      <c r="A1888" s="8" t="s">
        <v>1580</v>
      </c>
      <c r="B1888" s="8" t="s">
        <v>1580</v>
      </c>
      <c r="C1888" s="13">
        <v>45930.437268518515</v>
      </c>
      <c r="D1888" s="2" t="s">
        <v>20</v>
      </c>
      <c r="E1888" s="2" t="s">
        <v>21</v>
      </c>
      <c r="F1888" s="14" t="s">
        <v>3486</v>
      </c>
      <c r="G1888" s="14" t="s">
        <v>3487</v>
      </c>
      <c r="H1888" s="2" t="s">
        <v>24</v>
      </c>
      <c r="I1888" s="2" t="s">
        <v>3491</v>
      </c>
      <c r="J1888" s="2">
        <v>9.0</v>
      </c>
      <c r="K1888" s="23" t="s">
        <v>4869</v>
      </c>
      <c r="L1888" s="11">
        <v>0.0</v>
      </c>
    </row>
    <row r="1889" hidden="1">
      <c r="A1889" s="8" t="s">
        <v>1580</v>
      </c>
      <c r="B1889" s="8" t="s">
        <v>1580</v>
      </c>
      <c r="C1889" s="13">
        <v>45930.437268518515</v>
      </c>
      <c r="D1889" s="2" t="s">
        <v>20</v>
      </c>
      <c r="E1889" s="2" t="s">
        <v>21</v>
      </c>
      <c r="F1889" s="14" t="s">
        <v>3493</v>
      </c>
      <c r="G1889" s="14" t="s">
        <v>3494</v>
      </c>
      <c r="H1889" s="2" t="s">
        <v>24</v>
      </c>
      <c r="I1889" s="2" t="s">
        <v>3491</v>
      </c>
      <c r="J1889" s="2">
        <v>1.0</v>
      </c>
      <c r="K1889" s="23" t="s">
        <v>4688</v>
      </c>
      <c r="L1889" s="11">
        <v>0.0</v>
      </c>
    </row>
    <row r="1890">
      <c r="A1890" s="8" t="s">
        <v>1581</v>
      </c>
      <c r="B1890" s="8" t="s">
        <v>1581</v>
      </c>
      <c r="C1890" s="13">
        <v>45930.51658564815</v>
      </c>
      <c r="D1890" s="2" t="s">
        <v>45</v>
      </c>
      <c r="E1890" s="2" t="s">
        <v>46</v>
      </c>
      <c r="F1890" s="14" t="s">
        <v>3522</v>
      </c>
      <c r="G1890" s="14" t="s">
        <v>3523</v>
      </c>
      <c r="H1890" s="2" t="s">
        <v>16</v>
      </c>
      <c r="I1890" s="2" t="s">
        <v>3488</v>
      </c>
      <c r="J1890" s="2">
        <v>10.0</v>
      </c>
      <c r="K1890" s="23" t="s">
        <v>4870</v>
      </c>
      <c r="L1890" s="11">
        <v>185000.0</v>
      </c>
    </row>
    <row r="1891">
      <c r="A1891" s="8" t="s">
        <v>1581</v>
      </c>
      <c r="B1891" s="8" t="s">
        <v>1581</v>
      </c>
      <c r="C1891" s="13">
        <v>45930.51658564815</v>
      </c>
      <c r="D1891" s="2" t="s">
        <v>45</v>
      </c>
      <c r="E1891" s="2" t="s">
        <v>46</v>
      </c>
      <c r="F1891" s="14" t="s">
        <v>3486</v>
      </c>
      <c r="G1891" s="14" t="s">
        <v>3487</v>
      </c>
      <c r="H1891" s="2" t="s">
        <v>16</v>
      </c>
      <c r="I1891" s="2" t="s">
        <v>3488</v>
      </c>
      <c r="J1891" s="2">
        <v>5.0</v>
      </c>
      <c r="K1891" s="23" t="s">
        <v>4871</v>
      </c>
      <c r="L1891" s="11">
        <v>60000.0</v>
      </c>
    </row>
    <row r="1892" hidden="1">
      <c r="A1892" s="8" t="s">
        <v>1582</v>
      </c>
      <c r="B1892" s="8" t="s">
        <v>1582</v>
      </c>
      <c r="C1892" s="13">
        <v>45930.521840277775</v>
      </c>
      <c r="D1892" s="2" t="s">
        <v>20</v>
      </c>
      <c r="E1892" s="2" t="s">
        <v>21</v>
      </c>
      <c r="F1892" s="14" t="s">
        <v>3486</v>
      </c>
      <c r="G1892" s="14" t="s">
        <v>3487</v>
      </c>
      <c r="H1892" s="2" t="s">
        <v>16</v>
      </c>
      <c r="I1892" s="2" t="s">
        <v>3488</v>
      </c>
      <c r="J1892" s="2">
        <v>3.0</v>
      </c>
      <c r="K1892" s="23" t="s">
        <v>4872</v>
      </c>
      <c r="L1892" s="11">
        <v>60000.0</v>
      </c>
    </row>
    <row r="1893" hidden="1">
      <c r="A1893" s="8" t="s">
        <v>1582</v>
      </c>
      <c r="B1893" s="8" t="s">
        <v>1582</v>
      </c>
      <c r="C1893" s="13">
        <v>45930.521840277775</v>
      </c>
      <c r="D1893" s="2" t="s">
        <v>20</v>
      </c>
      <c r="E1893" s="2" t="s">
        <v>21</v>
      </c>
      <c r="F1893" s="14" t="s">
        <v>4203</v>
      </c>
      <c r="G1893" s="14" t="s">
        <v>4204</v>
      </c>
      <c r="H1893" s="2" t="s">
        <v>16</v>
      </c>
      <c r="I1893" s="2" t="s">
        <v>3488</v>
      </c>
      <c r="J1893" s="2">
        <v>3.0</v>
      </c>
      <c r="K1893" s="23" t="s">
        <v>4873</v>
      </c>
      <c r="L1893" s="11">
        <v>60000.0</v>
      </c>
    </row>
    <row r="1894" hidden="1">
      <c r="A1894" s="8" t="s">
        <v>1582</v>
      </c>
      <c r="B1894" s="8" t="s">
        <v>1582</v>
      </c>
      <c r="C1894" s="13">
        <v>45930.521840277775</v>
      </c>
      <c r="D1894" s="2" t="s">
        <v>20</v>
      </c>
      <c r="E1894" s="2" t="s">
        <v>21</v>
      </c>
      <c r="F1894" s="14" t="s">
        <v>3493</v>
      </c>
      <c r="G1894" s="14" t="s">
        <v>3494</v>
      </c>
      <c r="H1894" s="2" t="s">
        <v>16</v>
      </c>
      <c r="I1894" s="2" t="s">
        <v>3488</v>
      </c>
      <c r="J1894" s="2">
        <v>1.0</v>
      </c>
      <c r="K1894" s="19"/>
      <c r="L1894" s="11">
        <v>210000.0</v>
      </c>
    </row>
    <row r="1895" hidden="1">
      <c r="A1895" s="8" t="s">
        <v>1583</v>
      </c>
      <c r="B1895" s="8" t="s">
        <v>1583</v>
      </c>
      <c r="C1895" s="13">
        <v>45930.53331018519</v>
      </c>
      <c r="D1895" s="2" t="s">
        <v>326</v>
      </c>
      <c r="E1895" s="2" t="s">
        <v>327</v>
      </c>
      <c r="F1895" s="14" t="s">
        <v>3486</v>
      </c>
      <c r="G1895" s="14" t="s">
        <v>3487</v>
      </c>
      <c r="H1895" s="2" t="s">
        <v>24</v>
      </c>
      <c r="I1895" s="2" t="s">
        <v>3491</v>
      </c>
      <c r="J1895" s="2">
        <v>10.0</v>
      </c>
      <c r="K1895" s="23" t="s">
        <v>4874</v>
      </c>
      <c r="L1895" s="11">
        <v>0.0</v>
      </c>
    </row>
    <row r="1896" hidden="1">
      <c r="A1896" s="8" t="s">
        <v>1584</v>
      </c>
      <c r="B1896" s="8" t="s">
        <v>1584</v>
      </c>
      <c r="C1896" s="13">
        <v>45931.41202546296</v>
      </c>
      <c r="D1896" s="2" t="s">
        <v>1084</v>
      </c>
      <c r="E1896" s="2" t="s">
        <v>1085</v>
      </c>
      <c r="F1896" s="14" t="s">
        <v>4203</v>
      </c>
      <c r="G1896" s="14" t="s">
        <v>4204</v>
      </c>
      <c r="H1896" s="2" t="s">
        <v>16</v>
      </c>
      <c r="I1896" s="2" t="s">
        <v>3488</v>
      </c>
      <c r="J1896" s="2">
        <v>4.0</v>
      </c>
      <c r="K1896" s="23" t="s">
        <v>4875</v>
      </c>
      <c r="L1896" s="11">
        <v>70000.0</v>
      </c>
    </row>
    <row r="1897" hidden="1">
      <c r="A1897" s="8" t="s">
        <v>1585</v>
      </c>
      <c r="B1897" s="8" t="s">
        <v>1585</v>
      </c>
      <c r="C1897" s="13">
        <v>45932.35099537037</v>
      </c>
      <c r="D1897" s="2" t="s">
        <v>943</v>
      </c>
      <c r="E1897" s="2" t="s">
        <v>944</v>
      </c>
      <c r="F1897" s="14" t="s">
        <v>3486</v>
      </c>
      <c r="G1897" s="14" t="s">
        <v>3487</v>
      </c>
      <c r="H1897" s="2" t="s">
        <v>16</v>
      </c>
      <c r="I1897" s="2" t="s">
        <v>3488</v>
      </c>
      <c r="J1897" s="2">
        <v>4.0</v>
      </c>
      <c r="K1897" s="23" t="s">
        <v>4876</v>
      </c>
      <c r="L1897" s="11">
        <v>50000.0</v>
      </c>
    </row>
    <row r="1898" hidden="1">
      <c r="A1898" s="8" t="s">
        <v>1586</v>
      </c>
      <c r="B1898" s="8" t="s">
        <v>1586</v>
      </c>
      <c r="C1898" s="13">
        <v>45932.35375</v>
      </c>
      <c r="D1898" s="2" t="s">
        <v>1587</v>
      </c>
      <c r="E1898" s="2" t="s">
        <v>1588</v>
      </c>
      <c r="F1898" s="14" t="s">
        <v>3522</v>
      </c>
      <c r="G1898" s="14" t="s">
        <v>3523</v>
      </c>
      <c r="H1898" s="2" t="s">
        <v>16</v>
      </c>
      <c r="I1898" s="2" t="s">
        <v>3488</v>
      </c>
      <c r="J1898" s="2">
        <v>3.0</v>
      </c>
      <c r="K1898" s="23" t="s">
        <v>4877</v>
      </c>
      <c r="L1898" s="11">
        <v>220000.0</v>
      </c>
    </row>
    <row r="1899" hidden="1">
      <c r="A1899" s="8" t="s">
        <v>1590</v>
      </c>
      <c r="B1899" s="8" t="s">
        <v>1590</v>
      </c>
      <c r="C1899" s="13">
        <v>45933.3468287037</v>
      </c>
      <c r="D1899" s="2" t="s">
        <v>49</v>
      </c>
      <c r="E1899" s="2" t="s">
        <v>50</v>
      </c>
      <c r="F1899" s="14" t="s">
        <v>3486</v>
      </c>
      <c r="G1899" s="14" t="s">
        <v>3487</v>
      </c>
      <c r="H1899" s="2" t="s">
        <v>16</v>
      </c>
      <c r="I1899" s="2" t="s">
        <v>3488</v>
      </c>
      <c r="J1899" s="2">
        <v>5.0</v>
      </c>
      <c r="K1899" s="23" t="s">
        <v>4878</v>
      </c>
      <c r="L1899" s="11">
        <v>60000.0</v>
      </c>
    </row>
    <row r="1900" hidden="1">
      <c r="A1900" s="8" t="s">
        <v>1591</v>
      </c>
      <c r="B1900" s="8" t="s">
        <v>1591</v>
      </c>
      <c r="C1900" s="13">
        <v>45933.348541666666</v>
      </c>
      <c r="D1900" s="2" t="s">
        <v>1592</v>
      </c>
      <c r="E1900" s="2" t="s">
        <v>1593</v>
      </c>
      <c r="F1900" s="14" t="s">
        <v>3486</v>
      </c>
      <c r="G1900" s="14" t="s">
        <v>3487</v>
      </c>
      <c r="H1900" s="2" t="s">
        <v>16</v>
      </c>
      <c r="I1900" s="2" t="s">
        <v>3488</v>
      </c>
      <c r="J1900" s="2">
        <v>6.0</v>
      </c>
      <c r="K1900" s="23" t="s">
        <v>4879</v>
      </c>
      <c r="L1900" s="11">
        <v>70000.0</v>
      </c>
    </row>
    <row r="1901" hidden="1">
      <c r="A1901" s="8" t="s">
        <v>1595</v>
      </c>
      <c r="B1901" s="8" t="s">
        <v>1595</v>
      </c>
      <c r="C1901" s="13">
        <v>45933.404386574075</v>
      </c>
      <c r="D1901" s="2" t="s">
        <v>55</v>
      </c>
      <c r="E1901" s="2" t="s">
        <v>56</v>
      </c>
      <c r="F1901" s="14" t="s">
        <v>3547</v>
      </c>
      <c r="G1901" s="14" t="s">
        <v>3548</v>
      </c>
      <c r="H1901" s="2" t="s">
        <v>16</v>
      </c>
      <c r="I1901" s="2" t="s">
        <v>3488</v>
      </c>
      <c r="J1901" s="2">
        <v>1.0</v>
      </c>
      <c r="K1901" s="23" t="s">
        <v>4688</v>
      </c>
      <c r="L1901" s="11">
        <v>1000000.0</v>
      </c>
    </row>
    <row r="1902" hidden="1">
      <c r="A1902" s="8" t="s">
        <v>1596</v>
      </c>
      <c r="B1902" s="8" t="s">
        <v>1596</v>
      </c>
      <c r="C1902" s="13">
        <v>45933.40773148148</v>
      </c>
      <c r="D1902" s="2" t="s">
        <v>213</v>
      </c>
      <c r="E1902" s="2" t="s">
        <v>214</v>
      </c>
      <c r="F1902" s="14" t="s">
        <v>3486</v>
      </c>
      <c r="G1902" s="14" t="s">
        <v>3487</v>
      </c>
      <c r="H1902" s="2" t="s">
        <v>24</v>
      </c>
      <c r="I1902" s="2" t="s">
        <v>3491</v>
      </c>
      <c r="J1902" s="2">
        <v>5.0</v>
      </c>
      <c r="K1902" s="23" t="s">
        <v>4880</v>
      </c>
      <c r="L1902" s="11">
        <v>0.0</v>
      </c>
    </row>
    <row r="1903" hidden="1">
      <c r="A1903" s="8" t="s">
        <v>1597</v>
      </c>
      <c r="B1903" s="8" t="s">
        <v>1597</v>
      </c>
      <c r="C1903" s="13">
        <v>45933.408634259256</v>
      </c>
      <c r="D1903" s="2" t="s">
        <v>1228</v>
      </c>
      <c r="E1903" s="2" t="s">
        <v>1229</v>
      </c>
      <c r="F1903" s="14" t="s">
        <v>3486</v>
      </c>
      <c r="G1903" s="14" t="s">
        <v>3487</v>
      </c>
      <c r="H1903" s="2" t="s">
        <v>24</v>
      </c>
      <c r="I1903" s="2" t="s">
        <v>3491</v>
      </c>
      <c r="J1903" s="2">
        <v>9.0</v>
      </c>
      <c r="K1903" s="23" t="s">
        <v>4881</v>
      </c>
      <c r="L1903" s="11">
        <v>0.0</v>
      </c>
    </row>
    <row r="1904" hidden="1">
      <c r="A1904" s="8" t="s">
        <v>1598</v>
      </c>
      <c r="B1904" s="8" t="s">
        <v>1598</v>
      </c>
      <c r="C1904" s="13">
        <v>45933.409525462965</v>
      </c>
      <c r="D1904" s="2" t="s">
        <v>1084</v>
      </c>
      <c r="E1904" s="2" t="s">
        <v>1085</v>
      </c>
      <c r="F1904" s="14" t="s">
        <v>4203</v>
      </c>
      <c r="G1904" s="14" t="s">
        <v>4204</v>
      </c>
      <c r="H1904" s="2" t="s">
        <v>24</v>
      </c>
      <c r="I1904" s="2" t="s">
        <v>3491</v>
      </c>
      <c r="J1904" s="2">
        <v>2.0</v>
      </c>
      <c r="K1904" s="23" t="s">
        <v>4882</v>
      </c>
      <c r="L1904" s="11">
        <v>0.0</v>
      </c>
    </row>
    <row r="1905" hidden="1">
      <c r="A1905" s="8" t="s">
        <v>1598</v>
      </c>
      <c r="B1905" s="8" t="s">
        <v>1598</v>
      </c>
      <c r="C1905" s="13">
        <v>45933.409525462965</v>
      </c>
      <c r="D1905" s="2" t="s">
        <v>1084</v>
      </c>
      <c r="E1905" s="2" t="s">
        <v>1085</v>
      </c>
      <c r="F1905" s="14" t="s">
        <v>3516</v>
      </c>
      <c r="G1905" s="14" t="s">
        <v>3517</v>
      </c>
      <c r="H1905" s="2" t="s">
        <v>24</v>
      </c>
      <c r="I1905" s="2" t="s">
        <v>3491</v>
      </c>
      <c r="J1905" s="2">
        <v>1.0</v>
      </c>
      <c r="K1905" s="23" t="s">
        <v>4498</v>
      </c>
      <c r="L1905" s="11">
        <v>0.0</v>
      </c>
    </row>
    <row r="1906" hidden="1">
      <c r="A1906" s="8" t="s">
        <v>1599</v>
      </c>
      <c r="B1906" s="8" t="s">
        <v>1599</v>
      </c>
      <c r="C1906" s="13">
        <v>45933.41033564815</v>
      </c>
      <c r="D1906" s="2" t="s">
        <v>943</v>
      </c>
      <c r="E1906" s="2" t="s">
        <v>944</v>
      </c>
      <c r="F1906" s="14" t="s">
        <v>4203</v>
      </c>
      <c r="G1906" s="14" t="s">
        <v>4204</v>
      </c>
      <c r="H1906" s="2" t="s">
        <v>24</v>
      </c>
      <c r="I1906" s="2" t="s">
        <v>3491</v>
      </c>
      <c r="J1906" s="2">
        <v>1.0</v>
      </c>
      <c r="K1906" s="23" t="s">
        <v>4883</v>
      </c>
      <c r="L1906" s="11">
        <v>0.0</v>
      </c>
    </row>
    <row r="1907" hidden="1">
      <c r="A1907" s="8" t="s">
        <v>1599</v>
      </c>
      <c r="B1907" s="8" t="s">
        <v>1599</v>
      </c>
      <c r="C1907" s="13">
        <v>45933.41033564815</v>
      </c>
      <c r="D1907" s="2" t="s">
        <v>943</v>
      </c>
      <c r="E1907" s="2" t="s">
        <v>944</v>
      </c>
      <c r="F1907" s="14" t="s">
        <v>3506</v>
      </c>
      <c r="G1907" s="14" t="s">
        <v>3507</v>
      </c>
      <c r="H1907" s="2" t="s">
        <v>24</v>
      </c>
      <c r="I1907" s="2" t="s">
        <v>3491</v>
      </c>
      <c r="J1907" s="2">
        <v>3.0</v>
      </c>
      <c r="K1907" s="19"/>
      <c r="L1907" s="11">
        <v>0.0</v>
      </c>
    </row>
    <row r="1908">
      <c r="A1908" s="8" t="s">
        <v>1600</v>
      </c>
      <c r="B1908" s="8" t="s">
        <v>1600</v>
      </c>
      <c r="C1908" s="13">
        <v>45933.411631944444</v>
      </c>
      <c r="D1908" s="2" t="s">
        <v>45</v>
      </c>
      <c r="E1908" s="2" t="s">
        <v>46</v>
      </c>
      <c r="F1908" s="14" t="s">
        <v>3486</v>
      </c>
      <c r="G1908" s="14" t="s">
        <v>3487</v>
      </c>
      <c r="H1908" s="2" t="s">
        <v>24</v>
      </c>
      <c r="I1908" s="2" t="s">
        <v>3491</v>
      </c>
      <c r="J1908" s="2">
        <v>7.0</v>
      </c>
      <c r="K1908" s="23" t="s">
        <v>4884</v>
      </c>
      <c r="L1908" s="11">
        <v>0.0</v>
      </c>
    </row>
    <row r="1909">
      <c r="A1909" s="8" t="s">
        <v>1600</v>
      </c>
      <c r="B1909" s="8" t="s">
        <v>1600</v>
      </c>
      <c r="C1909" s="13">
        <v>45933.411631944444</v>
      </c>
      <c r="D1909" s="2" t="s">
        <v>45</v>
      </c>
      <c r="E1909" s="2" t="s">
        <v>46</v>
      </c>
      <c r="F1909" s="14" t="s">
        <v>3522</v>
      </c>
      <c r="G1909" s="14" t="s">
        <v>3523</v>
      </c>
      <c r="H1909" s="2" t="s">
        <v>24</v>
      </c>
      <c r="I1909" s="2" t="s">
        <v>3491</v>
      </c>
      <c r="J1909" s="2">
        <v>4.0</v>
      </c>
      <c r="K1909" s="23" t="s">
        <v>4885</v>
      </c>
      <c r="L1909" s="11">
        <v>0.0</v>
      </c>
    </row>
    <row r="1910">
      <c r="A1910" s="8" t="s">
        <v>1600</v>
      </c>
      <c r="B1910" s="8" t="s">
        <v>1600</v>
      </c>
      <c r="C1910" s="13">
        <v>45931.41111111111</v>
      </c>
      <c r="D1910" s="2" t="s">
        <v>45</v>
      </c>
      <c r="E1910" s="2" t="s">
        <v>46</v>
      </c>
      <c r="F1910" s="14" t="s">
        <v>3493</v>
      </c>
      <c r="G1910" s="14" t="s">
        <v>3494</v>
      </c>
      <c r="H1910" s="2" t="s">
        <v>24</v>
      </c>
      <c r="I1910" s="2" t="s">
        <v>3491</v>
      </c>
      <c r="J1910" s="2">
        <v>2.0</v>
      </c>
      <c r="K1910" s="23" t="s">
        <v>4670</v>
      </c>
      <c r="L1910" s="11">
        <v>0.0</v>
      </c>
    </row>
    <row r="1911" hidden="1">
      <c r="A1911" s="8" t="s">
        <v>1601</v>
      </c>
      <c r="B1911" s="8" t="s">
        <v>1601</v>
      </c>
      <c r="C1911" s="13">
        <v>45933.41357638889</v>
      </c>
      <c r="D1911" s="2" t="s">
        <v>326</v>
      </c>
      <c r="E1911" s="2" t="s">
        <v>327</v>
      </c>
      <c r="F1911" s="14" t="s">
        <v>3486</v>
      </c>
      <c r="G1911" s="14" t="s">
        <v>3487</v>
      </c>
      <c r="H1911" s="2" t="s">
        <v>24</v>
      </c>
      <c r="I1911" s="2" t="s">
        <v>3491</v>
      </c>
      <c r="J1911" s="2">
        <v>5.0</v>
      </c>
      <c r="K1911" s="23" t="s">
        <v>4886</v>
      </c>
      <c r="L1911" s="11">
        <v>0.0</v>
      </c>
    </row>
    <row r="1912" hidden="1">
      <c r="A1912" s="8" t="s">
        <v>1602</v>
      </c>
      <c r="B1912" s="8" t="s">
        <v>1602</v>
      </c>
      <c r="C1912" s="13">
        <v>45933.469351851854</v>
      </c>
      <c r="D1912" s="2" t="s">
        <v>55</v>
      </c>
      <c r="E1912" s="2" t="s">
        <v>56</v>
      </c>
      <c r="F1912" s="14" t="s">
        <v>3547</v>
      </c>
      <c r="G1912" s="14" t="s">
        <v>3548</v>
      </c>
      <c r="H1912" s="2" t="s">
        <v>24</v>
      </c>
      <c r="I1912" s="2" t="s">
        <v>3491</v>
      </c>
      <c r="J1912" s="2">
        <v>1.0</v>
      </c>
      <c r="K1912" s="23" t="s">
        <v>4688</v>
      </c>
      <c r="L1912" s="11">
        <v>0.0</v>
      </c>
    </row>
    <row r="1913" hidden="1">
      <c r="A1913" s="8" t="s">
        <v>1603</v>
      </c>
      <c r="B1913" s="8" t="s">
        <v>1603</v>
      </c>
      <c r="C1913" s="13">
        <v>45933.47009259259</v>
      </c>
      <c r="D1913" s="2" t="s">
        <v>49</v>
      </c>
      <c r="E1913" s="2" t="s">
        <v>50</v>
      </c>
      <c r="F1913" s="14" t="s">
        <v>3486</v>
      </c>
      <c r="G1913" s="14" t="s">
        <v>3487</v>
      </c>
      <c r="H1913" s="2" t="s">
        <v>24</v>
      </c>
      <c r="I1913" s="2" t="s">
        <v>3491</v>
      </c>
      <c r="J1913" s="2">
        <v>1.0</v>
      </c>
      <c r="K1913" s="23" t="s">
        <v>4887</v>
      </c>
      <c r="L1913" s="11">
        <v>0.0</v>
      </c>
    </row>
    <row r="1914" hidden="1">
      <c r="A1914" s="8" t="s">
        <v>1604</v>
      </c>
      <c r="B1914" s="8" t="s">
        <v>1604</v>
      </c>
      <c r="C1914" s="13">
        <v>45933.54539351852</v>
      </c>
      <c r="D1914" s="2" t="s">
        <v>20</v>
      </c>
      <c r="E1914" s="2" t="s">
        <v>21</v>
      </c>
      <c r="F1914" s="14" t="s">
        <v>3486</v>
      </c>
      <c r="G1914" s="14" t="s">
        <v>3487</v>
      </c>
      <c r="H1914" s="2" t="s">
        <v>16</v>
      </c>
      <c r="I1914" s="2" t="s">
        <v>3488</v>
      </c>
      <c r="J1914" s="2">
        <v>10.0</v>
      </c>
      <c r="K1914" s="23" t="s">
        <v>4888</v>
      </c>
      <c r="L1914" s="11">
        <v>60000.0</v>
      </c>
    </row>
    <row r="1915" hidden="1">
      <c r="A1915" s="8" t="s">
        <v>1604</v>
      </c>
      <c r="B1915" s="8" t="s">
        <v>1604</v>
      </c>
      <c r="C1915" s="13">
        <v>45933.54539351852</v>
      </c>
      <c r="D1915" s="2" t="s">
        <v>20</v>
      </c>
      <c r="E1915" s="2" t="s">
        <v>21</v>
      </c>
      <c r="F1915" s="14" t="s">
        <v>3493</v>
      </c>
      <c r="G1915" s="14" t="s">
        <v>3494</v>
      </c>
      <c r="H1915" s="2" t="s">
        <v>16</v>
      </c>
      <c r="I1915" s="2" t="s">
        <v>3488</v>
      </c>
      <c r="J1915" s="2">
        <v>1.0</v>
      </c>
      <c r="K1915" s="19"/>
      <c r="L1915" s="11">
        <v>210000.0</v>
      </c>
    </row>
    <row r="1916" hidden="1">
      <c r="A1916" s="8" t="s">
        <v>1605</v>
      </c>
      <c r="B1916" s="8" t="s">
        <v>1605</v>
      </c>
      <c r="C1916" s="13">
        <v>45934.40032407407</v>
      </c>
      <c r="D1916" s="2" t="s">
        <v>1606</v>
      </c>
      <c r="E1916" s="2" t="s">
        <v>1607</v>
      </c>
      <c r="F1916" s="14" t="s">
        <v>4203</v>
      </c>
      <c r="G1916" s="14" t="s">
        <v>4204</v>
      </c>
      <c r="H1916" s="2" t="s">
        <v>16</v>
      </c>
      <c r="I1916" s="2" t="s">
        <v>3488</v>
      </c>
      <c r="J1916" s="2">
        <v>1.0</v>
      </c>
      <c r="K1916" s="23" t="s">
        <v>4228</v>
      </c>
      <c r="L1916" s="11">
        <v>70000.0</v>
      </c>
    </row>
    <row r="1917" hidden="1">
      <c r="A1917" s="8" t="s">
        <v>1609</v>
      </c>
      <c r="B1917" s="8" t="s">
        <v>1609</v>
      </c>
      <c r="C1917" s="13">
        <v>45934.403958333336</v>
      </c>
      <c r="D1917" s="2" t="s">
        <v>951</v>
      </c>
      <c r="E1917" s="2" t="s">
        <v>952</v>
      </c>
      <c r="F1917" s="14" t="s">
        <v>3486</v>
      </c>
      <c r="G1917" s="14" t="s">
        <v>3487</v>
      </c>
      <c r="H1917" s="2" t="s">
        <v>16</v>
      </c>
      <c r="I1917" s="2" t="s">
        <v>3488</v>
      </c>
      <c r="J1917" s="2">
        <v>4.0</v>
      </c>
      <c r="K1917" s="23" t="s">
        <v>4889</v>
      </c>
      <c r="L1917" s="11">
        <v>55000.0</v>
      </c>
    </row>
    <row r="1918" hidden="1">
      <c r="A1918" s="8" t="s">
        <v>1610</v>
      </c>
      <c r="B1918" s="8" t="s">
        <v>1610</v>
      </c>
      <c r="C1918" s="13">
        <v>45934.421377314815</v>
      </c>
      <c r="D1918" s="2" t="s">
        <v>169</v>
      </c>
      <c r="E1918" s="2" t="s">
        <v>170</v>
      </c>
      <c r="F1918" s="14" t="s">
        <v>3522</v>
      </c>
      <c r="G1918" s="14" t="s">
        <v>3523</v>
      </c>
      <c r="H1918" s="2" t="s">
        <v>16</v>
      </c>
      <c r="I1918" s="2" t="s">
        <v>3488</v>
      </c>
      <c r="J1918" s="2">
        <v>3.0</v>
      </c>
      <c r="K1918" s="23" t="s">
        <v>4890</v>
      </c>
      <c r="L1918" s="11">
        <v>195000.0</v>
      </c>
    </row>
    <row r="1919" hidden="1">
      <c r="A1919" s="8" t="s">
        <v>1610</v>
      </c>
      <c r="B1919" s="8" t="s">
        <v>1610</v>
      </c>
      <c r="C1919" s="13">
        <v>45934.421377314815</v>
      </c>
      <c r="D1919" s="2" t="s">
        <v>169</v>
      </c>
      <c r="E1919" s="2" t="s">
        <v>170</v>
      </c>
      <c r="F1919" s="14" t="s">
        <v>3486</v>
      </c>
      <c r="G1919" s="14" t="s">
        <v>3487</v>
      </c>
      <c r="H1919" s="2" t="s">
        <v>16</v>
      </c>
      <c r="I1919" s="2" t="s">
        <v>3488</v>
      </c>
      <c r="J1919" s="2">
        <v>2.0</v>
      </c>
      <c r="K1919" s="23" t="s">
        <v>4891</v>
      </c>
      <c r="L1919" s="11">
        <v>60000.0</v>
      </c>
    </row>
    <row r="1920" hidden="1">
      <c r="A1920" s="8" t="s">
        <v>1610</v>
      </c>
      <c r="B1920" s="8" t="s">
        <v>1610</v>
      </c>
      <c r="C1920" s="13">
        <v>45934.421377314815</v>
      </c>
      <c r="D1920" s="2" t="s">
        <v>169</v>
      </c>
      <c r="E1920" s="2" t="s">
        <v>170</v>
      </c>
      <c r="F1920" s="14" t="s">
        <v>4729</v>
      </c>
      <c r="G1920" s="14" t="s">
        <v>4730</v>
      </c>
      <c r="H1920" s="2" t="s">
        <v>16</v>
      </c>
      <c r="I1920" s="2" t="s">
        <v>3488</v>
      </c>
      <c r="J1920" s="2">
        <v>1.0</v>
      </c>
      <c r="K1920" s="19"/>
      <c r="L1920" s="11">
        <v>100000.0</v>
      </c>
    </row>
    <row r="1921" hidden="1">
      <c r="A1921" s="8" t="s">
        <v>1611</v>
      </c>
      <c r="B1921" s="8" t="s">
        <v>1611</v>
      </c>
      <c r="C1921" s="13">
        <v>45934.427083333336</v>
      </c>
      <c r="D1921" s="2" t="s">
        <v>20</v>
      </c>
      <c r="E1921" s="2" t="s">
        <v>21</v>
      </c>
      <c r="F1921" s="14" t="s">
        <v>3493</v>
      </c>
      <c r="G1921" s="14" t="s">
        <v>3494</v>
      </c>
      <c r="H1921" s="2" t="s">
        <v>24</v>
      </c>
      <c r="I1921" s="2" t="s">
        <v>3491</v>
      </c>
      <c r="J1921" s="2">
        <v>1.0</v>
      </c>
      <c r="K1921" s="19"/>
      <c r="L1921" s="11">
        <v>0.0</v>
      </c>
    </row>
    <row r="1922" hidden="1">
      <c r="A1922" s="8" t="s">
        <v>1611</v>
      </c>
      <c r="B1922" s="8" t="s">
        <v>1611</v>
      </c>
      <c r="C1922" s="13">
        <v>45934.427083333336</v>
      </c>
      <c r="D1922" s="2" t="s">
        <v>20</v>
      </c>
      <c r="E1922" s="2" t="s">
        <v>21</v>
      </c>
      <c r="F1922" s="14" t="s">
        <v>3486</v>
      </c>
      <c r="G1922" s="14" t="s">
        <v>3487</v>
      </c>
      <c r="H1922" s="2" t="s">
        <v>24</v>
      </c>
      <c r="I1922" s="2" t="s">
        <v>3491</v>
      </c>
      <c r="J1922" s="2">
        <v>6.0</v>
      </c>
      <c r="K1922" s="23" t="s">
        <v>4892</v>
      </c>
      <c r="L1922" s="11">
        <v>0.0</v>
      </c>
    </row>
    <row r="1923" hidden="1">
      <c r="A1923" s="8" t="s">
        <v>1611</v>
      </c>
      <c r="B1923" s="8" t="s">
        <v>1611</v>
      </c>
      <c r="C1923" s="13">
        <v>45934.427083333336</v>
      </c>
      <c r="D1923" s="2" t="s">
        <v>20</v>
      </c>
      <c r="E1923" s="2" t="s">
        <v>21</v>
      </c>
      <c r="F1923" s="14" t="s">
        <v>4203</v>
      </c>
      <c r="G1923" s="14" t="s">
        <v>4204</v>
      </c>
      <c r="H1923" s="2" t="s">
        <v>24</v>
      </c>
      <c r="I1923" s="2" t="s">
        <v>3491</v>
      </c>
      <c r="J1923" s="2">
        <v>3.0</v>
      </c>
      <c r="K1923" s="23" t="s">
        <v>4893</v>
      </c>
      <c r="L1923" s="11">
        <v>0.0</v>
      </c>
    </row>
    <row r="1924" hidden="1">
      <c r="A1924" s="8" t="s">
        <v>1612</v>
      </c>
      <c r="B1924" s="8" t="s">
        <v>1612</v>
      </c>
      <c r="C1924" s="13">
        <v>45934.43690972222</v>
      </c>
      <c r="D1924" s="2" t="s">
        <v>1613</v>
      </c>
      <c r="E1924" s="2" t="s">
        <v>1614</v>
      </c>
      <c r="F1924" s="14" t="s">
        <v>4203</v>
      </c>
      <c r="G1924" s="14" t="s">
        <v>4204</v>
      </c>
      <c r="H1924" s="2" t="s">
        <v>16</v>
      </c>
      <c r="I1924" s="2" t="s">
        <v>3488</v>
      </c>
      <c r="J1924" s="2">
        <v>2.0</v>
      </c>
      <c r="K1924" s="23" t="s">
        <v>4894</v>
      </c>
      <c r="L1924" s="11">
        <v>65000.0</v>
      </c>
    </row>
    <row r="1925" hidden="1">
      <c r="A1925" s="8" t="s">
        <v>1616</v>
      </c>
      <c r="B1925" s="8" t="s">
        <v>1616</v>
      </c>
      <c r="C1925" s="13">
        <v>45934.44248842593</v>
      </c>
      <c r="D1925" s="2" t="s">
        <v>951</v>
      </c>
      <c r="E1925" s="2" t="s">
        <v>952</v>
      </c>
      <c r="F1925" s="14" t="s">
        <v>3486</v>
      </c>
      <c r="G1925" s="14" t="s">
        <v>3487</v>
      </c>
      <c r="H1925" s="2" t="s">
        <v>24</v>
      </c>
      <c r="I1925" s="2" t="s">
        <v>3491</v>
      </c>
      <c r="J1925" s="2">
        <v>3.0</v>
      </c>
      <c r="K1925" s="23" t="s">
        <v>4895</v>
      </c>
      <c r="L1925" s="11">
        <v>0.0</v>
      </c>
    </row>
    <row r="1926" hidden="1">
      <c r="A1926" s="8" t="s">
        <v>1617</v>
      </c>
      <c r="B1926" s="8" t="s">
        <v>1617</v>
      </c>
      <c r="C1926" s="13">
        <v>45934.48863425926</v>
      </c>
      <c r="D1926" s="2" t="s">
        <v>1618</v>
      </c>
      <c r="E1926" s="2" t="s">
        <v>1619</v>
      </c>
      <c r="F1926" s="14" t="s">
        <v>3516</v>
      </c>
      <c r="G1926" s="14" t="s">
        <v>3517</v>
      </c>
      <c r="H1926" s="2" t="s">
        <v>16</v>
      </c>
      <c r="I1926" s="2" t="s">
        <v>3488</v>
      </c>
      <c r="J1926" s="2">
        <v>4.0</v>
      </c>
      <c r="K1926" s="23" t="s">
        <v>4896</v>
      </c>
      <c r="L1926" s="11">
        <v>180000.0</v>
      </c>
    </row>
    <row r="1927" hidden="1">
      <c r="A1927" s="8" t="s">
        <v>1621</v>
      </c>
      <c r="B1927" s="8" t="s">
        <v>1621</v>
      </c>
      <c r="C1927" s="13">
        <v>45934.56309027778</v>
      </c>
      <c r="D1927" s="2" t="s">
        <v>169</v>
      </c>
      <c r="E1927" s="2" t="s">
        <v>170</v>
      </c>
      <c r="F1927" s="14" t="s">
        <v>3522</v>
      </c>
      <c r="G1927" s="14" t="s">
        <v>3523</v>
      </c>
      <c r="H1927" s="2" t="s">
        <v>24</v>
      </c>
      <c r="I1927" s="2" t="s">
        <v>3491</v>
      </c>
      <c r="J1927" s="2">
        <v>5.0</v>
      </c>
      <c r="K1927" s="23" t="s">
        <v>4897</v>
      </c>
      <c r="L1927" s="11">
        <v>0.0</v>
      </c>
    </row>
    <row r="1928" hidden="1">
      <c r="A1928" s="8" t="s">
        <v>1621</v>
      </c>
      <c r="B1928" s="8" t="s">
        <v>1621</v>
      </c>
      <c r="C1928" s="13">
        <v>45934.56309027778</v>
      </c>
      <c r="D1928" s="2" t="s">
        <v>169</v>
      </c>
      <c r="E1928" s="2" t="s">
        <v>170</v>
      </c>
      <c r="F1928" s="14" t="s">
        <v>3486</v>
      </c>
      <c r="G1928" s="14" t="s">
        <v>3487</v>
      </c>
      <c r="H1928" s="2" t="s">
        <v>24</v>
      </c>
      <c r="I1928" s="2" t="s">
        <v>3491</v>
      </c>
      <c r="J1928" s="2">
        <v>2.0</v>
      </c>
      <c r="K1928" s="23" t="s">
        <v>4898</v>
      </c>
      <c r="L1928" s="11">
        <v>0.0</v>
      </c>
    </row>
    <row r="1929" hidden="1">
      <c r="A1929" s="8" t="s">
        <v>1622</v>
      </c>
      <c r="B1929" s="8" t="s">
        <v>1622</v>
      </c>
      <c r="C1929" s="13">
        <v>45936.367118055554</v>
      </c>
      <c r="D1929" s="2" t="s">
        <v>1564</v>
      </c>
      <c r="E1929" s="2" t="s">
        <v>1565</v>
      </c>
      <c r="F1929" s="14" t="s">
        <v>4203</v>
      </c>
      <c r="G1929" s="14" t="s">
        <v>4204</v>
      </c>
      <c r="H1929" s="2" t="s">
        <v>16</v>
      </c>
      <c r="I1929" s="2" t="s">
        <v>3488</v>
      </c>
      <c r="J1929" s="2">
        <v>1.0</v>
      </c>
      <c r="K1929" s="23" t="s">
        <v>3849</v>
      </c>
      <c r="L1929" s="11">
        <v>80000.0</v>
      </c>
    </row>
    <row r="1930" hidden="1">
      <c r="A1930" s="1"/>
      <c r="B1930" s="1"/>
      <c r="C1930" s="13"/>
      <c r="D1930" s="2"/>
      <c r="E1930" s="2"/>
      <c r="F1930" s="14"/>
      <c r="G1930" s="14"/>
      <c r="H1930" s="2"/>
      <c r="I1930" s="2"/>
      <c r="J1930" s="2"/>
      <c r="K1930" s="12"/>
      <c r="L1930" s="11"/>
    </row>
    <row r="1931" hidden="1">
      <c r="A1931" s="8" t="s">
        <v>1623</v>
      </c>
      <c r="B1931" s="8" t="s">
        <v>1623</v>
      </c>
      <c r="C1931" s="13">
        <v>45935.84340277778</v>
      </c>
      <c r="D1931" s="2" t="s">
        <v>1564</v>
      </c>
      <c r="E1931" s="2" t="s">
        <v>1565</v>
      </c>
      <c r="F1931" s="14" t="s">
        <v>4203</v>
      </c>
      <c r="G1931" s="14" t="s">
        <v>4204</v>
      </c>
      <c r="H1931" s="2" t="s">
        <v>24</v>
      </c>
      <c r="I1931" s="2" t="s">
        <v>3491</v>
      </c>
      <c r="J1931" s="2">
        <v>1.0</v>
      </c>
      <c r="K1931" s="23" t="s">
        <v>4859</v>
      </c>
      <c r="L1931" s="11">
        <v>0.0</v>
      </c>
    </row>
    <row r="1932">
      <c r="A1932" s="8" t="s">
        <v>1624</v>
      </c>
      <c r="B1932" s="8" t="s">
        <v>1624</v>
      </c>
      <c r="C1932" s="13">
        <v>45936.45359953704</v>
      </c>
      <c r="D1932" s="2" t="s">
        <v>45</v>
      </c>
      <c r="E1932" s="2" t="s">
        <v>46</v>
      </c>
      <c r="F1932" s="14" t="s">
        <v>3522</v>
      </c>
      <c r="G1932" s="14" t="s">
        <v>3523</v>
      </c>
      <c r="H1932" s="2" t="s">
        <v>16</v>
      </c>
      <c r="I1932" s="2" t="s">
        <v>3488</v>
      </c>
      <c r="J1932" s="2">
        <v>6.0</v>
      </c>
      <c r="K1932" s="23" t="s">
        <v>4899</v>
      </c>
      <c r="L1932" s="11">
        <v>185000.0</v>
      </c>
    </row>
    <row r="1933" hidden="1">
      <c r="A1933" s="8" t="s">
        <v>1625</v>
      </c>
      <c r="B1933" s="8" t="s">
        <v>1625</v>
      </c>
      <c r="C1933" s="13">
        <v>45936.45538194444</v>
      </c>
      <c r="D1933" s="2" t="s">
        <v>943</v>
      </c>
      <c r="E1933" s="2" t="s">
        <v>944</v>
      </c>
      <c r="F1933" s="14" t="s">
        <v>3506</v>
      </c>
      <c r="G1933" s="14" t="s">
        <v>3507</v>
      </c>
      <c r="H1933" s="2" t="s">
        <v>16</v>
      </c>
      <c r="I1933" s="2" t="s">
        <v>3488</v>
      </c>
      <c r="J1933" s="2">
        <v>3.0</v>
      </c>
      <c r="K1933" s="19"/>
      <c r="L1933" s="11">
        <v>50000.0</v>
      </c>
    </row>
    <row r="1934" hidden="1">
      <c r="A1934" s="8" t="s">
        <v>1626</v>
      </c>
      <c r="B1934" s="8" t="s">
        <v>1626</v>
      </c>
      <c r="C1934" s="13">
        <v>45936.60836805555</v>
      </c>
      <c r="D1934" s="2" t="s">
        <v>1018</v>
      </c>
      <c r="E1934" s="2" t="s">
        <v>1019</v>
      </c>
      <c r="F1934" s="14" t="s">
        <v>3486</v>
      </c>
      <c r="G1934" s="14" t="s">
        <v>3487</v>
      </c>
      <c r="H1934" s="2" t="s">
        <v>16</v>
      </c>
      <c r="I1934" s="2" t="s">
        <v>3488</v>
      </c>
      <c r="J1934" s="2">
        <v>1.0</v>
      </c>
      <c r="K1934" s="23" t="s">
        <v>4292</v>
      </c>
      <c r="L1934" s="11">
        <v>60000.0</v>
      </c>
    </row>
    <row r="1935" hidden="1">
      <c r="A1935" s="8" t="s">
        <v>1626</v>
      </c>
      <c r="B1935" s="8" t="s">
        <v>1626</v>
      </c>
      <c r="C1935" s="13">
        <v>45936.60836805555</v>
      </c>
      <c r="D1935" s="2" t="s">
        <v>1018</v>
      </c>
      <c r="E1935" s="2" t="s">
        <v>1019</v>
      </c>
      <c r="F1935" s="14" t="s">
        <v>3522</v>
      </c>
      <c r="G1935" s="14" t="s">
        <v>3523</v>
      </c>
      <c r="H1935" s="2" t="s">
        <v>16</v>
      </c>
      <c r="I1935" s="2" t="s">
        <v>3488</v>
      </c>
      <c r="J1935" s="2">
        <v>1.0</v>
      </c>
      <c r="K1935" s="23" t="s">
        <v>4741</v>
      </c>
      <c r="L1935" s="11">
        <v>260000.0</v>
      </c>
    </row>
    <row r="1936" hidden="1">
      <c r="A1936" s="8" t="s">
        <v>1627</v>
      </c>
      <c r="B1936" s="8" t="s">
        <v>1627</v>
      </c>
      <c r="C1936" s="13">
        <v>45936.62237268518</v>
      </c>
      <c r="D1936" s="2" t="s">
        <v>943</v>
      </c>
      <c r="E1936" s="2" t="s">
        <v>944</v>
      </c>
      <c r="F1936" s="14" t="s">
        <v>3486</v>
      </c>
      <c r="G1936" s="14" t="s">
        <v>3487</v>
      </c>
      <c r="H1936" s="2" t="s">
        <v>24</v>
      </c>
      <c r="I1936" s="2" t="s">
        <v>3491</v>
      </c>
      <c r="J1936" s="2">
        <v>3.0</v>
      </c>
      <c r="K1936" s="23" t="s">
        <v>4900</v>
      </c>
      <c r="L1936" s="11">
        <v>0.0</v>
      </c>
    </row>
    <row r="1937" hidden="1">
      <c r="A1937" s="8" t="s">
        <v>1628</v>
      </c>
      <c r="B1937" s="8" t="s">
        <v>1628</v>
      </c>
      <c r="C1937" s="13">
        <v>45936.634560185186</v>
      </c>
      <c r="D1937" s="2" t="s">
        <v>1606</v>
      </c>
      <c r="E1937" s="2" t="s">
        <v>1629</v>
      </c>
      <c r="F1937" s="14" t="s">
        <v>3506</v>
      </c>
      <c r="G1937" s="14" t="s">
        <v>3507</v>
      </c>
      <c r="H1937" s="2" t="s">
        <v>16</v>
      </c>
      <c r="I1937" s="2" t="s">
        <v>3488</v>
      </c>
      <c r="J1937" s="2">
        <v>1.0</v>
      </c>
      <c r="K1937" s="19"/>
      <c r="L1937" s="11">
        <v>70000.0</v>
      </c>
    </row>
    <row r="1938" hidden="1">
      <c r="A1938" s="8" t="s">
        <v>1630</v>
      </c>
      <c r="B1938" s="8" t="s">
        <v>1630</v>
      </c>
      <c r="C1938" s="13">
        <v>45936.660833333335</v>
      </c>
      <c r="D1938" s="2" t="s">
        <v>1018</v>
      </c>
      <c r="E1938" s="2" t="s">
        <v>1019</v>
      </c>
      <c r="F1938" s="14" t="s">
        <v>3486</v>
      </c>
      <c r="G1938" s="14" t="s">
        <v>3487</v>
      </c>
      <c r="H1938" s="2" t="s">
        <v>24</v>
      </c>
      <c r="I1938" s="2" t="s">
        <v>3491</v>
      </c>
      <c r="J1938" s="2">
        <v>1.0</v>
      </c>
      <c r="K1938" s="23" t="s">
        <v>4363</v>
      </c>
      <c r="L1938" s="11">
        <v>0.0</v>
      </c>
    </row>
    <row r="1939" hidden="1">
      <c r="A1939" s="8" t="s">
        <v>1630</v>
      </c>
      <c r="B1939" s="8" t="s">
        <v>1630</v>
      </c>
      <c r="C1939" s="13">
        <v>45936.660833333335</v>
      </c>
      <c r="D1939" s="2" t="s">
        <v>1018</v>
      </c>
      <c r="E1939" s="2" t="s">
        <v>1019</v>
      </c>
      <c r="F1939" s="14" t="s">
        <v>3522</v>
      </c>
      <c r="G1939" s="14" t="s">
        <v>3523</v>
      </c>
      <c r="H1939" s="2" t="s">
        <v>24</v>
      </c>
      <c r="I1939" s="2" t="s">
        <v>3491</v>
      </c>
      <c r="J1939" s="2">
        <v>1.0</v>
      </c>
      <c r="K1939" s="23" t="s">
        <v>4376</v>
      </c>
      <c r="L1939" s="11">
        <v>0.0</v>
      </c>
    </row>
    <row r="1940" hidden="1">
      <c r="A1940" s="8" t="s">
        <v>1631</v>
      </c>
      <c r="B1940" s="8" t="s">
        <v>1631</v>
      </c>
      <c r="C1940" s="13">
        <v>45937.38002314815</v>
      </c>
      <c r="D1940" s="2" t="s">
        <v>20</v>
      </c>
      <c r="E1940" s="2" t="s">
        <v>21</v>
      </c>
      <c r="F1940" s="14" t="s">
        <v>3486</v>
      </c>
      <c r="G1940" s="14" t="s">
        <v>3487</v>
      </c>
      <c r="H1940" s="2" t="s">
        <v>16</v>
      </c>
      <c r="I1940" s="2" t="s">
        <v>3488</v>
      </c>
      <c r="J1940" s="2">
        <v>10.0</v>
      </c>
      <c r="K1940" s="23" t="s">
        <v>4901</v>
      </c>
      <c r="L1940" s="11">
        <v>60000.0</v>
      </c>
    </row>
    <row r="1941" hidden="1">
      <c r="A1941" s="8" t="s">
        <v>1631</v>
      </c>
      <c r="B1941" s="8" t="s">
        <v>1631</v>
      </c>
      <c r="C1941" s="13">
        <v>45937.38002314815</v>
      </c>
      <c r="D1941" s="2" t="s">
        <v>20</v>
      </c>
      <c r="E1941" s="2" t="s">
        <v>21</v>
      </c>
      <c r="F1941" s="14" t="s">
        <v>4729</v>
      </c>
      <c r="G1941" s="14" t="s">
        <v>4730</v>
      </c>
      <c r="H1941" s="2" t="s">
        <v>16</v>
      </c>
      <c r="I1941" s="2" t="s">
        <v>3488</v>
      </c>
      <c r="J1941" s="2">
        <v>1.0</v>
      </c>
      <c r="K1941" s="19"/>
      <c r="L1941" s="11">
        <v>50000.0</v>
      </c>
    </row>
    <row r="1942" hidden="1">
      <c r="A1942" s="8" t="s">
        <v>1632</v>
      </c>
      <c r="B1942" s="8" t="s">
        <v>1632</v>
      </c>
      <c r="C1942" s="13">
        <v>45937.43226851852</v>
      </c>
      <c r="D1942" s="2" t="s">
        <v>131</v>
      </c>
      <c r="E1942" s="2" t="s">
        <v>132</v>
      </c>
      <c r="F1942" s="14" t="s">
        <v>3516</v>
      </c>
      <c r="G1942" s="14" t="s">
        <v>3517</v>
      </c>
      <c r="H1942" s="2" t="s">
        <v>16</v>
      </c>
      <c r="I1942" s="2" t="s">
        <v>3488</v>
      </c>
      <c r="J1942" s="2">
        <v>2.0</v>
      </c>
      <c r="K1942" s="23" t="s">
        <v>4902</v>
      </c>
      <c r="L1942" s="11">
        <v>170000.0</v>
      </c>
    </row>
    <row r="1943" hidden="1">
      <c r="A1943" s="8" t="s">
        <v>1632</v>
      </c>
      <c r="B1943" s="8" t="s">
        <v>1632</v>
      </c>
      <c r="C1943" s="13">
        <v>45937.43226851852</v>
      </c>
      <c r="D1943" s="2" t="s">
        <v>131</v>
      </c>
      <c r="E1943" s="2" t="s">
        <v>132</v>
      </c>
      <c r="F1943" s="14" t="s">
        <v>4203</v>
      </c>
      <c r="G1943" s="14" t="s">
        <v>4204</v>
      </c>
      <c r="H1943" s="2" t="s">
        <v>16</v>
      </c>
      <c r="I1943" s="2" t="s">
        <v>3488</v>
      </c>
      <c r="J1943" s="2">
        <v>3.0</v>
      </c>
      <c r="K1943" s="23" t="s">
        <v>4903</v>
      </c>
      <c r="L1943" s="11">
        <v>60000.0</v>
      </c>
    </row>
    <row r="1944" hidden="1">
      <c r="A1944" s="8" t="s">
        <v>1633</v>
      </c>
      <c r="B1944" s="8" t="s">
        <v>1633</v>
      </c>
      <c r="C1944" s="13">
        <v>45937.56548611111</v>
      </c>
      <c r="D1944" s="2" t="s">
        <v>326</v>
      </c>
      <c r="E1944" s="2" t="s">
        <v>327</v>
      </c>
      <c r="F1944" s="14" t="s">
        <v>3486</v>
      </c>
      <c r="G1944" s="14" t="s">
        <v>3487</v>
      </c>
      <c r="H1944" s="2" t="s">
        <v>16</v>
      </c>
      <c r="I1944" s="2" t="s">
        <v>3488</v>
      </c>
      <c r="J1944" s="2">
        <v>10.0</v>
      </c>
      <c r="K1944" s="23" t="s">
        <v>4904</v>
      </c>
      <c r="L1944" s="11">
        <v>45000.0</v>
      </c>
    </row>
    <row r="1945" hidden="1">
      <c r="A1945" s="8" t="s">
        <v>1634</v>
      </c>
      <c r="B1945" s="8" t="s">
        <v>1634</v>
      </c>
      <c r="C1945" s="13">
        <v>45937.68015046296</v>
      </c>
      <c r="D1945" s="2" t="s">
        <v>20</v>
      </c>
      <c r="E1945" s="2" t="s">
        <v>21</v>
      </c>
      <c r="F1945" s="14" t="s">
        <v>3493</v>
      </c>
      <c r="G1945" s="14" t="s">
        <v>3494</v>
      </c>
      <c r="H1945" s="2" t="s">
        <v>24</v>
      </c>
      <c r="I1945" s="2" t="s">
        <v>3491</v>
      </c>
      <c r="J1945" s="2">
        <v>1.0</v>
      </c>
      <c r="K1945" s="19"/>
      <c r="L1945" s="11">
        <v>0.0</v>
      </c>
    </row>
    <row r="1946" hidden="1">
      <c r="A1946" s="8" t="s">
        <v>1634</v>
      </c>
      <c r="B1946" s="8" t="s">
        <v>1634</v>
      </c>
      <c r="C1946" s="13">
        <v>45937.68015046296</v>
      </c>
      <c r="D1946" s="2" t="s">
        <v>20</v>
      </c>
      <c r="E1946" s="2" t="s">
        <v>21</v>
      </c>
      <c r="F1946" s="14" t="s">
        <v>3486</v>
      </c>
      <c r="G1946" s="14" t="s">
        <v>3487</v>
      </c>
      <c r="H1946" s="2" t="s">
        <v>24</v>
      </c>
      <c r="I1946" s="2" t="s">
        <v>3491</v>
      </c>
      <c r="J1946" s="2">
        <v>6.0</v>
      </c>
      <c r="K1946" s="23" t="s">
        <v>4905</v>
      </c>
      <c r="L1946" s="11">
        <v>0.0</v>
      </c>
    </row>
    <row r="1947" hidden="1">
      <c r="A1947" s="8" t="s">
        <v>1634</v>
      </c>
      <c r="B1947" s="8" t="s">
        <v>1634</v>
      </c>
      <c r="C1947" s="13">
        <v>45937.68015046296</v>
      </c>
      <c r="D1947" s="2" t="s">
        <v>20</v>
      </c>
      <c r="E1947" s="2" t="s">
        <v>21</v>
      </c>
      <c r="F1947" s="14" t="s">
        <v>4203</v>
      </c>
      <c r="G1947" s="14" t="s">
        <v>4204</v>
      </c>
      <c r="H1947" s="2" t="s">
        <v>24</v>
      </c>
      <c r="I1947" s="2" t="s">
        <v>3491</v>
      </c>
      <c r="J1947" s="2">
        <v>4.0</v>
      </c>
      <c r="K1947" s="23" t="s">
        <v>4906</v>
      </c>
      <c r="L1947" s="11">
        <v>0.0</v>
      </c>
    </row>
    <row r="1948" hidden="1">
      <c r="A1948" s="8" t="s">
        <v>1635</v>
      </c>
      <c r="B1948" s="8" t="s">
        <v>1635</v>
      </c>
      <c r="C1948" s="13">
        <v>45938.36178240741</v>
      </c>
      <c r="D1948" s="2" t="s">
        <v>169</v>
      </c>
      <c r="E1948" s="2" t="s">
        <v>170</v>
      </c>
      <c r="F1948" s="14" t="s">
        <v>3522</v>
      </c>
      <c r="G1948" s="14" t="s">
        <v>3523</v>
      </c>
      <c r="H1948" s="2" t="s">
        <v>16</v>
      </c>
      <c r="I1948" s="2" t="s">
        <v>3488</v>
      </c>
      <c r="J1948" s="2">
        <v>6.0</v>
      </c>
      <c r="K1948" s="23" t="s">
        <v>4907</v>
      </c>
      <c r="L1948" s="11">
        <v>195000.0</v>
      </c>
    </row>
    <row r="1949" hidden="1">
      <c r="A1949" s="8" t="s">
        <v>1636</v>
      </c>
      <c r="B1949" s="8" t="s">
        <v>1636</v>
      </c>
      <c r="C1949" s="13">
        <v>45938.45518518519</v>
      </c>
      <c r="D1949" s="2" t="s">
        <v>169</v>
      </c>
      <c r="E1949" s="2" t="s">
        <v>170</v>
      </c>
      <c r="F1949" s="14" t="s">
        <v>3522</v>
      </c>
      <c r="G1949" s="14" t="s">
        <v>3523</v>
      </c>
      <c r="H1949" s="2" t="s">
        <v>24</v>
      </c>
      <c r="I1949" s="2" t="s">
        <v>3491</v>
      </c>
      <c r="J1949" s="2">
        <v>3.0</v>
      </c>
      <c r="K1949" s="23" t="s">
        <v>4908</v>
      </c>
      <c r="L1949" s="11">
        <v>0.0</v>
      </c>
    </row>
    <row r="1950" hidden="1">
      <c r="A1950" s="8" t="s">
        <v>1637</v>
      </c>
      <c r="B1950" s="8" t="s">
        <v>1637</v>
      </c>
      <c r="C1950" s="13">
        <v>45938.49931712963</v>
      </c>
      <c r="D1950" s="2" t="s">
        <v>326</v>
      </c>
      <c r="E1950" s="2" t="s">
        <v>327</v>
      </c>
      <c r="F1950" s="14" t="s">
        <v>3486</v>
      </c>
      <c r="G1950" s="14" t="s">
        <v>3487</v>
      </c>
      <c r="H1950" s="2" t="s">
        <v>24</v>
      </c>
      <c r="I1950" s="2" t="s">
        <v>3491</v>
      </c>
      <c r="J1950" s="2">
        <v>22.0</v>
      </c>
      <c r="K1950" s="23" t="s">
        <v>4909</v>
      </c>
      <c r="L1950" s="11">
        <v>0.0</v>
      </c>
    </row>
    <row r="1951" hidden="1">
      <c r="A1951" s="8" t="s">
        <v>1638</v>
      </c>
      <c r="B1951" s="8" t="s">
        <v>1638</v>
      </c>
      <c r="C1951" s="13">
        <v>45938.56119212963</v>
      </c>
      <c r="D1951" s="2" t="s">
        <v>1519</v>
      </c>
      <c r="E1951" s="2" t="s">
        <v>1520</v>
      </c>
      <c r="F1951" s="14" t="s">
        <v>3522</v>
      </c>
      <c r="G1951" s="14" t="s">
        <v>3523</v>
      </c>
      <c r="H1951" s="2" t="s">
        <v>16</v>
      </c>
      <c r="I1951" s="2" t="s">
        <v>3488</v>
      </c>
      <c r="J1951" s="2">
        <v>1.0</v>
      </c>
      <c r="K1951" s="23" t="s">
        <v>4910</v>
      </c>
      <c r="L1951" s="11">
        <v>200000.0</v>
      </c>
    </row>
    <row r="1952">
      <c r="A1952" s="8" t="s">
        <v>1639</v>
      </c>
      <c r="B1952" s="8" t="s">
        <v>1639</v>
      </c>
      <c r="C1952" s="13">
        <v>45938.56868055555</v>
      </c>
      <c r="D1952" s="2" t="s">
        <v>45</v>
      </c>
      <c r="E1952" s="2" t="s">
        <v>46</v>
      </c>
      <c r="F1952" s="14" t="s">
        <v>3486</v>
      </c>
      <c r="G1952" s="14" t="s">
        <v>3487</v>
      </c>
      <c r="H1952" s="2" t="s">
        <v>16</v>
      </c>
      <c r="I1952" s="2" t="s">
        <v>3488</v>
      </c>
      <c r="J1952" s="2">
        <v>9.0</v>
      </c>
      <c r="K1952" s="23" t="s">
        <v>4911</v>
      </c>
      <c r="L1952" s="11">
        <v>60000.0</v>
      </c>
    </row>
    <row r="1953">
      <c r="A1953" s="8" t="s">
        <v>1639</v>
      </c>
      <c r="B1953" s="8" t="s">
        <v>1639</v>
      </c>
      <c r="C1953" s="13">
        <v>45938.56868055555</v>
      </c>
      <c r="D1953" s="2" t="s">
        <v>45</v>
      </c>
      <c r="E1953" s="2" t="s">
        <v>46</v>
      </c>
      <c r="F1953" s="14" t="s">
        <v>4203</v>
      </c>
      <c r="G1953" s="14" t="s">
        <v>4204</v>
      </c>
      <c r="H1953" s="2" t="s">
        <v>16</v>
      </c>
      <c r="I1953" s="2" t="s">
        <v>3488</v>
      </c>
      <c r="J1953" s="2">
        <v>1.0</v>
      </c>
      <c r="K1953" s="23" t="s">
        <v>4912</v>
      </c>
      <c r="L1953" s="11">
        <v>60000.0</v>
      </c>
    </row>
    <row r="1954" hidden="1">
      <c r="A1954" s="8" t="s">
        <v>1638</v>
      </c>
      <c r="B1954" s="8" t="s">
        <v>1638</v>
      </c>
      <c r="C1954" s="13">
        <v>45938.56119212963</v>
      </c>
      <c r="D1954" s="2" t="s">
        <v>1519</v>
      </c>
      <c r="E1954" s="2" t="s">
        <v>1520</v>
      </c>
      <c r="F1954" s="14" t="s">
        <v>4913</v>
      </c>
      <c r="G1954" s="14" t="s">
        <v>4914</v>
      </c>
      <c r="H1954" s="2" t="s">
        <v>16</v>
      </c>
      <c r="I1954" s="2" t="s">
        <v>3488</v>
      </c>
      <c r="J1954" s="2">
        <v>1.0</v>
      </c>
      <c r="K1954" s="19"/>
      <c r="L1954" s="11">
        <v>350000.0</v>
      </c>
    </row>
    <row r="1955" hidden="1">
      <c r="A1955" s="8" t="s">
        <v>1640</v>
      </c>
      <c r="B1955" s="8" t="s">
        <v>1640</v>
      </c>
      <c r="C1955" s="13">
        <v>45938.57545138889</v>
      </c>
      <c r="D1955" s="2" t="s">
        <v>109</v>
      </c>
      <c r="E1955" s="2" t="s">
        <v>110</v>
      </c>
      <c r="F1955" s="14" t="s">
        <v>3516</v>
      </c>
      <c r="G1955" s="14" t="s">
        <v>3517</v>
      </c>
      <c r="H1955" s="2" t="s">
        <v>16</v>
      </c>
      <c r="I1955" s="2" t="s">
        <v>3488</v>
      </c>
      <c r="J1955" s="2">
        <v>3.0</v>
      </c>
      <c r="K1955" s="23" t="s">
        <v>4915</v>
      </c>
      <c r="L1955" s="11">
        <v>160000.0</v>
      </c>
    </row>
    <row r="1956" hidden="1">
      <c r="A1956" s="8" t="s">
        <v>1640</v>
      </c>
      <c r="B1956" s="8" t="s">
        <v>1640</v>
      </c>
      <c r="C1956" s="13">
        <v>45938.57545138889</v>
      </c>
      <c r="D1956" s="2" t="s">
        <v>109</v>
      </c>
      <c r="E1956" s="2" t="s">
        <v>110</v>
      </c>
      <c r="F1956" s="14" t="s">
        <v>4203</v>
      </c>
      <c r="G1956" s="14" t="s">
        <v>4204</v>
      </c>
      <c r="H1956" s="2" t="s">
        <v>16</v>
      </c>
      <c r="I1956" s="2" t="s">
        <v>3488</v>
      </c>
      <c r="J1956" s="2">
        <v>2.0</v>
      </c>
      <c r="K1956" s="23" t="s">
        <v>4916</v>
      </c>
      <c r="L1956" s="11">
        <v>65000.0</v>
      </c>
    </row>
    <row r="1957" hidden="1">
      <c r="A1957" s="8" t="s">
        <v>1640</v>
      </c>
      <c r="B1957" s="8" t="s">
        <v>1640</v>
      </c>
      <c r="C1957" s="13">
        <v>45938.57545138889</v>
      </c>
      <c r="D1957" s="2" t="s">
        <v>109</v>
      </c>
      <c r="E1957" s="2" t="s">
        <v>110</v>
      </c>
      <c r="F1957" s="14" t="s">
        <v>3522</v>
      </c>
      <c r="G1957" s="14" t="s">
        <v>3523</v>
      </c>
      <c r="H1957" s="2" t="s">
        <v>16</v>
      </c>
      <c r="I1957" s="2" t="s">
        <v>3488</v>
      </c>
      <c r="J1957" s="2">
        <v>2.0</v>
      </c>
      <c r="K1957" s="23" t="s">
        <v>4917</v>
      </c>
      <c r="L1957" s="11">
        <v>190000.0</v>
      </c>
    </row>
    <row r="1958" hidden="1">
      <c r="A1958" s="8" t="s">
        <v>1641</v>
      </c>
      <c r="B1958" s="8" t="s">
        <v>1641</v>
      </c>
      <c r="C1958" s="13">
        <v>45938.62908564815</v>
      </c>
      <c r="D1958" s="2" t="s">
        <v>109</v>
      </c>
      <c r="E1958" s="2" t="s">
        <v>110</v>
      </c>
      <c r="F1958" s="14" t="s">
        <v>3486</v>
      </c>
      <c r="G1958" s="14" t="s">
        <v>3487</v>
      </c>
      <c r="H1958" s="2" t="s">
        <v>24</v>
      </c>
      <c r="I1958" s="2" t="s">
        <v>3491</v>
      </c>
      <c r="J1958" s="2">
        <v>1.0</v>
      </c>
      <c r="K1958" s="23" t="s">
        <v>4918</v>
      </c>
      <c r="L1958" s="11">
        <v>0.0</v>
      </c>
    </row>
    <row r="1959" hidden="1">
      <c r="A1959" s="8" t="s">
        <v>1641</v>
      </c>
      <c r="B1959" s="8" t="s">
        <v>1641</v>
      </c>
      <c r="C1959" s="13">
        <v>45938.62908564815</v>
      </c>
      <c r="D1959" s="2" t="s">
        <v>109</v>
      </c>
      <c r="E1959" s="2" t="s">
        <v>110</v>
      </c>
      <c r="F1959" s="14" t="s">
        <v>3522</v>
      </c>
      <c r="G1959" s="14" t="s">
        <v>3523</v>
      </c>
      <c r="H1959" s="2" t="s">
        <v>24</v>
      </c>
      <c r="I1959" s="2" t="s">
        <v>3491</v>
      </c>
      <c r="J1959" s="2">
        <v>2.0</v>
      </c>
      <c r="K1959" s="23" t="s">
        <v>4919</v>
      </c>
      <c r="L1959" s="11">
        <v>0.0</v>
      </c>
    </row>
    <row r="1960" hidden="1">
      <c r="A1960" s="8" t="s">
        <v>1641</v>
      </c>
      <c r="B1960" s="8" t="s">
        <v>1641</v>
      </c>
      <c r="C1960" s="13">
        <v>45938.62908564815</v>
      </c>
      <c r="D1960" s="2" t="s">
        <v>109</v>
      </c>
      <c r="E1960" s="2" t="s">
        <v>110</v>
      </c>
      <c r="F1960" s="14" t="s">
        <v>3516</v>
      </c>
      <c r="G1960" s="14" t="s">
        <v>3517</v>
      </c>
      <c r="H1960" s="2" t="s">
        <v>24</v>
      </c>
      <c r="I1960" s="2" t="s">
        <v>3491</v>
      </c>
      <c r="J1960" s="2">
        <v>2.0</v>
      </c>
      <c r="K1960" s="23" t="s">
        <v>4920</v>
      </c>
      <c r="L1960" s="11">
        <v>0.0</v>
      </c>
    </row>
    <row r="1961">
      <c r="A1961" s="8" t="s">
        <v>1642</v>
      </c>
      <c r="B1961" s="8" t="s">
        <v>1642</v>
      </c>
      <c r="C1961" s="13">
        <v>45938.666666666664</v>
      </c>
      <c r="D1961" s="2" t="s">
        <v>45</v>
      </c>
      <c r="E1961" s="2" t="s">
        <v>46</v>
      </c>
      <c r="F1961" s="14" t="s">
        <v>3486</v>
      </c>
      <c r="G1961" s="14" t="s">
        <v>3487</v>
      </c>
      <c r="H1961" s="2" t="s">
        <v>24</v>
      </c>
      <c r="I1961" s="2" t="s">
        <v>3491</v>
      </c>
      <c r="J1961" s="2">
        <v>3.0</v>
      </c>
      <c r="K1961" s="23" t="s">
        <v>4921</v>
      </c>
      <c r="L1961" s="11">
        <v>0.0</v>
      </c>
    </row>
    <row r="1962">
      <c r="A1962" s="8" t="s">
        <v>1642</v>
      </c>
      <c r="B1962" s="8" t="s">
        <v>1642</v>
      </c>
      <c r="C1962" s="13">
        <v>45938.666666666664</v>
      </c>
      <c r="D1962" s="2" t="s">
        <v>45</v>
      </c>
      <c r="E1962" s="2" t="s">
        <v>46</v>
      </c>
      <c r="F1962" s="14" t="s">
        <v>3522</v>
      </c>
      <c r="G1962" s="14" t="s">
        <v>3523</v>
      </c>
      <c r="H1962" s="2" t="s">
        <v>24</v>
      </c>
      <c r="I1962" s="2" t="s">
        <v>3491</v>
      </c>
      <c r="J1962" s="2">
        <v>9.0</v>
      </c>
      <c r="K1962" s="23" t="s">
        <v>4922</v>
      </c>
      <c r="L1962" s="11">
        <v>0.0</v>
      </c>
    </row>
    <row r="1963" hidden="1">
      <c r="A1963" s="8" t="s">
        <v>1643</v>
      </c>
      <c r="B1963" s="8" t="s">
        <v>1643</v>
      </c>
      <c r="C1963" s="13">
        <v>45939.3690162037</v>
      </c>
      <c r="D1963" s="2" t="s">
        <v>1228</v>
      </c>
      <c r="E1963" s="2" t="s">
        <v>1229</v>
      </c>
      <c r="F1963" s="14" t="s">
        <v>3486</v>
      </c>
      <c r="G1963" s="14" t="s">
        <v>3487</v>
      </c>
      <c r="H1963" s="2" t="s">
        <v>16</v>
      </c>
      <c r="I1963" s="2" t="s">
        <v>3488</v>
      </c>
      <c r="J1963" s="2">
        <v>12.0</v>
      </c>
      <c r="K1963" s="23" t="s">
        <v>4923</v>
      </c>
      <c r="L1963" s="11">
        <v>55000.0</v>
      </c>
    </row>
    <row r="1964" hidden="1">
      <c r="A1964" s="1"/>
      <c r="B1964" s="1"/>
      <c r="C1964" s="13"/>
      <c r="D1964" s="2"/>
      <c r="E1964" s="2"/>
      <c r="F1964" s="14"/>
      <c r="G1964" s="14"/>
      <c r="H1964" s="2"/>
      <c r="I1964" s="2"/>
      <c r="J1964" s="2"/>
      <c r="K1964" s="12"/>
      <c r="L1964" s="11"/>
    </row>
    <row r="1965" hidden="1">
      <c r="A1965" s="8" t="s">
        <v>1644</v>
      </c>
      <c r="B1965" s="8" t="s">
        <v>1644</v>
      </c>
      <c r="C1965" s="13">
        <v>45939.478483796294</v>
      </c>
      <c r="D1965" s="2" t="s">
        <v>1228</v>
      </c>
      <c r="E1965" s="2" t="s">
        <v>1229</v>
      </c>
      <c r="F1965" s="14" t="s">
        <v>3486</v>
      </c>
      <c r="G1965" s="14" t="s">
        <v>3487</v>
      </c>
      <c r="H1965" s="2" t="s">
        <v>24</v>
      </c>
      <c r="I1965" s="2" t="s">
        <v>3491</v>
      </c>
      <c r="J1965" s="2">
        <v>3.0</v>
      </c>
      <c r="K1965" s="23" t="s">
        <v>4924</v>
      </c>
      <c r="L1965" s="11">
        <v>0.0</v>
      </c>
    </row>
    <row r="1966" hidden="1">
      <c r="A1966" s="8" t="s">
        <v>1645</v>
      </c>
      <c r="B1966" s="8" t="s">
        <v>1645</v>
      </c>
      <c r="C1966" s="13">
        <v>45939.48125</v>
      </c>
      <c r="D1966" s="2" t="s">
        <v>49</v>
      </c>
      <c r="E1966" s="2" t="s">
        <v>50</v>
      </c>
      <c r="F1966" s="14" t="s">
        <v>3486</v>
      </c>
      <c r="G1966" s="14" t="s">
        <v>3487</v>
      </c>
      <c r="H1966" s="2" t="s">
        <v>24</v>
      </c>
      <c r="I1966" s="2" t="s">
        <v>3491</v>
      </c>
      <c r="J1966" s="2">
        <v>4.0</v>
      </c>
      <c r="K1966" s="23" t="s">
        <v>4925</v>
      </c>
      <c r="L1966" s="11">
        <v>0.0</v>
      </c>
    </row>
    <row r="1967" hidden="1">
      <c r="A1967" s="8" t="s">
        <v>1646</v>
      </c>
      <c r="B1967" s="8" t="s">
        <v>1646</v>
      </c>
      <c r="C1967" s="13">
        <v>45939.48175925926</v>
      </c>
      <c r="D1967" s="2" t="s">
        <v>131</v>
      </c>
      <c r="E1967" s="2" t="s">
        <v>132</v>
      </c>
      <c r="F1967" s="14" t="s">
        <v>3516</v>
      </c>
      <c r="G1967" s="14" t="s">
        <v>3517</v>
      </c>
      <c r="H1967" s="2" t="s">
        <v>24</v>
      </c>
      <c r="I1967" s="2" t="s">
        <v>3491</v>
      </c>
      <c r="J1967" s="2">
        <v>1.0</v>
      </c>
      <c r="K1967" s="23" t="s">
        <v>4389</v>
      </c>
      <c r="L1967" s="11">
        <v>0.0</v>
      </c>
    </row>
    <row r="1968" hidden="1">
      <c r="A1968" s="8" t="s">
        <v>1646</v>
      </c>
      <c r="B1968" s="8" t="s">
        <v>1646</v>
      </c>
      <c r="C1968" s="13">
        <v>45939.48175925926</v>
      </c>
      <c r="D1968" s="2" t="s">
        <v>131</v>
      </c>
      <c r="E1968" s="2" t="s">
        <v>132</v>
      </c>
      <c r="F1968" s="14" t="s">
        <v>3516</v>
      </c>
      <c r="G1968" s="14" t="s">
        <v>3517</v>
      </c>
      <c r="H1968" s="2" t="s">
        <v>24</v>
      </c>
      <c r="I1968" s="2" t="s">
        <v>3614</v>
      </c>
      <c r="J1968" s="2">
        <v>1.0</v>
      </c>
      <c r="K1968" s="23" t="s">
        <v>4662</v>
      </c>
      <c r="L1968" s="11">
        <v>0.0</v>
      </c>
    </row>
    <row r="1969" hidden="1">
      <c r="A1969" s="8" t="s">
        <v>1647</v>
      </c>
      <c r="B1969" s="8" t="s">
        <v>1647</v>
      </c>
      <c r="C1969" s="13">
        <v>45939.899618055555</v>
      </c>
      <c r="D1969" s="2" t="s">
        <v>131</v>
      </c>
      <c r="E1969" s="2" t="s">
        <v>132</v>
      </c>
      <c r="F1969" s="14" t="s">
        <v>3516</v>
      </c>
      <c r="G1969" s="14" t="s">
        <v>3517</v>
      </c>
      <c r="H1969" s="2" t="s">
        <v>159</v>
      </c>
      <c r="I1969" s="2" t="s">
        <v>3619</v>
      </c>
      <c r="J1969" s="2">
        <v>1.0</v>
      </c>
      <c r="K1969" s="23" t="s">
        <v>4700</v>
      </c>
      <c r="L1969" s="11">
        <v>0.0</v>
      </c>
    </row>
    <row r="1970" hidden="1">
      <c r="A1970" s="8" t="s">
        <v>1648</v>
      </c>
      <c r="B1970" s="8" t="s">
        <v>1648</v>
      </c>
      <c r="C1970" s="13">
        <v>45940.64686342593</v>
      </c>
      <c r="D1970" s="2" t="s">
        <v>213</v>
      </c>
      <c r="E1970" s="2" t="s">
        <v>214</v>
      </c>
      <c r="F1970" s="14" t="s">
        <v>3486</v>
      </c>
      <c r="G1970" s="14" t="s">
        <v>3487</v>
      </c>
      <c r="H1970" s="2" t="s">
        <v>24</v>
      </c>
      <c r="I1970" s="2" t="s">
        <v>3491</v>
      </c>
      <c r="J1970" s="2">
        <v>2.0</v>
      </c>
      <c r="K1970" s="23" t="s">
        <v>4926</v>
      </c>
      <c r="L1970" s="11">
        <v>0.0</v>
      </c>
    </row>
    <row r="1971" hidden="1">
      <c r="A1971" s="8" t="s">
        <v>1648</v>
      </c>
      <c r="B1971" s="8" t="s">
        <v>1648</v>
      </c>
      <c r="C1971" s="13">
        <v>45940.64686342593</v>
      </c>
      <c r="D1971" s="2" t="s">
        <v>213</v>
      </c>
      <c r="E1971" s="2" t="s">
        <v>214</v>
      </c>
      <c r="F1971" s="14" t="s">
        <v>4203</v>
      </c>
      <c r="G1971" s="14" t="s">
        <v>4204</v>
      </c>
      <c r="H1971" s="2" t="s">
        <v>24</v>
      </c>
      <c r="I1971" s="2" t="s">
        <v>3491</v>
      </c>
      <c r="J1971" s="2">
        <v>4.0</v>
      </c>
      <c r="K1971" s="23" t="s">
        <v>4927</v>
      </c>
      <c r="L1971" s="11">
        <v>0.0</v>
      </c>
    </row>
    <row r="1972" hidden="1">
      <c r="A1972" s="8" t="s">
        <v>1649</v>
      </c>
      <c r="B1972" s="8" t="s">
        <v>1649</v>
      </c>
      <c r="C1972" s="13">
        <v>45941.36009259259</v>
      </c>
      <c r="D1972" s="2" t="s">
        <v>951</v>
      </c>
      <c r="E1972" s="2" t="s">
        <v>952</v>
      </c>
      <c r="F1972" s="14" t="s">
        <v>3516</v>
      </c>
      <c r="G1972" s="14" t="s">
        <v>3517</v>
      </c>
      <c r="H1972" s="2" t="s">
        <v>16</v>
      </c>
      <c r="I1972" s="2" t="s">
        <v>3488</v>
      </c>
      <c r="J1972" s="2">
        <v>2.0</v>
      </c>
      <c r="K1972" s="23" t="s">
        <v>4928</v>
      </c>
      <c r="L1972" s="11">
        <v>165000.0</v>
      </c>
    </row>
    <row r="1973" hidden="1">
      <c r="A1973" s="8" t="s">
        <v>1649</v>
      </c>
      <c r="B1973" s="8" t="s">
        <v>1649</v>
      </c>
      <c r="C1973" s="13">
        <v>45941.36009259259</v>
      </c>
      <c r="D1973" s="2" t="s">
        <v>951</v>
      </c>
      <c r="E1973" s="2" t="s">
        <v>952</v>
      </c>
      <c r="F1973" s="14" t="s">
        <v>3486</v>
      </c>
      <c r="G1973" s="14" t="s">
        <v>3487</v>
      </c>
      <c r="H1973" s="2" t="s">
        <v>16</v>
      </c>
      <c r="I1973" s="2" t="s">
        <v>3488</v>
      </c>
      <c r="J1973" s="2">
        <v>5.0</v>
      </c>
      <c r="K1973" s="23" t="s">
        <v>4929</v>
      </c>
      <c r="L1973" s="11">
        <v>55000.0</v>
      </c>
    </row>
    <row r="1974" hidden="1">
      <c r="A1974" s="8" t="s">
        <v>1650</v>
      </c>
      <c r="B1974" s="8" t="s">
        <v>1650</v>
      </c>
      <c r="C1974" s="13">
        <v>45941.36954861111</v>
      </c>
      <c r="D1974" s="2" t="s">
        <v>320</v>
      </c>
      <c r="E1974" s="2" t="s">
        <v>321</v>
      </c>
      <c r="F1974" s="14" t="s">
        <v>3516</v>
      </c>
      <c r="G1974" s="14" t="s">
        <v>3517</v>
      </c>
      <c r="H1974" s="2" t="s">
        <v>16</v>
      </c>
      <c r="I1974" s="2" t="s">
        <v>3488</v>
      </c>
      <c r="J1974" s="2">
        <v>1.0</v>
      </c>
      <c r="K1974" s="23" t="s">
        <v>4582</v>
      </c>
      <c r="L1974" s="11">
        <v>180000.0</v>
      </c>
    </row>
    <row r="1975" hidden="1">
      <c r="A1975" s="8" t="s">
        <v>1651</v>
      </c>
      <c r="B1975" s="8" t="s">
        <v>1651</v>
      </c>
      <c r="C1975" s="13">
        <v>45941.381215277775</v>
      </c>
      <c r="D1975" s="2" t="s">
        <v>786</v>
      </c>
      <c r="E1975" s="2" t="s">
        <v>787</v>
      </c>
      <c r="F1975" s="14" t="s">
        <v>3486</v>
      </c>
      <c r="G1975" s="14" t="s">
        <v>3487</v>
      </c>
      <c r="H1975" s="2" t="s">
        <v>16</v>
      </c>
      <c r="I1975" s="2" t="s">
        <v>3488</v>
      </c>
      <c r="J1975" s="2">
        <v>6.0</v>
      </c>
      <c r="K1975" s="23" t="s">
        <v>4930</v>
      </c>
      <c r="L1975" s="11">
        <v>60000.0</v>
      </c>
    </row>
    <row r="1976">
      <c r="A1976" s="8" t="s">
        <v>1652</v>
      </c>
      <c r="B1976" s="8" t="s">
        <v>1652</v>
      </c>
      <c r="C1976" s="13">
        <v>45941.42616898148</v>
      </c>
      <c r="D1976" s="2" t="s">
        <v>45</v>
      </c>
      <c r="E1976" s="2" t="s">
        <v>46</v>
      </c>
      <c r="F1976" s="14" t="s">
        <v>3522</v>
      </c>
      <c r="G1976" s="14" t="s">
        <v>3523</v>
      </c>
      <c r="H1976" s="2" t="s">
        <v>16</v>
      </c>
      <c r="I1976" s="2" t="s">
        <v>3488</v>
      </c>
      <c r="J1976" s="2">
        <v>10.0</v>
      </c>
      <c r="K1976" s="23" t="s">
        <v>4931</v>
      </c>
      <c r="L1976" s="11">
        <v>185000.0</v>
      </c>
    </row>
    <row r="1977">
      <c r="A1977" s="8" t="s">
        <v>1652</v>
      </c>
      <c r="B1977" s="8" t="s">
        <v>1652</v>
      </c>
      <c r="C1977" s="13">
        <v>45941.42616898148</v>
      </c>
      <c r="D1977" s="2" t="s">
        <v>45</v>
      </c>
      <c r="E1977" s="2" t="s">
        <v>46</v>
      </c>
      <c r="F1977" s="14" t="s">
        <v>4203</v>
      </c>
      <c r="G1977" s="14" t="s">
        <v>4204</v>
      </c>
      <c r="H1977" s="2" t="s">
        <v>16</v>
      </c>
      <c r="I1977" s="2" t="s">
        <v>3488</v>
      </c>
      <c r="J1977" s="2">
        <v>10.0</v>
      </c>
      <c r="K1977" s="23" t="s">
        <v>4932</v>
      </c>
      <c r="L1977" s="11">
        <v>60000.0</v>
      </c>
    </row>
    <row r="1978" hidden="1">
      <c r="A1978" s="8" t="s">
        <v>1653</v>
      </c>
      <c r="B1978" s="8" t="s">
        <v>1653</v>
      </c>
      <c r="C1978" s="13">
        <v>45941.4369212963</v>
      </c>
      <c r="D1978" s="2" t="s">
        <v>320</v>
      </c>
      <c r="E1978" s="2" t="s">
        <v>321</v>
      </c>
      <c r="F1978" s="14" t="s">
        <v>3516</v>
      </c>
      <c r="G1978" s="14" t="s">
        <v>3517</v>
      </c>
      <c r="H1978" s="2" t="s">
        <v>24</v>
      </c>
      <c r="I1978" s="2" t="s">
        <v>3491</v>
      </c>
      <c r="J1978" s="2">
        <v>1.0</v>
      </c>
      <c r="K1978" s="23" t="s">
        <v>4495</v>
      </c>
      <c r="L1978" s="11">
        <v>0.0</v>
      </c>
    </row>
    <row r="1979" hidden="1">
      <c r="A1979" s="8" t="s">
        <v>1654</v>
      </c>
      <c r="B1979" s="8" t="s">
        <v>1654</v>
      </c>
      <c r="C1979" s="13">
        <v>45941.437569444446</v>
      </c>
      <c r="D1979" s="2" t="s">
        <v>951</v>
      </c>
      <c r="E1979" s="2" t="s">
        <v>952</v>
      </c>
      <c r="F1979" s="14" t="s">
        <v>3486</v>
      </c>
      <c r="G1979" s="14" t="s">
        <v>3487</v>
      </c>
      <c r="H1979" s="2" t="s">
        <v>24</v>
      </c>
      <c r="I1979" s="2" t="s">
        <v>3491</v>
      </c>
      <c r="J1979" s="2">
        <v>4.0</v>
      </c>
      <c r="K1979" s="23" t="s">
        <v>4933</v>
      </c>
      <c r="L1979" s="11">
        <v>0.0</v>
      </c>
    </row>
    <row r="1980" hidden="1">
      <c r="A1980" s="8" t="s">
        <v>1655</v>
      </c>
      <c r="B1980" s="8" t="s">
        <v>1655</v>
      </c>
      <c r="C1980" s="13">
        <v>45941.534004629626</v>
      </c>
      <c r="D1980" s="2" t="s">
        <v>20</v>
      </c>
      <c r="E1980" s="2" t="s">
        <v>21</v>
      </c>
      <c r="F1980" s="14" t="s">
        <v>3486</v>
      </c>
      <c r="G1980" s="14" t="s">
        <v>3487</v>
      </c>
      <c r="H1980" s="2" t="s">
        <v>16</v>
      </c>
      <c r="I1980" s="2" t="s">
        <v>3488</v>
      </c>
      <c r="J1980" s="2">
        <v>10.0</v>
      </c>
      <c r="K1980" s="23" t="s">
        <v>4934</v>
      </c>
      <c r="L1980" s="11">
        <v>60000.0</v>
      </c>
    </row>
    <row r="1981" hidden="1">
      <c r="A1981" s="8" t="s">
        <v>1656</v>
      </c>
      <c r="B1981" s="8" t="s">
        <v>1656</v>
      </c>
      <c r="C1981" s="13">
        <v>45940.9530787037</v>
      </c>
      <c r="D1981" s="2" t="s">
        <v>786</v>
      </c>
      <c r="E1981" s="2" t="s">
        <v>787</v>
      </c>
      <c r="F1981" s="14" t="s">
        <v>3486</v>
      </c>
      <c r="G1981" s="14" t="s">
        <v>3487</v>
      </c>
      <c r="H1981" s="2" t="s">
        <v>24</v>
      </c>
      <c r="I1981" s="2" t="s">
        <v>3491</v>
      </c>
      <c r="J1981" s="2">
        <v>2.0</v>
      </c>
      <c r="K1981" s="23" t="s">
        <v>4935</v>
      </c>
      <c r="L1981" s="11">
        <v>0.0</v>
      </c>
    </row>
    <row r="1982">
      <c r="A1982" s="8" t="s">
        <v>1657</v>
      </c>
      <c r="B1982" s="8" t="s">
        <v>1657</v>
      </c>
      <c r="C1982" s="13">
        <v>45941.56730324074</v>
      </c>
      <c r="D1982" s="2" t="s">
        <v>45</v>
      </c>
      <c r="E1982" s="2" t="s">
        <v>46</v>
      </c>
      <c r="F1982" s="14" t="s">
        <v>3486</v>
      </c>
      <c r="G1982" s="14" t="s">
        <v>3487</v>
      </c>
      <c r="H1982" s="2" t="s">
        <v>24</v>
      </c>
      <c r="I1982" s="2" t="s">
        <v>3491</v>
      </c>
      <c r="J1982" s="2">
        <v>4.0</v>
      </c>
      <c r="K1982" s="23" t="s">
        <v>4936</v>
      </c>
      <c r="L1982" s="11">
        <v>0.0</v>
      </c>
    </row>
    <row r="1983">
      <c r="A1983" s="8" t="s">
        <v>1657</v>
      </c>
      <c r="B1983" s="8" t="s">
        <v>1657</v>
      </c>
      <c r="C1983" s="13">
        <v>45941.56730324074</v>
      </c>
      <c r="D1983" s="2" t="s">
        <v>45</v>
      </c>
      <c r="E1983" s="2" t="s">
        <v>46</v>
      </c>
      <c r="F1983" s="14" t="s">
        <v>3522</v>
      </c>
      <c r="G1983" s="14" t="s">
        <v>3523</v>
      </c>
      <c r="H1983" s="2" t="s">
        <v>24</v>
      </c>
      <c r="I1983" s="2" t="s">
        <v>3491</v>
      </c>
      <c r="J1983" s="2">
        <v>2.0</v>
      </c>
      <c r="K1983" s="23" t="s">
        <v>4937</v>
      </c>
      <c r="L1983" s="11">
        <v>0.0</v>
      </c>
    </row>
    <row r="1984" hidden="1">
      <c r="A1984" s="8" t="s">
        <v>1658</v>
      </c>
      <c r="B1984" s="8" t="s">
        <v>1658</v>
      </c>
      <c r="C1984" s="13">
        <v>45941.58078703703</v>
      </c>
      <c r="D1984" s="2" t="s">
        <v>20</v>
      </c>
      <c r="E1984" s="2" t="s">
        <v>21</v>
      </c>
      <c r="F1984" s="14" t="s">
        <v>3486</v>
      </c>
      <c r="G1984" s="14" t="s">
        <v>3487</v>
      </c>
      <c r="H1984" s="2" t="s">
        <v>24</v>
      </c>
      <c r="I1984" s="2" t="s">
        <v>3491</v>
      </c>
      <c r="J1984" s="2">
        <v>10.0</v>
      </c>
      <c r="K1984" s="23" t="s">
        <v>4938</v>
      </c>
      <c r="L1984" s="11">
        <v>0.0</v>
      </c>
    </row>
    <row r="1985" hidden="1">
      <c r="A1985" s="8" t="s">
        <v>1659</v>
      </c>
      <c r="B1985" s="8" t="s">
        <v>1659</v>
      </c>
      <c r="C1985" s="13">
        <v>45943.418078703704</v>
      </c>
      <c r="D1985" s="2" t="s">
        <v>685</v>
      </c>
      <c r="E1985" s="2" t="s">
        <v>686</v>
      </c>
      <c r="F1985" s="14" t="s">
        <v>3493</v>
      </c>
      <c r="G1985" s="14" t="s">
        <v>3494</v>
      </c>
      <c r="H1985" s="2" t="s">
        <v>16</v>
      </c>
      <c r="I1985" s="2" t="s">
        <v>3488</v>
      </c>
      <c r="J1985" s="2">
        <v>1.0</v>
      </c>
      <c r="K1985" s="23" t="s">
        <v>4688</v>
      </c>
      <c r="L1985" s="11">
        <v>189189.19</v>
      </c>
    </row>
    <row r="1986" hidden="1">
      <c r="A1986" s="8" t="s">
        <v>1660</v>
      </c>
      <c r="B1986" s="8" t="s">
        <v>1660</v>
      </c>
      <c r="C1986" s="13">
        <v>45943.43068287037</v>
      </c>
      <c r="D1986" s="2" t="s">
        <v>1183</v>
      </c>
      <c r="E1986" s="2" t="s">
        <v>1184</v>
      </c>
      <c r="F1986" s="14" t="s">
        <v>3486</v>
      </c>
      <c r="G1986" s="14" t="s">
        <v>3487</v>
      </c>
      <c r="H1986" s="2" t="s">
        <v>16</v>
      </c>
      <c r="I1986" s="2" t="s">
        <v>3488</v>
      </c>
      <c r="J1986" s="2">
        <v>2.0</v>
      </c>
      <c r="K1986" s="23" t="s">
        <v>4939</v>
      </c>
      <c r="L1986" s="11">
        <v>70000.0</v>
      </c>
    </row>
    <row r="1987" hidden="1">
      <c r="A1987" s="8" t="s">
        <v>1661</v>
      </c>
      <c r="B1987" s="8" t="s">
        <v>1661</v>
      </c>
      <c r="C1987" s="13">
        <v>45943.43388888889</v>
      </c>
      <c r="D1987" s="10" t="s">
        <v>1399</v>
      </c>
      <c r="E1987" s="2" t="s">
        <v>1400</v>
      </c>
      <c r="F1987" s="14" t="s">
        <v>3486</v>
      </c>
      <c r="G1987" s="14" t="s">
        <v>3487</v>
      </c>
      <c r="H1987" s="2" t="s">
        <v>16</v>
      </c>
      <c r="I1987" s="2" t="s">
        <v>3488</v>
      </c>
      <c r="J1987" s="2">
        <v>10.0</v>
      </c>
      <c r="K1987" s="23" t="s">
        <v>4940</v>
      </c>
      <c r="L1987" s="11">
        <v>55000.0</v>
      </c>
    </row>
    <row r="1988" hidden="1">
      <c r="A1988" s="8" t="s">
        <v>1662</v>
      </c>
      <c r="B1988" s="8" t="s">
        <v>1662</v>
      </c>
      <c r="C1988" s="13">
        <v>45943.440671296295</v>
      </c>
      <c r="D1988" s="2" t="s">
        <v>131</v>
      </c>
      <c r="E1988" s="2" t="s">
        <v>132</v>
      </c>
      <c r="F1988" s="14" t="s">
        <v>3516</v>
      </c>
      <c r="G1988" s="14" t="s">
        <v>3517</v>
      </c>
      <c r="H1988" s="2" t="s">
        <v>16</v>
      </c>
      <c r="I1988" s="2" t="s">
        <v>3488</v>
      </c>
      <c r="J1988" s="2">
        <v>1.0</v>
      </c>
      <c r="K1988" s="23" t="s">
        <v>4389</v>
      </c>
      <c r="L1988" s="11">
        <v>170000.0</v>
      </c>
    </row>
    <row r="1989" hidden="1">
      <c r="A1989" s="8" t="s">
        <v>1663</v>
      </c>
      <c r="B1989" s="8" t="s">
        <v>1663</v>
      </c>
      <c r="C1989" s="13">
        <v>45943.48337962963</v>
      </c>
      <c r="D1989" s="2" t="s">
        <v>309</v>
      </c>
      <c r="E1989" s="2" t="s">
        <v>310</v>
      </c>
      <c r="F1989" s="14" t="s">
        <v>3493</v>
      </c>
      <c r="G1989" s="14" t="s">
        <v>3494</v>
      </c>
      <c r="H1989" s="2" t="s">
        <v>16</v>
      </c>
      <c r="I1989" s="2" t="s">
        <v>3488</v>
      </c>
      <c r="J1989" s="2">
        <v>5.0</v>
      </c>
      <c r="K1989" s="19"/>
      <c r="L1989" s="11">
        <v>200000.0</v>
      </c>
    </row>
    <row r="1990" hidden="1">
      <c r="A1990" s="8" t="s">
        <v>1664</v>
      </c>
      <c r="B1990" s="8" t="s">
        <v>1664</v>
      </c>
      <c r="C1990" s="13">
        <v>45943.51568287037</v>
      </c>
      <c r="D1990" s="2" t="s">
        <v>131</v>
      </c>
      <c r="E1990" s="2" t="s">
        <v>132</v>
      </c>
      <c r="F1990" s="14" t="s">
        <v>3516</v>
      </c>
      <c r="G1990" s="14" t="s">
        <v>3517</v>
      </c>
      <c r="H1990" s="2" t="s">
        <v>24</v>
      </c>
      <c r="I1990" s="2" t="s">
        <v>3491</v>
      </c>
      <c r="J1990" s="2">
        <v>1.0</v>
      </c>
      <c r="K1990" s="23" t="s">
        <v>4700</v>
      </c>
      <c r="L1990" s="11">
        <v>0.0</v>
      </c>
    </row>
    <row r="1991" hidden="1">
      <c r="A1991" s="8" t="s">
        <v>1665</v>
      </c>
      <c r="B1991" s="8" t="s">
        <v>1665</v>
      </c>
      <c r="C1991" s="13">
        <v>45943.51634259259</v>
      </c>
      <c r="D1991" s="2" t="s">
        <v>951</v>
      </c>
      <c r="E1991" s="2" t="s">
        <v>952</v>
      </c>
      <c r="F1991" s="14" t="s">
        <v>3516</v>
      </c>
      <c r="G1991" s="14" t="s">
        <v>3517</v>
      </c>
      <c r="H1991" s="2" t="s">
        <v>24</v>
      </c>
      <c r="I1991" s="2" t="s">
        <v>3491</v>
      </c>
      <c r="J1991" s="2">
        <v>1.0</v>
      </c>
      <c r="K1991" s="23" t="s">
        <v>4941</v>
      </c>
      <c r="L1991" s="11">
        <v>0.0</v>
      </c>
    </row>
    <row r="1992" hidden="1">
      <c r="A1992" s="8" t="s">
        <v>1666</v>
      </c>
      <c r="B1992" s="8" t="s">
        <v>1666</v>
      </c>
      <c r="C1992" s="13">
        <v>45943.5168287037</v>
      </c>
      <c r="D1992" s="2" t="s">
        <v>685</v>
      </c>
      <c r="E1992" s="2" t="s">
        <v>686</v>
      </c>
      <c r="F1992" s="14" t="s">
        <v>3493</v>
      </c>
      <c r="G1992" s="14" t="s">
        <v>3494</v>
      </c>
      <c r="H1992" s="2" t="s">
        <v>24</v>
      </c>
      <c r="I1992" s="2" t="s">
        <v>3491</v>
      </c>
      <c r="J1992" s="2">
        <v>1.0</v>
      </c>
      <c r="K1992" s="19"/>
      <c r="L1992" s="11">
        <v>0.0</v>
      </c>
    </row>
    <row r="1993" hidden="1">
      <c r="A1993" s="8" t="s">
        <v>1667</v>
      </c>
      <c r="B1993" s="8" t="s">
        <v>1667</v>
      </c>
      <c r="C1993" s="13">
        <v>45943.53596064815</v>
      </c>
      <c r="D1993" s="10" t="s">
        <v>1399</v>
      </c>
      <c r="E1993" s="2" t="s">
        <v>1400</v>
      </c>
      <c r="F1993" s="14" t="s">
        <v>3486</v>
      </c>
      <c r="G1993" s="14" t="s">
        <v>3487</v>
      </c>
      <c r="H1993" s="2" t="s">
        <v>24</v>
      </c>
      <c r="I1993" s="2" t="s">
        <v>3491</v>
      </c>
      <c r="J1993" s="2">
        <v>5.0</v>
      </c>
      <c r="K1993" s="23" t="s">
        <v>4942</v>
      </c>
      <c r="L1993" s="11">
        <v>0.0</v>
      </c>
    </row>
    <row r="1994" hidden="1">
      <c r="A1994" s="8" t="s">
        <v>1668</v>
      </c>
      <c r="B1994" s="8" t="s">
        <v>1668</v>
      </c>
      <c r="C1994" s="13">
        <v>45943.537094907406</v>
      </c>
      <c r="D1994" s="2" t="s">
        <v>309</v>
      </c>
      <c r="E1994" s="2" t="s">
        <v>310</v>
      </c>
      <c r="F1994" s="14" t="s">
        <v>3486</v>
      </c>
      <c r="G1994" s="14" t="s">
        <v>3487</v>
      </c>
      <c r="H1994" s="2" t="s">
        <v>24</v>
      </c>
      <c r="I1994" s="2" t="s">
        <v>3491</v>
      </c>
      <c r="J1994" s="2">
        <v>2.0</v>
      </c>
      <c r="K1994" s="23" t="s">
        <v>4943</v>
      </c>
      <c r="L1994" s="11">
        <v>0.0</v>
      </c>
    </row>
    <row r="1995" hidden="1">
      <c r="A1995" s="8" t="s">
        <v>1668</v>
      </c>
      <c r="B1995" s="8" t="s">
        <v>1668</v>
      </c>
      <c r="C1995" s="13">
        <v>45943.537094907406</v>
      </c>
      <c r="D1995" s="2" t="s">
        <v>309</v>
      </c>
      <c r="E1995" s="2" t="s">
        <v>310</v>
      </c>
      <c r="F1995" s="14" t="s">
        <v>3493</v>
      </c>
      <c r="G1995" s="14" t="s">
        <v>3494</v>
      </c>
      <c r="H1995" s="2" t="s">
        <v>24</v>
      </c>
      <c r="I1995" s="2" t="s">
        <v>3491</v>
      </c>
      <c r="J1995" s="2">
        <v>4.0</v>
      </c>
      <c r="K1995" s="19"/>
      <c r="L1995" s="11">
        <v>0.0</v>
      </c>
    </row>
    <row r="1996" hidden="1">
      <c r="A1996" s="8" t="s">
        <v>1668</v>
      </c>
      <c r="B1996" s="8" t="s">
        <v>1668</v>
      </c>
      <c r="C1996" s="13">
        <v>45943.537094907406</v>
      </c>
      <c r="D1996" s="2" t="s">
        <v>309</v>
      </c>
      <c r="E1996" s="2" t="s">
        <v>310</v>
      </c>
      <c r="F1996" s="14" t="s">
        <v>4045</v>
      </c>
      <c r="G1996" s="14" t="s">
        <v>4046</v>
      </c>
      <c r="H1996" s="2" t="s">
        <v>24</v>
      </c>
      <c r="I1996" s="2" t="s">
        <v>3491</v>
      </c>
      <c r="J1996" s="2">
        <v>1.0</v>
      </c>
      <c r="K1996" s="23" t="s">
        <v>4688</v>
      </c>
      <c r="L1996" s="11">
        <v>0.0</v>
      </c>
    </row>
    <row r="1997" hidden="1">
      <c r="A1997" s="8" t="s">
        <v>1669</v>
      </c>
      <c r="B1997" s="8" t="s">
        <v>1669</v>
      </c>
      <c r="C1997" s="13">
        <v>45943.612592592595</v>
      </c>
      <c r="D1997" s="2" t="s">
        <v>131</v>
      </c>
      <c r="E1997" s="2" t="s">
        <v>132</v>
      </c>
      <c r="F1997" s="14" t="s">
        <v>3516</v>
      </c>
      <c r="G1997" s="14" t="s">
        <v>3517</v>
      </c>
      <c r="H1997" s="2" t="s">
        <v>16</v>
      </c>
      <c r="I1997" s="2" t="s">
        <v>3488</v>
      </c>
      <c r="J1997" s="2">
        <v>3.0</v>
      </c>
      <c r="K1997" s="23" t="s">
        <v>4944</v>
      </c>
      <c r="L1997" s="11">
        <v>170000.0</v>
      </c>
    </row>
    <row r="1998" hidden="1">
      <c r="A1998" s="8" t="s">
        <v>1668</v>
      </c>
      <c r="B1998" s="8" t="s">
        <v>1668</v>
      </c>
      <c r="C1998" s="13">
        <v>45943.537094907406</v>
      </c>
      <c r="D1998" s="2" t="s">
        <v>309</v>
      </c>
      <c r="E1998" s="2" t="s">
        <v>310</v>
      </c>
      <c r="F1998" s="14" t="s">
        <v>3506</v>
      </c>
      <c r="G1998" s="14" t="s">
        <v>3507</v>
      </c>
      <c r="H1998" s="2" t="s">
        <v>24</v>
      </c>
      <c r="I1998" s="2" t="s">
        <v>3491</v>
      </c>
      <c r="J1998" s="2">
        <v>5.0</v>
      </c>
      <c r="K1998" s="19"/>
      <c r="L1998" s="11">
        <v>0.0</v>
      </c>
    </row>
    <row r="1999" hidden="1">
      <c r="A1999" s="8" t="s">
        <v>1670</v>
      </c>
      <c r="B1999" s="8" t="s">
        <v>1670</v>
      </c>
      <c r="C1999" s="13">
        <v>45943.67273148148</v>
      </c>
      <c r="D1999" s="2" t="s">
        <v>309</v>
      </c>
      <c r="E1999" s="2" t="s">
        <v>310</v>
      </c>
      <c r="F1999" s="14" t="s">
        <v>3493</v>
      </c>
      <c r="G1999" s="14" t="s">
        <v>3494</v>
      </c>
      <c r="H1999" s="2" t="s">
        <v>24</v>
      </c>
      <c r="I1999" s="2" t="s">
        <v>3491</v>
      </c>
      <c r="J1999" s="2">
        <v>1.0</v>
      </c>
      <c r="K1999" s="19"/>
      <c r="L1999" s="11">
        <v>0.0</v>
      </c>
    </row>
    <row r="2000" hidden="1">
      <c r="A2000" s="8" t="s">
        <v>1671</v>
      </c>
      <c r="B2000" s="8" t="s">
        <v>1671</v>
      </c>
      <c r="C2000" s="13">
        <v>45944.344039351854</v>
      </c>
      <c r="D2000" s="2" t="s">
        <v>1564</v>
      </c>
      <c r="E2000" s="2" t="s">
        <v>1565</v>
      </c>
      <c r="F2000" s="14" t="s">
        <v>4203</v>
      </c>
      <c r="G2000" s="14" t="s">
        <v>4204</v>
      </c>
      <c r="H2000" s="2" t="s">
        <v>16</v>
      </c>
      <c r="I2000" s="2" t="s">
        <v>3488</v>
      </c>
      <c r="J2000" s="2">
        <v>1.0</v>
      </c>
      <c r="K2000" s="23" t="s">
        <v>4945</v>
      </c>
      <c r="L2000" s="11">
        <v>80000.0</v>
      </c>
    </row>
    <row r="2001" hidden="1">
      <c r="A2001" s="8" t="s">
        <v>1672</v>
      </c>
      <c r="B2001" s="8" t="s">
        <v>1672</v>
      </c>
      <c r="C2001" s="13">
        <v>45944.35037037037</v>
      </c>
      <c r="D2001" s="2" t="s">
        <v>213</v>
      </c>
      <c r="E2001" s="2" t="s">
        <v>214</v>
      </c>
      <c r="F2001" s="14" t="s">
        <v>3486</v>
      </c>
      <c r="G2001" s="14" t="s">
        <v>3487</v>
      </c>
      <c r="H2001" s="2" t="s">
        <v>16</v>
      </c>
      <c r="I2001" s="2" t="s">
        <v>3488</v>
      </c>
      <c r="J2001" s="2">
        <v>10.0</v>
      </c>
      <c r="K2001" s="23" t="s">
        <v>4946</v>
      </c>
      <c r="L2001" s="11">
        <v>60000.0</v>
      </c>
    </row>
    <row r="2002" hidden="1">
      <c r="A2002" s="8" t="s">
        <v>1673</v>
      </c>
      <c r="B2002" s="8" t="s">
        <v>1673</v>
      </c>
      <c r="C2002" s="13">
        <v>45944.35423611111</v>
      </c>
      <c r="D2002" s="2" t="s">
        <v>1084</v>
      </c>
      <c r="E2002" s="2" t="s">
        <v>1085</v>
      </c>
      <c r="F2002" s="14" t="s">
        <v>4203</v>
      </c>
      <c r="G2002" s="14" t="s">
        <v>4204</v>
      </c>
      <c r="H2002" s="2" t="s">
        <v>24</v>
      </c>
      <c r="I2002" s="2" t="s">
        <v>3491</v>
      </c>
      <c r="J2002" s="2">
        <v>3.0</v>
      </c>
      <c r="K2002" s="23" t="s">
        <v>4947</v>
      </c>
      <c r="L2002" s="11">
        <v>0.0</v>
      </c>
    </row>
    <row r="2003" hidden="1">
      <c r="A2003" s="8" t="s">
        <v>1673</v>
      </c>
      <c r="B2003" s="8" t="s">
        <v>1673</v>
      </c>
      <c r="C2003" s="13">
        <v>45944.35423611111</v>
      </c>
      <c r="D2003" s="2" t="s">
        <v>1084</v>
      </c>
      <c r="E2003" s="2" t="s">
        <v>1085</v>
      </c>
      <c r="F2003" s="14" t="s">
        <v>3516</v>
      </c>
      <c r="G2003" s="14" t="s">
        <v>3517</v>
      </c>
      <c r="H2003" s="2" t="s">
        <v>24</v>
      </c>
      <c r="I2003" s="2" t="s">
        <v>3491</v>
      </c>
      <c r="J2003" s="2">
        <v>1.0</v>
      </c>
      <c r="K2003" s="23" t="s">
        <v>4948</v>
      </c>
      <c r="L2003" s="11">
        <v>0.0</v>
      </c>
    </row>
    <row r="2004" hidden="1">
      <c r="A2004" s="8" t="s">
        <v>1674</v>
      </c>
      <c r="B2004" s="8" t="s">
        <v>1674</v>
      </c>
      <c r="C2004" s="13">
        <v>45944.35853009259</v>
      </c>
      <c r="D2004" s="2" t="s">
        <v>812</v>
      </c>
      <c r="E2004" s="2" t="s">
        <v>813</v>
      </c>
      <c r="F2004" s="14" t="s">
        <v>3506</v>
      </c>
      <c r="G2004" s="14" t="s">
        <v>3507</v>
      </c>
      <c r="H2004" s="2" t="s">
        <v>24</v>
      </c>
      <c r="I2004" s="2" t="s">
        <v>3491</v>
      </c>
      <c r="J2004" s="2">
        <v>34.0</v>
      </c>
      <c r="K2004" s="12"/>
      <c r="L2004" s="11">
        <v>0.0</v>
      </c>
    </row>
    <row r="2005" hidden="1">
      <c r="A2005" s="8" t="s">
        <v>1675</v>
      </c>
      <c r="B2005" s="8" t="s">
        <v>1675</v>
      </c>
      <c r="C2005" s="13">
        <v>45944.40820601852</v>
      </c>
      <c r="D2005" s="2" t="s">
        <v>786</v>
      </c>
      <c r="E2005" s="2" t="s">
        <v>787</v>
      </c>
      <c r="F2005" s="14" t="s">
        <v>3486</v>
      </c>
      <c r="G2005" s="14" t="s">
        <v>3487</v>
      </c>
      <c r="H2005" s="2" t="s">
        <v>16</v>
      </c>
      <c r="I2005" s="2" t="s">
        <v>3488</v>
      </c>
      <c r="J2005" s="2">
        <v>6.0</v>
      </c>
      <c r="K2005" s="23" t="s">
        <v>4949</v>
      </c>
      <c r="L2005" s="11">
        <v>60000.0</v>
      </c>
    </row>
    <row r="2006" hidden="1">
      <c r="A2006" s="8" t="s">
        <v>1676</v>
      </c>
      <c r="B2006" s="8" t="s">
        <v>1676</v>
      </c>
      <c r="C2006" s="13">
        <v>45944.43466435185</v>
      </c>
      <c r="D2006" s="2" t="s">
        <v>812</v>
      </c>
      <c r="E2006" s="2" t="s">
        <v>813</v>
      </c>
      <c r="F2006" s="14" t="s">
        <v>3506</v>
      </c>
      <c r="G2006" s="14" t="s">
        <v>3507</v>
      </c>
      <c r="H2006" s="2" t="s">
        <v>16</v>
      </c>
      <c r="I2006" s="2" t="s">
        <v>3488</v>
      </c>
      <c r="J2006" s="2">
        <v>34.0</v>
      </c>
      <c r="K2006" s="12"/>
      <c r="L2006" s="11">
        <v>50000.0</v>
      </c>
    </row>
    <row r="2007" hidden="1">
      <c r="A2007" s="8" t="s">
        <v>1677</v>
      </c>
      <c r="B2007" s="8" t="s">
        <v>1677</v>
      </c>
      <c r="C2007" s="13">
        <v>45944.5865162037</v>
      </c>
      <c r="D2007" s="2" t="s">
        <v>786</v>
      </c>
      <c r="E2007" s="2" t="s">
        <v>787</v>
      </c>
      <c r="F2007" s="14" t="s">
        <v>3486</v>
      </c>
      <c r="G2007" s="14" t="s">
        <v>3487</v>
      </c>
      <c r="H2007" s="2" t="s">
        <v>24</v>
      </c>
      <c r="I2007" s="2" t="s">
        <v>3491</v>
      </c>
      <c r="J2007" s="2">
        <v>5.0</v>
      </c>
      <c r="K2007" s="23" t="s">
        <v>4950</v>
      </c>
      <c r="L2007" s="11">
        <v>0.0</v>
      </c>
    </row>
    <row r="2008" hidden="1">
      <c r="A2008" s="8" t="s">
        <v>1678</v>
      </c>
      <c r="B2008" s="8" t="s">
        <v>1678</v>
      </c>
      <c r="C2008" s="13">
        <v>45944.59799768519</v>
      </c>
      <c r="D2008" s="2" t="s">
        <v>1564</v>
      </c>
      <c r="E2008" s="2" t="s">
        <v>1565</v>
      </c>
      <c r="F2008" s="14" t="s">
        <v>4203</v>
      </c>
      <c r="G2008" s="14" t="s">
        <v>4204</v>
      </c>
      <c r="H2008" s="2" t="s">
        <v>24</v>
      </c>
      <c r="I2008" s="2" t="s">
        <v>3491</v>
      </c>
      <c r="J2008" s="2">
        <v>1.0</v>
      </c>
      <c r="K2008" s="23" t="s">
        <v>3849</v>
      </c>
      <c r="L2008" s="11">
        <v>0.0</v>
      </c>
    </row>
    <row r="2009" hidden="1">
      <c r="A2009" s="8" t="s">
        <v>1679</v>
      </c>
      <c r="B2009" s="8" t="s">
        <v>1679</v>
      </c>
      <c r="C2009" s="13">
        <v>45945.34211805555</v>
      </c>
      <c r="D2009" s="2" t="s">
        <v>309</v>
      </c>
      <c r="E2009" s="2" t="s">
        <v>310</v>
      </c>
      <c r="F2009" s="14" t="s">
        <v>4045</v>
      </c>
      <c r="G2009" s="14" t="s">
        <v>4046</v>
      </c>
      <c r="H2009" s="2" t="s">
        <v>16</v>
      </c>
      <c r="I2009" s="2" t="s">
        <v>3488</v>
      </c>
      <c r="J2009" s="2">
        <v>1.0</v>
      </c>
      <c r="K2009" s="12"/>
      <c r="L2009" s="11">
        <v>160000.0</v>
      </c>
    </row>
    <row r="2010" hidden="1">
      <c r="A2010" s="8" t="s">
        <v>1679</v>
      </c>
      <c r="B2010" s="8" t="s">
        <v>1679</v>
      </c>
      <c r="C2010" s="13">
        <v>45945.34211805555</v>
      </c>
      <c r="D2010" s="2" t="s">
        <v>309</v>
      </c>
      <c r="E2010" s="2" t="s">
        <v>310</v>
      </c>
      <c r="F2010" s="14" t="s">
        <v>3506</v>
      </c>
      <c r="G2010" s="14" t="s">
        <v>3507</v>
      </c>
      <c r="H2010" s="2" t="s">
        <v>16</v>
      </c>
      <c r="I2010" s="2" t="s">
        <v>3488</v>
      </c>
      <c r="J2010" s="2">
        <v>5.0</v>
      </c>
      <c r="K2010" s="12"/>
      <c r="L2010" s="11">
        <v>55000.0</v>
      </c>
    </row>
    <row r="2011" hidden="1">
      <c r="A2011" s="8" t="s">
        <v>1680</v>
      </c>
      <c r="B2011" s="8" t="s">
        <v>1680</v>
      </c>
      <c r="C2011" s="13">
        <v>45945.35493055556</v>
      </c>
      <c r="D2011" s="2" t="s">
        <v>169</v>
      </c>
      <c r="E2011" s="2" t="s">
        <v>170</v>
      </c>
      <c r="F2011" s="14" t="s">
        <v>3486</v>
      </c>
      <c r="G2011" s="14" t="s">
        <v>3487</v>
      </c>
      <c r="H2011" s="2" t="s">
        <v>16</v>
      </c>
      <c r="I2011" s="2" t="s">
        <v>3488</v>
      </c>
      <c r="J2011" s="2">
        <v>2.0</v>
      </c>
      <c r="K2011" s="23" t="s">
        <v>4951</v>
      </c>
      <c r="L2011" s="11">
        <v>60000.0</v>
      </c>
    </row>
    <row r="2012" hidden="1">
      <c r="A2012" s="1"/>
      <c r="B2012" s="1"/>
      <c r="C2012" s="13"/>
      <c r="D2012" s="2"/>
      <c r="E2012" s="2"/>
      <c r="F2012" s="14"/>
      <c r="G2012" s="14"/>
      <c r="H2012" s="2"/>
      <c r="I2012" s="2"/>
      <c r="J2012" s="2"/>
      <c r="K2012" s="12"/>
      <c r="L2012" s="11"/>
    </row>
    <row r="2013" hidden="1">
      <c r="A2013" s="1"/>
      <c r="B2013" s="1"/>
      <c r="C2013" s="13"/>
      <c r="D2013" s="2"/>
      <c r="E2013" s="2"/>
      <c r="F2013" s="14"/>
      <c r="G2013" s="14"/>
      <c r="H2013" s="2"/>
      <c r="I2013" s="2"/>
      <c r="J2013" s="2"/>
      <c r="K2013" s="12"/>
      <c r="L2013" s="11"/>
    </row>
    <row r="2014" hidden="1">
      <c r="A2014" s="8" t="s">
        <v>1681</v>
      </c>
      <c r="B2014" s="8" t="s">
        <v>1681</v>
      </c>
      <c r="C2014" s="13">
        <v>45945.48181712963</v>
      </c>
      <c r="D2014" s="2" t="s">
        <v>1183</v>
      </c>
      <c r="E2014" s="2" t="s">
        <v>1184</v>
      </c>
      <c r="F2014" s="14" t="s">
        <v>4203</v>
      </c>
      <c r="G2014" s="14" t="s">
        <v>4204</v>
      </c>
      <c r="H2014" s="2" t="s">
        <v>16</v>
      </c>
      <c r="I2014" s="2" t="s">
        <v>3488</v>
      </c>
      <c r="J2014" s="2">
        <v>3.0</v>
      </c>
      <c r="K2014" s="23" t="s">
        <v>4952</v>
      </c>
      <c r="L2014" s="11">
        <v>70000.0</v>
      </c>
    </row>
    <row r="2015" hidden="1">
      <c r="A2015" s="8" t="s">
        <v>1682</v>
      </c>
      <c r="B2015" s="8" t="s">
        <v>1682</v>
      </c>
      <c r="C2015" s="13">
        <v>45945.52868055556</v>
      </c>
      <c r="D2015" s="2" t="s">
        <v>1183</v>
      </c>
      <c r="E2015" s="2" t="s">
        <v>1184</v>
      </c>
      <c r="F2015" s="14" t="s">
        <v>3486</v>
      </c>
      <c r="G2015" s="14" t="s">
        <v>3487</v>
      </c>
      <c r="H2015" s="2" t="s">
        <v>24</v>
      </c>
      <c r="I2015" s="2" t="s">
        <v>3491</v>
      </c>
      <c r="J2015" s="2">
        <v>1.0</v>
      </c>
      <c r="K2015" s="23" t="s">
        <v>4953</v>
      </c>
      <c r="L2015" s="11">
        <v>0.0</v>
      </c>
    </row>
    <row r="2016">
      <c r="A2016" s="8" t="s">
        <v>1683</v>
      </c>
      <c r="B2016" s="8" t="s">
        <v>1683</v>
      </c>
      <c r="C2016" s="13">
        <v>45945.530439814815</v>
      </c>
      <c r="D2016" s="2" t="s">
        <v>45</v>
      </c>
      <c r="E2016" s="2" t="s">
        <v>46</v>
      </c>
      <c r="F2016" s="14" t="s">
        <v>3486</v>
      </c>
      <c r="G2016" s="14" t="s">
        <v>3487</v>
      </c>
      <c r="H2016" s="2" t="s">
        <v>24</v>
      </c>
      <c r="I2016" s="2" t="s">
        <v>3491</v>
      </c>
      <c r="J2016" s="2">
        <v>2.0</v>
      </c>
      <c r="K2016" s="23" t="s">
        <v>4954</v>
      </c>
      <c r="L2016" s="11">
        <v>0.0</v>
      </c>
    </row>
    <row r="2017">
      <c r="A2017" s="8" t="s">
        <v>1683</v>
      </c>
      <c r="B2017" s="8" t="s">
        <v>1683</v>
      </c>
      <c r="C2017" s="13">
        <v>45945.530439814815</v>
      </c>
      <c r="D2017" s="2" t="s">
        <v>45</v>
      </c>
      <c r="E2017" s="2" t="s">
        <v>46</v>
      </c>
      <c r="F2017" s="14" t="s">
        <v>3522</v>
      </c>
      <c r="G2017" s="14" t="s">
        <v>3523</v>
      </c>
      <c r="H2017" s="2" t="s">
        <v>24</v>
      </c>
      <c r="I2017" s="2" t="s">
        <v>3491</v>
      </c>
      <c r="J2017" s="2">
        <v>8.0</v>
      </c>
      <c r="K2017" s="23" t="s">
        <v>4955</v>
      </c>
      <c r="L2017" s="11">
        <v>0.0</v>
      </c>
    </row>
    <row r="2018" hidden="1">
      <c r="A2018" s="8" t="s">
        <v>1684</v>
      </c>
      <c r="B2018" s="8" t="s">
        <v>1684</v>
      </c>
      <c r="C2018" s="13">
        <v>45945.54178240741</v>
      </c>
      <c r="D2018" s="2" t="s">
        <v>493</v>
      </c>
      <c r="E2018" s="2" t="s">
        <v>494</v>
      </c>
      <c r="F2018" s="14" t="s">
        <v>3486</v>
      </c>
      <c r="G2018" s="14" t="s">
        <v>3487</v>
      </c>
      <c r="H2018" s="2" t="s">
        <v>16</v>
      </c>
      <c r="I2018" s="2" t="s">
        <v>3488</v>
      </c>
      <c r="J2018" s="2">
        <v>5.0</v>
      </c>
      <c r="K2018" s="23" t="s">
        <v>4956</v>
      </c>
      <c r="L2018" s="11">
        <v>50000.0</v>
      </c>
    </row>
    <row r="2019" hidden="1">
      <c r="A2019" s="8" t="s">
        <v>1685</v>
      </c>
      <c r="B2019" s="8" t="s">
        <v>1685</v>
      </c>
      <c r="C2019" s="13">
        <v>45945.65557870371</v>
      </c>
      <c r="D2019" s="2" t="s">
        <v>493</v>
      </c>
      <c r="E2019" s="2" t="s">
        <v>494</v>
      </c>
      <c r="F2019" s="14" t="s">
        <v>3486</v>
      </c>
      <c r="G2019" s="14" t="s">
        <v>3487</v>
      </c>
      <c r="H2019" s="2" t="s">
        <v>24</v>
      </c>
      <c r="I2019" s="2" t="s">
        <v>3491</v>
      </c>
      <c r="J2019" s="2">
        <v>6.0</v>
      </c>
      <c r="K2019" s="23" t="s">
        <v>4957</v>
      </c>
      <c r="L2019" s="11">
        <v>0.0</v>
      </c>
    </row>
    <row r="2020" hidden="1">
      <c r="A2020" s="8" t="s">
        <v>1686</v>
      </c>
      <c r="B2020" s="8" t="s">
        <v>1686</v>
      </c>
      <c r="C2020" s="13">
        <v>45946.45172453704</v>
      </c>
      <c r="D2020" s="2" t="s">
        <v>109</v>
      </c>
      <c r="E2020" s="2" t="s">
        <v>110</v>
      </c>
      <c r="F2020" s="14" t="s">
        <v>3516</v>
      </c>
      <c r="G2020" s="14" t="s">
        <v>3517</v>
      </c>
      <c r="H2020" s="2" t="s">
        <v>16</v>
      </c>
      <c r="I2020" s="2" t="s">
        <v>3488</v>
      </c>
      <c r="J2020" s="2">
        <v>2.0</v>
      </c>
      <c r="K2020" s="23" t="s">
        <v>4958</v>
      </c>
      <c r="L2020" s="11">
        <v>160000.0</v>
      </c>
    </row>
    <row r="2021" hidden="1">
      <c r="A2021" s="8" t="s">
        <v>1686</v>
      </c>
      <c r="B2021" s="8" t="s">
        <v>1686</v>
      </c>
      <c r="C2021" s="13">
        <v>45946.45172453704</v>
      </c>
      <c r="D2021" s="2" t="s">
        <v>109</v>
      </c>
      <c r="E2021" s="2" t="s">
        <v>110</v>
      </c>
      <c r="F2021" s="14" t="s">
        <v>3486</v>
      </c>
      <c r="G2021" s="14" t="s">
        <v>3487</v>
      </c>
      <c r="H2021" s="2" t="s">
        <v>16</v>
      </c>
      <c r="I2021" s="2" t="s">
        <v>3488</v>
      </c>
      <c r="J2021" s="2">
        <v>3.0</v>
      </c>
      <c r="K2021" s="23" t="s">
        <v>4959</v>
      </c>
      <c r="L2021" s="11">
        <v>60000.0</v>
      </c>
    </row>
    <row r="2022" hidden="1">
      <c r="A2022" s="8" t="s">
        <v>1687</v>
      </c>
      <c r="B2022" s="8" t="s">
        <v>1687</v>
      </c>
      <c r="C2022" s="13">
        <v>45946.452939814815</v>
      </c>
      <c r="D2022" s="2" t="s">
        <v>786</v>
      </c>
      <c r="E2022" s="2" t="s">
        <v>787</v>
      </c>
      <c r="F2022" s="14" t="s">
        <v>3516</v>
      </c>
      <c r="G2022" s="14" t="s">
        <v>3517</v>
      </c>
      <c r="H2022" s="2" t="s">
        <v>16</v>
      </c>
      <c r="I2022" s="2" t="s">
        <v>3488</v>
      </c>
      <c r="J2022" s="2">
        <v>3.0</v>
      </c>
      <c r="K2022" s="23" t="s">
        <v>4960</v>
      </c>
      <c r="L2022" s="11">
        <v>170000.0</v>
      </c>
    </row>
    <row r="2023" hidden="1">
      <c r="A2023" s="8" t="s">
        <v>1687</v>
      </c>
      <c r="B2023" s="8" t="s">
        <v>1687</v>
      </c>
      <c r="C2023" s="13">
        <v>45946.452939814815</v>
      </c>
      <c r="D2023" s="2" t="s">
        <v>786</v>
      </c>
      <c r="E2023" s="2" t="s">
        <v>787</v>
      </c>
      <c r="F2023" s="14" t="s">
        <v>4203</v>
      </c>
      <c r="G2023" s="14" t="s">
        <v>4204</v>
      </c>
      <c r="H2023" s="2" t="s">
        <v>16</v>
      </c>
      <c r="I2023" s="2" t="s">
        <v>3488</v>
      </c>
      <c r="J2023" s="2">
        <v>6.0</v>
      </c>
      <c r="K2023" s="23" t="s">
        <v>4961</v>
      </c>
      <c r="L2023" s="11">
        <v>60000.0</v>
      </c>
    </row>
    <row r="2024" hidden="1">
      <c r="A2024" s="8" t="s">
        <v>1688</v>
      </c>
      <c r="B2024" s="8" t="s">
        <v>1688</v>
      </c>
      <c r="C2024" s="13">
        <v>45946.47357638889</v>
      </c>
      <c r="D2024" s="2" t="s">
        <v>951</v>
      </c>
      <c r="E2024" s="2" t="s">
        <v>952</v>
      </c>
      <c r="F2024" s="14" t="s">
        <v>3486</v>
      </c>
      <c r="G2024" s="14" t="s">
        <v>3487</v>
      </c>
      <c r="H2024" s="2" t="s">
        <v>24</v>
      </c>
      <c r="I2024" s="2" t="s">
        <v>3491</v>
      </c>
      <c r="J2024" s="2">
        <v>4.0</v>
      </c>
      <c r="K2024" s="23" t="s">
        <v>4962</v>
      </c>
      <c r="L2024" s="11">
        <v>0.0</v>
      </c>
    </row>
    <row r="2025" hidden="1">
      <c r="A2025" s="1"/>
      <c r="B2025" s="1"/>
      <c r="C2025" s="13"/>
      <c r="D2025" s="2"/>
      <c r="E2025" s="2"/>
      <c r="F2025" s="14" t="s">
        <v>3516</v>
      </c>
      <c r="G2025" s="14" t="s">
        <v>3517</v>
      </c>
      <c r="H2025" s="2"/>
      <c r="I2025" s="2" t="s">
        <v>3491</v>
      </c>
      <c r="J2025" s="2">
        <v>2.0</v>
      </c>
      <c r="K2025" s="23" t="s">
        <v>4963</v>
      </c>
      <c r="L2025" s="11">
        <v>0.0</v>
      </c>
    </row>
    <row r="2026" hidden="1">
      <c r="A2026" s="8" t="s">
        <v>1689</v>
      </c>
      <c r="B2026" s="8" t="s">
        <v>1689</v>
      </c>
      <c r="C2026" s="13">
        <v>45946.34722222222</v>
      </c>
      <c r="D2026" s="2" t="s">
        <v>1203</v>
      </c>
      <c r="E2026" s="2" t="s">
        <v>1204</v>
      </c>
      <c r="F2026" s="14" t="s">
        <v>3516</v>
      </c>
      <c r="G2026" s="14" t="s">
        <v>3517</v>
      </c>
      <c r="H2026" s="2" t="s">
        <v>24</v>
      </c>
      <c r="I2026" s="2" t="s">
        <v>3491</v>
      </c>
      <c r="J2026" s="2">
        <v>2.0</v>
      </c>
      <c r="K2026" s="23" t="s">
        <v>4963</v>
      </c>
      <c r="L2026" s="11">
        <v>0.0</v>
      </c>
    </row>
    <row r="2027" hidden="1">
      <c r="A2027" s="8" t="s">
        <v>1690</v>
      </c>
      <c r="B2027" s="8" t="s">
        <v>1690</v>
      </c>
      <c r="C2027" s="13">
        <v>45946.47681712963</v>
      </c>
      <c r="D2027" s="2" t="s">
        <v>109</v>
      </c>
      <c r="E2027" s="2" t="s">
        <v>110</v>
      </c>
      <c r="F2027" s="14" t="s">
        <v>3486</v>
      </c>
      <c r="G2027" s="14" t="s">
        <v>3487</v>
      </c>
      <c r="H2027" s="2" t="s">
        <v>24</v>
      </c>
      <c r="I2027" s="2" t="s">
        <v>3491</v>
      </c>
      <c r="J2027" s="2">
        <v>1.0</v>
      </c>
      <c r="K2027" s="23" t="s">
        <v>4612</v>
      </c>
      <c r="L2027" s="11">
        <v>0.0</v>
      </c>
    </row>
    <row r="2028" hidden="1">
      <c r="A2028" s="8" t="s">
        <v>1690</v>
      </c>
      <c r="B2028" s="8" t="s">
        <v>1690</v>
      </c>
      <c r="C2028" s="13">
        <v>45946.47681712963</v>
      </c>
      <c r="D2028" s="2" t="s">
        <v>109</v>
      </c>
      <c r="E2028" s="2" t="s">
        <v>110</v>
      </c>
      <c r="F2028" s="14" t="s">
        <v>3516</v>
      </c>
      <c r="G2028" s="14" t="s">
        <v>3517</v>
      </c>
      <c r="H2028" s="2" t="s">
        <v>24</v>
      </c>
      <c r="I2028" s="2" t="s">
        <v>3491</v>
      </c>
      <c r="J2028" s="2">
        <v>3.0</v>
      </c>
      <c r="K2028" s="23" t="s">
        <v>4964</v>
      </c>
      <c r="L2028" s="11">
        <v>0.0</v>
      </c>
    </row>
    <row r="2029" hidden="1">
      <c r="A2029" s="8" t="s">
        <v>1690</v>
      </c>
      <c r="B2029" s="8" t="s">
        <v>1690</v>
      </c>
      <c r="C2029" s="13">
        <v>45946.47681712963</v>
      </c>
      <c r="D2029" s="2" t="s">
        <v>109</v>
      </c>
      <c r="E2029" s="2" t="s">
        <v>110</v>
      </c>
      <c r="F2029" s="14" t="s">
        <v>3522</v>
      </c>
      <c r="G2029" s="14" t="s">
        <v>3523</v>
      </c>
      <c r="H2029" s="2" t="s">
        <v>24</v>
      </c>
      <c r="I2029" s="2" t="s">
        <v>3491</v>
      </c>
      <c r="J2029" s="2">
        <v>1.0</v>
      </c>
      <c r="K2029" s="23" t="s">
        <v>4965</v>
      </c>
      <c r="L2029" s="11">
        <v>0.0</v>
      </c>
    </row>
    <row r="2030" hidden="1">
      <c r="A2030" s="8" t="s">
        <v>1692</v>
      </c>
      <c r="B2030" s="8" t="s">
        <v>1692</v>
      </c>
      <c r="C2030" s="13">
        <v>45946.61587962963</v>
      </c>
      <c r="D2030" s="2" t="s">
        <v>786</v>
      </c>
      <c r="E2030" s="2" t="s">
        <v>787</v>
      </c>
      <c r="F2030" s="14" t="s">
        <v>3516</v>
      </c>
      <c r="G2030" s="14" t="s">
        <v>3517</v>
      </c>
      <c r="H2030" s="2" t="s">
        <v>24</v>
      </c>
      <c r="I2030" s="2" t="s">
        <v>3491</v>
      </c>
      <c r="J2030" s="2">
        <v>2.0</v>
      </c>
      <c r="K2030" s="23" t="s">
        <v>4618</v>
      </c>
      <c r="L2030" s="11">
        <v>0.0</v>
      </c>
    </row>
    <row r="2031" hidden="1">
      <c r="A2031" s="8" t="s">
        <v>1692</v>
      </c>
      <c r="B2031" s="8" t="s">
        <v>1692</v>
      </c>
      <c r="C2031" s="13">
        <v>45946.61587962963</v>
      </c>
      <c r="D2031" s="2" t="s">
        <v>786</v>
      </c>
      <c r="E2031" s="2" t="s">
        <v>787</v>
      </c>
      <c r="F2031" s="14" t="s">
        <v>3486</v>
      </c>
      <c r="G2031" s="14" t="s">
        <v>3487</v>
      </c>
      <c r="H2031" s="2" t="s">
        <v>24</v>
      </c>
      <c r="I2031" s="2" t="s">
        <v>3491</v>
      </c>
      <c r="J2031" s="2">
        <v>6.0</v>
      </c>
      <c r="K2031" s="23" t="s">
        <v>4966</v>
      </c>
      <c r="L2031" s="11">
        <v>0.0</v>
      </c>
    </row>
    <row r="2032" hidden="1">
      <c r="A2032" s="8" t="s">
        <v>1691</v>
      </c>
      <c r="B2032" s="8" t="s">
        <v>1691</v>
      </c>
      <c r="C2032" s="13">
        <v>45946.58607638889</v>
      </c>
      <c r="D2032" s="2" t="s">
        <v>109</v>
      </c>
      <c r="E2032" s="2" t="s">
        <v>110</v>
      </c>
      <c r="F2032" s="14" t="s">
        <v>3516</v>
      </c>
      <c r="G2032" s="14" t="s">
        <v>3517</v>
      </c>
      <c r="H2032" s="2" t="s">
        <v>24</v>
      </c>
      <c r="I2032" s="2" t="s">
        <v>3491</v>
      </c>
      <c r="J2032" s="2">
        <v>1.0</v>
      </c>
      <c r="K2032" s="23" t="s">
        <v>4621</v>
      </c>
      <c r="L2032" s="11">
        <v>0.0</v>
      </c>
    </row>
    <row r="2033" hidden="1">
      <c r="A2033" s="8" t="s">
        <v>1693</v>
      </c>
      <c r="B2033" s="8" t="s">
        <v>1693</v>
      </c>
      <c r="C2033" s="13">
        <v>45946.64258101852</v>
      </c>
      <c r="D2033" s="2" t="s">
        <v>392</v>
      </c>
      <c r="E2033" s="2" t="s">
        <v>393</v>
      </c>
      <c r="F2033" s="14" t="s">
        <v>3506</v>
      </c>
      <c r="G2033" s="14" t="s">
        <v>3507</v>
      </c>
      <c r="H2033" s="2" t="s">
        <v>24</v>
      </c>
      <c r="I2033" s="2" t="s">
        <v>3491</v>
      </c>
      <c r="J2033" s="2">
        <v>6.0</v>
      </c>
      <c r="K2033" s="12"/>
      <c r="L2033" s="11">
        <v>0.0</v>
      </c>
    </row>
    <row r="2034" hidden="1">
      <c r="A2034" s="8" t="s">
        <v>1694</v>
      </c>
      <c r="B2034" s="8" t="s">
        <v>1694</v>
      </c>
      <c r="C2034" s="13">
        <v>45947.34284722222</v>
      </c>
      <c r="D2034" s="2" t="s">
        <v>786</v>
      </c>
      <c r="E2034" s="2" t="s">
        <v>787</v>
      </c>
      <c r="F2034" s="14" t="s">
        <v>3516</v>
      </c>
      <c r="G2034" s="14" t="s">
        <v>3517</v>
      </c>
      <c r="H2034" s="2" t="s">
        <v>159</v>
      </c>
      <c r="I2034" s="2" t="s">
        <v>3619</v>
      </c>
      <c r="J2034" s="2">
        <v>1.0</v>
      </c>
      <c r="K2034" s="23" t="s">
        <v>4967</v>
      </c>
      <c r="L2034" s="11">
        <v>0.0</v>
      </c>
    </row>
    <row r="2035" hidden="1">
      <c r="A2035" s="8" t="s">
        <v>1695</v>
      </c>
      <c r="B2035" s="8" t="s">
        <v>1695</v>
      </c>
      <c r="C2035" s="13">
        <v>45947.34385416667</v>
      </c>
      <c r="D2035" s="2" t="s">
        <v>109</v>
      </c>
      <c r="E2035" s="2" t="s">
        <v>110</v>
      </c>
      <c r="F2035" s="14" t="s">
        <v>3516</v>
      </c>
      <c r="G2035" s="14" t="s">
        <v>3517</v>
      </c>
      <c r="H2035" s="2" t="s">
        <v>16</v>
      </c>
      <c r="I2035" s="2" t="s">
        <v>3488</v>
      </c>
      <c r="J2035" s="2">
        <v>2.0</v>
      </c>
      <c r="K2035" s="23" t="s">
        <v>4968</v>
      </c>
      <c r="L2035" s="11">
        <v>160000.0</v>
      </c>
    </row>
    <row r="2036" hidden="1">
      <c r="A2036" s="8" t="s">
        <v>1696</v>
      </c>
      <c r="B2036" s="8" t="s">
        <v>1696</v>
      </c>
      <c r="C2036" s="13">
        <v>45947.34658564815</v>
      </c>
      <c r="D2036" s="2" t="s">
        <v>392</v>
      </c>
      <c r="E2036" s="2" t="s">
        <v>393</v>
      </c>
      <c r="F2036" s="14" t="s">
        <v>3506</v>
      </c>
      <c r="G2036" s="14" t="s">
        <v>3507</v>
      </c>
      <c r="H2036" s="2" t="s">
        <v>16</v>
      </c>
      <c r="I2036" s="2" t="s">
        <v>3488</v>
      </c>
      <c r="J2036" s="2">
        <v>6.0</v>
      </c>
      <c r="K2036" s="12"/>
      <c r="L2036" s="11">
        <v>50000.0</v>
      </c>
    </row>
    <row r="2037" hidden="1">
      <c r="A2037" s="8" t="s">
        <v>1697</v>
      </c>
      <c r="B2037" s="8" t="s">
        <v>1697</v>
      </c>
      <c r="C2037" s="13">
        <v>45947.415914351855</v>
      </c>
      <c r="D2037" s="2" t="s">
        <v>1084</v>
      </c>
      <c r="E2037" s="2" t="s">
        <v>1085</v>
      </c>
      <c r="F2037" s="14" t="s">
        <v>3486</v>
      </c>
      <c r="G2037" s="14" t="s">
        <v>3487</v>
      </c>
      <c r="H2037" s="2" t="s">
        <v>16</v>
      </c>
      <c r="I2037" s="2" t="s">
        <v>3488</v>
      </c>
      <c r="J2037" s="2">
        <v>10.0</v>
      </c>
      <c r="K2037" s="23" t="s">
        <v>4969</v>
      </c>
      <c r="L2037" s="11">
        <v>60000.0</v>
      </c>
    </row>
    <row r="2038">
      <c r="A2038" s="8" t="s">
        <v>1698</v>
      </c>
      <c r="B2038" s="8" t="s">
        <v>1698</v>
      </c>
      <c r="C2038" s="13">
        <v>45947.41853009259</v>
      </c>
      <c r="D2038" s="2" t="s">
        <v>45</v>
      </c>
      <c r="E2038" s="2" t="s">
        <v>46</v>
      </c>
      <c r="F2038" s="14" t="s">
        <v>3522</v>
      </c>
      <c r="G2038" s="14" t="s">
        <v>3523</v>
      </c>
      <c r="H2038" s="2" t="s">
        <v>16</v>
      </c>
      <c r="I2038" s="2" t="s">
        <v>3488</v>
      </c>
      <c r="J2038" s="2">
        <v>8.0</v>
      </c>
      <c r="K2038" s="23" t="s">
        <v>4970</v>
      </c>
      <c r="L2038" s="11">
        <v>185000.0</v>
      </c>
    </row>
    <row r="2039" hidden="1">
      <c r="A2039" s="8" t="s">
        <v>1699</v>
      </c>
      <c r="B2039" s="8" t="s">
        <v>1699</v>
      </c>
      <c r="C2039" s="13">
        <v>45947.41998842593</v>
      </c>
      <c r="D2039" s="2" t="s">
        <v>169</v>
      </c>
      <c r="E2039" s="2" t="s">
        <v>170</v>
      </c>
      <c r="F2039" s="14" t="s">
        <v>3522</v>
      </c>
      <c r="G2039" s="14" t="s">
        <v>3523</v>
      </c>
      <c r="H2039" s="2" t="s">
        <v>16</v>
      </c>
      <c r="I2039" s="2" t="s">
        <v>3488</v>
      </c>
      <c r="J2039" s="2">
        <v>5.0</v>
      </c>
      <c r="K2039" s="23" t="s">
        <v>4971</v>
      </c>
      <c r="L2039" s="11">
        <v>195000.0</v>
      </c>
    </row>
    <row r="2040" hidden="1">
      <c r="A2040" s="8" t="s">
        <v>1699</v>
      </c>
      <c r="B2040" s="8" t="s">
        <v>1699</v>
      </c>
      <c r="C2040" s="13">
        <v>45947.41998842593</v>
      </c>
      <c r="D2040" s="2" t="s">
        <v>169</v>
      </c>
      <c r="E2040" s="2" t="s">
        <v>170</v>
      </c>
      <c r="F2040" s="14" t="s">
        <v>4729</v>
      </c>
      <c r="G2040" s="14" t="s">
        <v>4730</v>
      </c>
      <c r="H2040" s="2" t="s">
        <v>16</v>
      </c>
      <c r="I2040" s="2" t="s">
        <v>3488</v>
      </c>
      <c r="J2040" s="2">
        <v>1.0</v>
      </c>
      <c r="K2040" s="12"/>
      <c r="L2040" s="11">
        <v>100000.0</v>
      </c>
    </row>
    <row r="2041" hidden="1">
      <c r="A2041" s="8" t="s">
        <v>1700</v>
      </c>
      <c r="B2041" s="8" t="s">
        <v>1700</v>
      </c>
      <c r="C2041" s="13">
        <v>45947.55255787037</v>
      </c>
      <c r="D2041" s="2" t="s">
        <v>1084</v>
      </c>
      <c r="E2041" s="2" t="s">
        <v>1085</v>
      </c>
      <c r="F2041" s="14" t="s">
        <v>4203</v>
      </c>
      <c r="G2041" s="14" t="s">
        <v>4204</v>
      </c>
      <c r="H2041" s="2" t="s">
        <v>24</v>
      </c>
      <c r="I2041" s="2" t="s">
        <v>3491</v>
      </c>
      <c r="J2041" s="2">
        <v>6.0</v>
      </c>
      <c r="K2041" s="23" t="s">
        <v>4972</v>
      </c>
      <c r="L2041" s="11">
        <v>0.0</v>
      </c>
    </row>
    <row r="2042" hidden="1">
      <c r="A2042" s="8" t="s">
        <v>1701</v>
      </c>
      <c r="B2042" s="8" t="s">
        <v>1701</v>
      </c>
      <c r="C2042" s="13">
        <v>45947.64142361111</v>
      </c>
      <c r="D2042" s="2" t="s">
        <v>169</v>
      </c>
      <c r="E2042" s="2" t="s">
        <v>170</v>
      </c>
      <c r="F2042" s="14" t="s">
        <v>3486</v>
      </c>
      <c r="G2042" s="14" t="s">
        <v>3487</v>
      </c>
      <c r="H2042" s="2" t="s">
        <v>24</v>
      </c>
      <c r="I2042" s="2" t="s">
        <v>3491</v>
      </c>
      <c r="J2042" s="2">
        <v>1.0</v>
      </c>
      <c r="K2042" s="23" t="s">
        <v>4481</v>
      </c>
      <c r="L2042" s="11">
        <v>0.0</v>
      </c>
    </row>
    <row r="2043" hidden="1">
      <c r="A2043" s="8" t="s">
        <v>1701</v>
      </c>
      <c r="B2043" s="8" t="s">
        <v>1701</v>
      </c>
      <c r="C2043" s="13">
        <v>45947.64142361111</v>
      </c>
      <c r="D2043" s="2" t="s">
        <v>169</v>
      </c>
      <c r="E2043" s="2" t="s">
        <v>170</v>
      </c>
      <c r="F2043" s="14" t="s">
        <v>3522</v>
      </c>
      <c r="G2043" s="14" t="s">
        <v>3523</v>
      </c>
      <c r="H2043" s="2" t="s">
        <v>24</v>
      </c>
      <c r="I2043" s="2" t="s">
        <v>3491</v>
      </c>
      <c r="J2043" s="2">
        <v>8.0</v>
      </c>
      <c r="K2043" s="23" t="s">
        <v>4973</v>
      </c>
      <c r="L2043" s="11">
        <v>0.0</v>
      </c>
    </row>
    <row r="2044" hidden="1">
      <c r="A2044" s="8" t="s">
        <v>1702</v>
      </c>
      <c r="B2044" s="8" t="s">
        <v>1702</v>
      </c>
      <c r="C2044" s="13">
        <v>45948.45806712963</v>
      </c>
      <c r="D2044" s="2" t="s">
        <v>1618</v>
      </c>
      <c r="E2044" s="2" t="s">
        <v>1619</v>
      </c>
      <c r="F2044" s="14" t="s">
        <v>3516</v>
      </c>
      <c r="G2044" s="14" t="s">
        <v>3517</v>
      </c>
      <c r="H2044" s="2" t="s">
        <v>24</v>
      </c>
      <c r="I2044" s="2" t="s">
        <v>3491</v>
      </c>
      <c r="J2044" s="2">
        <v>3.0</v>
      </c>
      <c r="K2044" s="23" t="s">
        <v>4974</v>
      </c>
      <c r="L2044" s="11">
        <v>0.0</v>
      </c>
    </row>
    <row r="2045" hidden="1">
      <c r="A2045" s="8" t="s">
        <v>1703</v>
      </c>
      <c r="B2045" s="8" t="s">
        <v>1703</v>
      </c>
      <c r="C2045" s="13">
        <v>45948.45922453704</v>
      </c>
      <c r="D2045" s="2" t="s">
        <v>786</v>
      </c>
      <c r="E2045" s="2" t="s">
        <v>787</v>
      </c>
      <c r="F2045" s="14" t="s">
        <v>3516</v>
      </c>
      <c r="G2045" s="14" t="s">
        <v>3517</v>
      </c>
      <c r="H2045" s="2" t="s">
        <v>16</v>
      </c>
      <c r="I2045" s="2" t="s">
        <v>3488</v>
      </c>
      <c r="J2045" s="2">
        <v>3.0</v>
      </c>
      <c r="K2045" s="23" t="s">
        <v>4975</v>
      </c>
      <c r="L2045" s="11">
        <v>170000.0</v>
      </c>
    </row>
    <row r="2046" hidden="1">
      <c r="A2046" s="8" t="s">
        <v>1704</v>
      </c>
      <c r="B2046" s="8" t="s">
        <v>1704</v>
      </c>
      <c r="C2046" s="13">
        <v>45948.46082175926</v>
      </c>
      <c r="D2046" s="2" t="s">
        <v>1705</v>
      </c>
      <c r="E2046" s="2" t="s">
        <v>1706</v>
      </c>
      <c r="F2046" s="14" t="s">
        <v>4203</v>
      </c>
      <c r="G2046" s="14" t="s">
        <v>4204</v>
      </c>
      <c r="H2046" s="2" t="s">
        <v>16</v>
      </c>
      <c r="I2046" s="2" t="s">
        <v>3488</v>
      </c>
      <c r="J2046" s="2">
        <v>2.0</v>
      </c>
      <c r="K2046" s="23" t="s">
        <v>4976</v>
      </c>
      <c r="L2046" s="11">
        <v>65000.0</v>
      </c>
    </row>
    <row r="2047" hidden="1">
      <c r="A2047" s="8" t="s">
        <v>1708</v>
      </c>
      <c r="B2047" s="8" t="s">
        <v>1708</v>
      </c>
      <c r="C2047" s="13">
        <v>45948.46366898148</v>
      </c>
      <c r="D2047" s="2" t="s">
        <v>326</v>
      </c>
      <c r="E2047" s="2" t="s">
        <v>327</v>
      </c>
      <c r="F2047" s="14" t="s">
        <v>3486</v>
      </c>
      <c r="G2047" s="14" t="s">
        <v>3487</v>
      </c>
      <c r="H2047" s="2" t="s">
        <v>16</v>
      </c>
      <c r="I2047" s="2" t="s">
        <v>3488</v>
      </c>
      <c r="J2047" s="2">
        <v>10.0</v>
      </c>
      <c r="K2047" s="23" t="s">
        <v>4977</v>
      </c>
      <c r="L2047" s="11">
        <v>45000.0</v>
      </c>
    </row>
    <row r="2048" hidden="1">
      <c r="A2048" s="8" t="s">
        <v>1709</v>
      </c>
      <c r="B2048" s="8" t="s">
        <v>1709</v>
      </c>
      <c r="C2048" s="13">
        <v>45948.52778935185</v>
      </c>
      <c r="D2048" s="2" t="s">
        <v>1476</v>
      </c>
      <c r="E2048" s="2" t="s">
        <v>1477</v>
      </c>
      <c r="F2048" s="14" t="s">
        <v>3493</v>
      </c>
      <c r="G2048" s="14" t="s">
        <v>3494</v>
      </c>
      <c r="H2048" s="2" t="s">
        <v>16</v>
      </c>
      <c r="I2048" s="2" t="s">
        <v>3488</v>
      </c>
      <c r="J2048" s="2">
        <v>2.0</v>
      </c>
      <c r="K2048" s="12"/>
      <c r="L2048" s="11">
        <v>215000.0</v>
      </c>
    </row>
    <row r="2049" hidden="1">
      <c r="A2049" s="8" t="s">
        <v>1710</v>
      </c>
      <c r="B2049" s="8" t="s">
        <v>1710</v>
      </c>
      <c r="C2049" s="13">
        <v>45948.5753125</v>
      </c>
      <c r="D2049" s="2" t="s">
        <v>1476</v>
      </c>
      <c r="E2049" s="2" t="s">
        <v>1477</v>
      </c>
      <c r="F2049" s="14" t="s">
        <v>3493</v>
      </c>
      <c r="G2049" s="14" t="s">
        <v>3494</v>
      </c>
      <c r="H2049" s="2" t="s">
        <v>24</v>
      </c>
      <c r="I2049" s="2" t="s">
        <v>3491</v>
      </c>
      <c r="J2049" s="2">
        <v>2.0</v>
      </c>
      <c r="K2049" s="12"/>
      <c r="L2049" s="11">
        <v>0.0</v>
      </c>
    </row>
    <row r="2050">
      <c r="A2050" s="8" t="s">
        <v>1711</v>
      </c>
      <c r="B2050" s="8" t="s">
        <v>1711</v>
      </c>
      <c r="C2050" s="13">
        <v>45948.5762962963</v>
      </c>
      <c r="D2050" s="2" t="s">
        <v>45</v>
      </c>
      <c r="E2050" s="2" t="s">
        <v>46</v>
      </c>
      <c r="F2050" s="14" t="s">
        <v>3522</v>
      </c>
      <c r="G2050" s="14" t="s">
        <v>3523</v>
      </c>
      <c r="H2050" s="2" t="s">
        <v>16</v>
      </c>
      <c r="I2050" s="2" t="s">
        <v>3488</v>
      </c>
      <c r="J2050" s="2">
        <v>2.0</v>
      </c>
      <c r="K2050" s="23" t="s">
        <v>4978</v>
      </c>
      <c r="L2050" s="11">
        <v>185000.0</v>
      </c>
    </row>
    <row r="2051" hidden="1">
      <c r="A2051" s="8" t="s">
        <v>1712</v>
      </c>
      <c r="B2051" s="8" t="s">
        <v>1712</v>
      </c>
      <c r="C2051" s="13">
        <v>45948.57711805555</v>
      </c>
      <c r="D2051" s="2" t="s">
        <v>786</v>
      </c>
      <c r="E2051" s="2" t="s">
        <v>787</v>
      </c>
      <c r="F2051" s="14" t="s">
        <v>3486</v>
      </c>
      <c r="G2051" s="14" t="s">
        <v>3487</v>
      </c>
      <c r="H2051" s="2" t="s">
        <v>24</v>
      </c>
      <c r="I2051" s="2" t="s">
        <v>3491</v>
      </c>
      <c r="J2051" s="2">
        <v>2.0</v>
      </c>
      <c r="K2051" s="23" t="s">
        <v>4979</v>
      </c>
      <c r="L2051" s="11">
        <v>0.0</v>
      </c>
    </row>
    <row r="2052" hidden="1">
      <c r="A2052" s="8" t="s">
        <v>1712</v>
      </c>
      <c r="B2052" s="8" t="s">
        <v>1712</v>
      </c>
      <c r="C2052" s="13">
        <v>45948.57711805555</v>
      </c>
      <c r="D2052" s="2" t="s">
        <v>786</v>
      </c>
      <c r="E2052" s="2" t="s">
        <v>787</v>
      </c>
      <c r="F2052" s="14" t="s">
        <v>3516</v>
      </c>
      <c r="G2052" s="14" t="s">
        <v>3517</v>
      </c>
      <c r="H2052" s="2" t="s">
        <v>24</v>
      </c>
      <c r="I2052" s="2" t="s">
        <v>3491</v>
      </c>
      <c r="J2052" s="2">
        <v>1.0</v>
      </c>
      <c r="K2052" s="23" t="s">
        <v>4491</v>
      </c>
      <c r="L2052" s="11">
        <v>0.0</v>
      </c>
    </row>
    <row r="2053" hidden="1">
      <c r="A2053" s="8" t="s">
        <v>1713</v>
      </c>
      <c r="B2053" s="8" t="s">
        <v>1713</v>
      </c>
      <c r="C2053" s="13">
        <v>45948.61890046296</v>
      </c>
      <c r="D2053" s="2" t="s">
        <v>326</v>
      </c>
      <c r="E2053" s="2" t="s">
        <v>327</v>
      </c>
      <c r="F2053" s="14" t="s">
        <v>3486</v>
      </c>
      <c r="G2053" s="14" t="s">
        <v>3487</v>
      </c>
      <c r="H2053" s="2" t="s">
        <v>24</v>
      </c>
      <c r="I2053" s="2" t="s">
        <v>3491</v>
      </c>
      <c r="J2053" s="2">
        <v>12.0</v>
      </c>
      <c r="K2053" s="23" t="s">
        <v>4980</v>
      </c>
      <c r="L2053" s="11">
        <v>0.0</v>
      </c>
    </row>
    <row r="2054" hidden="1">
      <c r="A2054" s="8" t="s">
        <v>1714</v>
      </c>
      <c r="B2054" s="8" t="s">
        <v>1714</v>
      </c>
      <c r="C2054" s="13">
        <v>45950.350324074076</v>
      </c>
      <c r="D2054" s="2" t="s">
        <v>904</v>
      </c>
      <c r="E2054" s="2" t="s">
        <v>905</v>
      </c>
      <c r="F2054" s="14" t="s">
        <v>4203</v>
      </c>
      <c r="G2054" s="14" t="s">
        <v>4204</v>
      </c>
      <c r="H2054" s="2" t="s">
        <v>16</v>
      </c>
      <c r="I2054" s="2" t="s">
        <v>3488</v>
      </c>
      <c r="J2054" s="2">
        <v>3.0</v>
      </c>
      <c r="K2054" s="23" t="s">
        <v>4981</v>
      </c>
      <c r="L2054" s="11">
        <v>75000.0</v>
      </c>
    </row>
    <row r="2055" hidden="1">
      <c r="A2055" s="8" t="s">
        <v>1715</v>
      </c>
      <c r="B2055" s="8" t="s">
        <v>1715</v>
      </c>
      <c r="C2055" s="13">
        <v>45950.609131944446</v>
      </c>
      <c r="D2055" s="2" t="s">
        <v>20</v>
      </c>
      <c r="E2055" s="2" t="s">
        <v>21</v>
      </c>
      <c r="F2055" s="14" t="s">
        <v>3486</v>
      </c>
      <c r="G2055" s="14" t="s">
        <v>3487</v>
      </c>
      <c r="H2055" s="2" t="s">
        <v>24</v>
      </c>
      <c r="I2055" s="2" t="s">
        <v>3491</v>
      </c>
      <c r="J2055" s="2">
        <v>9.0</v>
      </c>
      <c r="K2055" s="23" t="s">
        <v>4982</v>
      </c>
      <c r="L2055" s="11">
        <v>0.0</v>
      </c>
    </row>
    <row r="2056" hidden="1">
      <c r="A2056" s="8" t="s">
        <v>1715</v>
      </c>
      <c r="B2056" s="8" t="s">
        <v>1715</v>
      </c>
      <c r="C2056" s="13">
        <v>45950.609131944446</v>
      </c>
      <c r="D2056" s="2" t="s">
        <v>20</v>
      </c>
      <c r="E2056" s="2" t="s">
        <v>21</v>
      </c>
      <c r="F2056" s="14" t="s">
        <v>3486</v>
      </c>
      <c r="G2056" s="14" t="s">
        <v>3487</v>
      </c>
      <c r="H2056" s="2" t="s">
        <v>24</v>
      </c>
      <c r="I2056" s="2" t="s">
        <v>3614</v>
      </c>
      <c r="J2056" s="2">
        <v>2.0</v>
      </c>
      <c r="K2056" s="23" t="s">
        <v>4983</v>
      </c>
      <c r="L2056" s="11">
        <v>0.0</v>
      </c>
      <c r="N2056" s="2" t="s">
        <v>4984</v>
      </c>
    </row>
    <row r="2057" hidden="1">
      <c r="A2057" s="8" t="s">
        <v>1716</v>
      </c>
      <c r="B2057" s="8" t="s">
        <v>1716</v>
      </c>
      <c r="C2057" s="13">
        <v>45950.61042824074</v>
      </c>
      <c r="D2057" s="2" t="s">
        <v>786</v>
      </c>
      <c r="E2057" s="2" t="s">
        <v>787</v>
      </c>
      <c r="F2057" s="14" t="s">
        <v>3516</v>
      </c>
      <c r="G2057" s="14" t="s">
        <v>3517</v>
      </c>
      <c r="H2057" s="2" t="s">
        <v>16</v>
      </c>
      <c r="I2057" s="2" t="s">
        <v>3488</v>
      </c>
      <c r="J2057" s="2">
        <v>4.0</v>
      </c>
      <c r="K2057" s="23" t="s">
        <v>4985</v>
      </c>
      <c r="L2057" s="11">
        <v>170000.0</v>
      </c>
    </row>
    <row r="2058" hidden="1">
      <c r="A2058" s="8" t="s">
        <v>1716</v>
      </c>
      <c r="B2058" s="8" t="s">
        <v>1716</v>
      </c>
      <c r="C2058" s="13">
        <v>45950.61042824074</v>
      </c>
      <c r="D2058" s="2" t="s">
        <v>786</v>
      </c>
      <c r="E2058" s="2" t="s">
        <v>787</v>
      </c>
      <c r="F2058" s="14" t="s">
        <v>3486</v>
      </c>
      <c r="G2058" s="14" t="s">
        <v>3487</v>
      </c>
      <c r="H2058" s="2" t="s">
        <v>16</v>
      </c>
      <c r="I2058" s="2" t="s">
        <v>3488</v>
      </c>
      <c r="J2058" s="2">
        <v>6.0</v>
      </c>
      <c r="K2058" s="23" t="s">
        <v>4986</v>
      </c>
      <c r="L2058" s="11">
        <v>60000.0</v>
      </c>
    </row>
    <row r="2059" hidden="1">
      <c r="A2059" s="8" t="s">
        <v>1717</v>
      </c>
      <c r="B2059" s="8" t="s">
        <v>1717</v>
      </c>
      <c r="C2059" s="13">
        <v>45950.613229166665</v>
      </c>
      <c r="D2059" s="2" t="s">
        <v>49</v>
      </c>
      <c r="E2059" s="2" t="s">
        <v>50</v>
      </c>
      <c r="F2059" s="14" t="s">
        <v>3486</v>
      </c>
      <c r="G2059" s="14" t="s">
        <v>3487</v>
      </c>
      <c r="H2059" s="2" t="s">
        <v>16</v>
      </c>
      <c r="I2059" s="2" t="s">
        <v>3488</v>
      </c>
      <c r="J2059" s="2">
        <v>5.0</v>
      </c>
      <c r="K2059" s="23" t="s">
        <v>4987</v>
      </c>
      <c r="L2059" s="11">
        <v>60000.0</v>
      </c>
    </row>
    <row r="2060" hidden="1">
      <c r="A2060" s="8" t="s">
        <v>1718</v>
      </c>
      <c r="B2060" s="8" t="s">
        <v>1718</v>
      </c>
      <c r="C2060" s="13">
        <v>45950.61371527778</v>
      </c>
      <c r="D2060" s="2" t="s">
        <v>131</v>
      </c>
      <c r="E2060" s="2" t="s">
        <v>132</v>
      </c>
      <c r="F2060" s="14" t="s">
        <v>3486</v>
      </c>
      <c r="G2060" s="14" t="s">
        <v>3487</v>
      </c>
      <c r="H2060" s="2" t="s">
        <v>16</v>
      </c>
      <c r="I2060" s="2" t="s">
        <v>3488</v>
      </c>
      <c r="J2060" s="2">
        <v>6.0</v>
      </c>
      <c r="K2060" s="23" t="s">
        <v>4988</v>
      </c>
      <c r="L2060" s="11">
        <v>60000.0</v>
      </c>
    </row>
    <row r="2061" hidden="1">
      <c r="A2061" s="8" t="s">
        <v>1718</v>
      </c>
      <c r="B2061" s="8" t="s">
        <v>1718</v>
      </c>
      <c r="C2061" s="13">
        <v>45950.61371527778</v>
      </c>
      <c r="D2061" s="2" t="s">
        <v>131</v>
      </c>
      <c r="E2061" s="2" t="s">
        <v>132</v>
      </c>
      <c r="F2061" s="14" t="s">
        <v>3516</v>
      </c>
      <c r="G2061" s="14" t="s">
        <v>3517</v>
      </c>
      <c r="H2061" s="2" t="s">
        <v>16</v>
      </c>
      <c r="I2061" s="2" t="s">
        <v>3488</v>
      </c>
      <c r="J2061" s="2">
        <v>2.0</v>
      </c>
      <c r="K2061" s="23" t="s">
        <v>4989</v>
      </c>
      <c r="L2061" s="11">
        <v>170000.0</v>
      </c>
    </row>
    <row r="2062" hidden="1">
      <c r="A2062" s="8" t="s">
        <v>1715</v>
      </c>
      <c r="B2062" s="8" t="s">
        <v>1715</v>
      </c>
      <c r="C2062" s="13">
        <v>45950.609131944446</v>
      </c>
      <c r="D2062" s="2" t="s">
        <v>20</v>
      </c>
      <c r="E2062" s="2" t="s">
        <v>21</v>
      </c>
      <c r="F2062" s="14" t="s">
        <v>3493</v>
      </c>
      <c r="G2062" s="14" t="s">
        <v>3494</v>
      </c>
      <c r="H2062" s="2" t="s">
        <v>24</v>
      </c>
      <c r="I2062" s="2" t="s">
        <v>3491</v>
      </c>
      <c r="J2062" s="2">
        <v>2.0</v>
      </c>
      <c r="K2062" s="12"/>
      <c r="L2062" s="11">
        <v>0.0</v>
      </c>
    </row>
    <row r="2063" hidden="1">
      <c r="A2063" s="8" t="s">
        <v>1719</v>
      </c>
      <c r="B2063" s="8" t="s">
        <v>1719</v>
      </c>
      <c r="C2063" s="13">
        <v>45950.617627314816</v>
      </c>
      <c r="D2063" s="2" t="s">
        <v>1203</v>
      </c>
      <c r="E2063" s="2" t="s">
        <v>1204</v>
      </c>
      <c r="F2063" s="14" t="s">
        <v>3516</v>
      </c>
      <c r="G2063" s="14" t="s">
        <v>3517</v>
      </c>
      <c r="H2063" s="2" t="s">
        <v>16</v>
      </c>
      <c r="I2063" s="2" t="s">
        <v>3488</v>
      </c>
      <c r="J2063" s="2">
        <v>2.0</v>
      </c>
      <c r="K2063" s="23" t="s">
        <v>4990</v>
      </c>
      <c r="L2063" s="11">
        <v>160000.0</v>
      </c>
    </row>
    <row r="2064">
      <c r="A2064" s="8" t="s">
        <v>1720</v>
      </c>
      <c r="B2064" s="8" t="s">
        <v>1720</v>
      </c>
      <c r="C2064" s="13">
        <v>45950.625706018516</v>
      </c>
      <c r="D2064" s="2" t="s">
        <v>45</v>
      </c>
      <c r="E2064" s="2" t="s">
        <v>46</v>
      </c>
      <c r="F2064" s="14" t="s">
        <v>3486</v>
      </c>
      <c r="G2064" s="14" t="s">
        <v>3487</v>
      </c>
      <c r="H2064" s="2" t="s">
        <v>24</v>
      </c>
      <c r="I2064" s="2" t="s">
        <v>3491</v>
      </c>
      <c r="J2064" s="2">
        <v>8.0</v>
      </c>
      <c r="K2064" s="23" t="s">
        <v>4991</v>
      </c>
      <c r="L2064" s="11">
        <v>0.0</v>
      </c>
    </row>
    <row r="2065">
      <c r="A2065" s="8" t="s">
        <v>1720</v>
      </c>
      <c r="B2065" s="8" t="s">
        <v>1720</v>
      </c>
      <c r="C2065" s="13">
        <v>45950.625706018516</v>
      </c>
      <c r="D2065" s="2" t="s">
        <v>45</v>
      </c>
      <c r="E2065" s="2" t="s">
        <v>46</v>
      </c>
      <c r="F2065" s="14" t="s">
        <v>3522</v>
      </c>
      <c r="G2065" s="14" t="s">
        <v>3523</v>
      </c>
      <c r="H2065" s="2" t="s">
        <v>24</v>
      </c>
      <c r="I2065" s="2" t="s">
        <v>3491</v>
      </c>
      <c r="J2065" s="2">
        <v>14.0</v>
      </c>
      <c r="K2065" s="23" t="s">
        <v>4992</v>
      </c>
      <c r="L2065" s="11">
        <v>0.0</v>
      </c>
    </row>
    <row r="2066" hidden="1">
      <c r="A2066" s="8" t="s">
        <v>1721</v>
      </c>
      <c r="B2066" s="8" t="s">
        <v>1721</v>
      </c>
      <c r="C2066" s="13">
        <v>45950.636516203704</v>
      </c>
      <c r="D2066" s="2" t="s">
        <v>213</v>
      </c>
      <c r="E2066" s="2" t="s">
        <v>214</v>
      </c>
      <c r="F2066" s="14" t="s">
        <v>3486</v>
      </c>
      <c r="G2066" s="14" t="s">
        <v>3487</v>
      </c>
      <c r="H2066" s="2" t="s">
        <v>24</v>
      </c>
      <c r="I2066" s="2" t="s">
        <v>3491</v>
      </c>
      <c r="J2066" s="2">
        <v>4.0</v>
      </c>
      <c r="K2066" s="23" t="s">
        <v>4993</v>
      </c>
      <c r="L2066" s="11">
        <v>0.0</v>
      </c>
    </row>
    <row r="2067" hidden="1">
      <c r="A2067" s="8" t="s">
        <v>1722</v>
      </c>
      <c r="B2067" s="8" t="s">
        <v>1722</v>
      </c>
      <c r="C2067" s="13">
        <v>45950.638240740744</v>
      </c>
      <c r="D2067" s="2" t="s">
        <v>904</v>
      </c>
      <c r="E2067" s="2" t="s">
        <v>905</v>
      </c>
      <c r="F2067" s="14" t="s">
        <v>4203</v>
      </c>
      <c r="G2067" s="14" t="s">
        <v>4204</v>
      </c>
      <c r="H2067" s="2" t="s">
        <v>24</v>
      </c>
      <c r="I2067" s="2" t="s">
        <v>3491</v>
      </c>
      <c r="J2067" s="2">
        <v>2.0</v>
      </c>
      <c r="K2067" s="23" t="s">
        <v>4994</v>
      </c>
      <c r="L2067" s="11">
        <v>0.0</v>
      </c>
    </row>
    <row r="2068" hidden="1">
      <c r="A2068" s="8" t="s">
        <v>1722</v>
      </c>
      <c r="B2068" s="8" t="s">
        <v>1722</v>
      </c>
      <c r="C2068" s="13">
        <v>45950.638240740744</v>
      </c>
      <c r="D2068" s="2" t="s">
        <v>904</v>
      </c>
      <c r="E2068" s="2" t="s">
        <v>905</v>
      </c>
      <c r="F2068" s="14" t="s">
        <v>3486</v>
      </c>
      <c r="G2068" s="14" t="s">
        <v>3487</v>
      </c>
      <c r="H2068" s="2" t="s">
        <v>24</v>
      </c>
      <c r="I2068" s="2" t="s">
        <v>3491</v>
      </c>
      <c r="J2068" s="2">
        <v>1.0</v>
      </c>
      <c r="K2068" s="23" t="s">
        <v>4995</v>
      </c>
      <c r="L2068" s="11">
        <v>0.0</v>
      </c>
    </row>
    <row r="2069" hidden="1">
      <c r="A2069" s="8" t="s">
        <v>1723</v>
      </c>
      <c r="B2069" s="8" t="s">
        <v>1723</v>
      </c>
      <c r="C2069" s="13">
        <v>45950.639236111114</v>
      </c>
      <c r="D2069" s="2" t="s">
        <v>943</v>
      </c>
      <c r="E2069" s="2" t="s">
        <v>944</v>
      </c>
      <c r="F2069" s="14" t="s">
        <v>3486</v>
      </c>
      <c r="G2069" s="14" t="s">
        <v>3487</v>
      </c>
      <c r="H2069" s="2" t="s">
        <v>24</v>
      </c>
      <c r="I2069" s="2" t="s">
        <v>3491</v>
      </c>
      <c r="J2069" s="2">
        <v>2.0</v>
      </c>
      <c r="K2069" s="23" t="s">
        <v>4996</v>
      </c>
      <c r="L2069" s="11">
        <v>0.0</v>
      </c>
    </row>
    <row r="2070" hidden="1">
      <c r="A2070" s="8" t="s">
        <v>1723</v>
      </c>
      <c r="B2070" s="8" t="s">
        <v>1723</v>
      </c>
      <c r="C2070" s="13">
        <v>45950.639236111114</v>
      </c>
      <c r="D2070" s="2" t="s">
        <v>943</v>
      </c>
      <c r="E2070" s="2" t="s">
        <v>944</v>
      </c>
      <c r="F2070" s="14" t="s">
        <v>3506</v>
      </c>
      <c r="G2070" s="14" t="s">
        <v>3507</v>
      </c>
      <c r="H2070" s="2" t="s">
        <v>24</v>
      </c>
      <c r="I2070" s="2" t="s">
        <v>3614</v>
      </c>
      <c r="J2070" s="2">
        <v>2.0</v>
      </c>
      <c r="K2070" s="12"/>
      <c r="L2070" s="11">
        <v>0.0</v>
      </c>
    </row>
    <row r="2071" hidden="1">
      <c r="A2071" s="8" t="s">
        <v>1724</v>
      </c>
      <c r="B2071" s="8" t="s">
        <v>1724</v>
      </c>
      <c r="C2071" s="13">
        <v>45950.663148148145</v>
      </c>
      <c r="D2071" s="2" t="s">
        <v>131</v>
      </c>
      <c r="E2071" s="2" t="s">
        <v>132</v>
      </c>
      <c r="F2071" s="14" t="s">
        <v>3516</v>
      </c>
      <c r="G2071" s="14" t="s">
        <v>3517</v>
      </c>
      <c r="H2071" s="2" t="s">
        <v>24</v>
      </c>
      <c r="I2071" s="2" t="s">
        <v>3491</v>
      </c>
      <c r="J2071" s="2">
        <v>3.0</v>
      </c>
      <c r="K2071" s="23" t="s">
        <v>4997</v>
      </c>
      <c r="L2071" s="11">
        <v>0.0</v>
      </c>
    </row>
    <row r="2072" hidden="1">
      <c r="A2072" s="8" t="s">
        <v>1724</v>
      </c>
      <c r="B2072" s="8" t="s">
        <v>1724</v>
      </c>
      <c r="C2072" s="13">
        <v>45950.663148148145</v>
      </c>
      <c r="D2072" s="2" t="s">
        <v>131</v>
      </c>
      <c r="E2072" s="2" t="s">
        <v>132</v>
      </c>
      <c r="F2072" s="14" t="s">
        <v>4203</v>
      </c>
      <c r="G2072" s="14" t="s">
        <v>4204</v>
      </c>
      <c r="H2072" s="2" t="s">
        <v>24</v>
      </c>
      <c r="I2072" s="2" t="s">
        <v>3491</v>
      </c>
      <c r="J2072" s="2">
        <v>3.0</v>
      </c>
      <c r="K2072" s="23" t="s">
        <v>4903</v>
      </c>
      <c r="L2072" s="11">
        <v>0.0</v>
      </c>
    </row>
    <row r="2073" hidden="1">
      <c r="A2073" s="8" t="s">
        <v>1725</v>
      </c>
      <c r="B2073" s="8" t="s">
        <v>1725</v>
      </c>
      <c r="C2073" s="13">
        <v>45950.69126157407</v>
      </c>
      <c r="D2073" s="2" t="s">
        <v>786</v>
      </c>
      <c r="E2073" s="2" t="s">
        <v>787</v>
      </c>
      <c r="F2073" s="14" t="s">
        <v>3486</v>
      </c>
      <c r="G2073" s="14" t="s">
        <v>3487</v>
      </c>
      <c r="H2073" s="2" t="s">
        <v>24</v>
      </c>
      <c r="I2073" s="2" t="s">
        <v>3491</v>
      </c>
      <c r="J2073" s="2">
        <v>3.0</v>
      </c>
      <c r="K2073" s="23" t="s">
        <v>4998</v>
      </c>
      <c r="L2073" s="11">
        <v>0.0</v>
      </c>
    </row>
    <row r="2074" hidden="1">
      <c r="A2074" s="8" t="s">
        <v>1725</v>
      </c>
      <c r="B2074" s="8" t="s">
        <v>1725</v>
      </c>
      <c r="C2074" s="13">
        <v>45950.69126157407</v>
      </c>
      <c r="D2074" s="2" t="s">
        <v>786</v>
      </c>
      <c r="E2074" s="2" t="s">
        <v>787</v>
      </c>
      <c r="F2074" s="14" t="s">
        <v>3516</v>
      </c>
      <c r="G2074" s="14" t="s">
        <v>3517</v>
      </c>
      <c r="H2074" s="2" t="s">
        <v>24</v>
      </c>
      <c r="I2074" s="2" t="s">
        <v>3491</v>
      </c>
      <c r="J2074" s="2">
        <v>2.0</v>
      </c>
      <c r="K2074" s="23" t="s">
        <v>4999</v>
      </c>
      <c r="L2074" s="11">
        <v>0.0</v>
      </c>
    </row>
    <row r="2075" hidden="1">
      <c r="A2075" s="8" t="s">
        <v>1726</v>
      </c>
      <c r="B2075" s="8" t="s">
        <v>1726</v>
      </c>
      <c r="C2075" s="13">
        <v>45951.426354166666</v>
      </c>
      <c r="D2075" s="2" t="s">
        <v>943</v>
      </c>
      <c r="E2075" s="2" t="s">
        <v>944</v>
      </c>
      <c r="F2075" s="14" t="s">
        <v>4203</v>
      </c>
      <c r="G2075" s="14" t="s">
        <v>4204</v>
      </c>
      <c r="H2075" s="2" t="s">
        <v>16</v>
      </c>
      <c r="I2075" s="2" t="s">
        <v>3488</v>
      </c>
      <c r="J2075" s="2">
        <v>5.0</v>
      </c>
      <c r="K2075" s="23" t="s">
        <v>5000</v>
      </c>
      <c r="L2075" s="11">
        <v>55000.0</v>
      </c>
    </row>
    <row r="2076" hidden="1">
      <c r="A2076" s="8" t="s">
        <v>1727</v>
      </c>
      <c r="B2076" s="8" t="s">
        <v>1727</v>
      </c>
      <c r="C2076" s="13">
        <v>45951.43142361111</v>
      </c>
      <c r="D2076" s="2" t="s">
        <v>943</v>
      </c>
      <c r="E2076" s="2" t="s">
        <v>944</v>
      </c>
      <c r="F2076" s="14" t="s">
        <v>3506</v>
      </c>
      <c r="G2076" s="14" t="s">
        <v>3507</v>
      </c>
      <c r="H2076" s="2" t="s">
        <v>159</v>
      </c>
      <c r="I2076" s="2" t="s">
        <v>3619</v>
      </c>
      <c r="J2076" s="2">
        <v>2.0</v>
      </c>
      <c r="K2076" s="23" t="s">
        <v>4670</v>
      </c>
      <c r="L2076" s="11">
        <v>50000.0</v>
      </c>
    </row>
    <row r="2077">
      <c r="A2077" s="8" t="s">
        <v>1728</v>
      </c>
      <c r="B2077" s="8" t="s">
        <v>1728</v>
      </c>
      <c r="C2077" s="13">
        <v>45951.433912037035</v>
      </c>
      <c r="D2077" s="2" t="s">
        <v>45</v>
      </c>
      <c r="E2077" s="2" t="s">
        <v>46</v>
      </c>
      <c r="F2077" s="14" t="s">
        <v>3522</v>
      </c>
      <c r="G2077" s="14" t="s">
        <v>3523</v>
      </c>
      <c r="H2077" s="2" t="s">
        <v>16</v>
      </c>
      <c r="I2077" s="2" t="s">
        <v>3488</v>
      </c>
      <c r="J2077" s="2">
        <v>9.0</v>
      </c>
      <c r="K2077" s="23" t="s">
        <v>5001</v>
      </c>
      <c r="L2077" s="11">
        <v>185000.0</v>
      </c>
    </row>
    <row r="2078" hidden="1">
      <c r="A2078" s="8" t="s">
        <v>1729</v>
      </c>
      <c r="B2078" s="8" t="s">
        <v>1729</v>
      </c>
      <c r="C2078" s="13">
        <v>45951.44097222222</v>
      </c>
      <c r="D2078" s="2" t="s">
        <v>326</v>
      </c>
      <c r="E2078" s="2" t="s">
        <v>327</v>
      </c>
      <c r="F2078" s="14" t="s">
        <v>3486</v>
      </c>
      <c r="G2078" s="14" t="s">
        <v>3487</v>
      </c>
      <c r="H2078" s="2" t="s">
        <v>16</v>
      </c>
      <c r="I2078" s="2" t="s">
        <v>3488</v>
      </c>
      <c r="J2078" s="2">
        <v>10.0</v>
      </c>
      <c r="K2078" s="23" t="s">
        <v>5002</v>
      </c>
      <c r="L2078" s="11">
        <v>45000.0</v>
      </c>
    </row>
    <row r="2079" hidden="1">
      <c r="A2079" s="8" t="s">
        <v>1730</v>
      </c>
      <c r="B2079" s="8" t="s">
        <v>1730</v>
      </c>
      <c r="C2079" s="13">
        <v>45951.52545138889</v>
      </c>
      <c r="D2079" s="2" t="s">
        <v>464</v>
      </c>
      <c r="E2079" s="2" t="s">
        <v>465</v>
      </c>
      <c r="F2079" s="14" t="s">
        <v>4203</v>
      </c>
      <c r="G2079" s="14" t="s">
        <v>4204</v>
      </c>
      <c r="H2079" s="2" t="s">
        <v>24</v>
      </c>
      <c r="I2079" s="2" t="s">
        <v>3491</v>
      </c>
      <c r="J2079" s="2">
        <v>3.0</v>
      </c>
      <c r="K2079" s="23" t="s">
        <v>5003</v>
      </c>
      <c r="L2079" s="11">
        <v>0.0</v>
      </c>
    </row>
    <row r="2080" hidden="1">
      <c r="A2080" s="8" t="s">
        <v>1731</v>
      </c>
      <c r="B2080" s="8" t="s">
        <v>1731</v>
      </c>
      <c r="C2080" s="13">
        <v>45951.525925925926</v>
      </c>
      <c r="D2080" s="2" t="s">
        <v>1613</v>
      </c>
      <c r="E2080" s="2" t="s">
        <v>1614</v>
      </c>
      <c r="F2080" s="14" t="s">
        <v>4203</v>
      </c>
      <c r="G2080" s="14" t="s">
        <v>4204</v>
      </c>
      <c r="H2080" s="2" t="s">
        <v>24</v>
      </c>
      <c r="I2080" s="2" t="s">
        <v>3491</v>
      </c>
      <c r="J2080" s="2">
        <v>2.0</v>
      </c>
      <c r="K2080" s="23" t="s">
        <v>5004</v>
      </c>
      <c r="L2080" s="11">
        <v>0.0</v>
      </c>
    </row>
    <row r="2081" hidden="1">
      <c r="A2081" s="8" t="s">
        <v>1732</v>
      </c>
      <c r="B2081" s="8" t="s">
        <v>1732</v>
      </c>
      <c r="C2081" s="13">
        <v>45951.53780092593</v>
      </c>
      <c r="D2081" s="2" t="s">
        <v>951</v>
      </c>
      <c r="E2081" s="2" t="s">
        <v>952</v>
      </c>
      <c r="F2081" s="14" t="s">
        <v>3486</v>
      </c>
      <c r="G2081" s="14" t="s">
        <v>3487</v>
      </c>
      <c r="H2081" s="2" t="s">
        <v>16</v>
      </c>
      <c r="I2081" s="2" t="s">
        <v>3488</v>
      </c>
      <c r="J2081" s="2">
        <v>5.0</v>
      </c>
      <c r="K2081" s="23" t="s">
        <v>5005</v>
      </c>
      <c r="L2081" s="11">
        <v>55000.0</v>
      </c>
    </row>
    <row r="2082" hidden="1">
      <c r="A2082" s="8" t="s">
        <v>1733</v>
      </c>
      <c r="B2082" s="8" t="s">
        <v>1733</v>
      </c>
      <c r="C2082" s="13">
        <v>45951.65675925926</v>
      </c>
      <c r="D2082" s="2" t="s">
        <v>109</v>
      </c>
      <c r="E2082" s="2" t="s">
        <v>110</v>
      </c>
      <c r="F2082" s="14" t="s">
        <v>4203</v>
      </c>
      <c r="G2082" s="14" t="s">
        <v>4204</v>
      </c>
      <c r="H2082" s="2" t="s">
        <v>24</v>
      </c>
      <c r="I2082" s="2" t="s">
        <v>3491</v>
      </c>
      <c r="J2082" s="2">
        <v>1.0</v>
      </c>
      <c r="K2082" s="23" t="s">
        <v>5006</v>
      </c>
      <c r="L2082" s="11">
        <v>0.0</v>
      </c>
    </row>
    <row r="2083" hidden="1">
      <c r="A2083" s="8" t="s">
        <v>1733</v>
      </c>
      <c r="B2083" s="8" t="s">
        <v>1733</v>
      </c>
      <c r="C2083" s="13">
        <v>45951.65675925926</v>
      </c>
      <c r="D2083" s="2" t="s">
        <v>109</v>
      </c>
      <c r="E2083" s="2" t="s">
        <v>110</v>
      </c>
      <c r="F2083" s="14" t="s">
        <v>3516</v>
      </c>
      <c r="G2083" s="14" t="s">
        <v>3517</v>
      </c>
      <c r="H2083" s="2" t="s">
        <v>24</v>
      </c>
      <c r="I2083" s="2" t="s">
        <v>3491</v>
      </c>
      <c r="J2083" s="2">
        <v>1.0</v>
      </c>
      <c r="K2083" s="23" t="s">
        <v>4584</v>
      </c>
      <c r="L2083" s="11">
        <v>0.0</v>
      </c>
    </row>
    <row r="2084" hidden="1">
      <c r="A2084" s="8" t="s">
        <v>1733</v>
      </c>
      <c r="B2084" s="8" t="s">
        <v>1733</v>
      </c>
      <c r="C2084" s="13">
        <v>45951.65675925926</v>
      </c>
      <c r="D2084" s="2" t="s">
        <v>109</v>
      </c>
      <c r="E2084" s="2" t="s">
        <v>110</v>
      </c>
      <c r="F2084" s="14" t="s">
        <v>3522</v>
      </c>
      <c r="G2084" s="14" t="s">
        <v>3523</v>
      </c>
      <c r="H2084" s="2" t="s">
        <v>24</v>
      </c>
      <c r="I2084" s="2" t="s">
        <v>3491</v>
      </c>
      <c r="J2084" s="2">
        <v>1.0</v>
      </c>
      <c r="K2084" s="23" t="s">
        <v>5007</v>
      </c>
      <c r="L2084" s="11">
        <v>0.0</v>
      </c>
    </row>
    <row r="2085" hidden="1">
      <c r="A2085" s="8" t="s">
        <v>1734</v>
      </c>
      <c r="B2085" s="8" t="s">
        <v>1734</v>
      </c>
      <c r="C2085" s="13">
        <v>45951.658900462964</v>
      </c>
      <c r="D2085" s="2" t="s">
        <v>55</v>
      </c>
      <c r="E2085" s="2" t="s">
        <v>56</v>
      </c>
      <c r="F2085" s="14" t="s">
        <v>3486</v>
      </c>
      <c r="G2085" s="14" t="s">
        <v>3487</v>
      </c>
      <c r="H2085" s="2" t="s">
        <v>24</v>
      </c>
      <c r="I2085" s="2" t="s">
        <v>3491</v>
      </c>
      <c r="J2085" s="2">
        <v>1.0</v>
      </c>
      <c r="K2085" s="23" t="s">
        <v>4566</v>
      </c>
      <c r="L2085" s="11">
        <v>0.0</v>
      </c>
    </row>
    <row r="2086" hidden="1">
      <c r="A2086" s="8" t="s">
        <v>1735</v>
      </c>
      <c r="B2086" s="8" t="s">
        <v>1735</v>
      </c>
      <c r="C2086" s="13">
        <v>45951.65961805556</v>
      </c>
      <c r="D2086" s="2" t="s">
        <v>49</v>
      </c>
      <c r="E2086" s="2" t="s">
        <v>50</v>
      </c>
      <c r="F2086" s="14" t="s">
        <v>3486</v>
      </c>
      <c r="G2086" s="14" t="s">
        <v>3487</v>
      </c>
      <c r="H2086" s="2" t="s">
        <v>24</v>
      </c>
      <c r="I2086" s="2" t="s">
        <v>3491</v>
      </c>
      <c r="J2086" s="2">
        <v>1.0</v>
      </c>
      <c r="K2086" s="23" t="s">
        <v>5008</v>
      </c>
      <c r="L2086" s="11">
        <v>0.0</v>
      </c>
    </row>
    <row r="2087" hidden="1">
      <c r="A2087" s="8" t="s">
        <v>1736</v>
      </c>
      <c r="B2087" s="8" t="s">
        <v>1736</v>
      </c>
      <c r="C2087" s="13">
        <v>45951.66751157407</v>
      </c>
      <c r="D2087" s="2" t="s">
        <v>326</v>
      </c>
      <c r="E2087" s="2" t="s">
        <v>327</v>
      </c>
      <c r="F2087" s="14" t="s">
        <v>3486</v>
      </c>
      <c r="G2087" s="14" t="s">
        <v>3487</v>
      </c>
      <c r="H2087" s="2" t="s">
        <v>24</v>
      </c>
      <c r="I2087" s="2" t="s">
        <v>3491</v>
      </c>
      <c r="J2087" s="2">
        <v>7.0</v>
      </c>
      <c r="K2087" s="23" t="s">
        <v>5009</v>
      </c>
      <c r="L2087" s="11">
        <v>0.0</v>
      </c>
    </row>
    <row r="2088" hidden="1">
      <c r="A2088" s="8" t="s">
        <v>1737</v>
      </c>
      <c r="B2088" s="8" t="s">
        <v>1737</v>
      </c>
      <c r="C2088" s="13">
        <v>45952.34341435185</v>
      </c>
      <c r="D2088" s="2" t="s">
        <v>786</v>
      </c>
      <c r="E2088" s="2" t="s">
        <v>787</v>
      </c>
      <c r="F2088" s="14" t="s">
        <v>3516</v>
      </c>
      <c r="G2088" s="14" t="s">
        <v>3517</v>
      </c>
      <c r="H2088" s="2" t="s">
        <v>16</v>
      </c>
      <c r="I2088" s="2" t="s">
        <v>3488</v>
      </c>
      <c r="J2088" s="2">
        <v>1.0</v>
      </c>
      <c r="K2088" s="23" t="s">
        <v>4156</v>
      </c>
      <c r="L2088" s="11">
        <v>170000.0</v>
      </c>
    </row>
    <row r="2089" hidden="1">
      <c r="A2089" s="8" t="s">
        <v>1737</v>
      </c>
      <c r="B2089" s="8" t="s">
        <v>1737</v>
      </c>
      <c r="C2089" s="13">
        <v>45952.34341435185</v>
      </c>
      <c r="D2089" s="2" t="s">
        <v>786</v>
      </c>
      <c r="E2089" s="2" t="s">
        <v>787</v>
      </c>
      <c r="F2089" s="14" t="s">
        <v>4203</v>
      </c>
      <c r="G2089" s="14" t="s">
        <v>4204</v>
      </c>
      <c r="H2089" s="2" t="s">
        <v>16</v>
      </c>
      <c r="I2089" s="2" t="s">
        <v>3488</v>
      </c>
      <c r="J2089" s="2">
        <v>7.0</v>
      </c>
      <c r="K2089" s="23" t="s">
        <v>5010</v>
      </c>
      <c r="L2089" s="11">
        <v>60000.0</v>
      </c>
    </row>
    <row r="2090" hidden="1">
      <c r="A2090" s="8" t="s">
        <v>1738</v>
      </c>
      <c r="B2090" s="8" t="s">
        <v>1738</v>
      </c>
      <c r="C2090" s="13">
        <v>45952.34517361111</v>
      </c>
      <c r="D2090" s="2" t="s">
        <v>786</v>
      </c>
      <c r="E2090" s="2" t="s">
        <v>787</v>
      </c>
      <c r="F2090" s="14" t="s">
        <v>3516</v>
      </c>
      <c r="G2090" s="14" t="s">
        <v>3517</v>
      </c>
      <c r="H2090" s="2" t="s">
        <v>159</v>
      </c>
      <c r="I2090" s="2" t="s">
        <v>3619</v>
      </c>
      <c r="J2090" s="2">
        <v>1.0</v>
      </c>
      <c r="K2090" s="23" t="s">
        <v>4700</v>
      </c>
      <c r="L2090" s="11">
        <v>0.0</v>
      </c>
    </row>
    <row r="2091" hidden="1">
      <c r="A2091" s="8" t="s">
        <v>1739</v>
      </c>
      <c r="B2091" s="8" t="s">
        <v>1739</v>
      </c>
      <c r="C2091" s="13">
        <v>45952.449525462966</v>
      </c>
      <c r="D2091" s="2" t="s">
        <v>786</v>
      </c>
      <c r="E2091" s="2" t="s">
        <v>787</v>
      </c>
      <c r="F2091" s="14" t="s">
        <v>3516</v>
      </c>
      <c r="G2091" s="14" t="s">
        <v>3517</v>
      </c>
      <c r="H2091" s="2" t="s">
        <v>24</v>
      </c>
      <c r="I2091" s="2" t="s">
        <v>3491</v>
      </c>
      <c r="J2091" s="2">
        <v>2.0</v>
      </c>
      <c r="K2091" s="23" t="s">
        <v>5011</v>
      </c>
      <c r="L2091" s="11">
        <v>0.0</v>
      </c>
    </row>
    <row r="2092" hidden="1">
      <c r="A2092" s="8" t="s">
        <v>1739</v>
      </c>
      <c r="B2092" s="8" t="s">
        <v>1739</v>
      </c>
      <c r="C2092" s="13">
        <v>45952.449525462966</v>
      </c>
      <c r="D2092" s="2" t="s">
        <v>786</v>
      </c>
      <c r="E2092" s="2" t="s">
        <v>787</v>
      </c>
      <c r="F2092" s="14" t="s">
        <v>4203</v>
      </c>
      <c r="G2092" s="14" t="s">
        <v>4204</v>
      </c>
      <c r="H2092" s="2" t="s">
        <v>24</v>
      </c>
      <c r="I2092" s="2" t="s">
        <v>3491</v>
      </c>
      <c r="J2092" s="2">
        <v>4.0</v>
      </c>
      <c r="K2092" s="23" t="s">
        <v>5012</v>
      </c>
      <c r="L2092" s="11">
        <v>0.0</v>
      </c>
    </row>
    <row r="2093" hidden="1">
      <c r="A2093" s="8" t="s">
        <v>1739</v>
      </c>
      <c r="B2093" s="8" t="s">
        <v>1739</v>
      </c>
      <c r="C2093" s="13">
        <v>45952.449525462966</v>
      </c>
      <c r="D2093" s="2" t="s">
        <v>786</v>
      </c>
      <c r="E2093" s="2" t="s">
        <v>787</v>
      </c>
      <c r="F2093" s="14" t="s">
        <v>3486</v>
      </c>
      <c r="G2093" s="14" t="s">
        <v>3487</v>
      </c>
      <c r="H2093" s="2" t="s">
        <v>24</v>
      </c>
      <c r="I2093" s="2" t="s">
        <v>3491</v>
      </c>
      <c r="J2093" s="2">
        <v>1.0</v>
      </c>
      <c r="K2093" s="23" t="s">
        <v>5013</v>
      </c>
      <c r="L2093" s="11">
        <v>0.0</v>
      </c>
    </row>
    <row r="2094" hidden="1">
      <c r="A2094" s="8" t="s">
        <v>1739</v>
      </c>
      <c r="B2094" s="8" t="s">
        <v>1739</v>
      </c>
      <c r="C2094" s="13">
        <v>45952.449525462966</v>
      </c>
      <c r="D2094" s="2" t="s">
        <v>786</v>
      </c>
      <c r="E2094" s="2" t="s">
        <v>787</v>
      </c>
      <c r="F2094" s="14" t="s">
        <v>3516</v>
      </c>
      <c r="G2094" s="14" t="s">
        <v>3517</v>
      </c>
      <c r="H2094" s="2" t="s">
        <v>24</v>
      </c>
      <c r="I2094" s="2" t="s">
        <v>3614</v>
      </c>
      <c r="J2094" s="2">
        <v>1.0</v>
      </c>
      <c r="K2094" s="23" t="s">
        <v>4733</v>
      </c>
      <c r="L2094" s="11">
        <v>0.0</v>
      </c>
    </row>
    <row r="2095" hidden="1">
      <c r="A2095" s="8" t="s">
        <v>1740</v>
      </c>
      <c r="B2095" s="8" t="s">
        <v>1740</v>
      </c>
      <c r="C2095" s="13">
        <v>45952.4516087963</v>
      </c>
      <c r="D2095" s="2" t="s">
        <v>1618</v>
      </c>
      <c r="E2095" s="2" t="s">
        <v>1619</v>
      </c>
      <c r="F2095" s="14" t="s">
        <v>3516</v>
      </c>
      <c r="G2095" s="14" t="s">
        <v>3517</v>
      </c>
      <c r="H2095" s="2" t="s">
        <v>16</v>
      </c>
      <c r="I2095" s="2" t="s">
        <v>3488</v>
      </c>
      <c r="J2095" s="2">
        <v>3.0</v>
      </c>
      <c r="K2095" s="23" t="s">
        <v>5014</v>
      </c>
      <c r="L2095" s="11">
        <v>180000.0</v>
      </c>
    </row>
    <row r="2096" hidden="1">
      <c r="A2096" s="8" t="s">
        <v>1741</v>
      </c>
      <c r="B2096" s="8" t="s">
        <v>1741</v>
      </c>
      <c r="C2096" s="13">
        <v>45952.45814814815</v>
      </c>
      <c r="D2096" s="2" t="s">
        <v>109</v>
      </c>
      <c r="E2096" s="2" t="s">
        <v>110</v>
      </c>
      <c r="F2096" s="14" t="s">
        <v>3516</v>
      </c>
      <c r="G2096" s="14" t="s">
        <v>3517</v>
      </c>
      <c r="H2096" s="2" t="s">
        <v>16</v>
      </c>
      <c r="I2096" s="2" t="s">
        <v>3488</v>
      </c>
      <c r="J2096" s="2">
        <v>2.0</v>
      </c>
      <c r="K2096" s="23" t="s">
        <v>5015</v>
      </c>
      <c r="L2096" s="11">
        <v>160000.0</v>
      </c>
    </row>
    <row r="2097" hidden="1">
      <c r="A2097" s="8" t="s">
        <v>1741</v>
      </c>
      <c r="B2097" s="8" t="s">
        <v>1741</v>
      </c>
      <c r="C2097" s="13">
        <v>45952.45814814815</v>
      </c>
      <c r="D2097" s="2" t="s">
        <v>109</v>
      </c>
      <c r="E2097" s="2" t="s">
        <v>110</v>
      </c>
      <c r="F2097" s="14" t="s">
        <v>3522</v>
      </c>
      <c r="G2097" s="14" t="s">
        <v>3523</v>
      </c>
      <c r="H2097" s="2" t="s">
        <v>16</v>
      </c>
      <c r="I2097" s="2" t="s">
        <v>3488</v>
      </c>
      <c r="J2097" s="2">
        <v>2.0</v>
      </c>
      <c r="K2097" s="23" t="s">
        <v>5016</v>
      </c>
      <c r="L2097" s="11">
        <v>190000.0</v>
      </c>
    </row>
    <row r="2098">
      <c r="A2098" s="8" t="s">
        <v>1742</v>
      </c>
      <c r="B2098" s="8" t="s">
        <v>1742</v>
      </c>
      <c r="C2098" s="13">
        <v>45952.460023148145</v>
      </c>
      <c r="D2098" s="2" t="s">
        <v>45</v>
      </c>
      <c r="E2098" s="2" t="s">
        <v>46</v>
      </c>
      <c r="F2098" s="14" t="s">
        <v>3522</v>
      </c>
      <c r="G2098" s="14" t="s">
        <v>3523</v>
      </c>
      <c r="H2098" s="2" t="s">
        <v>16</v>
      </c>
      <c r="I2098" s="2" t="s">
        <v>3488</v>
      </c>
      <c r="J2098" s="2">
        <v>8.0</v>
      </c>
      <c r="K2098" s="23" t="s">
        <v>5017</v>
      </c>
      <c r="L2098" s="11">
        <v>185000.0</v>
      </c>
    </row>
    <row r="2099" hidden="1">
      <c r="A2099" s="8" t="s">
        <v>1743</v>
      </c>
      <c r="B2099" s="8" t="s">
        <v>1743</v>
      </c>
      <c r="C2099" s="13">
        <v>45952.46258101852</v>
      </c>
      <c r="D2099" s="2" t="s">
        <v>1084</v>
      </c>
      <c r="E2099" s="2" t="s">
        <v>1085</v>
      </c>
      <c r="F2099" s="14" t="s">
        <v>4203</v>
      </c>
      <c r="G2099" s="14" t="s">
        <v>4204</v>
      </c>
      <c r="H2099" s="2" t="s">
        <v>24</v>
      </c>
      <c r="I2099" s="2" t="s">
        <v>3491</v>
      </c>
      <c r="J2099" s="2">
        <v>2.0</v>
      </c>
      <c r="K2099" s="23" t="s">
        <v>5018</v>
      </c>
      <c r="L2099" s="11">
        <v>0.0</v>
      </c>
    </row>
    <row r="2100" hidden="1">
      <c r="A2100" s="8" t="s">
        <v>1743</v>
      </c>
      <c r="B2100" s="8" t="s">
        <v>1743</v>
      </c>
      <c r="C2100" s="13">
        <v>45952.46258101852</v>
      </c>
      <c r="D2100" s="2" t="s">
        <v>1084</v>
      </c>
      <c r="E2100" s="2" t="s">
        <v>1085</v>
      </c>
      <c r="F2100" s="14" t="s">
        <v>3486</v>
      </c>
      <c r="G2100" s="14" t="s">
        <v>3487</v>
      </c>
      <c r="H2100" s="2" t="s">
        <v>24</v>
      </c>
      <c r="I2100" s="2" t="s">
        <v>3491</v>
      </c>
      <c r="J2100" s="2">
        <v>1.0</v>
      </c>
      <c r="K2100" s="23" t="s">
        <v>3957</v>
      </c>
      <c r="L2100" s="11">
        <v>0.0</v>
      </c>
    </row>
    <row r="2101" hidden="1">
      <c r="A2101" s="8" t="s">
        <v>1744</v>
      </c>
      <c r="B2101" s="8" t="s">
        <v>1744</v>
      </c>
      <c r="C2101" s="13">
        <v>45952.518900462965</v>
      </c>
      <c r="D2101" s="2" t="s">
        <v>1745</v>
      </c>
      <c r="E2101" s="2" t="s">
        <v>5019</v>
      </c>
      <c r="F2101" s="14" t="s">
        <v>4203</v>
      </c>
      <c r="G2101" s="14" t="s">
        <v>4204</v>
      </c>
      <c r="H2101" s="2" t="s">
        <v>16</v>
      </c>
      <c r="I2101" s="2" t="s">
        <v>3488</v>
      </c>
      <c r="J2101" s="2">
        <v>2.0</v>
      </c>
      <c r="K2101" s="23" t="s">
        <v>5020</v>
      </c>
      <c r="L2101" s="11">
        <v>65000.0</v>
      </c>
    </row>
    <row r="2102" hidden="1">
      <c r="A2102" s="8" t="s">
        <v>1744</v>
      </c>
      <c r="B2102" s="8" t="s">
        <v>1744</v>
      </c>
      <c r="C2102" s="13">
        <v>45952.518900462965</v>
      </c>
      <c r="D2102" s="2" t="s">
        <v>1745</v>
      </c>
      <c r="E2102" s="2" t="s">
        <v>5019</v>
      </c>
      <c r="F2102" s="14" t="s">
        <v>3493</v>
      </c>
      <c r="G2102" s="14" t="s">
        <v>3494</v>
      </c>
      <c r="H2102" s="2" t="s">
        <v>16</v>
      </c>
      <c r="I2102" s="2" t="s">
        <v>3488</v>
      </c>
      <c r="J2102" s="2">
        <v>1.0</v>
      </c>
      <c r="K2102" s="23" t="s">
        <v>4688</v>
      </c>
      <c r="L2102" s="11">
        <v>215000.0</v>
      </c>
    </row>
    <row r="2103" hidden="1">
      <c r="A2103" s="8" t="s">
        <v>1748</v>
      </c>
      <c r="B2103" s="8" t="s">
        <v>1748</v>
      </c>
      <c r="C2103" s="13">
        <v>45952.57927083333</v>
      </c>
      <c r="D2103" s="2" t="s">
        <v>1618</v>
      </c>
      <c r="E2103" s="2" t="s">
        <v>1619</v>
      </c>
      <c r="F2103" s="14" t="s">
        <v>3516</v>
      </c>
      <c r="G2103" s="14" t="s">
        <v>3517</v>
      </c>
      <c r="H2103" s="2" t="s">
        <v>24</v>
      </c>
      <c r="I2103" s="2" t="s">
        <v>3491</v>
      </c>
      <c r="J2103" s="2">
        <v>1.0</v>
      </c>
      <c r="K2103" s="23" t="s">
        <v>4498</v>
      </c>
      <c r="L2103" s="11">
        <v>0.0</v>
      </c>
    </row>
    <row r="2104" hidden="1">
      <c r="A2104" s="8" t="s">
        <v>1749</v>
      </c>
      <c r="B2104" s="8" t="s">
        <v>1749</v>
      </c>
      <c r="C2104" s="13">
        <v>45952.58011574074</v>
      </c>
      <c r="D2104" s="2" t="s">
        <v>1745</v>
      </c>
      <c r="E2104" s="2" t="s">
        <v>1746</v>
      </c>
      <c r="F2104" s="14" t="s">
        <v>3493</v>
      </c>
      <c r="G2104" s="14" t="s">
        <v>3494</v>
      </c>
      <c r="H2104" s="2" t="s">
        <v>24</v>
      </c>
      <c r="I2104" s="2" t="s">
        <v>3491</v>
      </c>
      <c r="J2104" s="2">
        <v>1.0</v>
      </c>
      <c r="K2104" s="12"/>
      <c r="L2104" s="11">
        <v>0.0</v>
      </c>
    </row>
    <row r="2105" hidden="1">
      <c r="A2105" s="8" t="s">
        <v>1750</v>
      </c>
      <c r="B2105" s="8" t="s">
        <v>1750</v>
      </c>
      <c r="C2105" s="13">
        <v>45953.36607638889</v>
      </c>
      <c r="D2105" s="2" t="s">
        <v>1371</v>
      </c>
      <c r="E2105" s="2" t="s">
        <v>1372</v>
      </c>
      <c r="F2105" s="14" t="s">
        <v>3486</v>
      </c>
      <c r="G2105" s="14" t="s">
        <v>3487</v>
      </c>
      <c r="H2105" s="2" t="s">
        <v>16</v>
      </c>
      <c r="I2105" s="2" t="s">
        <v>3488</v>
      </c>
      <c r="J2105" s="2">
        <v>4.0</v>
      </c>
      <c r="K2105" s="23" t="s">
        <v>5021</v>
      </c>
      <c r="L2105" s="11">
        <v>60000.0</v>
      </c>
    </row>
    <row r="2106" hidden="1">
      <c r="A2106" s="8" t="s">
        <v>1751</v>
      </c>
      <c r="B2106" s="8" t="s">
        <v>1751</v>
      </c>
      <c r="C2106" s="13">
        <v>45953.44002314815</v>
      </c>
      <c r="D2106" s="2" t="s">
        <v>786</v>
      </c>
      <c r="E2106" s="2" t="s">
        <v>787</v>
      </c>
      <c r="F2106" s="14" t="s">
        <v>3486</v>
      </c>
      <c r="G2106" s="14" t="s">
        <v>3487</v>
      </c>
      <c r="H2106" s="2" t="s">
        <v>16</v>
      </c>
      <c r="I2106" s="2" t="s">
        <v>3488</v>
      </c>
      <c r="J2106" s="2">
        <v>6.0</v>
      </c>
      <c r="K2106" s="23" t="s">
        <v>5022</v>
      </c>
      <c r="L2106" s="11">
        <v>60000.0</v>
      </c>
    </row>
    <row r="2107" hidden="1">
      <c r="A2107" s="8" t="s">
        <v>1752</v>
      </c>
      <c r="B2107" s="8" t="s">
        <v>1752</v>
      </c>
      <c r="C2107" s="13">
        <v>45953.49215277778</v>
      </c>
      <c r="D2107" s="2" t="s">
        <v>1371</v>
      </c>
      <c r="E2107" s="2" t="s">
        <v>1372</v>
      </c>
      <c r="F2107" s="14" t="s">
        <v>3486</v>
      </c>
      <c r="G2107" s="14" t="s">
        <v>3487</v>
      </c>
      <c r="H2107" s="2" t="s">
        <v>24</v>
      </c>
      <c r="I2107" s="2" t="s">
        <v>3491</v>
      </c>
      <c r="J2107" s="2">
        <v>4.0</v>
      </c>
      <c r="K2107" s="23" t="s">
        <v>5023</v>
      </c>
      <c r="L2107" s="11">
        <v>0.0</v>
      </c>
    </row>
    <row r="2108" hidden="1">
      <c r="A2108" s="8" t="s">
        <v>1753</v>
      </c>
      <c r="B2108" s="8" t="s">
        <v>1753</v>
      </c>
      <c r="C2108" s="13">
        <v>45953.55740740741</v>
      </c>
      <c r="D2108" s="2" t="s">
        <v>131</v>
      </c>
      <c r="E2108" s="2" t="s">
        <v>132</v>
      </c>
      <c r="F2108" s="14" t="s">
        <v>3516</v>
      </c>
      <c r="G2108" s="14" t="s">
        <v>3517</v>
      </c>
      <c r="H2108" s="2" t="s">
        <v>24</v>
      </c>
      <c r="I2108" s="2" t="s">
        <v>3491</v>
      </c>
      <c r="J2108" s="2">
        <v>1.0</v>
      </c>
      <c r="K2108" s="23" t="s">
        <v>4948</v>
      </c>
      <c r="L2108" s="11">
        <v>0.0</v>
      </c>
    </row>
    <row r="2109" hidden="1">
      <c r="A2109" s="8" t="s">
        <v>1753</v>
      </c>
      <c r="B2109" s="8" t="s">
        <v>1753</v>
      </c>
      <c r="C2109" s="13">
        <v>45953.55740740741</v>
      </c>
      <c r="D2109" s="2" t="s">
        <v>131</v>
      </c>
      <c r="E2109" s="2" t="s">
        <v>132</v>
      </c>
      <c r="F2109" s="14" t="s">
        <v>3486</v>
      </c>
      <c r="G2109" s="14" t="s">
        <v>3487</v>
      </c>
      <c r="H2109" s="2" t="s">
        <v>24</v>
      </c>
      <c r="I2109" s="2" t="s">
        <v>3491</v>
      </c>
      <c r="J2109" s="2">
        <v>1.0</v>
      </c>
      <c r="K2109" s="23" t="s">
        <v>5024</v>
      </c>
      <c r="L2109" s="11">
        <v>0.0</v>
      </c>
    </row>
    <row r="2110" hidden="1">
      <c r="A2110" s="8" t="s">
        <v>1754</v>
      </c>
      <c r="B2110" s="8" t="s">
        <v>1754</v>
      </c>
      <c r="C2110" s="13">
        <v>45953.5584375</v>
      </c>
      <c r="D2110" s="2" t="s">
        <v>786</v>
      </c>
      <c r="E2110" s="2" t="s">
        <v>787</v>
      </c>
      <c r="F2110" s="14" t="s">
        <v>3486</v>
      </c>
      <c r="G2110" s="14" t="s">
        <v>3487</v>
      </c>
      <c r="H2110" s="2" t="s">
        <v>24</v>
      </c>
      <c r="I2110" s="2" t="s">
        <v>3491</v>
      </c>
      <c r="J2110" s="2">
        <v>4.0</v>
      </c>
      <c r="K2110" s="23" t="s">
        <v>5025</v>
      </c>
      <c r="L2110" s="11">
        <v>0.0</v>
      </c>
    </row>
    <row r="2111" hidden="1">
      <c r="A2111" s="8" t="s">
        <v>1754</v>
      </c>
      <c r="B2111" s="8" t="s">
        <v>1754</v>
      </c>
      <c r="C2111" s="13">
        <v>45953.5584375</v>
      </c>
      <c r="D2111" s="2" t="s">
        <v>786</v>
      </c>
      <c r="E2111" s="2" t="s">
        <v>787</v>
      </c>
      <c r="F2111" s="14" t="s">
        <v>4203</v>
      </c>
      <c r="G2111" s="14" t="s">
        <v>4204</v>
      </c>
      <c r="H2111" s="2" t="s">
        <v>24</v>
      </c>
      <c r="I2111" s="2" t="s">
        <v>3491</v>
      </c>
      <c r="J2111" s="2">
        <v>2.0</v>
      </c>
      <c r="K2111" s="23" t="s">
        <v>5026</v>
      </c>
      <c r="L2111" s="11">
        <v>0.0</v>
      </c>
    </row>
    <row r="2112" hidden="1">
      <c r="A2112" s="8" t="s">
        <v>1755</v>
      </c>
      <c r="B2112" s="8" t="s">
        <v>1755</v>
      </c>
      <c r="C2112" s="13">
        <v>45954.359143518515</v>
      </c>
      <c r="D2112" s="2" t="s">
        <v>1756</v>
      </c>
      <c r="E2112" s="2" t="s">
        <v>1757</v>
      </c>
      <c r="F2112" s="14" t="s">
        <v>4203</v>
      </c>
      <c r="G2112" s="14" t="s">
        <v>4204</v>
      </c>
      <c r="H2112" s="2" t="s">
        <v>16</v>
      </c>
      <c r="I2112" s="2" t="s">
        <v>3488</v>
      </c>
      <c r="J2112" s="2">
        <v>4.0</v>
      </c>
      <c r="K2112" s="23" t="s">
        <v>5027</v>
      </c>
      <c r="L2112" s="11">
        <v>65000.0</v>
      </c>
    </row>
    <row r="2113" hidden="1">
      <c r="A2113" s="8" t="s">
        <v>1759</v>
      </c>
      <c r="B2113" s="8" t="s">
        <v>1759</v>
      </c>
      <c r="C2113" s="13">
        <v>45954.45784722222</v>
      </c>
      <c r="D2113" s="2" t="s">
        <v>1618</v>
      </c>
      <c r="E2113" s="2" t="s">
        <v>1619</v>
      </c>
      <c r="F2113" s="14" t="s">
        <v>3516</v>
      </c>
      <c r="G2113" s="14" t="s">
        <v>3517</v>
      </c>
      <c r="H2113" s="2" t="s">
        <v>16</v>
      </c>
      <c r="I2113" s="2" t="s">
        <v>3488</v>
      </c>
      <c r="J2113" s="2">
        <v>2.0</v>
      </c>
      <c r="K2113" s="23" t="s">
        <v>5028</v>
      </c>
      <c r="L2113" s="11">
        <v>180000.0</v>
      </c>
    </row>
    <row r="2114">
      <c r="A2114" s="8" t="s">
        <v>1760</v>
      </c>
      <c r="B2114" s="8" t="s">
        <v>1760</v>
      </c>
      <c r="C2114" s="13">
        <v>45954.458599537036</v>
      </c>
      <c r="D2114" s="2" t="s">
        <v>45</v>
      </c>
      <c r="E2114" s="2" t="s">
        <v>46</v>
      </c>
      <c r="F2114" s="14" t="s">
        <v>3493</v>
      </c>
      <c r="G2114" s="14" t="s">
        <v>3494</v>
      </c>
      <c r="H2114" s="2" t="s">
        <v>24</v>
      </c>
      <c r="I2114" s="2" t="s">
        <v>3491</v>
      </c>
      <c r="J2114" s="2">
        <v>6.0</v>
      </c>
      <c r="K2114" s="12"/>
      <c r="L2114" s="11">
        <v>0.0</v>
      </c>
    </row>
    <row r="2115">
      <c r="A2115" s="8" t="s">
        <v>1760</v>
      </c>
      <c r="B2115" s="8" t="s">
        <v>1760</v>
      </c>
      <c r="C2115" s="13">
        <v>45954.458599537036</v>
      </c>
      <c r="D2115" s="2" t="s">
        <v>45</v>
      </c>
      <c r="E2115" s="2" t="s">
        <v>46</v>
      </c>
      <c r="F2115" s="14" t="s">
        <v>3522</v>
      </c>
      <c r="G2115" s="14" t="s">
        <v>3523</v>
      </c>
      <c r="H2115" s="2" t="s">
        <v>24</v>
      </c>
      <c r="I2115" s="2" t="s">
        <v>3491</v>
      </c>
      <c r="J2115" s="2">
        <v>10.0</v>
      </c>
      <c r="K2115" s="23" t="s">
        <v>5029</v>
      </c>
      <c r="L2115" s="11">
        <v>0.0</v>
      </c>
    </row>
    <row r="2116">
      <c r="A2116" s="8" t="s">
        <v>1760</v>
      </c>
      <c r="B2116" s="8" t="s">
        <v>1760</v>
      </c>
      <c r="C2116" s="13">
        <v>45954.458599537036</v>
      </c>
      <c r="D2116" s="2" t="s">
        <v>45</v>
      </c>
      <c r="E2116" s="2" t="s">
        <v>46</v>
      </c>
      <c r="F2116" s="14" t="s">
        <v>3486</v>
      </c>
      <c r="G2116" s="14" t="s">
        <v>3487</v>
      </c>
      <c r="H2116" s="2" t="s">
        <v>24</v>
      </c>
      <c r="I2116" s="2" t="s">
        <v>3491</v>
      </c>
      <c r="J2116" s="2">
        <v>5.0</v>
      </c>
      <c r="K2116" s="23" t="s">
        <v>5030</v>
      </c>
      <c r="L2116" s="11">
        <v>0.0</v>
      </c>
    </row>
    <row r="2117">
      <c r="A2117" s="8" t="s">
        <v>1760</v>
      </c>
      <c r="B2117" s="8" t="s">
        <v>1760</v>
      </c>
      <c r="C2117" s="13">
        <v>45954.458599537036</v>
      </c>
      <c r="D2117" s="2" t="s">
        <v>45</v>
      </c>
      <c r="E2117" s="2" t="s">
        <v>46</v>
      </c>
      <c r="F2117" s="14" t="s">
        <v>4203</v>
      </c>
      <c r="G2117" s="14" t="s">
        <v>4204</v>
      </c>
      <c r="H2117" s="2" t="s">
        <v>24</v>
      </c>
      <c r="I2117" s="2" t="s">
        <v>3491</v>
      </c>
      <c r="J2117" s="2">
        <v>2.0</v>
      </c>
      <c r="K2117" s="23" t="s">
        <v>5031</v>
      </c>
      <c r="L2117" s="11">
        <v>0.0</v>
      </c>
    </row>
    <row r="2118" hidden="1">
      <c r="A2118" s="8" t="s">
        <v>1761</v>
      </c>
      <c r="B2118" s="8" t="s">
        <v>1761</v>
      </c>
      <c r="C2118" s="13">
        <v>45954.47542824074</v>
      </c>
      <c r="D2118" s="2" t="s">
        <v>786</v>
      </c>
      <c r="E2118" s="2" t="s">
        <v>787</v>
      </c>
      <c r="F2118" s="14" t="s">
        <v>3516</v>
      </c>
      <c r="G2118" s="14" t="s">
        <v>3517</v>
      </c>
      <c r="H2118" s="2" t="s">
        <v>24</v>
      </c>
      <c r="I2118" s="2" t="s">
        <v>3491</v>
      </c>
      <c r="J2118" s="2">
        <v>3.0</v>
      </c>
      <c r="K2118" s="23" t="s">
        <v>5032</v>
      </c>
      <c r="L2118" s="11">
        <v>0.0</v>
      </c>
    </row>
    <row r="2119" hidden="1">
      <c r="A2119" s="8" t="s">
        <v>1761</v>
      </c>
      <c r="B2119" s="8" t="s">
        <v>1761</v>
      </c>
      <c r="C2119" s="13">
        <v>45954.47542824074</v>
      </c>
      <c r="D2119" s="2" t="s">
        <v>786</v>
      </c>
      <c r="E2119" s="2" t="s">
        <v>787</v>
      </c>
      <c r="F2119" s="14" t="s">
        <v>3486</v>
      </c>
      <c r="G2119" s="14" t="s">
        <v>3487</v>
      </c>
      <c r="H2119" s="2" t="s">
        <v>24</v>
      </c>
      <c r="I2119" s="2" t="s">
        <v>3491</v>
      </c>
      <c r="J2119" s="2">
        <v>1.0</v>
      </c>
      <c r="K2119" s="23" t="s">
        <v>5033</v>
      </c>
      <c r="L2119" s="11">
        <v>0.0</v>
      </c>
    </row>
    <row r="2120" hidden="1">
      <c r="A2120" s="8" t="s">
        <v>1761</v>
      </c>
      <c r="B2120" s="8" t="s">
        <v>1761</v>
      </c>
      <c r="C2120" s="13">
        <v>45954.47542824074</v>
      </c>
      <c r="D2120" s="2" t="s">
        <v>786</v>
      </c>
      <c r="E2120" s="2" t="s">
        <v>787</v>
      </c>
      <c r="F2120" s="14" t="s">
        <v>4203</v>
      </c>
      <c r="G2120" s="14" t="s">
        <v>4204</v>
      </c>
      <c r="H2120" s="2" t="s">
        <v>24</v>
      </c>
      <c r="I2120" s="2" t="s">
        <v>3491</v>
      </c>
      <c r="J2120" s="2">
        <v>1.0</v>
      </c>
      <c r="K2120" s="23" t="s">
        <v>4724</v>
      </c>
      <c r="L2120" s="11">
        <v>0.0</v>
      </c>
    </row>
    <row r="2121" hidden="1">
      <c r="A2121" s="8" t="s">
        <v>1762</v>
      </c>
      <c r="B2121" s="8" t="s">
        <v>1762</v>
      </c>
      <c r="C2121" s="13">
        <v>45954.52258101852</v>
      </c>
      <c r="D2121" s="2" t="s">
        <v>1763</v>
      </c>
      <c r="E2121" s="2" t="s">
        <v>5034</v>
      </c>
      <c r="F2121" s="14" t="s">
        <v>3910</v>
      </c>
      <c r="G2121" s="14" t="s">
        <v>3911</v>
      </c>
      <c r="H2121" s="2" t="s">
        <v>16</v>
      </c>
      <c r="I2121" s="2" t="s">
        <v>3488</v>
      </c>
      <c r="J2121" s="2">
        <v>2.0</v>
      </c>
      <c r="K2121" s="12"/>
      <c r="L2121" s="11">
        <v>50000.0</v>
      </c>
    </row>
    <row r="2122" hidden="1">
      <c r="A2122" s="8" t="s">
        <v>1766</v>
      </c>
      <c r="B2122" s="8" t="s">
        <v>1766</v>
      </c>
      <c r="C2122" s="13">
        <v>45954.548993055556</v>
      </c>
      <c r="D2122" s="2" t="s">
        <v>1763</v>
      </c>
      <c r="E2122" s="2" t="s">
        <v>1764</v>
      </c>
      <c r="F2122" s="14" t="s">
        <v>3835</v>
      </c>
      <c r="G2122" s="14" t="s">
        <v>3836</v>
      </c>
      <c r="H2122" s="2" t="s">
        <v>24</v>
      </c>
      <c r="I2122" s="2" t="s">
        <v>3491</v>
      </c>
      <c r="J2122" s="2">
        <v>2.0</v>
      </c>
      <c r="K2122" s="23" t="s">
        <v>5035</v>
      </c>
      <c r="L2122" s="11">
        <v>0.0</v>
      </c>
    </row>
    <row r="2123" hidden="1">
      <c r="A2123" s="8" t="s">
        <v>1767</v>
      </c>
      <c r="B2123" s="8" t="s">
        <v>1767</v>
      </c>
      <c r="C2123" s="13">
        <v>45955.34459490741</v>
      </c>
      <c r="D2123" s="2" t="s">
        <v>786</v>
      </c>
      <c r="E2123" s="2" t="s">
        <v>787</v>
      </c>
      <c r="F2123" s="14" t="s">
        <v>3486</v>
      </c>
      <c r="G2123" s="14" t="s">
        <v>3487</v>
      </c>
      <c r="H2123" s="2" t="s">
        <v>16</v>
      </c>
      <c r="I2123" s="2" t="s">
        <v>3488</v>
      </c>
      <c r="J2123" s="2">
        <v>6.0</v>
      </c>
      <c r="K2123" s="23" t="s">
        <v>5036</v>
      </c>
      <c r="L2123" s="11">
        <v>60000.0</v>
      </c>
    </row>
    <row r="2124" hidden="1">
      <c r="A2124" s="8" t="s">
        <v>1767</v>
      </c>
      <c r="B2124" s="8" t="s">
        <v>1767</v>
      </c>
      <c r="C2124" s="13">
        <v>45955.34459490741</v>
      </c>
      <c r="D2124" s="2" t="s">
        <v>786</v>
      </c>
      <c r="E2124" s="2" t="s">
        <v>787</v>
      </c>
      <c r="F2124" s="14" t="s">
        <v>3516</v>
      </c>
      <c r="G2124" s="14" t="s">
        <v>3517</v>
      </c>
      <c r="H2124" s="2" t="s">
        <v>16</v>
      </c>
      <c r="I2124" s="2" t="s">
        <v>3488</v>
      </c>
      <c r="J2124" s="2">
        <v>4.0</v>
      </c>
      <c r="K2124" s="23" t="s">
        <v>5037</v>
      </c>
      <c r="L2124" s="11">
        <v>170000.0</v>
      </c>
    </row>
    <row r="2125" hidden="1">
      <c r="A2125" s="8" t="s">
        <v>1768</v>
      </c>
      <c r="B2125" s="8" t="s">
        <v>1768</v>
      </c>
      <c r="C2125" s="13">
        <v>45955.34546296296</v>
      </c>
      <c r="D2125" s="2" t="s">
        <v>464</v>
      </c>
      <c r="E2125" s="2" t="s">
        <v>465</v>
      </c>
      <c r="F2125" s="14" t="s">
        <v>4203</v>
      </c>
      <c r="G2125" s="14" t="s">
        <v>4204</v>
      </c>
      <c r="H2125" s="2" t="s">
        <v>16</v>
      </c>
      <c r="I2125" s="2" t="s">
        <v>3488</v>
      </c>
      <c r="J2125" s="2">
        <v>5.0</v>
      </c>
      <c r="K2125" s="23" t="s">
        <v>5038</v>
      </c>
      <c r="L2125" s="11">
        <v>55000.0</v>
      </c>
    </row>
    <row r="2126" hidden="1">
      <c r="A2126" s="8" t="s">
        <v>1769</v>
      </c>
      <c r="B2126" s="8" t="s">
        <v>1769</v>
      </c>
      <c r="C2126" s="13">
        <v>45955.464525462965</v>
      </c>
      <c r="D2126" s="2" t="s">
        <v>326</v>
      </c>
      <c r="E2126" s="2" t="s">
        <v>327</v>
      </c>
      <c r="F2126" s="14" t="s">
        <v>3486</v>
      </c>
      <c r="G2126" s="14" t="s">
        <v>3487</v>
      </c>
      <c r="H2126" s="2" t="s">
        <v>24</v>
      </c>
      <c r="I2126" s="2" t="s">
        <v>3491</v>
      </c>
      <c r="J2126" s="2">
        <v>7.0</v>
      </c>
      <c r="K2126" s="23" t="s">
        <v>5039</v>
      </c>
      <c r="L2126" s="11">
        <v>0.0</v>
      </c>
    </row>
    <row r="2127">
      <c r="A2127" s="8" t="s">
        <v>1770</v>
      </c>
      <c r="B2127" s="8" t="s">
        <v>1770</v>
      </c>
      <c r="C2127" s="6">
        <v>45955.458599537036</v>
      </c>
      <c r="D2127" s="2" t="s">
        <v>45</v>
      </c>
      <c r="E2127" s="2" t="s">
        <v>46</v>
      </c>
      <c r="F2127" s="14" t="s">
        <v>3486</v>
      </c>
      <c r="G2127" s="14" t="s">
        <v>3487</v>
      </c>
      <c r="H2127" s="2" t="s">
        <v>16</v>
      </c>
      <c r="I2127" s="2" t="s">
        <v>3488</v>
      </c>
      <c r="J2127" s="2">
        <v>10.0</v>
      </c>
      <c r="K2127" s="12" t="s">
        <v>5040</v>
      </c>
      <c r="L2127" s="11">
        <v>60000.0</v>
      </c>
      <c r="N2127" s="2" t="s">
        <v>5041</v>
      </c>
    </row>
    <row r="2128" hidden="1">
      <c r="A2128" s="8" t="s">
        <v>1771</v>
      </c>
      <c r="B2128" s="8" t="s">
        <v>1771</v>
      </c>
      <c r="C2128" s="6">
        <v>45955.458599537036</v>
      </c>
      <c r="D2128" s="2" t="s">
        <v>1613</v>
      </c>
      <c r="E2128" s="2" t="s">
        <v>1614</v>
      </c>
      <c r="F2128" s="14" t="s">
        <v>4203</v>
      </c>
      <c r="G2128" s="14" t="s">
        <v>4204</v>
      </c>
      <c r="H2128" s="2" t="s">
        <v>16</v>
      </c>
      <c r="I2128" s="2" t="s">
        <v>3488</v>
      </c>
      <c r="J2128" s="2">
        <v>2.0</v>
      </c>
      <c r="K2128" s="12" t="s">
        <v>5042</v>
      </c>
      <c r="L2128" s="11">
        <v>65000.0</v>
      </c>
    </row>
    <row r="2129" hidden="1">
      <c r="A2129" s="8" t="s">
        <v>1772</v>
      </c>
      <c r="B2129" s="8" t="s">
        <v>1772</v>
      </c>
      <c r="C2129" s="13">
        <v>45957.34722222222</v>
      </c>
      <c r="D2129" s="2" t="s">
        <v>1587</v>
      </c>
      <c r="E2129" s="2" t="s">
        <v>1588</v>
      </c>
      <c r="F2129" s="14" t="s">
        <v>3516</v>
      </c>
      <c r="G2129" s="14" t="s">
        <v>3517</v>
      </c>
      <c r="H2129" s="2" t="s">
        <v>16</v>
      </c>
      <c r="I2129" s="2" t="s">
        <v>3488</v>
      </c>
      <c r="J2129" s="2">
        <v>1.0</v>
      </c>
      <c r="K2129" s="23" t="s">
        <v>4156</v>
      </c>
      <c r="L2129" s="11">
        <v>180000.0</v>
      </c>
    </row>
    <row r="2130" hidden="1">
      <c r="A2130" s="8" t="s">
        <v>1773</v>
      </c>
      <c r="B2130" s="8" t="s">
        <v>1773</v>
      </c>
      <c r="C2130" s="13">
        <v>45957.35518518519</v>
      </c>
      <c r="D2130" s="2" t="s">
        <v>786</v>
      </c>
      <c r="E2130" s="2" t="s">
        <v>787</v>
      </c>
      <c r="F2130" s="14" t="s">
        <v>3516</v>
      </c>
      <c r="G2130" s="14" t="s">
        <v>3517</v>
      </c>
      <c r="H2130" s="2" t="s">
        <v>24</v>
      </c>
      <c r="I2130" s="2" t="s">
        <v>3491</v>
      </c>
      <c r="J2130" s="2">
        <v>3.0</v>
      </c>
      <c r="K2130" s="23" t="s">
        <v>5043</v>
      </c>
      <c r="L2130" s="11">
        <v>0.0</v>
      </c>
    </row>
    <row r="2131" hidden="1">
      <c r="A2131" s="8" t="s">
        <v>1773</v>
      </c>
      <c r="B2131" s="8" t="s">
        <v>1773</v>
      </c>
      <c r="C2131" s="13">
        <v>45957.35518518519</v>
      </c>
      <c r="D2131" s="2" t="s">
        <v>786</v>
      </c>
      <c r="E2131" s="2" t="s">
        <v>787</v>
      </c>
      <c r="F2131" s="14" t="s">
        <v>3486</v>
      </c>
      <c r="G2131" s="14" t="s">
        <v>3487</v>
      </c>
      <c r="H2131" s="2" t="s">
        <v>24</v>
      </c>
      <c r="I2131" s="2" t="s">
        <v>3491</v>
      </c>
      <c r="J2131" s="2">
        <v>2.0</v>
      </c>
      <c r="K2131" s="23" t="s">
        <v>5044</v>
      </c>
      <c r="L2131" s="11">
        <v>0.0</v>
      </c>
    </row>
    <row r="2132" hidden="1">
      <c r="A2132" s="8" t="s">
        <v>1773</v>
      </c>
      <c r="B2132" s="8" t="s">
        <v>1773</v>
      </c>
      <c r="C2132" s="13">
        <v>45957.35518518519</v>
      </c>
      <c r="D2132" s="2" t="s">
        <v>786</v>
      </c>
      <c r="E2132" s="2" t="s">
        <v>787</v>
      </c>
      <c r="F2132" s="14" t="s">
        <v>4203</v>
      </c>
      <c r="G2132" s="14" t="s">
        <v>4204</v>
      </c>
      <c r="H2132" s="2" t="s">
        <v>24</v>
      </c>
      <c r="I2132" s="2" t="s">
        <v>3491</v>
      </c>
      <c r="J2132" s="2">
        <v>2.0</v>
      </c>
      <c r="K2132" s="23" t="s">
        <v>5042</v>
      </c>
      <c r="L2132" s="11">
        <v>0.0</v>
      </c>
    </row>
    <row r="2133" hidden="1">
      <c r="A2133" s="8" t="s">
        <v>1774</v>
      </c>
      <c r="B2133" s="8" t="s">
        <v>1774</v>
      </c>
      <c r="C2133" s="13">
        <v>45957.358125</v>
      </c>
      <c r="D2133" s="2" t="s">
        <v>464</v>
      </c>
      <c r="E2133" s="2" t="s">
        <v>465</v>
      </c>
      <c r="F2133" s="14" t="s">
        <v>4203</v>
      </c>
      <c r="G2133" s="14" t="s">
        <v>4204</v>
      </c>
      <c r="H2133" s="2" t="s">
        <v>24</v>
      </c>
      <c r="I2133" s="2" t="s">
        <v>3491</v>
      </c>
      <c r="J2133" s="2">
        <v>1.0</v>
      </c>
      <c r="K2133" s="23" t="s">
        <v>5045</v>
      </c>
      <c r="L2133" s="11">
        <v>0.0</v>
      </c>
    </row>
    <row r="2134" hidden="1">
      <c r="A2134" s="8" t="s">
        <v>1775</v>
      </c>
      <c r="B2134" s="8" t="s">
        <v>1775</v>
      </c>
      <c r="C2134" s="13">
        <v>45957.36834490741</v>
      </c>
      <c r="D2134" s="2" t="s">
        <v>1776</v>
      </c>
      <c r="E2134" s="2" t="s">
        <v>1777</v>
      </c>
      <c r="F2134" s="14" t="s">
        <v>4203</v>
      </c>
      <c r="G2134" s="14" t="s">
        <v>4204</v>
      </c>
      <c r="H2134" s="2" t="s">
        <v>24</v>
      </c>
      <c r="I2134" s="2" t="s">
        <v>3491</v>
      </c>
      <c r="J2134" s="2">
        <v>1.0</v>
      </c>
      <c r="K2134" s="23" t="s">
        <v>4912</v>
      </c>
      <c r="L2134" s="11">
        <v>0.0</v>
      </c>
    </row>
    <row r="2135" hidden="1">
      <c r="A2135" s="8" t="s">
        <v>1779</v>
      </c>
      <c r="B2135" s="8" t="s">
        <v>1779</v>
      </c>
      <c r="C2135" s="13">
        <v>45957.4134837963</v>
      </c>
      <c r="D2135" s="2" t="s">
        <v>951</v>
      </c>
      <c r="E2135" s="2" t="s">
        <v>952</v>
      </c>
      <c r="F2135" s="14" t="s">
        <v>3486</v>
      </c>
      <c r="G2135" s="14" t="s">
        <v>3487</v>
      </c>
      <c r="H2135" s="2" t="s">
        <v>24</v>
      </c>
      <c r="I2135" s="2" t="s">
        <v>3491</v>
      </c>
      <c r="J2135" s="2">
        <v>4.0</v>
      </c>
      <c r="K2135" s="23" t="s">
        <v>5046</v>
      </c>
      <c r="L2135" s="11">
        <v>0.0</v>
      </c>
    </row>
    <row r="2136" hidden="1">
      <c r="A2136" s="8" t="s">
        <v>1779</v>
      </c>
      <c r="B2136" s="8" t="s">
        <v>1779</v>
      </c>
      <c r="C2136" s="13">
        <v>45957.4134837963</v>
      </c>
      <c r="D2136" s="2" t="s">
        <v>951</v>
      </c>
      <c r="E2136" s="2" t="s">
        <v>952</v>
      </c>
      <c r="F2136" s="14" t="s">
        <v>3516</v>
      </c>
      <c r="G2136" s="14" t="s">
        <v>3517</v>
      </c>
      <c r="H2136" s="2" t="s">
        <v>24</v>
      </c>
      <c r="I2136" s="2" t="s">
        <v>3491</v>
      </c>
      <c r="J2136" s="2">
        <v>1.0</v>
      </c>
      <c r="K2136" s="23" t="s">
        <v>4755</v>
      </c>
      <c r="L2136" s="11">
        <v>0.0</v>
      </c>
    </row>
    <row r="2137" hidden="1">
      <c r="A2137" s="8" t="s">
        <v>1780</v>
      </c>
      <c r="B2137" s="8" t="s">
        <v>1780</v>
      </c>
      <c r="C2137" s="13">
        <v>45957.41486111111</v>
      </c>
      <c r="D2137" s="2" t="s">
        <v>109</v>
      </c>
      <c r="E2137" s="2" t="s">
        <v>110</v>
      </c>
      <c r="F2137" s="14" t="s">
        <v>3486</v>
      </c>
      <c r="G2137" s="14" t="s">
        <v>3487</v>
      </c>
      <c r="H2137" s="2" t="s">
        <v>24</v>
      </c>
      <c r="I2137" s="2" t="s">
        <v>3491</v>
      </c>
      <c r="J2137" s="2">
        <v>2.0</v>
      </c>
      <c r="K2137" s="23" t="s">
        <v>4954</v>
      </c>
      <c r="L2137" s="11">
        <v>0.0</v>
      </c>
    </row>
    <row r="2138" hidden="1">
      <c r="A2138" s="8" t="s">
        <v>1780</v>
      </c>
      <c r="B2138" s="8" t="s">
        <v>1780</v>
      </c>
      <c r="C2138" s="13">
        <v>45957.41486111111</v>
      </c>
      <c r="D2138" s="2" t="s">
        <v>109</v>
      </c>
      <c r="E2138" s="2" t="s">
        <v>110</v>
      </c>
      <c r="F2138" s="14" t="s">
        <v>3516</v>
      </c>
      <c r="G2138" s="14" t="s">
        <v>3517</v>
      </c>
      <c r="H2138" s="2" t="s">
        <v>24</v>
      </c>
      <c r="I2138" s="2" t="s">
        <v>3491</v>
      </c>
      <c r="J2138" s="2">
        <v>1.0</v>
      </c>
      <c r="K2138" s="23" t="s">
        <v>5047</v>
      </c>
      <c r="L2138" s="11">
        <v>0.0</v>
      </c>
    </row>
    <row r="2139" hidden="1">
      <c r="A2139" s="8" t="s">
        <v>1780</v>
      </c>
      <c r="B2139" s="8" t="s">
        <v>1780</v>
      </c>
      <c r="C2139" s="13">
        <v>45957.41486111111</v>
      </c>
      <c r="D2139" s="2" t="s">
        <v>109</v>
      </c>
      <c r="E2139" s="2" t="s">
        <v>110</v>
      </c>
      <c r="F2139" s="14" t="s">
        <v>3522</v>
      </c>
      <c r="G2139" s="14" t="s">
        <v>3523</v>
      </c>
      <c r="H2139" s="2" t="s">
        <v>24</v>
      </c>
      <c r="I2139" s="2" t="s">
        <v>3491</v>
      </c>
      <c r="J2139" s="2">
        <v>1.0</v>
      </c>
      <c r="K2139" s="23" t="s">
        <v>3632</v>
      </c>
      <c r="L2139" s="11">
        <v>0.0</v>
      </c>
    </row>
    <row r="2140" hidden="1">
      <c r="A2140" s="8" t="s">
        <v>1781</v>
      </c>
      <c r="B2140" s="8" t="s">
        <v>1781</v>
      </c>
      <c r="C2140" s="13">
        <v>45957.44943287037</v>
      </c>
      <c r="D2140" s="2" t="s">
        <v>786</v>
      </c>
      <c r="E2140" s="2" t="s">
        <v>787</v>
      </c>
      <c r="F2140" s="14" t="s">
        <v>3516</v>
      </c>
      <c r="G2140" s="14" t="s">
        <v>3517</v>
      </c>
      <c r="H2140" s="2" t="s">
        <v>16</v>
      </c>
      <c r="I2140" s="2" t="s">
        <v>3488</v>
      </c>
      <c r="J2140" s="2">
        <v>3.0</v>
      </c>
      <c r="K2140" s="23" t="s">
        <v>5048</v>
      </c>
      <c r="L2140" s="11">
        <v>170000.0</v>
      </c>
    </row>
    <row r="2141" hidden="1">
      <c r="A2141" s="8" t="s">
        <v>1781</v>
      </c>
      <c r="B2141" s="8" t="s">
        <v>1781</v>
      </c>
      <c r="C2141" s="13">
        <v>45957.44943287037</v>
      </c>
      <c r="D2141" s="2" t="s">
        <v>786</v>
      </c>
      <c r="E2141" s="2" t="s">
        <v>787</v>
      </c>
      <c r="F2141" s="14" t="s">
        <v>3486</v>
      </c>
      <c r="G2141" s="14" t="s">
        <v>3487</v>
      </c>
      <c r="H2141" s="2" t="s">
        <v>16</v>
      </c>
      <c r="I2141" s="2" t="s">
        <v>3488</v>
      </c>
      <c r="J2141" s="2">
        <v>4.0</v>
      </c>
      <c r="K2141" s="23" t="s">
        <v>5049</v>
      </c>
      <c r="L2141" s="11">
        <v>60000.0</v>
      </c>
    </row>
    <row r="2142" hidden="1">
      <c r="A2142" s="8" t="s">
        <v>1782</v>
      </c>
      <c r="B2142" s="8" t="s">
        <v>1782</v>
      </c>
      <c r="C2142" s="13">
        <v>45957.66763888889</v>
      </c>
      <c r="D2142" s="2" t="s">
        <v>1084</v>
      </c>
      <c r="E2142" s="2" t="s">
        <v>1085</v>
      </c>
      <c r="F2142" s="14" t="s">
        <v>3516</v>
      </c>
      <c r="G2142" s="14" t="s">
        <v>3517</v>
      </c>
      <c r="H2142" s="2" t="s">
        <v>24</v>
      </c>
      <c r="I2142" s="2" t="s">
        <v>3491</v>
      </c>
      <c r="J2142" s="2">
        <v>2.0</v>
      </c>
      <c r="K2142" s="23" t="s">
        <v>5050</v>
      </c>
      <c r="L2142" s="11">
        <v>0.0</v>
      </c>
    </row>
    <row r="2143" hidden="1">
      <c r="A2143" s="8" t="s">
        <v>1782</v>
      </c>
      <c r="B2143" s="8" t="s">
        <v>1782</v>
      </c>
      <c r="C2143" s="13">
        <v>45957.66763888889</v>
      </c>
      <c r="D2143" s="2" t="s">
        <v>1084</v>
      </c>
      <c r="E2143" s="2" t="s">
        <v>1085</v>
      </c>
      <c r="F2143" s="14" t="s">
        <v>3486</v>
      </c>
      <c r="G2143" s="14" t="s">
        <v>3487</v>
      </c>
      <c r="H2143" s="2" t="s">
        <v>24</v>
      </c>
      <c r="I2143" s="2" t="s">
        <v>3491</v>
      </c>
      <c r="J2143" s="2">
        <v>2.0</v>
      </c>
      <c r="K2143" s="23" t="s">
        <v>5051</v>
      </c>
      <c r="L2143" s="11">
        <v>0.0</v>
      </c>
    </row>
    <row r="2144" hidden="1">
      <c r="A2144" s="8" t="s">
        <v>1783</v>
      </c>
      <c r="B2144" s="8" t="s">
        <v>1783</v>
      </c>
      <c r="C2144" s="13">
        <v>45957.669270833336</v>
      </c>
      <c r="D2144" s="2" t="s">
        <v>131</v>
      </c>
      <c r="E2144" s="2" t="s">
        <v>132</v>
      </c>
      <c r="F2144" s="14" t="s">
        <v>3516</v>
      </c>
      <c r="G2144" s="14" t="s">
        <v>3517</v>
      </c>
      <c r="H2144" s="2" t="s">
        <v>24</v>
      </c>
      <c r="I2144" s="2" t="s">
        <v>3491</v>
      </c>
      <c r="J2144" s="2">
        <v>1.0</v>
      </c>
      <c r="K2144" s="23" t="s">
        <v>4491</v>
      </c>
      <c r="L2144" s="11">
        <v>0.0</v>
      </c>
    </row>
    <row r="2145" hidden="1">
      <c r="A2145" s="8" t="s">
        <v>1783</v>
      </c>
      <c r="B2145" s="8" t="s">
        <v>1783</v>
      </c>
      <c r="C2145" s="13">
        <v>45957.669270833336</v>
      </c>
      <c r="D2145" s="2" t="s">
        <v>131</v>
      </c>
      <c r="E2145" s="2" t="s">
        <v>132</v>
      </c>
      <c r="F2145" s="14" t="s">
        <v>3486</v>
      </c>
      <c r="G2145" s="14" t="s">
        <v>3487</v>
      </c>
      <c r="H2145" s="2" t="s">
        <v>24</v>
      </c>
      <c r="I2145" s="2" t="s">
        <v>3491</v>
      </c>
      <c r="J2145" s="2">
        <v>2.0</v>
      </c>
      <c r="K2145" s="23" t="s">
        <v>5052</v>
      </c>
      <c r="L2145" s="11">
        <v>0.0</v>
      </c>
    </row>
    <row r="2146" hidden="1">
      <c r="A2146" s="8" t="s">
        <v>1784</v>
      </c>
      <c r="B2146" s="8" t="s">
        <v>1784</v>
      </c>
      <c r="C2146" s="13">
        <v>45957.67024305555</v>
      </c>
      <c r="D2146" s="2" t="s">
        <v>786</v>
      </c>
      <c r="E2146" s="2" t="s">
        <v>787</v>
      </c>
      <c r="F2146" s="14" t="s">
        <v>3516</v>
      </c>
      <c r="G2146" s="14" t="s">
        <v>3517</v>
      </c>
      <c r="H2146" s="2" t="s">
        <v>24</v>
      </c>
      <c r="I2146" s="2" t="s">
        <v>3491</v>
      </c>
      <c r="J2146" s="2">
        <v>2.0</v>
      </c>
      <c r="K2146" s="23" t="s">
        <v>5053</v>
      </c>
      <c r="L2146" s="11">
        <v>0.0</v>
      </c>
    </row>
    <row r="2147" hidden="1">
      <c r="A2147" s="8" t="s">
        <v>1784</v>
      </c>
      <c r="B2147" s="8" t="s">
        <v>1784</v>
      </c>
      <c r="C2147" s="13">
        <v>45957.67024305555</v>
      </c>
      <c r="D2147" s="2" t="s">
        <v>786</v>
      </c>
      <c r="E2147" s="2" t="s">
        <v>787</v>
      </c>
      <c r="F2147" s="14" t="s">
        <v>4203</v>
      </c>
      <c r="G2147" s="14" t="s">
        <v>4204</v>
      </c>
      <c r="H2147" s="2" t="s">
        <v>24</v>
      </c>
      <c r="I2147" s="2" t="s">
        <v>3491</v>
      </c>
      <c r="J2147" s="2">
        <v>3.0</v>
      </c>
      <c r="K2147" s="23" t="s">
        <v>5054</v>
      </c>
      <c r="L2147" s="11">
        <v>0.0</v>
      </c>
    </row>
    <row r="2148" hidden="1">
      <c r="A2148" s="8" t="s">
        <v>1785</v>
      </c>
      <c r="B2148" s="8" t="s">
        <v>1785</v>
      </c>
      <c r="C2148" s="13">
        <v>45957.67140046296</v>
      </c>
      <c r="D2148" s="2" t="s">
        <v>1587</v>
      </c>
      <c r="E2148" s="2" t="s">
        <v>1588</v>
      </c>
      <c r="F2148" s="14" t="s">
        <v>5055</v>
      </c>
      <c r="G2148" s="14" t="s">
        <v>5056</v>
      </c>
      <c r="H2148" s="2" t="s">
        <v>24</v>
      </c>
      <c r="I2148" s="2" t="s">
        <v>3491</v>
      </c>
      <c r="J2148" s="2">
        <v>3.0</v>
      </c>
      <c r="K2148" s="12"/>
      <c r="L2148" s="11">
        <v>0.0</v>
      </c>
    </row>
    <row r="2149" hidden="1">
      <c r="A2149" s="8" t="s">
        <v>1786</v>
      </c>
      <c r="B2149" s="8" t="s">
        <v>1786</v>
      </c>
      <c r="C2149" s="13">
        <v>45958.354166666664</v>
      </c>
      <c r="D2149" s="2" t="s">
        <v>169</v>
      </c>
      <c r="E2149" s="2" t="s">
        <v>170</v>
      </c>
      <c r="F2149" s="14" t="s">
        <v>3522</v>
      </c>
      <c r="G2149" s="14" t="s">
        <v>3523</v>
      </c>
      <c r="H2149" s="2" t="s">
        <v>16</v>
      </c>
      <c r="I2149" s="2" t="s">
        <v>3488</v>
      </c>
      <c r="J2149" s="2">
        <v>4.0</v>
      </c>
      <c r="K2149" s="23" t="s">
        <v>5057</v>
      </c>
      <c r="L2149" s="11">
        <v>195000.0</v>
      </c>
    </row>
    <row r="2150" hidden="1">
      <c r="A2150" s="8" t="s">
        <v>1786</v>
      </c>
      <c r="B2150" s="8" t="s">
        <v>1786</v>
      </c>
      <c r="C2150" s="13">
        <v>45958.354166666664</v>
      </c>
      <c r="D2150" s="2" t="s">
        <v>169</v>
      </c>
      <c r="E2150" s="2" t="s">
        <v>170</v>
      </c>
      <c r="F2150" s="14" t="s">
        <v>3486</v>
      </c>
      <c r="G2150" s="14" t="s">
        <v>3487</v>
      </c>
      <c r="H2150" s="2" t="s">
        <v>16</v>
      </c>
      <c r="I2150" s="2" t="s">
        <v>3488</v>
      </c>
      <c r="J2150" s="2">
        <v>2.0</v>
      </c>
      <c r="K2150" s="23" t="s">
        <v>5058</v>
      </c>
      <c r="L2150" s="11">
        <v>60000.0</v>
      </c>
    </row>
    <row r="2151" hidden="1">
      <c r="A2151" s="8" t="s">
        <v>1787</v>
      </c>
      <c r="B2151" s="8" t="s">
        <v>1787</v>
      </c>
      <c r="C2151" s="13">
        <v>45958.35469907407</v>
      </c>
      <c r="D2151" s="2" t="s">
        <v>943</v>
      </c>
      <c r="E2151" s="2" t="s">
        <v>944</v>
      </c>
      <c r="F2151" s="14" t="s">
        <v>3486</v>
      </c>
      <c r="G2151" s="14" t="s">
        <v>3487</v>
      </c>
      <c r="H2151" s="2" t="s">
        <v>16</v>
      </c>
      <c r="I2151" s="2" t="s">
        <v>3488</v>
      </c>
      <c r="J2151" s="2">
        <v>4.0</v>
      </c>
      <c r="K2151" s="23" t="s">
        <v>5059</v>
      </c>
      <c r="L2151" s="11">
        <v>50000.0</v>
      </c>
    </row>
    <row r="2152" hidden="1">
      <c r="A2152" s="8" t="s">
        <v>1788</v>
      </c>
      <c r="B2152" s="8" t="s">
        <v>1788</v>
      </c>
      <c r="C2152" s="13">
        <v>45958.35527777778</v>
      </c>
      <c r="D2152" s="2" t="s">
        <v>943</v>
      </c>
      <c r="E2152" s="2" t="s">
        <v>944</v>
      </c>
      <c r="F2152" s="14" t="s">
        <v>3486</v>
      </c>
      <c r="G2152" s="14" t="s">
        <v>3487</v>
      </c>
      <c r="H2152" s="2" t="s">
        <v>159</v>
      </c>
      <c r="I2152" s="2" t="s">
        <v>3619</v>
      </c>
      <c r="J2152" s="2">
        <v>1.0</v>
      </c>
      <c r="K2152" s="23" t="s">
        <v>5060</v>
      </c>
      <c r="L2152" s="11">
        <v>0.0</v>
      </c>
    </row>
    <row r="2153" hidden="1">
      <c r="A2153" s="8" t="s">
        <v>1789</v>
      </c>
      <c r="B2153" s="8" t="s">
        <v>1789</v>
      </c>
      <c r="C2153" s="13">
        <v>45958.35815972222</v>
      </c>
      <c r="D2153" s="2" t="s">
        <v>1183</v>
      </c>
      <c r="E2153" s="2" t="s">
        <v>1184</v>
      </c>
      <c r="F2153" s="14" t="s">
        <v>3486</v>
      </c>
      <c r="G2153" s="14" t="s">
        <v>3487</v>
      </c>
      <c r="H2153" s="2" t="s">
        <v>16</v>
      </c>
      <c r="I2153" s="2" t="s">
        <v>3488</v>
      </c>
      <c r="J2153" s="2">
        <v>3.0</v>
      </c>
      <c r="K2153" s="23" t="s">
        <v>5061</v>
      </c>
      <c r="L2153" s="11">
        <v>70000.0</v>
      </c>
    </row>
    <row r="2154">
      <c r="A2154" s="8" t="s">
        <v>1790</v>
      </c>
      <c r="B2154" s="8" t="s">
        <v>1790</v>
      </c>
      <c r="C2154" s="13">
        <v>45958.36167824074</v>
      </c>
      <c r="D2154" s="2" t="s">
        <v>45</v>
      </c>
      <c r="E2154" s="2" t="s">
        <v>46</v>
      </c>
      <c r="F2154" s="14" t="s">
        <v>3522</v>
      </c>
      <c r="G2154" s="14" t="s">
        <v>3523</v>
      </c>
      <c r="H2154" s="2" t="s">
        <v>16</v>
      </c>
      <c r="I2154" s="2" t="s">
        <v>3488</v>
      </c>
      <c r="J2154" s="2">
        <v>8.0</v>
      </c>
      <c r="K2154" s="23" t="s">
        <v>5062</v>
      </c>
      <c r="L2154" s="11">
        <v>185000.0</v>
      </c>
    </row>
    <row r="2155" hidden="1">
      <c r="A2155" s="1"/>
      <c r="B2155" s="1"/>
      <c r="C2155" s="13"/>
      <c r="D2155" s="2"/>
      <c r="E2155" s="2"/>
      <c r="F2155" s="14"/>
      <c r="G2155" s="14"/>
      <c r="H2155" s="2"/>
      <c r="I2155" s="2"/>
      <c r="J2155" s="2"/>
      <c r="K2155" s="12"/>
      <c r="L2155" s="11"/>
    </row>
    <row r="2156" hidden="1">
      <c r="A2156" s="1"/>
      <c r="B2156" s="1"/>
      <c r="C2156" s="13"/>
      <c r="D2156" s="2"/>
      <c r="E2156" s="2"/>
      <c r="F2156" s="14"/>
      <c r="G2156" s="14"/>
      <c r="H2156" s="2"/>
      <c r="I2156" s="2"/>
      <c r="J2156" s="2"/>
      <c r="K2156" s="12"/>
      <c r="L2156" s="11"/>
    </row>
    <row r="2157" hidden="1">
      <c r="A2157" s="8" t="s">
        <v>1786</v>
      </c>
      <c r="B2157" s="8" t="s">
        <v>1786</v>
      </c>
      <c r="C2157" s="13">
        <v>45958.354166666664</v>
      </c>
      <c r="D2157" s="2" t="s">
        <v>169</v>
      </c>
      <c r="E2157" s="2" t="s">
        <v>170</v>
      </c>
      <c r="F2157" s="14" t="s">
        <v>4729</v>
      </c>
      <c r="G2157" s="14" t="s">
        <v>4730</v>
      </c>
      <c r="H2157" s="2" t="s">
        <v>16</v>
      </c>
      <c r="I2157" s="2" t="s">
        <v>3488</v>
      </c>
      <c r="J2157" s="2">
        <v>1.0</v>
      </c>
      <c r="K2157" s="12"/>
      <c r="L2157" s="11">
        <v>100000.0</v>
      </c>
    </row>
    <row r="2158" hidden="1">
      <c r="A2158" s="8" t="s">
        <v>1791</v>
      </c>
      <c r="B2158" s="8" t="s">
        <v>1791</v>
      </c>
      <c r="C2158" s="13">
        <v>45958.458125</v>
      </c>
      <c r="D2158" s="2" t="s">
        <v>131</v>
      </c>
      <c r="E2158" s="2" t="s">
        <v>132</v>
      </c>
      <c r="F2158" s="14" t="s">
        <v>3516</v>
      </c>
      <c r="G2158" s="14" t="s">
        <v>3517</v>
      </c>
      <c r="H2158" s="2" t="s">
        <v>16</v>
      </c>
      <c r="I2158" s="2" t="s">
        <v>3488</v>
      </c>
      <c r="J2158" s="2">
        <v>3.0</v>
      </c>
      <c r="K2158" s="23" t="s">
        <v>5063</v>
      </c>
      <c r="L2158" s="11">
        <v>170000.0</v>
      </c>
    </row>
    <row r="2159" hidden="1">
      <c r="A2159" s="8" t="s">
        <v>1791</v>
      </c>
      <c r="B2159" s="8" t="s">
        <v>1791</v>
      </c>
      <c r="C2159" s="13">
        <v>45958.458125</v>
      </c>
      <c r="D2159" s="2" t="s">
        <v>131</v>
      </c>
      <c r="E2159" s="2" t="s">
        <v>132</v>
      </c>
      <c r="F2159" s="14" t="s">
        <v>4203</v>
      </c>
      <c r="G2159" s="14" t="s">
        <v>4204</v>
      </c>
      <c r="H2159" s="2" t="s">
        <v>16</v>
      </c>
      <c r="I2159" s="2" t="s">
        <v>3488</v>
      </c>
      <c r="J2159" s="2">
        <v>6.0</v>
      </c>
      <c r="K2159" s="23" t="s">
        <v>5064</v>
      </c>
      <c r="L2159" s="11">
        <v>60000.0</v>
      </c>
    </row>
    <row r="2160" hidden="1">
      <c r="A2160" s="8" t="s">
        <v>1792</v>
      </c>
      <c r="B2160" s="8" t="s">
        <v>1792</v>
      </c>
      <c r="C2160" s="13">
        <v>45958.47210648148</v>
      </c>
      <c r="D2160" s="2" t="s">
        <v>951</v>
      </c>
      <c r="E2160" s="2" t="s">
        <v>952</v>
      </c>
      <c r="F2160" s="14" t="s">
        <v>3486</v>
      </c>
      <c r="G2160" s="14" t="s">
        <v>3487</v>
      </c>
      <c r="H2160" s="2" t="s">
        <v>16</v>
      </c>
      <c r="I2160" s="2" t="s">
        <v>3488</v>
      </c>
      <c r="J2160" s="2">
        <v>4.0</v>
      </c>
      <c r="K2160" s="23" t="s">
        <v>5065</v>
      </c>
      <c r="L2160" s="11">
        <v>55000.0</v>
      </c>
    </row>
    <row r="2161" hidden="1">
      <c r="A2161" s="8" t="s">
        <v>1793</v>
      </c>
      <c r="B2161" s="8" t="s">
        <v>1793</v>
      </c>
      <c r="C2161" s="13">
        <v>45958.47336805556</v>
      </c>
      <c r="D2161" s="2" t="s">
        <v>309</v>
      </c>
      <c r="E2161" s="2" t="s">
        <v>310</v>
      </c>
      <c r="F2161" s="14" t="s">
        <v>3493</v>
      </c>
      <c r="G2161" s="14" t="s">
        <v>3494</v>
      </c>
      <c r="H2161" s="2" t="s">
        <v>16</v>
      </c>
      <c r="I2161" s="2" t="s">
        <v>3488</v>
      </c>
      <c r="J2161" s="2">
        <v>3.0</v>
      </c>
      <c r="K2161" s="23" t="s">
        <v>4704</v>
      </c>
      <c r="L2161" s="11">
        <v>200000.0</v>
      </c>
    </row>
    <row r="2162" hidden="1">
      <c r="A2162" s="8" t="s">
        <v>1794</v>
      </c>
      <c r="B2162" s="8" t="s">
        <v>1794</v>
      </c>
      <c r="C2162" s="13">
        <v>45958.53486111111</v>
      </c>
      <c r="D2162" s="2" t="s">
        <v>1183</v>
      </c>
      <c r="E2162" s="2" t="s">
        <v>1184</v>
      </c>
      <c r="F2162" s="14" t="s">
        <v>3486</v>
      </c>
      <c r="G2162" s="14" t="s">
        <v>3487</v>
      </c>
      <c r="H2162" s="2" t="s">
        <v>24</v>
      </c>
      <c r="I2162" s="2" t="s">
        <v>3491</v>
      </c>
      <c r="J2162" s="2">
        <v>1.0</v>
      </c>
      <c r="K2162" s="23" t="s">
        <v>5066</v>
      </c>
      <c r="L2162" s="11">
        <v>0.0</v>
      </c>
    </row>
    <row r="2163" hidden="1">
      <c r="A2163" s="8" t="s">
        <v>1794</v>
      </c>
      <c r="B2163" s="8" t="s">
        <v>1794</v>
      </c>
      <c r="C2163" s="13">
        <v>45958.53486111111</v>
      </c>
      <c r="D2163" s="2" t="s">
        <v>1183</v>
      </c>
      <c r="E2163" s="2" t="s">
        <v>1184</v>
      </c>
      <c r="F2163" s="14" t="s">
        <v>4203</v>
      </c>
      <c r="G2163" s="14" t="s">
        <v>4204</v>
      </c>
      <c r="H2163" s="2" t="s">
        <v>24</v>
      </c>
      <c r="I2163" s="2" t="s">
        <v>3491</v>
      </c>
      <c r="J2163" s="2">
        <v>2.0</v>
      </c>
      <c r="K2163" s="23" t="s">
        <v>5067</v>
      </c>
      <c r="L2163" s="11">
        <v>0.0</v>
      </c>
    </row>
    <row r="2164" hidden="1">
      <c r="A2164" s="8" t="s">
        <v>1795</v>
      </c>
      <c r="B2164" s="8" t="s">
        <v>1795</v>
      </c>
      <c r="C2164" s="13">
        <v>45958.536990740744</v>
      </c>
      <c r="D2164" s="2" t="s">
        <v>169</v>
      </c>
      <c r="E2164" s="2" t="s">
        <v>170</v>
      </c>
      <c r="F2164" s="14" t="s">
        <v>3522</v>
      </c>
      <c r="G2164" s="14" t="s">
        <v>3523</v>
      </c>
      <c r="H2164" s="2" t="s">
        <v>24</v>
      </c>
      <c r="I2164" s="2" t="s">
        <v>3491</v>
      </c>
      <c r="J2164" s="2">
        <v>6.0</v>
      </c>
      <c r="K2164" s="23" t="s">
        <v>5068</v>
      </c>
      <c r="L2164" s="11">
        <v>0.0</v>
      </c>
    </row>
    <row r="2165" hidden="1">
      <c r="A2165" s="8" t="s">
        <v>1796</v>
      </c>
      <c r="B2165" s="8" t="s">
        <v>1796</v>
      </c>
      <c r="C2165" s="13">
        <v>45958.537939814814</v>
      </c>
      <c r="D2165" s="2" t="s">
        <v>131</v>
      </c>
      <c r="E2165" s="2" t="s">
        <v>132</v>
      </c>
      <c r="F2165" s="14" t="s">
        <v>3486</v>
      </c>
      <c r="G2165" s="14" t="s">
        <v>3487</v>
      </c>
      <c r="H2165" s="2" t="s">
        <v>24</v>
      </c>
      <c r="I2165" s="2" t="s">
        <v>3491</v>
      </c>
      <c r="J2165" s="2">
        <v>1.0</v>
      </c>
      <c r="K2165" s="23" t="s">
        <v>5069</v>
      </c>
      <c r="L2165" s="11">
        <v>0.0</v>
      </c>
    </row>
    <row r="2166" hidden="1">
      <c r="A2166" s="8" t="s">
        <v>1796</v>
      </c>
      <c r="B2166" s="8" t="s">
        <v>1796</v>
      </c>
      <c r="C2166" s="13">
        <v>45958.537939814814</v>
      </c>
      <c r="D2166" s="2" t="s">
        <v>131</v>
      </c>
      <c r="E2166" s="2" t="s">
        <v>132</v>
      </c>
      <c r="F2166" s="14" t="s">
        <v>3516</v>
      </c>
      <c r="G2166" s="14" t="s">
        <v>3517</v>
      </c>
      <c r="H2166" s="2" t="s">
        <v>24</v>
      </c>
      <c r="I2166" s="2" t="s">
        <v>3491</v>
      </c>
      <c r="J2166" s="2">
        <v>1.0</v>
      </c>
      <c r="K2166" s="23" t="s">
        <v>4636</v>
      </c>
      <c r="L2166" s="11">
        <v>0.0</v>
      </c>
    </row>
    <row r="2167" hidden="1">
      <c r="A2167" s="8" t="s">
        <v>1797</v>
      </c>
      <c r="B2167" s="8" t="s">
        <v>1797</v>
      </c>
      <c r="C2167" s="13">
        <v>45958.553611111114</v>
      </c>
      <c r="D2167" s="2" t="s">
        <v>943</v>
      </c>
      <c r="E2167" s="2" t="s">
        <v>944</v>
      </c>
      <c r="F2167" s="14" t="s">
        <v>3486</v>
      </c>
      <c r="G2167" s="14" t="s">
        <v>3487</v>
      </c>
      <c r="H2167" s="2" t="s">
        <v>24</v>
      </c>
      <c r="I2167" s="2" t="s">
        <v>3491</v>
      </c>
      <c r="J2167" s="2">
        <v>1.0</v>
      </c>
      <c r="K2167" s="23" t="s">
        <v>5070</v>
      </c>
      <c r="L2167" s="11">
        <v>0.0</v>
      </c>
    </row>
    <row r="2168" hidden="1">
      <c r="A2168" s="8" t="s">
        <v>1797</v>
      </c>
      <c r="B2168" s="8" t="s">
        <v>1797</v>
      </c>
      <c r="C2168" s="13">
        <v>45958.553611111114</v>
      </c>
      <c r="D2168" s="2" t="s">
        <v>943</v>
      </c>
      <c r="E2168" s="2" t="s">
        <v>944</v>
      </c>
      <c r="F2168" s="14" t="s">
        <v>3506</v>
      </c>
      <c r="G2168" s="14" t="s">
        <v>3507</v>
      </c>
      <c r="H2168" s="2" t="s">
        <v>24</v>
      </c>
      <c r="I2168" s="2" t="s">
        <v>3491</v>
      </c>
      <c r="J2168" s="2">
        <v>2.0</v>
      </c>
      <c r="K2168" s="12"/>
      <c r="L2168" s="11">
        <v>0.0</v>
      </c>
    </row>
    <row r="2169" hidden="1">
      <c r="A2169" s="8" t="s">
        <v>1797</v>
      </c>
      <c r="B2169" s="8" t="s">
        <v>1797</v>
      </c>
      <c r="C2169" s="13">
        <v>45958.553611111114</v>
      </c>
      <c r="D2169" s="2" t="s">
        <v>943</v>
      </c>
      <c r="E2169" s="2" t="s">
        <v>944</v>
      </c>
      <c r="F2169" s="14" t="s">
        <v>4203</v>
      </c>
      <c r="G2169" s="14" t="s">
        <v>4204</v>
      </c>
      <c r="H2169" s="2" t="s">
        <v>24</v>
      </c>
      <c r="I2169" s="2" t="s">
        <v>3491</v>
      </c>
      <c r="J2169" s="2">
        <v>2.0</v>
      </c>
      <c r="K2169" s="23" t="s">
        <v>5071</v>
      </c>
      <c r="L2169" s="11">
        <v>0.0</v>
      </c>
    </row>
    <row r="2170">
      <c r="A2170" s="8" t="s">
        <v>1798</v>
      </c>
      <c r="B2170" s="8" t="s">
        <v>1798</v>
      </c>
      <c r="C2170" s="13">
        <v>45958.573125</v>
      </c>
      <c r="D2170" s="2" t="s">
        <v>45</v>
      </c>
      <c r="E2170" s="2" t="s">
        <v>46</v>
      </c>
      <c r="F2170" s="14" t="s">
        <v>3486</v>
      </c>
      <c r="G2170" s="14" t="s">
        <v>3487</v>
      </c>
      <c r="H2170" s="2" t="s">
        <v>24</v>
      </c>
      <c r="I2170" s="2" t="s">
        <v>3491</v>
      </c>
      <c r="J2170" s="2">
        <v>2.0</v>
      </c>
      <c r="K2170" s="23" t="s">
        <v>5072</v>
      </c>
      <c r="L2170" s="11">
        <v>0.0</v>
      </c>
    </row>
    <row r="2171">
      <c r="A2171" s="8" t="s">
        <v>1798</v>
      </c>
      <c r="B2171" s="8" t="s">
        <v>1798</v>
      </c>
      <c r="C2171" s="13">
        <v>45958.573125</v>
      </c>
      <c r="D2171" s="2" t="s">
        <v>45</v>
      </c>
      <c r="E2171" s="2" t="s">
        <v>46</v>
      </c>
      <c r="F2171" s="14" t="s">
        <v>4203</v>
      </c>
      <c r="G2171" s="14" t="s">
        <v>4204</v>
      </c>
      <c r="H2171" s="2" t="s">
        <v>24</v>
      </c>
      <c r="I2171" s="2" t="s">
        <v>3491</v>
      </c>
      <c r="J2171" s="2">
        <v>3.0</v>
      </c>
      <c r="K2171" s="23" t="s">
        <v>5073</v>
      </c>
      <c r="L2171" s="11">
        <v>0.0</v>
      </c>
    </row>
    <row r="2172">
      <c r="A2172" s="8" t="s">
        <v>1798</v>
      </c>
      <c r="B2172" s="8" t="s">
        <v>1798</v>
      </c>
      <c r="C2172" s="13">
        <v>45958.573125</v>
      </c>
      <c r="D2172" s="2" t="s">
        <v>45</v>
      </c>
      <c r="E2172" s="2" t="s">
        <v>46</v>
      </c>
      <c r="F2172" s="14" t="s">
        <v>3522</v>
      </c>
      <c r="G2172" s="14" t="s">
        <v>3523</v>
      </c>
      <c r="H2172" s="2" t="s">
        <v>24</v>
      </c>
      <c r="I2172" s="2" t="s">
        <v>3491</v>
      </c>
      <c r="J2172" s="2">
        <v>25.0</v>
      </c>
      <c r="K2172" s="23" t="s">
        <v>5074</v>
      </c>
      <c r="L2172" s="11">
        <v>0.0</v>
      </c>
    </row>
    <row r="2173" hidden="1">
      <c r="A2173" s="8" t="s">
        <v>1799</v>
      </c>
      <c r="B2173" s="8" t="s">
        <v>1799</v>
      </c>
      <c r="C2173" s="13">
        <v>45958.64494212963</v>
      </c>
      <c r="D2173" s="2" t="s">
        <v>326</v>
      </c>
      <c r="E2173" s="2" t="s">
        <v>327</v>
      </c>
      <c r="F2173" s="14" t="s">
        <v>3486</v>
      </c>
      <c r="G2173" s="14" t="s">
        <v>3487</v>
      </c>
      <c r="H2173" s="2" t="s">
        <v>16</v>
      </c>
      <c r="I2173" s="2" t="s">
        <v>3488</v>
      </c>
      <c r="J2173" s="2">
        <v>8.0</v>
      </c>
      <c r="K2173" s="23" t="s">
        <v>5075</v>
      </c>
      <c r="L2173" s="11">
        <v>45000.0</v>
      </c>
    </row>
    <row r="2174" hidden="1">
      <c r="A2174" s="8" t="s">
        <v>1799</v>
      </c>
      <c r="B2174" s="8" t="s">
        <v>1799</v>
      </c>
      <c r="C2174" s="13">
        <v>45958.64494212963</v>
      </c>
      <c r="D2174" s="2" t="s">
        <v>326</v>
      </c>
      <c r="E2174" s="2" t="s">
        <v>327</v>
      </c>
      <c r="F2174" s="14" t="s">
        <v>4203</v>
      </c>
      <c r="G2174" s="14" t="s">
        <v>4204</v>
      </c>
      <c r="H2174" s="2" t="s">
        <v>16</v>
      </c>
      <c r="I2174" s="2" t="s">
        <v>3488</v>
      </c>
      <c r="J2174" s="2">
        <v>7.0</v>
      </c>
      <c r="K2174" s="23" t="s">
        <v>5076</v>
      </c>
      <c r="L2174" s="11">
        <v>45000.0</v>
      </c>
    </row>
    <row r="2175" hidden="1">
      <c r="A2175" s="8" t="s">
        <v>1800</v>
      </c>
      <c r="B2175" s="8" t="s">
        <v>1800</v>
      </c>
      <c r="C2175" s="13">
        <v>45958.68659722222</v>
      </c>
      <c r="D2175" s="2" t="s">
        <v>309</v>
      </c>
      <c r="E2175" s="2" t="s">
        <v>310</v>
      </c>
      <c r="F2175" s="14" t="s">
        <v>3506</v>
      </c>
      <c r="G2175" s="14" t="s">
        <v>3507</v>
      </c>
      <c r="H2175" s="2" t="s">
        <v>24</v>
      </c>
      <c r="I2175" s="2" t="s">
        <v>3491</v>
      </c>
      <c r="J2175" s="2">
        <v>8.0</v>
      </c>
      <c r="K2175" s="23" t="s">
        <v>5077</v>
      </c>
      <c r="L2175" s="11">
        <v>0.0</v>
      </c>
    </row>
    <row r="2176" hidden="1">
      <c r="A2176" s="8" t="s">
        <v>1800</v>
      </c>
      <c r="B2176" s="8" t="s">
        <v>1800</v>
      </c>
      <c r="C2176" s="13">
        <v>45958.68659722222</v>
      </c>
      <c r="D2176" s="2" t="s">
        <v>309</v>
      </c>
      <c r="E2176" s="2" t="s">
        <v>310</v>
      </c>
      <c r="F2176" s="14" t="s">
        <v>3493</v>
      </c>
      <c r="G2176" s="14" t="s">
        <v>3494</v>
      </c>
      <c r="H2176" s="2" t="s">
        <v>24</v>
      </c>
      <c r="I2176" s="2" t="s">
        <v>3491</v>
      </c>
      <c r="J2176" s="2">
        <v>3.0</v>
      </c>
      <c r="K2176" s="23" t="s">
        <v>4704</v>
      </c>
      <c r="L2176" s="11">
        <v>0.0</v>
      </c>
    </row>
    <row r="2177" hidden="1">
      <c r="A2177" s="8" t="s">
        <v>1801</v>
      </c>
      <c r="B2177" s="8" t="s">
        <v>1801</v>
      </c>
      <c r="C2177" s="13">
        <v>45958.687314814815</v>
      </c>
      <c r="D2177" s="2" t="s">
        <v>213</v>
      </c>
      <c r="E2177" s="2" t="s">
        <v>214</v>
      </c>
      <c r="F2177" s="14" t="s">
        <v>3486</v>
      </c>
      <c r="G2177" s="14" t="s">
        <v>3487</v>
      </c>
      <c r="H2177" s="2" t="s">
        <v>24</v>
      </c>
      <c r="I2177" s="2" t="s">
        <v>3491</v>
      </c>
      <c r="J2177" s="2">
        <v>2.0</v>
      </c>
      <c r="K2177" s="23" t="s">
        <v>5078</v>
      </c>
      <c r="L2177" s="11">
        <v>0.0</v>
      </c>
    </row>
    <row r="2178" hidden="1">
      <c r="A2178" s="8" t="s">
        <v>1802</v>
      </c>
      <c r="B2178" s="8" t="s">
        <v>1802</v>
      </c>
      <c r="C2178" s="13">
        <v>45959.4705787037</v>
      </c>
      <c r="D2178" s="2" t="s">
        <v>49</v>
      </c>
      <c r="E2178" s="2" t="s">
        <v>50</v>
      </c>
      <c r="F2178" s="14" t="s">
        <v>3486</v>
      </c>
      <c r="G2178" s="14" t="s">
        <v>3487</v>
      </c>
      <c r="H2178" s="2" t="s">
        <v>24</v>
      </c>
      <c r="I2178" s="2" t="s">
        <v>3491</v>
      </c>
      <c r="J2178" s="2">
        <v>2.0</v>
      </c>
      <c r="K2178" s="23" t="s">
        <v>5079</v>
      </c>
      <c r="L2178" s="11">
        <v>0.0</v>
      </c>
    </row>
    <row r="2179" hidden="1">
      <c r="A2179" s="8" t="s">
        <v>1803</v>
      </c>
      <c r="B2179" s="8" t="s">
        <v>1803</v>
      </c>
      <c r="C2179" s="13">
        <v>45959.47224537037</v>
      </c>
      <c r="D2179" s="2" t="s">
        <v>786</v>
      </c>
      <c r="E2179" s="2" t="s">
        <v>787</v>
      </c>
      <c r="F2179" s="14" t="s">
        <v>3516</v>
      </c>
      <c r="G2179" s="14" t="s">
        <v>3517</v>
      </c>
      <c r="H2179" s="2" t="s">
        <v>16</v>
      </c>
      <c r="I2179" s="2" t="s">
        <v>3488</v>
      </c>
      <c r="J2179" s="2">
        <v>5.0</v>
      </c>
      <c r="K2179" s="23" t="s">
        <v>5080</v>
      </c>
      <c r="L2179" s="11">
        <v>170000.0</v>
      </c>
    </row>
    <row r="2180" hidden="1">
      <c r="A2180" s="8" t="s">
        <v>1803</v>
      </c>
      <c r="B2180" s="8" t="s">
        <v>1803</v>
      </c>
      <c r="C2180" s="13">
        <v>45959.47224537037</v>
      </c>
      <c r="D2180" s="2" t="s">
        <v>786</v>
      </c>
      <c r="E2180" s="2" t="s">
        <v>787</v>
      </c>
      <c r="F2180" s="14" t="s">
        <v>3486</v>
      </c>
      <c r="G2180" s="14" t="s">
        <v>3487</v>
      </c>
      <c r="H2180" s="2" t="s">
        <v>16</v>
      </c>
      <c r="I2180" s="2" t="s">
        <v>3488</v>
      </c>
      <c r="J2180" s="2">
        <v>7.0</v>
      </c>
      <c r="K2180" s="23" t="s">
        <v>5081</v>
      </c>
      <c r="L2180" s="11">
        <v>60000.0</v>
      </c>
    </row>
    <row r="2181" hidden="1">
      <c r="A2181" s="8" t="s">
        <v>1804</v>
      </c>
      <c r="B2181" s="8" t="s">
        <v>1804</v>
      </c>
      <c r="C2181" s="13">
        <v>45959.47523148148</v>
      </c>
      <c r="D2181" s="2" t="s">
        <v>309</v>
      </c>
      <c r="E2181" s="2" t="s">
        <v>310</v>
      </c>
      <c r="F2181" s="14" t="s">
        <v>3506</v>
      </c>
      <c r="G2181" s="14" t="s">
        <v>3507</v>
      </c>
      <c r="H2181" s="2" t="s">
        <v>16</v>
      </c>
      <c r="I2181" s="2" t="s">
        <v>3488</v>
      </c>
      <c r="J2181" s="2">
        <v>8.0</v>
      </c>
      <c r="K2181" s="12"/>
      <c r="L2181" s="11">
        <v>55000.0</v>
      </c>
    </row>
    <row r="2182" hidden="1">
      <c r="A2182" s="8" t="s">
        <v>1805</v>
      </c>
      <c r="B2182" s="8" t="s">
        <v>1805</v>
      </c>
      <c r="C2182" s="13">
        <v>45959.48335648148</v>
      </c>
      <c r="D2182" s="2" t="s">
        <v>326</v>
      </c>
      <c r="E2182" s="2" t="s">
        <v>327</v>
      </c>
      <c r="F2182" s="14" t="s">
        <v>3486</v>
      </c>
      <c r="G2182" s="14" t="s">
        <v>3487</v>
      </c>
      <c r="H2182" s="2" t="s">
        <v>24</v>
      </c>
      <c r="I2182" s="2" t="s">
        <v>3491</v>
      </c>
      <c r="J2182" s="2">
        <v>9.0</v>
      </c>
      <c r="K2182" s="23" t="s">
        <v>5082</v>
      </c>
      <c r="L2182" s="11">
        <v>0.0</v>
      </c>
    </row>
    <row r="2183" hidden="1">
      <c r="A2183" s="8" t="s">
        <v>1806</v>
      </c>
      <c r="B2183" s="8" t="s">
        <v>1806</v>
      </c>
      <c r="C2183" s="13">
        <v>45959.48434027778</v>
      </c>
      <c r="D2183" s="2" t="s">
        <v>1564</v>
      </c>
      <c r="E2183" s="2" t="s">
        <v>1565</v>
      </c>
      <c r="F2183" s="14" t="s">
        <v>4203</v>
      </c>
      <c r="G2183" s="14" t="s">
        <v>4204</v>
      </c>
      <c r="H2183" s="2" t="s">
        <v>24</v>
      </c>
      <c r="I2183" s="2" t="s">
        <v>3491</v>
      </c>
      <c r="J2183" s="2">
        <v>1.0</v>
      </c>
      <c r="K2183" s="23" t="s">
        <v>4945</v>
      </c>
      <c r="L2183" s="11">
        <v>0.0</v>
      </c>
    </row>
    <row r="2184" hidden="1">
      <c r="A2184" s="8" t="s">
        <v>1806</v>
      </c>
      <c r="B2184" s="8" t="s">
        <v>1806</v>
      </c>
      <c r="C2184" s="13">
        <v>45959.48434027778</v>
      </c>
      <c r="D2184" s="2" t="s">
        <v>1564</v>
      </c>
      <c r="E2184" s="2" t="s">
        <v>1565</v>
      </c>
      <c r="F2184" s="14" t="s">
        <v>3493</v>
      </c>
      <c r="G2184" s="14" t="s">
        <v>3494</v>
      </c>
      <c r="H2184" s="2" t="s">
        <v>24</v>
      </c>
      <c r="I2184" s="2" t="s">
        <v>3491</v>
      </c>
      <c r="J2184" s="2">
        <v>1.0</v>
      </c>
      <c r="K2184" s="23" t="s">
        <v>4688</v>
      </c>
      <c r="L2184" s="11">
        <v>0.0</v>
      </c>
    </row>
    <row r="2185" hidden="1">
      <c r="A2185" s="8" t="s">
        <v>1807</v>
      </c>
      <c r="B2185" s="8" t="s">
        <v>1807</v>
      </c>
      <c r="C2185" s="13">
        <v>45959.63114583334</v>
      </c>
      <c r="D2185" s="2" t="s">
        <v>786</v>
      </c>
      <c r="E2185" s="2" t="s">
        <v>787</v>
      </c>
      <c r="F2185" s="14" t="s">
        <v>3516</v>
      </c>
      <c r="G2185" s="14" t="s">
        <v>3517</v>
      </c>
      <c r="H2185" s="2" t="s">
        <v>24</v>
      </c>
      <c r="I2185" s="2" t="s">
        <v>3491</v>
      </c>
      <c r="J2185" s="2">
        <v>4.0</v>
      </c>
      <c r="K2185" s="23" t="s">
        <v>5083</v>
      </c>
      <c r="L2185" s="11">
        <v>0.0</v>
      </c>
    </row>
    <row r="2186" hidden="1">
      <c r="A2186" s="8" t="s">
        <v>1807</v>
      </c>
      <c r="B2186" s="8" t="s">
        <v>1807</v>
      </c>
      <c r="C2186" s="13">
        <v>45959.63114583334</v>
      </c>
      <c r="D2186" s="2" t="s">
        <v>786</v>
      </c>
      <c r="E2186" s="2" t="s">
        <v>787</v>
      </c>
      <c r="F2186" s="14" t="s">
        <v>3486</v>
      </c>
      <c r="G2186" s="14" t="s">
        <v>3487</v>
      </c>
      <c r="H2186" s="2" t="s">
        <v>24</v>
      </c>
      <c r="I2186" s="2" t="s">
        <v>3491</v>
      </c>
      <c r="J2186" s="2">
        <v>6.0</v>
      </c>
      <c r="K2186" s="23" t="s">
        <v>5084</v>
      </c>
      <c r="L2186" s="11">
        <v>0.0</v>
      </c>
    </row>
    <row r="2187" hidden="1">
      <c r="A2187" s="8" t="s">
        <v>1808</v>
      </c>
      <c r="B2187" s="8" t="s">
        <v>1808</v>
      </c>
      <c r="C2187" s="13">
        <v>45960.34097222222</v>
      </c>
      <c r="D2187" s="2" t="s">
        <v>20</v>
      </c>
      <c r="E2187" s="2" t="s">
        <v>21</v>
      </c>
      <c r="F2187" s="14" t="s">
        <v>3486</v>
      </c>
      <c r="G2187" s="14" t="s">
        <v>3487</v>
      </c>
      <c r="H2187" s="2" t="s">
        <v>16</v>
      </c>
      <c r="I2187" s="2" t="s">
        <v>3488</v>
      </c>
      <c r="J2187" s="2">
        <v>10.0</v>
      </c>
      <c r="K2187" s="23" t="s">
        <v>5085</v>
      </c>
      <c r="L2187" s="11">
        <v>60000.0</v>
      </c>
    </row>
    <row r="2188" hidden="1">
      <c r="A2188" s="8" t="s">
        <v>1808</v>
      </c>
      <c r="B2188" s="8" t="s">
        <v>1808</v>
      </c>
      <c r="C2188" s="13">
        <v>45960.34097222222</v>
      </c>
      <c r="D2188" s="2" t="s">
        <v>20</v>
      </c>
      <c r="E2188" s="2" t="s">
        <v>21</v>
      </c>
      <c r="F2188" s="14" t="s">
        <v>3493</v>
      </c>
      <c r="G2188" s="14" t="s">
        <v>3494</v>
      </c>
      <c r="H2188" s="2" t="s">
        <v>16</v>
      </c>
      <c r="I2188" s="2" t="s">
        <v>3488</v>
      </c>
      <c r="J2188" s="2">
        <v>1.0</v>
      </c>
      <c r="K2188" s="23" t="s">
        <v>4688</v>
      </c>
      <c r="L2188" s="11">
        <v>210000.0</v>
      </c>
    </row>
    <row r="2189" hidden="1">
      <c r="A2189" s="8" t="s">
        <v>1809</v>
      </c>
      <c r="B2189" s="8" t="s">
        <v>1809</v>
      </c>
      <c r="C2189" s="13">
        <v>45960.39680555555</v>
      </c>
      <c r="D2189" s="2" t="s">
        <v>1810</v>
      </c>
      <c r="E2189" s="2" t="s">
        <v>1811</v>
      </c>
      <c r="F2189" s="14" t="s">
        <v>4203</v>
      </c>
      <c r="G2189" s="14" t="s">
        <v>4204</v>
      </c>
      <c r="H2189" s="2" t="s">
        <v>16</v>
      </c>
      <c r="I2189" s="2" t="s">
        <v>3488</v>
      </c>
      <c r="J2189" s="2">
        <v>1.0</v>
      </c>
      <c r="K2189" s="23" t="s">
        <v>4945</v>
      </c>
      <c r="L2189" s="11">
        <v>80000.0</v>
      </c>
    </row>
    <row r="2190">
      <c r="A2190" s="8" t="s">
        <v>1813</v>
      </c>
      <c r="B2190" s="8" t="s">
        <v>1813</v>
      </c>
      <c r="C2190" s="13">
        <v>45960.45584490741</v>
      </c>
      <c r="D2190" s="2" t="s">
        <v>45</v>
      </c>
      <c r="E2190" s="2" t="s">
        <v>46</v>
      </c>
      <c r="F2190" s="14" t="s">
        <v>3522</v>
      </c>
      <c r="G2190" s="14" t="s">
        <v>3523</v>
      </c>
      <c r="H2190" s="2" t="s">
        <v>16</v>
      </c>
      <c r="I2190" s="2" t="s">
        <v>3488</v>
      </c>
      <c r="J2190" s="2">
        <v>10.0</v>
      </c>
      <c r="K2190" s="23" t="s">
        <v>5086</v>
      </c>
      <c r="L2190" s="11">
        <v>185000.0</v>
      </c>
    </row>
    <row r="2191">
      <c r="A2191" s="8" t="s">
        <v>1813</v>
      </c>
      <c r="B2191" s="8" t="s">
        <v>1813</v>
      </c>
      <c r="C2191" s="13">
        <v>45960.45584490741</v>
      </c>
      <c r="D2191" s="2" t="s">
        <v>45</v>
      </c>
      <c r="E2191" s="2" t="s">
        <v>46</v>
      </c>
      <c r="F2191" s="14" t="s">
        <v>3493</v>
      </c>
      <c r="G2191" s="14" t="s">
        <v>3494</v>
      </c>
      <c r="H2191" s="2" t="s">
        <v>16</v>
      </c>
      <c r="I2191" s="2" t="s">
        <v>3488</v>
      </c>
      <c r="J2191" s="2">
        <v>5.0</v>
      </c>
      <c r="K2191" s="12"/>
      <c r="L2191" s="11">
        <v>210000.0</v>
      </c>
    </row>
    <row r="2192" hidden="1">
      <c r="A2192" s="8" t="s">
        <v>1814</v>
      </c>
      <c r="B2192" s="8" t="s">
        <v>1814</v>
      </c>
      <c r="C2192" s="13">
        <v>45960.49217592592</v>
      </c>
      <c r="D2192" s="2" t="s">
        <v>685</v>
      </c>
      <c r="E2192" s="2" t="s">
        <v>686</v>
      </c>
      <c r="F2192" s="14" t="s">
        <v>3493</v>
      </c>
      <c r="G2192" s="14" t="s">
        <v>3494</v>
      </c>
      <c r="H2192" s="2" t="s">
        <v>16</v>
      </c>
      <c r="I2192" s="2" t="s">
        <v>3488</v>
      </c>
      <c r="J2192" s="2">
        <v>2.0</v>
      </c>
      <c r="K2192" s="12"/>
      <c r="L2192" s="11">
        <v>189189.19</v>
      </c>
    </row>
    <row r="2193" hidden="1">
      <c r="A2193" s="8" t="s">
        <v>1815</v>
      </c>
      <c r="B2193" s="8" t="s">
        <v>1815</v>
      </c>
      <c r="C2193" s="13">
        <v>45960.51168981481</v>
      </c>
      <c r="D2193" s="2" t="s">
        <v>20</v>
      </c>
      <c r="E2193" s="2" t="s">
        <v>21</v>
      </c>
      <c r="F2193" s="14" t="s">
        <v>3486</v>
      </c>
      <c r="G2193" s="14" t="s">
        <v>3487</v>
      </c>
      <c r="H2193" s="2" t="s">
        <v>24</v>
      </c>
      <c r="I2193" s="2" t="s">
        <v>3491</v>
      </c>
      <c r="J2193" s="2">
        <v>6.0</v>
      </c>
      <c r="K2193" s="23" t="s">
        <v>5087</v>
      </c>
      <c r="L2193" s="11">
        <v>0.0</v>
      </c>
    </row>
    <row r="2194" hidden="1">
      <c r="A2194" s="8" t="s">
        <v>1816</v>
      </c>
      <c r="B2194" s="8" t="s">
        <v>1816</v>
      </c>
      <c r="C2194" s="13">
        <v>45960.5943287037</v>
      </c>
      <c r="D2194" s="2" t="s">
        <v>685</v>
      </c>
      <c r="E2194" s="2" t="s">
        <v>686</v>
      </c>
      <c r="F2194" s="14" t="s">
        <v>3493</v>
      </c>
      <c r="G2194" s="14" t="s">
        <v>3494</v>
      </c>
      <c r="H2194" s="2" t="s">
        <v>24</v>
      </c>
      <c r="I2194" s="2" t="s">
        <v>3491</v>
      </c>
      <c r="J2194" s="2">
        <v>2.0</v>
      </c>
      <c r="K2194" s="12"/>
      <c r="L2194" s="11">
        <v>0.0</v>
      </c>
    </row>
    <row r="2195" hidden="1">
      <c r="A2195" s="8" t="s">
        <v>1817</v>
      </c>
      <c r="B2195" s="8" t="s">
        <v>1817</v>
      </c>
      <c r="C2195" s="13">
        <v>45960.61620370371</v>
      </c>
      <c r="D2195" s="2" t="s">
        <v>464</v>
      </c>
      <c r="E2195" s="2" t="s">
        <v>465</v>
      </c>
      <c r="F2195" s="14" t="s">
        <v>3506</v>
      </c>
      <c r="G2195" s="14" t="s">
        <v>3507</v>
      </c>
      <c r="H2195" s="2" t="s">
        <v>24</v>
      </c>
      <c r="I2195" s="2" t="s">
        <v>3491</v>
      </c>
      <c r="J2195" s="2">
        <v>1.0</v>
      </c>
      <c r="K2195" s="23" t="s">
        <v>4295</v>
      </c>
      <c r="L2195" s="11">
        <v>0.0</v>
      </c>
    </row>
    <row r="2196" hidden="1">
      <c r="A2196" s="8" t="s">
        <v>1817</v>
      </c>
      <c r="B2196" s="8" t="s">
        <v>1817</v>
      </c>
      <c r="C2196" s="13">
        <v>45960.61620370371</v>
      </c>
      <c r="D2196" s="2" t="s">
        <v>464</v>
      </c>
      <c r="E2196" s="2" t="s">
        <v>465</v>
      </c>
      <c r="F2196" s="14" t="s">
        <v>4203</v>
      </c>
      <c r="G2196" s="14" t="s">
        <v>4204</v>
      </c>
      <c r="H2196" s="2" t="s">
        <v>24</v>
      </c>
      <c r="I2196" s="2" t="s">
        <v>3491</v>
      </c>
      <c r="J2196" s="2">
        <v>7.0</v>
      </c>
      <c r="K2196" s="23" t="s">
        <v>5088</v>
      </c>
      <c r="L2196" s="11">
        <v>0.0</v>
      </c>
    </row>
    <row r="2197" hidden="1">
      <c r="A2197" s="8" t="s">
        <v>1818</v>
      </c>
      <c r="B2197" s="8" t="s">
        <v>1818</v>
      </c>
      <c r="C2197" s="13">
        <v>45961.392430555556</v>
      </c>
      <c r="D2197" s="2" t="s">
        <v>943</v>
      </c>
      <c r="E2197" s="2" t="s">
        <v>944</v>
      </c>
      <c r="F2197" s="14" t="s">
        <v>3506</v>
      </c>
      <c r="G2197" s="14" t="s">
        <v>3507</v>
      </c>
      <c r="H2197" s="2" t="s">
        <v>16</v>
      </c>
      <c r="I2197" s="2" t="s">
        <v>3488</v>
      </c>
      <c r="J2197" s="2">
        <v>2.0</v>
      </c>
      <c r="K2197" s="23" t="s">
        <v>4670</v>
      </c>
      <c r="L2197" s="11">
        <v>50000.0</v>
      </c>
    </row>
    <row r="2198" hidden="1">
      <c r="A2198" s="8" t="s">
        <v>1819</v>
      </c>
      <c r="B2198" s="8" t="s">
        <v>1819</v>
      </c>
      <c r="C2198" s="13">
        <v>45961.394594907404</v>
      </c>
      <c r="D2198" s="2" t="s">
        <v>786</v>
      </c>
      <c r="E2198" s="2" t="s">
        <v>787</v>
      </c>
      <c r="F2198" s="14" t="s">
        <v>3516</v>
      </c>
      <c r="G2198" s="14" t="s">
        <v>3517</v>
      </c>
      <c r="H2198" s="2" t="s">
        <v>16</v>
      </c>
      <c r="I2198" s="2" t="s">
        <v>3488</v>
      </c>
      <c r="J2198" s="2">
        <v>5.0</v>
      </c>
      <c r="K2198" s="23" t="s">
        <v>5089</v>
      </c>
      <c r="L2198" s="11">
        <v>170000.0</v>
      </c>
    </row>
    <row r="2199" hidden="1">
      <c r="A2199" s="8" t="s">
        <v>1819</v>
      </c>
      <c r="B2199" s="8" t="s">
        <v>1819</v>
      </c>
      <c r="C2199" s="13">
        <v>45961.394594907404</v>
      </c>
      <c r="D2199" s="2" t="s">
        <v>786</v>
      </c>
      <c r="E2199" s="2" t="s">
        <v>787</v>
      </c>
      <c r="F2199" s="14" t="s">
        <v>3486</v>
      </c>
      <c r="G2199" s="14" t="s">
        <v>3487</v>
      </c>
      <c r="H2199" s="2" t="s">
        <v>16</v>
      </c>
      <c r="I2199" s="2" t="s">
        <v>3488</v>
      </c>
      <c r="J2199" s="2">
        <v>7.0</v>
      </c>
      <c r="K2199" s="23" t="s">
        <v>5090</v>
      </c>
      <c r="L2199" s="11">
        <v>60000.0</v>
      </c>
    </row>
    <row r="2200" hidden="1">
      <c r="A2200" s="8" t="s">
        <v>1820</v>
      </c>
      <c r="B2200" s="8" t="s">
        <v>1820</v>
      </c>
      <c r="C2200" s="13">
        <v>45961.39618055556</v>
      </c>
      <c r="D2200" s="2" t="s">
        <v>464</v>
      </c>
      <c r="E2200" s="2" t="s">
        <v>465</v>
      </c>
      <c r="F2200" s="14" t="s">
        <v>4203</v>
      </c>
      <c r="G2200" s="14" t="s">
        <v>4204</v>
      </c>
      <c r="H2200" s="2" t="s">
        <v>16</v>
      </c>
      <c r="I2200" s="2" t="s">
        <v>3488</v>
      </c>
      <c r="J2200" s="2">
        <v>4.0</v>
      </c>
      <c r="K2200" s="23" t="s">
        <v>5091</v>
      </c>
      <c r="L2200" s="11">
        <v>55000.0</v>
      </c>
    </row>
    <row r="2201" hidden="1">
      <c r="A2201" s="8" t="s">
        <v>1820</v>
      </c>
      <c r="B2201" s="8" t="s">
        <v>1820</v>
      </c>
      <c r="C2201" s="13">
        <v>45961.39618055556</v>
      </c>
      <c r="D2201" s="2" t="s">
        <v>464</v>
      </c>
      <c r="E2201" s="2" t="s">
        <v>465</v>
      </c>
      <c r="F2201" s="14" t="s">
        <v>3506</v>
      </c>
      <c r="G2201" s="14" t="s">
        <v>3507</v>
      </c>
      <c r="H2201" s="2" t="s">
        <v>16</v>
      </c>
      <c r="I2201" s="2" t="s">
        <v>3488</v>
      </c>
      <c r="J2201" s="2">
        <v>1.0</v>
      </c>
      <c r="K2201" s="23" t="s">
        <v>4295</v>
      </c>
      <c r="L2201" s="11">
        <v>55000.0</v>
      </c>
    </row>
    <row r="2202" hidden="1">
      <c r="A2202" s="8" t="s">
        <v>1821</v>
      </c>
      <c r="B2202" s="8" t="s">
        <v>1821</v>
      </c>
      <c r="C2202" s="13">
        <v>45961.489282407405</v>
      </c>
      <c r="D2202" s="2" t="s">
        <v>943</v>
      </c>
      <c r="E2202" s="2" t="s">
        <v>944</v>
      </c>
      <c r="F2202" s="14" t="s">
        <v>4203</v>
      </c>
      <c r="G2202" s="14" t="s">
        <v>4204</v>
      </c>
      <c r="H2202" s="2" t="s">
        <v>24</v>
      </c>
      <c r="I2202" s="2" t="s">
        <v>3491</v>
      </c>
      <c r="J2202" s="2">
        <v>1.0</v>
      </c>
      <c r="K2202" s="23" t="s">
        <v>5092</v>
      </c>
      <c r="L2202" s="11">
        <v>0.0</v>
      </c>
    </row>
    <row r="2203" hidden="1">
      <c r="A2203" s="8" t="s">
        <v>1822</v>
      </c>
      <c r="B2203" s="8" t="s">
        <v>1822</v>
      </c>
      <c r="C2203" s="13">
        <v>45961.61261574074</v>
      </c>
      <c r="D2203" s="2" t="s">
        <v>109</v>
      </c>
      <c r="E2203" s="2" t="s">
        <v>110</v>
      </c>
      <c r="F2203" s="14" t="s">
        <v>3486</v>
      </c>
      <c r="G2203" s="14" t="s">
        <v>3487</v>
      </c>
      <c r="H2203" s="2" t="s">
        <v>16</v>
      </c>
      <c r="I2203" s="2" t="s">
        <v>3488</v>
      </c>
      <c r="J2203" s="2">
        <v>4.0</v>
      </c>
      <c r="K2203" s="23" t="s">
        <v>5093</v>
      </c>
      <c r="L2203" s="11">
        <v>60000.0</v>
      </c>
    </row>
    <row r="2204" hidden="1">
      <c r="A2204" s="8" t="s">
        <v>1823</v>
      </c>
      <c r="B2204" s="8" t="s">
        <v>1823</v>
      </c>
      <c r="C2204" s="13">
        <v>45961.614583333336</v>
      </c>
      <c r="D2204" s="2" t="s">
        <v>786</v>
      </c>
      <c r="E2204" s="2" t="s">
        <v>787</v>
      </c>
      <c r="F2204" s="14" t="s">
        <v>3516</v>
      </c>
      <c r="G2204" s="14" t="s">
        <v>3517</v>
      </c>
      <c r="H2204" s="2" t="s">
        <v>24</v>
      </c>
      <c r="I2204" s="2" t="s">
        <v>3491</v>
      </c>
      <c r="J2204" s="2">
        <v>4.0</v>
      </c>
      <c r="K2204" s="23" t="s">
        <v>5094</v>
      </c>
      <c r="L2204" s="11">
        <v>0.0</v>
      </c>
    </row>
    <row r="2205" hidden="1">
      <c r="A2205" s="1"/>
      <c r="B2205" s="1"/>
      <c r="C2205" s="13"/>
      <c r="D2205" s="2"/>
      <c r="E2205" s="2"/>
      <c r="F2205" s="14"/>
      <c r="G2205" s="14"/>
      <c r="H2205" s="2"/>
      <c r="I2205" s="2"/>
      <c r="J2205" s="2"/>
      <c r="K2205" s="12"/>
      <c r="L2205" s="11"/>
    </row>
    <row r="2206" hidden="1">
      <c r="A2206" s="1"/>
      <c r="B2206" s="1"/>
      <c r="C2206" s="13"/>
      <c r="D2206" s="2"/>
      <c r="E2206" s="2"/>
      <c r="F2206" s="14"/>
      <c r="G2206" s="14"/>
      <c r="H2206" s="2"/>
      <c r="I2206" s="2"/>
      <c r="J2206" s="2"/>
      <c r="K2206" s="12"/>
      <c r="L2206" s="11"/>
    </row>
    <row r="2207" hidden="1">
      <c r="A2207" s="8" t="s">
        <v>1824</v>
      </c>
      <c r="B2207" s="8" t="s">
        <v>1824</v>
      </c>
      <c r="C2207" s="13">
        <v>45962.34027777778</v>
      </c>
      <c r="D2207" s="2" t="s">
        <v>1587</v>
      </c>
      <c r="E2207" s="2" t="s">
        <v>1588</v>
      </c>
      <c r="F2207" s="14" t="s">
        <v>5055</v>
      </c>
      <c r="G2207" s="14" t="s">
        <v>5056</v>
      </c>
      <c r="H2207" s="2" t="s">
        <v>16</v>
      </c>
      <c r="I2207" s="2" t="s">
        <v>3488</v>
      </c>
      <c r="J2207" s="2">
        <v>3.0</v>
      </c>
      <c r="K2207" s="23" t="s">
        <v>4704</v>
      </c>
      <c r="L2207" s="11">
        <v>200000.0</v>
      </c>
    </row>
    <row r="2208" hidden="1">
      <c r="A2208" s="8" t="s">
        <v>1825</v>
      </c>
      <c r="B2208" s="8" t="s">
        <v>1825</v>
      </c>
      <c r="C2208" s="13">
        <v>45961.63905092593</v>
      </c>
      <c r="D2208" s="2" t="s">
        <v>109</v>
      </c>
      <c r="E2208" s="2" t="s">
        <v>110</v>
      </c>
      <c r="F2208" s="14" t="s">
        <v>4203</v>
      </c>
      <c r="G2208" s="14" t="s">
        <v>4204</v>
      </c>
      <c r="H2208" s="2" t="s">
        <v>24</v>
      </c>
      <c r="I2208" s="2" t="s">
        <v>3491</v>
      </c>
      <c r="J2208" s="2">
        <v>1.0</v>
      </c>
      <c r="K2208" s="23" t="s">
        <v>5095</v>
      </c>
      <c r="L2208" s="11">
        <v>0.0</v>
      </c>
    </row>
    <row r="2209" hidden="1">
      <c r="A2209" s="8" t="s">
        <v>1825</v>
      </c>
      <c r="B2209" s="8" t="s">
        <v>1825</v>
      </c>
      <c r="C2209" s="13">
        <v>45961.63905092593</v>
      </c>
      <c r="D2209" s="2" t="s">
        <v>109</v>
      </c>
      <c r="E2209" s="2" t="s">
        <v>110</v>
      </c>
      <c r="F2209" s="14" t="s">
        <v>3486</v>
      </c>
      <c r="G2209" s="14" t="s">
        <v>3487</v>
      </c>
      <c r="H2209" s="2" t="s">
        <v>24</v>
      </c>
      <c r="I2209" s="2" t="s">
        <v>3491</v>
      </c>
      <c r="J2209" s="2">
        <v>1.0</v>
      </c>
      <c r="K2209" s="23" t="s">
        <v>5096</v>
      </c>
      <c r="L2209" s="11">
        <v>0.0</v>
      </c>
    </row>
    <row r="2210" hidden="1">
      <c r="A2210" s="8" t="s">
        <v>1826</v>
      </c>
      <c r="B2210" s="8" t="s">
        <v>1826</v>
      </c>
      <c r="C2210" s="13">
        <v>45962.3696875</v>
      </c>
      <c r="D2210" s="10" t="s">
        <v>1399</v>
      </c>
      <c r="E2210" s="2" t="s">
        <v>1400</v>
      </c>
      <c r="F2210" s="14" t="s">
        <v>3486</v>
      </c>
      <c r="G2210" s="14" t="s">
        <v>3487</v>
      </c>
      <c r="H2210" s="2" t="s">
        <v>16</v>
      </c>
      <c r="I2210" s="2" t="s">
        <v>3488</v>
      </c>
      <c r="J2210" s="2">
        <v>5.0</v>
      </c>
      <c r="K2210" s="23" t="s">
        <v>5097</v>
      </c>
      <c r="L2210" s="11">
        <v>55000.0</v>
      </c>
    </row>
    <row r="2211" hidden="1">
      <c r="A2211" s="8" t="s">
        <v>1827</v>
      </c>
      <c r="B2211" s="8" t="s">
        <v>1827</v>
      </c>
      <c r="C2211" s="13">
        <v>45962.47216435185</v>
      </c>
      <c r="D2211" s="2" t="s">
        <v>951</v>
      </c>
      <c r="E2211" s="2" t="s">
        <v>952</v>
      </c>
      <c r="F2211" s="14" t="s">
        <v>3486</v>
      </c>
      <c r="G2211" s="14" t="s">
        <v>3487</v>
      </c>
      <c r="H2211" s="2" t="s">
        <v>16</v>
      </c>
      <c r="I2211" s="2" t="s">
        <v>3488</v>
      </c>
      <c r="J2211" s="2">
        <v>4.0</v>
      </c>
      <c r="K2211" s="23" t="s">
        <v>5098</v>
      </c>
      <c r="L2211" s="11">
        <v>55000.0</v>
      </c>
    </row>
    <row r="2212" hidden="1">
      <c r="A2212" s="8" t="s">
        <v>1828</v>
      </c>
      <c r="B2212" s="8" t="s">
        <v>1828</v>
      </c>
      <c r="C2212" s="13">
        <v>45962.53811342592</v>
      </c>
      <c r="D2212" s="2" t="s">
        <v>786</v>
      </c>
      <c r="E2212" s="2" t="s">
        <v>787</v>
      </c>
      <c r="F2212" s="14" t="s">
        <v>3486</v>
      </c>
      <c r="G2212" s="14" t="s">
        <v>3487</v>
      </c>
      <c r="H2212" s="2" t="s">
        <v>16</v>
      </c>
      <c r="I2212" s="2" t="s">
        <v>3488</v>
      </c>
      <c r="J2212" s="2">
        <v>5.0</v>
      </c>
      <c r="K2212" s="23" t="s">
        <v>5099</v>
      </c>
      <c r="L2212" s="11">
        <v>60000.0</v>
      </c>
    </row>
    <row r="2213" hidden="1">
      <c r="A2213" s="8" t="s">
        <v>1829</v>
      </c>
      <c r="B2213" s="8" t="s">
        <v>1829</v>
      </c>
      <c r="C2213" s="13">
        <v>45962.604467592595</v>
      </c>
      <c r="D2213" s="2" t="s">
        <v>1830</v>
      </c>
      <c r="E2213" s="2" t="s">
        <v>1831</v>
      </c>
      <c r="F2213" s="14" t="s">
        <v>3486</v>
      </c>
      <c r="G2213" s="14" t="s">
        <v>3487</v>
      </c>
      <c r="H2213" s="2" t="s">
        <v>16</v>
      </c>
      <c r="I2213" s="2" t="s">
        <v>3488</v>
      </c>
      <c r="J2213" s="2">
        <v>10.0</v>
      </c>
      <c r="K2213" s="23" t="s">
        <v>5100</v>
      </c>
      <c r="L2213" s="11">
        <v>55000.0</v>
      </c>
    </row>
    <row r="2214" hidden="1">
      <c r="A2214" s="8" t="s">
        <v>1833</v>
      </c>
      <c r="B2214" s="8" t="s">
        <v>1833</v>
      </c>
      <c r="C2214" s="13">
        <v>45962.60965277778</v>
      </c>
      <c r="D2214" s="2" t="s">
        <v>786</v>
      </c>
      <c r="E2214" s="2" t="s">
        <v>787</v>
      </c>
      <c r="F2214" s="14" t="s">
        <v>3486</v>
      </c>
      <c r="G2214" s="14" t="s">
        <v>3487</v>
      </c>
      <c r="H2214" s="2" t="s">
        <v>24</v>
      </c>
      <c r="I2214" s="2" t="s">
        <v>3491</v>
      </c>
      <c r="J2214" s="2">
        <v>6.0</v>
      </c>
      <c r="K2214" s="23" t="s">
        <v>5101</v>
      </c>
      <c r="L2214" s="11">
        <v>0.0</v>
      </c>
    </row>
    <row r="2215" hidden="1">
      <c r="A2215" s="8" t="s">
        <v>1834</v>
      </c>
      <c r="B2215" s="8" t="s">
        <v>1834</v>
      </c>
      <c r="C2215" s="13">
        <v>45962.69405092593</v>
      </c>
      <c r="D2215" s="2" t="s">
        <v>1303</v>
      </c>
      <c r="E2215" s="2" t="s">
        <v>1304</v>
      </c>
      <c r="F2215" s="14" t="s">
        <v>3910</v>
      </c>
      <c r="G2215" s="14" t="s">
        <v>3911</v>
      </c>
      <c r="H2215" s="2" t="s">
        <v>16</v>
      </c>
      <c r="I2215" s="2" t="s">
        <v>3488</v>
      </c>
      <c r="J2215" s="2">
        <v>1.0</v>
      </c>
      <c r="K2215" s="12"/>
      <c r="L2215" s="11">
        <v>50000.0</v>
      </c>
    </row>
    <row r="2216" hidden="1">
      <c r="A2216" s="1" t="s">
        <v>1835</v>
      </c>
      <c r="B2216" s="1" t="s">
        <v>1835</v>
      </c>
      <c r="C2216" s="13">
        <v>45962.69668981482</v>
      </c>
      <c r="D2216" s="2" t="s">
        <v>1303</v>
      </c>
      <c r="E2216" s="2" t="s">
        <v>1304</v>
      </c>
      <c r="F2216" s="14" t="s">
        <v>3910</v>
      </c>
      <c r="G2216" s="14" t="s">
        <v>3911</v>
      </c>
      <c r="H2216" s="2" t="s">
        <v>24</v>
      </c>
      <c r="I2216" s="2" t="s">
        <v>3491</v>
      </c>
      <c r="J2216" s="2">
        <v>1.0</v>
      </c>
      <c r="K2216" s="12"/>
      <c r="L2216" s="11">
        <v>0.0</v>
      </c>
    </row>
    <row r="2217" hidden="1">
      <c r="A2217" s="1" t="s">
        <v>1835</v>
      </c>
      <c r="B2217" s="1" t="s">
        <v>1835</v>
      </c>
      <c r="C2217" s="13">
        <v>45962.69668981482</v>
      </c>
      <c r="D2217" s="2" t="s">
        <v>1303</v>
      </c>
      <c r="E2217" s="2" t="s">
        <v>1304</v>
      </c>
      <c r="F2217" s="14" t="s">
        <v>3835</v>
      </c>
      <c r="G2217" s="14" t="s">
        <v>3836</v>
      </c>
      <c r="H2217" s="2" t="s">
        <v>24</v>
      </c>
      <c r="I2217" s="2" t="s">
        <v>3491</v>
      </c>
      <c r="J2217" s="2">
        <v>1.0</v>
      </c>
      <c r="K2217" s="23" t="s">
        <v>5102</v>
      </c>
      <c r="L2217" s="11">
        <v>0.0</v>
      </c>
      <c r="N2217" s="2" t="s">
        <v>5103</v>
      </c>
    </row>
    <row r="2218" hidden="1">
      <c r="A2218" s="8" t="s">
        <v>1836</v>
      </c>
      <c r="B2218" s="8" t="s">
        <v>1836</v>
      </c>
      <c r="C2218" s="13">
        <v>45962.71791666667</v>
      </c>
      <c r="D2218" s="2" t="s">
        <v>951</v>
      </c>
      <c r="E2218" s="2" t="s">
        <v>952</v>
      </c>
      <c r="F2218" s="14" t="s">
        <v>3486</v>
      </c>
      <c r="G2218" s="14" t="s">
        <v>3487</v>
      </c>
      <c r="H2218" s="2" t="s">
        <v>24</v>
      </c>
      <c r="I2218" s="2" t="s">
        <v>3491</v>
      </c>
      <c r="J2218" s="2">
        <v>6.0</v>
      </c>
      <c r="K2218" s="23" t="s">
        <v>5104</v>
      </c>
      <c r="L2218" s="11">
        <v>0.0</v>
      </c>
    </row>
    <row r="2219" hidden="1">
      <c r="A2219" s="8" t="s">
        <v>1836</v>
      </c>
      <c r="B2219" s="8" t="s">
        <v>1836</v>
      </c>
      <c r="C2219" s="13">
        <v>45962.71791666667</v>
      </c>
      <c r="D2219" s="2" t="s">
        <v>951</v>
      </c>
      <c r="E2219" s="2" t="s">
        <v>952</v>
      </c>
      <c r="F2219" s="14" t="s">
        <v>3486</v>
      </c>
      <c r="G2219" s="14" t="s">
        <v>3487</v>
      </c>
      <c r="H2219" s="2" t="s">
        <v>24</v>
      </c>
      <c r="I2219" s="2" t="s">
        <v>3491</v>
      </c>
      <c r="J2219" s="2">
        <v>1.0</v>
      </c>
      <c r="K2219" s="23" t="s">
        <v>4688</v>
      </c>
      <c r="L2219" s="11">
        <v>0.0</v>
      </c>
    </row>
    <row r="2220" hidden="1">
      <c r="A2220" s="8" t="s">
        <v>1837</v>
      </c>
      <c r="B2220" s="8" t="s">
        <v>1837</v>
      </c>
      <c r="C2220" s="13">
        <v>45964.364270833335</v>
      </c>
      <c r="D2220" s="2" t="s">
        <v>1838</v>
      </c>
      <c r="E2220" s="2" t="s">
        <v>1839</v>
      </c>
      <c r="F2220" s="14" t="s">
        <v>3486</v>
      </c>
      <c r="G2220" s="14" t="s">
        <v>3487</v>
      </c>
      <c r="H2220" s="2" t="s">
        <v>16</v>
      </c>
      <c r="I2220" s="2" t="s">
        <v>3488</v>
      </c>
      <c r="J2220" s="2">
        <v>1.0</v>
      </c>
      <c r="K2220" s="23" t="s">
        <v>4688</v>
      </c>
      <c r="L2220" s="11">
        <v>80000.0</v>
      </c>
    </row>
    <row r="2221" hidden="1">
      <c r="A2221" s="8" t="s">
        <v>1841</v>
      </c>
      <c r="B2221" s="8" t="s">
        <v>1841</v>
      </c>
      <c r="C2221" s="13">
        <v>45964.368796296294</v>
      </c>
      <c r="D2221" s="2" t="s">
        <v>169</v>
      </c>
      <c r="E2221" s="2" t="s">
        <v>170</v>
      </c>
      <c r="F2221" s="14" t="s">
        <v>3522</v>
      </c>
      <c r="G2221" s="14" t="s">
        <v>3523</v>
      </c>
      <c r="H2221" s="2" t="s">
        <v>16</v>
      </c>
      <c r="I2221" s="2" t="s">
        <v>3488</v>
      </c>
      <c r="J2221" s="2">
        <v>2.0</v>
      </c>
      <c r="K2221" s="23" t="s">
        <v>5105</v>
      </c>
      <c r="L2221" s="11">
        <v>195000.0</v>
      </c>
    </row>
    <row r="2222" hidden="1">
      <c r="A2222" s="1"/>
      <c r="B2222" s="1"/>
      <c r="C2222" s="13"/>
      <c r="D2222" s="2"/>
      <c r="E2222" s="2"/>
      <c r="F2222" s="14"/>
      <c r="G2222" s="14"/>
      <c r="H2222" s="2"/>
      <c r="I2222" s="2"/>
      <c r="J2222" s="2"/>
      <c r="K2222" s="12"/>
      <c r="L2222" s="11"/>
    </row>
    <row r="2223" hidden="1">
      <c r="A2223" s="8" t="s">
        <v>1842</v>
      </c>
      <c r="B2223" s="8" t="s">
        <v>1842</v>
      </c>
      <c r="C2223" s="13">
        <v>45964.375972222224</v>
      </c>
      <c r="D2223" s="2" t="s">
        <v>786</v>
      </c>
      <c r="E2223" s="2" t="s">
        <v>787</v>
      </c>
      <c r="F2223" s="14" t="s">
        <v>3486</v>
      </c>
      <c r="G2223" s="14" t="s">
        <v>3487</v>
      </c>
      <c r="H2223" s="2" t="s">
        <v>16</v>
      </c>
      <c r="I2223" s="2" t="s">
        <v>3488</v>
      </c>
      <c r="J2223" s="2">
        <v>6.0</v>
      </c>
      <c r="K2223" s="23" t="s">
        <v>5106</v>
      </c>
      <c r="L2223" s="11">
        <v>60000.0</v>
      </c>
    </row>
    <row r="2224" hidden="1">
      <c r="A2224" s="8" t="s">
        <v>1842</v>
      </c>
      <c r="B2224" s="8" t="s">
        <v>1842</v>
      </c>
      <c r="C2224" s="13">
        <v>45964.375972222224</v>
      </c>
      <c r="D2224" s="2" t="s">
        <v>786</v>
      </c>
      <c r="E2224" s="2" t="s">
        <v>787</v>
      </c>
      <c r="F2224" s="14" t="s">
        <v>3516</v>
      </c>
      <c r="G2224" s="14" t="s">
        <v>3517</v>
      </c>
      <c r="H2224" s="2" t="s">
        <v>16</v>
      </c>
      <c r="I2224" s="2" t="s">
        <v>3488</v>
      </c>
      <c r="J2224" s="2">
        <v>2.0</v>
      </c>
      <c r="K2224" s="23" t="s">
        <v>5107</v>
      </c>
      <c r="L2224" s="11">
        <v>170000.0</v>
      </c>
    </row>
    <row r="2225" hidden="1">
      <c r="A2225" s="8" t="s">
        <v>1823</v>
      </c>
      <c r="B2225" s="8" t="s">
        <v>1823</v>
      </c>
      <c r="C2225" s="13">
        <v>45961.614583333336</v>
      </c>
      <c r="D2225" s="2" t="s">
        <v>786</v>
      </c>
      <c r="E2225" s="2" t="s">
        <v>787</v>
      </c>
      <c r="F2225" s="14" t="s">
        <v>3486</v>
      </c>
      <c r="G2225" s="14" t="s">
        <v>3487</v>
      </c>
      <c r="H2225" s="2" t="s">
        <v>24</v>
      </c>
      <c r="I2225" s="2" t="s">
        <v>3491</v>
      </c>
      <c r="J2225" s="2">
        <v>8.0</v>
      </c>
      <c r="K2225" s="23" t="s">
        <v>5108</v>
      </c>
      <c r="L2225" s="11">
        <v>0.0</v>
      </c>
    </row>
    <row r="2226" hidden="1">
      <c r="A2226" s="8" t="s">
        <v>1843</v>
      </c>
      <c r="B2226" s="8" t="s">
        <v>1843</v>
      </c>
      <c r="C2226" s="13">
        <v>45964.537210648145</v>
      </c>
      <c r="D2226" s="2" t="s">
        <v>169</v>
      </c>
      <c r="E2226" s="2" t="s">
        <v>170</v>
      </c>
      <c r="F2226" s="14" t="s">
        <v>3522</v>
      </c>
      <c r="G2226" s="14" t="s">
        <v>3523</v>
      </c>
      <c r="H2226" s="2" t="s">
        <v>24</v>
      </c>
      <c r="I2226" s="2" t="s">
        <v>3491</v>
      </c>
      <c r="J2226" s="2">
        <v>3.0</v>
      </c>
      <c r="K2226" s="23" t="s">
        <v>5109</v>
      </c>
      <c r="L2226" s="11">
        <v>0.0</v>
      </c>
    </row>
    <row r="2227" hidden="1">
      <c r="A2227" s="8" t="s">
        <v>1843</v>
      </c>
      <c r="B2227" s="8" t="s">
        <v>1843</v>
      </c>
      <c r="C2227" s="13">
        <v>45964.537210648145</v>
      </c>
      <c r="D2227" s="2" t="s">
        <v>169</v>
      </c>
      <c r="E2227" s="2" t="s">
        <v>170</v>
      </c>
      <c r="F2227" s="14" t="s">
        <v>3486</v>
      </c>
      <c r="G2227" s="14" t="s">
        <v>3487</v>
      </c>
      <c r="H2227" s="2" t="s">
        <v>24</v>
      </c>
      <c r="I2227" s="2" t="s">
        <v>3491</v>
      </c>
      <c r="J2227" s="2">
        <v>2.0</v>
      </c>
      <c r="K2227" s="23" t="s">
        <v>4891</v>
      </c>
      <c r="L2227" s="11">
        <v>0.0</v>
      </c>
    </row>
    <row r="2228" hidden="1">
      <c r="A2228" s="8" t="s">
        <v>1843</v>
      </c>
      <c r="B2228" s="8" t="s">
        <v>1843</v>
      </c>
      <c r="C2228" s="13">
        <v>45964.537210648145</v>
      </c>
      <c r="D2228" s="2" t="s">
        <v>169</v>
      </c>
      <c r="E2228" s="2" t="s">
        <v>170</v>
      </c>
      <c r="F2228" s="14" t="s">
        <v>3493</v>
      </c>
      <c r="G2228" s="14" t="s">
        <v>3494</v>
      </c>
      <c r="H2228" s="2" t="s">
        <v>24</v>
      </c>
      <c r="I2228" s="2" t="s">
        <v>3491</v>
      </c>
      <c r="J2228" s="2">
        <v>1.0</v>
      </c>
      <c r="K2228" s="23" t="s">
        <v>4688</v>
      </c>
      <c r="L2228" s="11">
        <v>0.0</v>
      </c>
    </row>
    <row r="2229" hidden="1">
      <c r="A2229" s="8" t="s">
        <v>1844</v>
      </c>
      <c r="B2229" s="8" t="s">
        <v>1844</v>
      </c>
      <c r="C2229" s="13">
        <v>45964.60951388889</v>
      </c>
      <c r="D2229" s="2" t="s">
        <v>1756</v>
      </c>
      <c r="E2229" s="2" t="s">
        <v>1757</v>
      </c>
      <c r="F2229" s="14" t="s">
        <v>3486</v>
      </c>
      <c r="G2229" s="14" t="s">
        <v>3487</v>
      </c>
      <c r="H2229" s="2" t="s">
        <v>16</v>
      </c>
      <c r="I2229" s="2" t="s">
        <v>3488</v>
      </c>
      <c r="J2229" s="2">
        <v>5.0</v>
      </c>
      <c r="K2229" s="23" t="s">
        <v>5110</v>
      </c>
      <c r="L2229" s="11">
        <v>65000.0</v>
      </c>
    </row>
    <row r="2230" hidden="1">
      <c r="A2230" s="8" t="s">
        <v>1845</v>
      </c>
      <c r="B2230" s="8" t="s">
        <v>1845</v>
      </c>
      <c r="C2230" s="13">
        <v>45964.612488425926</v>
      </c>
      <c r="D2230" s="2" t="s">
        <v>786</v>
      </c>
      <c r="E2230" s="2" t="s">
        <v>787</v>
      </c>
      <c r="F2230" s="14" t="s">
        <v>3516</v>
      </c>
      <c r="G2230" s="14" t="s">
        <v>3517</v>
      </c>
      <c r="H2230" s="2" t="s">
        <v>24</v>
      </c>
      <c r="I2230" s="2" t="s">
        <v>3491</v>
      </c>
      <c r="J2230" s="2">
        <v>1.0</v>
      </c>
      <c r="K2230" s="23" t="s">
        <v>4700</v>
      </c>
      <c r="L2230" s="11">
        <v>0.0</v>
      </c>
    </row>
    <row r="2231" hidden="1">
      <c r="A2231" s="8" t="s">
        <v>1845</v>
      </c>
      <c r="B2231" s="8" t="s">
        <v>1845</v>
      </c>
      <c r="C2231" s="13">
        <v>45964.612488425926</v>
      </c>
      <c r="D2231" s="2" t="s">
        <v>786</v>
      </c>
      <c r="E2231" s="2" t="s">
        <v>787</v>
      </c>
      <c r="F2231" s="14" t="s">
        <v>3486</v>
      </c>
      <c r="G2231" s="14" t="s">
        <v>3487</v>
      </c>
      <c r="H2231" s="2" t="s">
        <v>24</v>
      </c>
      <c r="I2231" s="2" t="s">
        <v>3491</v>
      </c>
      <c r="J2231" s="2">
        <v>2.0</v>
      </c>
      <c r="K2231" s="23" t="s">
        <v>5111</v>
      </c>
      <c r="L2231" s="11">
        <v>0.0</v>
      </c>
    </row>
    <row r="2232" hidden="1">
      <c r="A2232" s="8" t="s">
        <v>1846</v>
      </c>
      <c r="B2232" s="8" t="s">
        <v>1846</v>
      </c>
      <c r="C2232" s="13">
        <v>45964.613900462966</v>
      </c>
      <c r="D2232" s="2" t="s">
        <v>49</v>
      </c>
      <c r="E2232" s="2" t="s">
        <v>50</v>
      </c>
      <c r="F2232" s="14" t="s">
        <v>3486</v>
      </c>
      <c r="G2232" s="14" t="s">
        <v>3487</v>
      </c>
      <c r="H2232" s="2" t="s">
        <v>24</v>
      </c>
      <c r="I2232" s="2" t="s">
        <v>3491</v>
      </c>
      <c r="J2232" s="2">
        <v>4.0</v>
      </c>
      <c r="K2232" s="23" t="s">
        <v>5112</v>
      </c>
      <c r="L2232" s="11">
        <v>0.0</v>
      </c>
    </row>
    <row r="2233" hidden="1">
      <c r="A2233" s="8" t="s">
        <v>1847</v>
      </c>
      <c r="B2233" s="8" t="s">
        <v>1847</v>
      </c>
      <c r="C2233" s="13">
        <v>45964.61487268518</v>
      </c>
      <c r="D2233" s="2" t="s">
        <v>20</v>
      </c>
      <c r="E2233" s="2" t="s">
        <v>21</v>
      </c>
      <c r="F2233" s="14" t="s">
        <v>3486</v>
      </c>
      <c r="G2233" s="14" t="s">
        <v>3487</v>
      </c>
      <c r="H2233" s="2" t="s">
        <v>24</v>
      </c>
      <c r="I2233" s="2" t="s">
        <v>3491</v>
      </c>
      <c r="J2233" s="2">
        <v>9.0</v>
      </c>
      <c r="K2233" s="23" t="s">
        <v>5113</v>
      </c>
      <c r="L2233" s="11">
        <v>0.0</v>
      </c>
    </row>
    <row r="2234" hidden="1">
      <c r="A2234" s="1"/>
      <c r="B2234" s="1"/>
      <c r="C2234" s="13"/>
      <c r="D2234" s="2"/>
      <c r="E2234" s="2"/>
      <c r="F2234" s="14"/>
      <c r="G2234" s="14"/>
      <c r="H2234" s="2"/>
      <c r="I2234" s="2"/>
      <c r="J2234" s="2"/>
      <c r="K2234" s="12"/>
      <c r="L2234" s="11"/>
    </row>
    <row r="2235" hidden="1">
      <c r="A2235" s="1"/>
      <c r="B2235" s="1"/>
      <c r="C2235" s="13"/>
      <c r="D2235" s="2"/>
      <c r="E2235" s="2"/>
      <c r="F2235" s="14"/>
      <c r="G2235" s="14"/>
      <c r="H2235" s="2"/>
      <c r="I2235" s="2"/>
      <c r="J2235" s="2"/>
      <c r="K2235" s="12"/>
      <c r="L2235" s="11"/>
    </row>
    <row r="2236" hidden="1">
      <c r="A2236" s="1"/>
      <c r="B2236" s="1"/>
      <c r="C2236" s="13"/>
      <c r="D2236" s="2"/>
      <c r="E2236" s="2"/>
      <c r="F2236" s="14"/>
      <c r="G2236" s="14"/>
      <c r="H2236" s="2"/>
      <c r="I2236" s="2"/>
      <c r="J2236" s="2"/>
      <c r="K2236" s="12"/>
      <c r="L2236" s="11"/>
    </row>
    <row r="2237" hidden="1">
      <c r="A2237" s="8" t="s">
        <v>1848</v>
      </c>
      <c r="B2237" s="8" t="s">
        <v>1848</v>
      </c>
      <c r="C2237" s="13">
        <v>45964.678622685184</v>
      </c>
      <c r="D2237" s="2" t="s">
        <v>1756</v>
      </c>
      <c r="E2237" s="2" t="s">
        <v>1757</v>
      </c>
      <c r="F2237" s="14" t="s">
        <v>4203</v>
      </c>
      <c r="G2237" s="14" t="s">
        <v>4204</v>
      </c>
      <c r="H2237" s="2" t="s">
        <v>24</v>
      </c>
      <c r="I2237" s="2" t="s">
        <v>3491</v>
      </c>
      <c r="J2237" s="2">
        <v>1.0</v>
      </c>
      <c r="K2237" s="23" t="s">
        <v>3849</v>
      </c>
      <c r="L2237" s="11">
        <v>0.0</v>
      </c>
    </row>
    <row r="2238">
      <c r="A2238" s="8" t="s">
        <v>1849</v>
      </c>
      <c r="B2238" s="8" t="s">
        <v>1849</v>
      </c>
      <c r="C2238" s="13">
        <v>45965.34722222222</v>
      </c>
      <c r="D2238" s="2" t="s">
        <v>45</v>
      </c>
      <c r="E2238" s="2" t="s">
        <v>46</v>
      </c>
      <c r="F2238" s="14" t="s">
        <v>3522</v>
      </c>
      <c r="G2238" s="14" t="s">
        <v>3523</v>
      </c>
      <c r="H2238" s="2" t="s">
        <v>16</v>
      </c>
      <c r="I2238" s="2" t="s">
        <v>3488</v>
      </c>
      <c r="J2238" s="2">
        <v>10.0</v>
      </c>
      <c r="K2238" s="23" t="s">
        <v>5114</v>
      </c>
      <c r="L2238" s="11">
        <v>185000.0</v>
      </c>
    </row>
    <row r="2239" hidden="1">
      <c r="A2239" s="8" t="s">
        <v>1850</v>
      </c>
      <c r="B2239" s="8" t="s">
        <v>1850</v>
      </c>
      <c r="C2239" s="13">
        <v>45965.35335648148</v>
      </c>
      <c r="D2239" s="2" t="s">
        <v>1183</v>
      </c>
      <c r="E2239" s="2" t="s">
        <v>1184</v>
      </c>
      <c r="F2239" s="14" t="s">
        <v>3486</v>
      </c>
      <c r="G2239" s="14" t="s">
        <v>3487</v>
      </c>
      <c r="H2239" s="2" t="s">
        <v>16</v>
      </c>
      <c r="I2239" s="2" t="s">
        <v>3488</v>
      </c>
      <c r="J2239" s="2">
        <v>4.0</v>
      </c>
      <c r="K2239" s="23" t="s">
        <v>5115</v>
      </c>
      <c r="L2239" s="11">
        <v>70000.0</v>
      </c>
    </row>
    <row r="2240" hidden="1">
      <c r="A2240" s="8" t="s">
        <v>1851</v>
      </c>
      <c r="B2240" s="8" t="s">
        <v>1851</v>
      </c>
      <c r="C2240" s="13">
        <v>45965.35533564815</v>
      </c>
      <c r="D2240" s="2" t="s">
        <v>55</v>
      </c>
      <c r="E2240" s="2" t="s">
        <v>56</v>
      </c>
      <c r="F2240" s="14" t="s">
        <v>3486</v>
      </c>
      <c r="G2240" s="14" t="s">
        <v>3487</v>
      </c>
      <c r="H2240" s="2" t="s">
        <v>16</v>
      </c>
      <c r="I2240" s="2" t="s">
        <v>3488</v>
      </c>
      <c r="J2240" s="2">
        <v>3.0</v>
      </c>
      <c r="K2240" s="23" t="s">
        <v>5116</v>
      </c>
      <c r="L2240" s="11">
        <v>60000.0</v>
      </c>
    </row>
    <row r="2241" hidden="1">
      <c r="A2241" s="8" t="s">
        <v>1852</v>
      </c>
      <c r="B2241" s="8" t="s">
        <v>1852</v>
      </c>
      <c r="C2241" s="13">
        <v>45965.37299768518</v>
      </c>
      <c r="D2241" s="2" t="s">
        <v>1613</v>
      </c>
      <c r="E2241" s="2" t="s">
        <v>1614</v>
      </c>
      <c r="F2241" s="14" t="s">
        <v>4203</v>
      </c>
      <c r="G2241" s="14" t="s">
        <v>4204</v>
      </c>
      <c r="H2241" s="2" t="s">
        <v>16</v>
      </c>
      <c r="I2241" s="2" t="s">
        <v>3488</v>
      </c>
      <c r="J2241" s="2">
        <v>2.0</v>
      </c>
      <c r="K2241" s="23" t="s">
        <v>5117</v>
      </c>
      <c r="L2241" s="11">
        <v>65000.0</v>
      </c>
    </row>
    <row r="2242" hidden="1">
      <c r="A2242" s="8" t="s">
        <v>1853</v>
      </c>
      <c r="B2242" s="8" t="s">
        <v>1853</v>
      </c>
      <c r="C2242" s="13">
        <v>45965.37328703704</v>
      </c>
      <c r="D2242" s="2" t="s">
        <v>1830</v>
      </c>
      <c r="E2242" s="2" t="s">
        <v>1831</v>
      </c>
      <c r="F2242" s="14" t="s">
        <v>3486</v>
      </c>
      <c r="G2242" s="14" t="s">
        <v>3487</v>
      </c>
      <c r="H2242" s="2" t="s">
        <v>16</v>
      </c>
      <c r="I2242" s="2" t="s">
        <v>3488</v>
      </c>
      <c r="J2242" s="2">
        <v>10.0</v>
      </c>
      <c r="K2242" s="23" t="s">
        <v>5118</v>
      </c>
      <c r="L2242" s="11">
        <v>55000.0</v>
      </c>
    </row>
    <row r="2243" hidden="1">
      <c r="A2243" s="8" t="s">
        <v>1853</v>
      </c>
      <c r="B2243" s="8" t="s">
        <v>1853</v>
      </c>
      <c r="C2243" s="13">
        <v>45965.37328703704</v>
      </c>
      <c r="D2243" s="2" t="s">
        <v>1830</v>
      </c>
      <c r="E2243" s="2" t="s">
        <v>1831</v>
      </c>
      <c r="F2243" s="14" t="s">
        <v>4729</v>
      </c>
      <c r="G2243" s="14" t="s">
        <v>4730</v>
      </c>
      <c r="H2243" s="2" t="s">
        <v>16</v>
      </c>
      <c r="I2243" s="2" t="s">
        <v>3488</v>
      </c>
      <c r="J2243" s="2">
        <v>1.0</v>
      </c>
      <c r="K2243" s="12"/>
      <c r="L2243" s="11">
        <v>50000.0</v>
      </c>
    </row>
    <row r="2244" hidden="1">
      <c r="A2244" s="8" t="s">
        <v>1854</v>
      </c>
      <c r="B2244" s="8" t="s">
        <v>1854</v>
      </c>
      <c r="C2244" s="13">
        <v>45965.405023148145</v>
      </c>
      <c r="D2244" s="2" t="s">
        <v>1183</v>
      </c>
      <c r="E2244" s="2" t="s">
        <v>1184</v>
      </c>
      <c r="F2244" s="14" t="s">
        <v>3486</v>
      </c>
      <c r="G2244" s="14" t="s">
        <v>3487</v>
      </c>
      <c r="H2244" s="2" t="s">
        <v>24</v>
      </c>
      <c r="I2244" s="2" t="s">
        <v>3491</v>
      </c>
      <c r="J2244" s="2">
        <v>3.0</v>
      </c>
      <c r="K2244" s="23" t="s">
        <v>5119</v>
      </c>
      <c r="L2244" s="11">
        <v>0.0</v>
      </c>
    </row>
    <row r="2245" hidden="1">
      <c r="A2245" s="8" t="s">
        <v>1855</v>
      </c>
      <c r="B2245" s="8" t="s">
        <v>1855</v>
      </c>
      <c r="C2245" s="13">
        <v>45965.40625</v>
      </c>
      <c r="D2245" s="2" t="s">
        <v>55</v>
      </c>
      <c r="E2245" s="2" t="s">
        <v>56</v>
      </c>
      <c r="F2245" s="14" t="s">
        <v>3486</v>
      </c>
      <c r="G2245" s="14" t="s">
        <v>3487</v>
      </c>
      <c r="H2245" s="2" t="s">
        <v>24</v>
      </c>
      <c r="I2245" s="2" t="s">
        <v>3491</v>
      </c>
      <c r="J2245" s="2">
        <v>1.0</v>
      </c>
      <c r="K2245" s="23" t="s">
        <v>5120</v>
      </c>
      <c r="L2245" s="11">
        <v>0.0</v>
      </c>
    </row>
    <row r="2246">
      <c r="A2246" s="8" t="s">
        <v>1856</v>
      </c>
      <c r="B2246" s="8" t="s">
        <v>1856</v>
      </c>
      <c r="C2246" s="13">
        <v>45965.434652777774</v>
      </c>
      <c r="D2246" s="2" t="s">
        <v>45</v>
      </c>
      <c r="E2246" s="2" t="s">
        <v>46</v>
      </c>
      <c r="F2246" s="14" t="s">
        <v>3486</v>
      </c>
      <c r="G2246" s="14" t="s">
        <v>3487</v>
      </c>
      <c r="H2246" s="2" t="s">
        <v>24</v>
      </c>
      <c r="I2246" s="2" t="s">
        <v>3491</v>
      </c>
      <c r="J2246" s="2">
        <v>4.0</v>
      </c>
      <c r="K2246" s="23" t="s">
        <v>5121</v>
      </c>
      <c r="L2246" s="11">
        <v>0.0</v>
      </c>
    </row>
    <row r="2247">
      <c r="A2247" s="8" t="s">
        <v>1856</v>
      </c>
      <c r="B2247" s="8" t="s">
        <v>1856</v>
      </c>
      <c r="C2247" s="13">
        <v>45965.434652777774</v>
      </c>
      <c r="D2247" s="2" t="s">
        <v>45</v>
      </c>
      <c r="E2247" s="2" t="s">
        <v>46</v>
      </c>
      <c r="F2247" s="14" t="s">
        <v>3522</v>
      </c>
      <c r="G2247" s="14" t="s">
        <v>3523</v>
      </c>
      <c r="H2247" s="2" t="s">
        <v>24</v>
      </c>
      <c r="I2247" s="2" t="s">
        <v>3491</v>
      </c>
      <c r="J2247" s="2">
        <v>4.0</v>
      </c>
      <c r="K2247" s="23" t="s">
        <v>5122</v>
      </c>
      <c r="L2247" s="11">
        <v>0.0</v>
      </c>
    </row>
    <row r="2248">
      <c r="A2248" s="8" t="s">
        <v>1856</v>
      </c>
      <c r="B2248" s="8" t="s">
        <v>1856</v>
      </c>
      <c r="C2248" s="13">
        <v>45965.434652777774</v>
      </c>
      <c r="D2248" s="2" t="s">
        <v>45</v>
      </c>
      <c r="E2248" s="2" t="s">
        <v>46</v>
      </c>
      <c r="F2248" s="14" t="s">
        <v>3516</v>
      </c>
      <c r="G2248" s="14" t="s">
        <v>3517</v>
      </c>
      <c r="H2248" s="2" t="s">
        <v>24</v>
      </c>
      <c r="I2248" s="2" t="s">
        <v>3614</v>
      </c>
      <c r="J2248" s="2">
        <v>2.0</v>
      </c>
      <c r="K2248" s="23" t="s">
        <v>5123</v>
      </c>
      <c r="L2248" s="11">
        <v>0.0</v>
      </c>
    </row>
    <row r="2249">
      <c r="A2249" s="8" t="s">
        <v>1856</v>
      </c>
      <c r="B2249" s="8" t="s">
        <v>1856</v>
      </c>
      <c r="C2249" s="13">
        <v>45965.434652777774</v>
      </c>
      <c r="D2249" s="2" t="s">
        <v>45</v>
      </c>
      <c r="E2249" s="2" t="s">
        <v>46</v>
      </c>
      <c r="F2249" s="14" t="s">
        <v>4203</v>
      </c>
      <c r="G2249" s="14" t="s">
        <v>4204</v>
      </c>
      <c r="H2249" s="2" t="s">
        <v>24</v>
      </c>
      <c r="I2249" s="2" t="s">
        <v>3491</v>
      </c>
      <c r="J2249" s="2">
        <v>3.0</v>
      </c>
      <c r="K2249" s="23" t="s">
        <v>5124</v>
      </c>
      <c r="L2249" s="11">
        <v>0.0</v>
      </c>
    </row>
    <row r="2250" hidden="1">
      <c r="A2250" s="8" t="s">
        <v>1857</v>
      </c>
      <c r="B2250" s="8" t="s">
        <v>1857</v>
      </c>
      <c r="C2250" s="13">
        <v>45965.4384375</v>
      </c>
      <c r="D2250" s="2" t="s">
        <v>1587</v>
      </c>
      <c r="E2250" s="2" t="s">
        <v>1588</v>
      </c>
      <c r="F2250" s="14" t="s">
        <v>3522</v>
      </c>
      <c r="G2250" s="14" t="s">
        <v>3523</v>
      </c>
      <c r="H2250" s="2" t="s">
        <v>24</v>
      </c>
      <c r="I2250" s="2" t="s">
        <v>3614</v>
      </c>
      <c r="J2250" s="2">
        <v>3.0</v>
      </c>
      <c r="K2250" s="23" t="s">
        <v>5125</v>
      </c>
      <c r="L2250" s="11">
        <v>0.0</v>
      </c>
    </row>
    <row r="2251" hidden="1">
      <c r="A2251" s="8" t="s">
        <v>1858</v>
      </c>
      <c r="B2251" s="8" t="s">
        <v>1858</v>
      </c>
      <c r="C2251" s="13">
        <v>45965.44012731482</v>
      </c>
      <c r="D2251" s="2" t="s">
        <v>1618</v>
      </c>
      <c r="E2251" s="2" t="s">
        <v>1619</v>
      </c>
      <c r="F2251" s="14" t="s">
        <v>3516</v>
      </c>
      <c r="G2251" s="14" t="s">
        <v>3517</v>
      </c>
      <c r="H2251" s="2" t="s">
        <v>16</v>
      </c>
      <c r="I2251" s="2" t="s">
        <v>3488</v>
      </c>
      <c r="J2251" s="2">
        <v>5.0</v>
      </c>
      <c r="K2251" s="23" t="s">
        <v>5126</v>
      </c>
      <c r="L2251" s="11">
        <v>180000.0</v>
      </c>
    </row>
    <row r="2252" hidden="1">
      <c r="A2252" s="8" t="s">
        <v>1859</v>
      </c>
      <c r="B2252" s="8" t="s">
        <v>1859</v>
      </c>
      <c r="C2252" s="13">
        <v>45965.44664351852</v>
      </c>
      <c r="D2252" s="2" t="s">
        <v>1613</v>
      </c>
      <c r="E2252" s="2" t="s">
        <v>1614</v>
      </c>
      <c r="F2252" s="14" t="s">
        <v>4203</v>
      </c>
      <c r="G2252" s="14" t="s">
        <v>4204</v>
      </c>
      <c r="H2252" s="2" t="s">
        <v>24</v>
      </c>
      <c r="I2252" s="2" t="s">
        <v>3491</v>
      </c>
      <c r="J2252" s="2">
        <v>1.0</v>
      </c>
      <c r="K2252" s="23" t="s">
        <v>5127</v>
      </c>
      <c r="L2252" s="11">
        <v>0.0</v>
      </c>
    </row>
    <row r="2253" hidden="1">
      <c r="A2253" s="8" t="s">
        <v>1860</v>
      </c>
      <c r="B2253" s="8" t="s">
        <v>1860</v>
      </c>
      <c r="C2253" s="13">
        <v>45965.53481481481</v>
      </c>
      <c r="D2253" s="2" t="s">
        <v>20</v>
      </c>
      <c r="E2253" s="2" t="s">
        <v>21</v>
      </c>
      <c r="F2253" s="14" t="s">
        <v>3493</v>
      </c>
      <c r="G2253" s="14" t="s">
        <v>3494</v>
      </c>
      <c r="H2253" s="2" t="s">
        <v>16</v>
      </c>
      <c r="I2253" s="2" t="s">
        <v>3488</v>
      </c>
      <c r="J2253" s="2">
        <v>1.0</v>
      </c>
      <c r="K2253" s="23" t="s">
        <v>4688</v>
      </c>
      <c r="L2253" s="11">
        <v>210000.0</v>
      </c>
    </row>
    <row r="2254" hidden="1">
      <c r="A2254" s="8" t="s">
        <v>1860</v>
      </c>
      <c r="B2254" s="8" t="s">
        <v>1860</v>
      </c>
      <c r="C2254" s="13">
        <v>45965.53481481481</v>
      </c>
      <c r="D2254" s="2" t="s">
        <v>20</v>
      </c>
      <c r="E2254" s="2" t="s">
        <v>21</v>
      </c>
      <c r="F2254" s="14" t="s">
        <v>3486</v>
      </c>
      <c r="G2254" s="14" t="s">
        <v>3487</v>
      </c>
      <c r="H2254" s="2" t="s">
        <v>16</v>
      </c>
      <c r="I2254" s="2" t="s">
        <v>3488</v>
      </c>
      <c r="J2254" s="2">
        <v>5.0</v>
      </c>
      <c r="K2254" s="23" t="s">
        <v>5128</v>
      </c>
      <c r="L2254" s="11">
        <v>60000.0</v>
      </c>
    </row>
    <row r="2255" hidden="1">
      <c r="A2255" s="8" t="s">
        <v>1861</v>
      </c>
      <c r="B2255" s="8" t="s">
        <v>1861</v>
      </c>
      <c r="C2255" s="13">
        <v>45965.5658912037</v>
      </c>
      <c r="D2255" s="2" t="s">
        <v>1618</v>
      </c>
      <c r="E2255" s="2" t="s">
        <v>1619</v>
      </c>
      <c r="F2255" s="14" t="s">
        <v>3516</v>
      </c>
      <c r="G2255" s="14" t="s">
        <v>3517</v>
      </c>
      <c r="H2255" s="2" t="s">
        <v>24</v>
      </c>
      <c r="I2255" s="2" t="s">
        <v>3491</v>
      </c>
      <c r="J2255" s="2">
        <v>5.0</v>
      </c>
      <c r="K2255" s="23" t="s">
        <v>5129</v>
      </c>
      <c r="L2255" s="11">
        <v>0.0</v>
      </c>
    </row>
    <row r="2256" hidden="1">
      <c r="A2256" s="8" t="s">
        <v>1862</v>
      </c>
      <c r="B2256" s="8" t="s">
        <v>1862</v>
      </c>
      <c r="C2256" s="13">
        <v>45965.64666666667</v>
      </c>
      <c r="D2256" s="2" t="s">
        <v>493</v>
      </c>
      <c r="E2256" s="2" t="s">
        <v>494</v>
      </c>
      <c r="F2256" s="14" t="s">
        <v>3486</v>
      </c>
      <c r="G2256" s="14" t="s">
        <v>3487</v>
      </c>
      <c r="H2256" s="2" t="s">
        <v>24</v>
      </c>
      <c r="I2256" s="2" t="s">
        <v>3491</v>
      </c>
      <c r="J2256" s="2">
        <v>5.0</v>
      </c>
      <c r="K2256" s="23" t="s">
        <v>5130</v>
      </c>
      <c r="L2256" s="11">
        <v>0.0</v>
      </c>
    </row>
    <row r="2257" hidden="1">
      <c r="A2257" s="8" t="s">
        <v>1862</v>
      </c>
      <c r="B2257" s="8" t="s">
        <v>1862</v>
      </c>
      <c r="C2257" s="13">
        <v>45965.64666666667</v>
      </c>
      <c r="D2257" s="2" t="s">
        <v>493</v>
      </c>
      <c r="E2257" s="2" t="s">
        <v>494</v>
      </c>
      <c r="F2257" s="14" t="s">
        <v>3486</v>
      </c>
      <c r="G2257" s="14" t="s">
        <v>3487</v>
      </c>
      <c r="H2257" s="2" t="s">
        <v>24</v>
      </c>
      <c r="I2257" s="2" t="s">
        <v>3614</v>
      </c>
      <c r="J2257" s="2">
        <v>1.0</v>
      </c>
      <c r="K2257" s="23" t="s">
        <v>4480</v>
      </c>
      <c r="L2257" s="11">
        <v>0.0</v>
      </c>
    </row>
    <row r="2258" hidden="1">
      <c r="A2258" s="8" t="s">
        <v>1863</v>
      </c>
      <c r="B2258" s="8" t="s">
        <v>1863</v>
      </c>
      <c r="C2258" s="13">
        <v>45965.65189814815</v>
      </c>
      <c r="D2258" s="2" t="s">
        <v>1830</v>
      </c>
      <c r="E2258" s="2" t="s">
        <v>1831</v>
      </c>
      <c r="F2258" s="14" t="s">
        <v>3486</v>
      </c>
      <c r="G2258" s="14" t="s">
        <v>3487</v>
      </c>
      <c r="H2258" s="2" t="s">
        <v>24</v>
      </c>
      <c r="I2258" s="2" t="s">
        <v>3491</v>
      </c>
      <c r="J2258" s="2">
        <v>9.0</v>
      </c>
      <c r="K2258" s="23" t="s">
        <v>5131</v>
      </c>
      <c r="L2258" s="11">
        <v>0.0</v>
      </c>
    </row>
    <row r="2259" hidden="1">
      <c r="A2259" s="8" t="s">
        <v>1864</v>
      </c>
      <c r="B2259" s="8" t="s">
        <v>1864</v>
      </c>
      <c r="C2259" s="13">
        <v>45965.70097222222</v>
      </c>
      <c r="D2259" s="2" t="s">
        <v>20</v>
      </c>
      <c r="E2259" s="2" t="s">
        <v>21</v>
      </c>
      <c r="F2259" s="14" t="s">
        <v>3486</v>
      </c>
      <c r="G2259" s="14" t="s">
        <v>3487</v>
      </c>
      <c r="H2259" s="2" t="s">
        <v>24</v>
      </c>
      <c r="I2259" s="2" t="s">
        <v>3491</v>
      </c>
      <c r="J2259" s="2">
        <v>3.0</v>
      </c>
      <c r="K2259" s="23" t="s">
        <v>5132</v>
      </c>
      <c r="L2259" s="11">
        <v>0.0</v>
      </c>
    </row>
    <row r="2260" hidden="1">
      <c r="A2260" s="8" t="s">
        <v>1865</v>
      </c>
      <c r="B2260" s="8" t="s">
        <v>1865</v>
      </c>
      <c r="C2260" s="13">
        <v>45966.34071759259</v>
      </c>
      <c r="D2260" s="2" t="s">
        <v>786</v>
      </c>
      <c r="E2260" s="2" t="s">
        <v>787</v>
      </c>
      <c r="F2260" s="14" t="s">
        <v>3516</v>
      </c>
      <c r="G2260" s="14" t="s">
        <v>3517</v>
      </c>
      <c r="H2260" s="2" t="s">
        <v>16</v>
      </c>
      <c r="I2260" s="2" t="s">
        <v>3488</v>
      </c>
      <c r="J2260" s="2">
        <v>3.0</v>
      </c>
      <c r="K2260" s="23" t="s">
        <v>5133</v>
      </c>
      <c r="L2260" s="11">
        <v>170000.0</v>
      </c>
    </row>
    <row r="2261" hidden="1">
      <c r="A2261" s="8" t="s">
        <v>1865</v>
      </c>
      <c r="B2261" s="8" t="s">
        <v>1865</v>
      </c>
      <c r="C2261" s="13">
        <v>45966.34071759259</v>
      </c>
      <c r="D2261" s="2" t="s">
        <v>786</v>
      </c>
      <c r="E2261" s="2" t="s">
        <v>787</v>
      </c>
      <c r="F2261" s="14" t="s">
        <v>3486</v>
      </c>
      <c r="G2261" s="14" t="s">
        <v>3487</v>
      </c>
      <c r="H2261" s="2" t="s">
        <v>16</v>
      </c>
      <c r="I2261" s="2" t="s">
        <v>3488</v>
      </c>
      <c r="J2261" s="2">
        <v>5.0</v>
      </c>
      <c r="K2261" s="23" t="s">
        <v>5134</v>
      </c>
      <c r="L2261" s="11">
        <v>60000.0</v>
      </c>
    </row>
    <row r="2262" hidden="1">
      <c r="A2262" s="8" t="s">
        <v>1866</v>
      </c>
      <c r="B2262" s="8" t="s">
        <v>1866</v>
      </c>
      <c r="C2262" s="13">
        <v>45966.84138888889</v>
      </c>
      <c r="D2262" s="10" t="s">
        <v>1399</v>
      </c>
      <c r="E2262" s="2" t="s">
        <v>1400</v>
      </c>
      <c r="F2262" s="14" t="s">
        <v>3486</v>
      </c>
      <c r="G2262" s="14" t="s">
        <v>3487</v>
      </c>
      <c r="H2262" s="2" t="s">
        <v>16</v>
      </c>
      <c r="I2262" s="2" t="s">
        <v>3488</v>
      </c>
      <c r="J2262" s="2">
        <v>5.0</v>
      </c>
      <c r="K2262" s="23" t="s">
        <v>5135</v>
      </c>
      <c r="L2262" s="11">
        <v>55000.0</v>
      </c>
    </row>
    <row r="2263" hidden="1">
      <c r="A2263" s="8" t="s">
        <v>1867</v>
      </c>
      <c r="B2263" s="8" t="s">
        <v>1867</v>
      </c>
      <c r="C2263" s="13">
        <v>45966.841527777775</v>
      </c>
      <c r="D2263" s="2" t="s">
        <v>1830</v>
      </c>
      <c r="E2263" s="2" t="s">
        <v>1831</v>
      </c>
      <c r="F2263" s="14" t="s">
        <v>3486</v>
      </c>
      <c r="G2263" s="14" t="s">
        <v>3487</v>
      </c>
      <c r="H2263" s="2" t="s">
        <v>16</v>
      </c>
      <c r="I2263" s="2" t="s">
        <v>3488</v>
      </c>
      <c r="J2263" s="2">
        <v>10.0</v>
      </c>
      <c r="K2263" s="23" t="s">
        <v>5136</v>
      </c>
      <c r="L2263" s="11">
        <v>55000.0</v>
      </c>
    </row>
    <row r="2264" hidden="1">
      <c r="A2264" s="8" t="s">
        <v>1867</v>
      </c>
      <c r="B2264" s="8" t="s">
        <v>1867</v>
      </c>
      <c r="C2264" s="13">
        <v>45966.34097222222</v>
      </c>
      <c r="D2264" s="2" t="s">
        <v>1830</v>
      </c>
      <c r="E2264" s="2" t="s">
        <v>1831</v>
      </c>
      <c r="F2264" s="14" t="s">
        <v>4729</v>
      </c>
      <c r="G2264" s="14" t="s">
        <v>4730</v>
      </c>
      <c r="H2264" s="2" t="s">
        <v>16</v>
      </c>
      <c r="I2264" s="2" t="s">
        <v>3488</v>
      </c>
      <c r="J2264" s="2">
        <v>1.0</v>
      </c>
      <c r="K2264" s="23" t="s">
        <v>4688</v>
      </c>
      <c r="L2264" s="11">
        <v>50000.0</v>
      </c>
    </row>
    <row r="2265" hidden="1">
      <c r="A2265" s="8" t="s">
        <v>1868</v>
      </c>
      <c r="B2265" s="8" t="s">
        <v>1868</v>
      </c>
      <c r="C2265" s="13">
        <v>45966.380833333336</v>
      </c>
      <c r="D2265" s="10" t="s">
        <v>1399</v>
      </c>
      <c r="E2265" s="2" t="s">
        <v>1400</v>
      </c>
      <c r="F2265" s="14" t="s">
        <v>3486</v>
      </c>
      <c r="G2265" s="14" t="s">
        <v>3487</v>
      </c>
      <c r="H2265" s="2" t="s">
        <v>24</v>
      </c>
      <c r="I2265" s="2" t="s">
        <v>3491</v>
      </c>
      <c r="J2265" s="2">
        <v>20.0</v>
      </c>
      <c r="K2265" s="23" t="s">
        <v>5137</v>
      </c>
      <c r="L2265" s="11">
        <v>0.0</v>
      </c>
    </row>
    <row r="2266" hidden="1">
      <c r="A2266" s="8" t="s">
        <v>1869</v>
      </c>
      <c r="B2266" s="8" t="s">
        <v>1869</v>
      </c>
      <c r="C2266" s="13">
        <v>45966.43099537037</v>
      </c>
      <c r="D2266" s="2" t="s">
        <v>131</v>
      </c>
      <c r="E2266" s="2" t="s">
        <v>132</v>
      </c>
      <c r="F2266" s="14" t="s">
        <v>4203</v>
      </c>
      <c r="G2266" s="14" t="s">
        <v>4204</v>
      </c>
      <c r="H2266" s="2" t="s">
        <v>16</v>
      </c>
      <c r="I2266" s="2" t="s">
        <v>3488</v>
      </c>
      <c r="J2266" s="2">
        <v>4.0</v>
      </c>
      <c r="K2266" s="23" t="s">
        <v>5138</v>
      </c>
      <c r="L2266" s="11">
        <v>60000.0</v>
      </c>
    </row>
    <row r="2267" hidden="1">
      <c r="A2267" s="8" t="s">
        <v>1869</v>
      </c>
      <c r="B2267" s="8" t="s">
        <v>1869</v>
      </c>
      <c r="C2267" s="13">
        <v>45966.43099537037</v>
      </c>
      <c r="D2267" s="2" t="s">
        <v>131</v>
      </c>
      <c r="E2267" s="2" t="s">
        <v>132</v>
      </c>
      <c r="F2267" s="14" t="s">
        <v>3516</v>
      </c>
      <c r="G2267" s="14" t="s">
        <v>3517</v>
      </c>
      <c r="H2267" s="2" t="s">
        <v>16</v>
      </c>
      <c r="I2267" s="2" t="s">
        <v>3488</v>
      </c>
      <c r="J2267" s="2">
        <v>2.0</v>
      </c>
      <c r="K2267" s="23" t="s">
        <v>5139</v>
      </c>
      <c r="L2267" s="11">
        <v>170000.0</v>
      </c>
    </row>
    <row r="2268" hidden="1">
      <c r="A2268" s="8" t="s">
        <v>1870</v>
      </c>
      <c r="B2268" s="8" t="s">
        <v>1870</v>
      </c>
      <c r="C2268" s="13">
        <v>45966.47116898148</v>
      </c>
      <c r="D2268" s="2" t="s">
        <v>786</v>
      </c>
      <c r="E2268" s="2" t="s">
        <v>787</v>
      </c>
      <c r="F2268" s="14" t="s">
        <v>3516</v>
      </c>
      <c r="G2268" s="14" t="s">
        <v>3517</v>
      </c>
      <c r="H2268" s="2" t="s">
        <v>24</v>
      </c>
      <c r="I2268" s="2" t="s">
        <v>3491</v>
      </c>
      <c r="J2268" s="2">
        <v>5.0</v>
      </c>
      <c r="K2268" s="23" t="s">
        <v>5140</v>
      </c>
      <c r="L2268" s="11">
        <v>0.0</v>
      </c>
    </row>
    <row r="2269" hidden="1">
      <c r="A2269" s="8" t="s">
        <v>1870</v>
      </c>
      <c r="B2269" s="8" t="s">
        <v>1870</v>
      </c>
      <c r="C2269" s="13">
        <v>45966.47116898148</v>
      </c>
      <c r="D2269" s="2" t="s">
        <v>786</v>
      </c>
      <c r="E2269" s="2" t="s">
        <v>787</v>
      </c>
      <c r="F2269" s="14" t="s">
        <v>3486</v>
      </c>
      <c r="G2269" s="14" t="s">
        <v>3487</v>
      </c>
      <c r="H2269" s="2" t="s">
        <v>24</v>
      </c>
      <c r="I2269" s="2" t="s">
        <v>3491</v>
      </c>
      <c r="J2269" s="2">
        <v>9.0</v>
      </c>
      <c r="K2269" s="23" t="s">
        <v>5141</v>
      </c>
      <c r="L2269" s="11">
        <v>0.0</v>
      </c>
    </row>
    <row r="2270" hidden="1">
      <c r="A2270" s="8" t="s">
        <v>1871</v>
      </c>
      <c r="B2270" s="8" t="s">
        <v>1871</v>
      </c>
      <c r="C2270" s="13">
        <v>45966.49491898148</v>
      </c>
      <c r="D2270" s="2" t="s">
        <v>1228</v>
      </c>
      <c r="E2270" s="2" t="s">
        <v>1229</v>
      </c>
      <c r="F2270" s="14" t="s">
        <v>3486</v>
      </c>
      <c r="G2270" s="14" t="s">
        <v>3487</v>
      </c>
      <c r="H2270" s="2" t="s">
        <v>16</v>
      </c>
      <c r="I2270" s="2" t="s">
        <v>3488</v>
      </c>
      <c r="J2270" s="2">
        <v>10.0</v>
      </c>
      <c r="K2270" s="23" t="s">
        <v>5142</v>
      </c>
      <c r="L2270" s="11">
        <v>55000.0</v>
      </c>
    </row>
    <row r="2271" hidden="1">
      <c r="A2271" s="8" t="s">
        <v>1872</v>
      </c>
      <c r="B2271" s="8" t="s">
        <v>1872</v>
      </c>
      <c r="C2271" s="13">
        <v>45966.497152777774</v>
      </c>
      <c r="D2271" s="2" t="s">
        <v>1873</v>
      </c>
      <c r="E2271" s="2" t="s">
        <v>5143</v>
      </c>
      <c r="F2271" s="14" t="s">
        <v>4203</v>
      </c>
      <c r="G2271" s="14" t="s">
        <v>4204</v>
      </c>
      <c r="H2271" s="2" t="s">
        <v>16</v>
      </c>
      <c r="I2271" s="2" t="s">
        <v>3488</v>
      </c>
      <c r="J2271" s="2">
        <v>4.0</v>
      </c>
      <c r="K2271" s="23" t="s">
        <v>5144</v>
      </c>
      <c r="L2271" s="11">
        <v>70000.0</v>
      </c>
    </row>
    <row r="2272" hidden="1">
      <c r="A2272" s="8" t="s">
        <v>1871</v>
      </c>
      <c r="B2272" s="8" t="s">
        <v>1871</v>
      </c>
      <c r="C2272" s="13">
        <v>45966.49491898148</v>
      </c>
      <c r="D2272" s="2" t="s">
        <v>1228</v>
      </c>
      <c r="E2272" s="2" t="s">
        <v>1229</v>
      </c>
      <c r="F2272" s="14" t="s">
        <v>3493</v>
      </c>
      <c r="G2272" s="14" t="s">
        <v>3494</v>
      </c>
      <c r="H2272" s="2" t="s">
        <v>16</v>
      </c>
      <c r="I2272" s="2" t="s">
        <v>3488</v>
      </c>
      <c r="J2272" s="2">
        <v>2.0</v>
      </c>
      <c r="K2272" s="23" t="s">
        <v>4670</v>
      </c>
      <c r="L2272" s="11">
        <v>210000.0</v>
      </c>
    </row>
    <row r="2273" hidden="1">
      <c r="A2273" s="8" t="s">
        <v>1876</v>
      </c>
      <c r="B2273" s="8" t="s">
        <v>1876</v>
      </c>
      <c r="C2273" s="13">
        <v>45966.50678240741</v>
      </c>
      <c r="D2273" s="2" t="s">
        <v>131</v>
      </c>
      <c r="E2273" s="2" t="s">
        <v>132</v>
      </c>
      <c r="F2273" s="14" t="s">
        <v>4203</v>
      </c>
      <c r="G2273" s="14" t="s">
        <v>4204</v>
      </c>
      <c r="H2273" s="2" t="s">
        <v>24</v>
      </c>
      <c r="I2273" s="2" t="s">
        <v>3491</v>
      </c>
      <c r="J2273" s="2">
        <v>4.0</v>
      </c>
      <c r="K2273" s="23" t="s">
        <v>5145</v>
      </c>
      <c r="L2273" s="11">
        <v>0.0</v>
      </c>
    </row>
    <row r="2274" hidden="1">
      <c r="A2274" s="8" t="s">
        <v>1876</v>
      </c>
      <c r="B2274" s="8" t="s">
        <v>1876</v>
      </c>
      <c r="C2274" s="13">
        <v>45966.50678240741</v>
      </c>
      <c r="D2274" s="2" t="s">
        <v>131</v>
      </c>
      <c r="E2274" s="2" t="s">
        <v>132</v>
      </c>
      <c r="F2274" s="14" t="s">
        <v>3516</v>
      </c>
      <c r="G2274" s="14" t="s">
        <v>3517</v>
      </c>
      <c r="H2274" s="2" t="s">
        <v>24</v>
      </c>
      <c r="I2274" s="2" t="s">
        <v>3491</v>
      </c>
      <c r="J2274" s="2">
        <v>3.0</v>
      </c>
      <c r="K2274" s="23" t="s">
        <v>5063</v>
      </c>
      <c r="L2274" s="11">
        <v>0.0</v>
      </c>
    </row>
    <row r="2275" hidden="1">
      <c r="A2275" s="8" t="s">
        <v>1877</v>
      </c>
      <c r="B2275" s="8" t="s">
        <v>1877</v>
      </c>
      <c r="C2275" s="13">
        <v>45961.603472222225</v>
      </c>
      <c r="D2275" s="2" t="s">
        <v>131</v>
      </c>
      <c r="E2275" s="2" t="s">
        <v>132</v>
      </c>
      <c r="F2275" s="14" t="s">
        <v>4203</v>
      </c>
      <c r="G2275" s="14" t="s">
        <v>4204</v>
      </c>
      <c r="H2275" s="2" t="s">
        <v>24</v>
      </c>
      <c r="I2275" s="2" t="s">
        <v>3491</v>
      </c>
      <c r="J2275" s="2">
        <v>1.0</v>
      </c>
      <c r="K2275" s="23" t="s">
        <v>4664</v>
      </c>
      <c r="L2275" s="11">
        <v>0.0</v>
      </c>
    </row>
    <row r="2276" hidden="1">
      <c r="A2276" s="8" t="s">
        <v>1878</v>
      </c>
      <c r="B2276" s="8" t="s">
        <v>1878</v>
      </c>
      <c r="C2276" s="13">
        <v>45966.568761574075</v>
      </c>
      <c r="D2276" s="2" t="s">
        <v>326</v>
      </c>
      <c r="E2276" s="2" t="s">
        <v>327</v>
      </c>
      <c r="F2276" s="14" t="s">
        <v>3486</v>
      </c>
      <c r="G2276" s="14" t="s">
        <v>3487</v>
      </c>
      <c r="H2276" s="2" t="s">
        <v>24</v>
      </c>
      <c r="I2276" s="2" t="s">
        <v>3491</v>
      </c>
      <c r="J2276" s="2">
        <v>4.0</v>
      </c>
      <c r="K2276" s="23" t="s">
        <v>5146</v>
      </c>
      <c r="L2276" s="11">
        <v>0.0</v>
      </c>
    </row>
    <row r="2277" hidden="1">
      <c r="A2277" s="8" t="s">
        <v>1879</v>
      </c>
      <c r="B2277" s="8" t="s">
        <v>1879</v>
      </c>
      <c r="C2277" s="13">
        <v>45966.56951388889</v>
      </c>
      <c r="D2277" s="2" t="s">
        <v>1830</v>
      </c>
      <c r="E2277" s="2" t="s">
        <v>1831</v>
      </c>
      <c r="F2277" s="14" t="s">
        <v>3486</v>
      </c>
      <c r="G2277" s="14" t="s">
        <v>3487</v>
      </c>
      <c r="H2277" s="2" t="s">
        <v>24</v>
      </c>
      <c r="I2277" s="2" t="s">
        <v>3491</v>
      </c>
      <c r="J2277" s="2">
        <v>4.0</v>
      </c>
      <c r="K2277" s="23" t="s">
        <v>5147</v>
      </c>
      <c r="L2277" s="11">
        <v>0.0</v>
      </c>
    </row>
    <row r="2278" hidden="1">
      <c r="A2278" s="8" t="s">
        <v>1880</v>
      </c>
      <c r="B2278" s="8" t="s">
        <v>1880</v>
      </c>
      <c r="C2278" s="13">
        <v>45966.658680555556</v>
      </c>
      <c r="D2278" s="2" t="s">
        <v>131</v>
      </c>
      <c r="E2278" s="2" t="s">
        <v>132</v>
      </c>
      <c r="F2278" s="14" t="s">
        <v>3516</v>
      </c>
      <c r="G2278" s="14" t="s">
        <v>3517</v>
      </c>
      <c r="H2278" s="2" t="s">
        <v>16</v>
      </c>
      <c r="I2278" s="2" t="s">
        <v>3488</v>
      </c>
      <c r="J2278" s="2">
        <v>2.0</v>
      </c>
      <c r="K2278" s="23" t="s">
        <v>5148</v>
      </c>
      <c r="L2278" s="11">
        <v>170000.0</v>
      </c>
    </row>
    <row r="2279" hidden="1">
      <c r="A2279" s="8" t="s">
        <v>1881</v>
      </c>
      <c r="B2279" s="8" t="s">
        <v>1881</v>
      </c>
      <c r="C2279" s="13">
        <v>45966.694560185184</v>
      </c>
      <c r="D2279" s="2" t="s">
        <v>1228</v>
      </c>
      <c r="E2279" s="2" t="s">
        <v>1229</v>
      </c>
      <c r="F2279" s="14" t="s">
        <v>3493</v>
      </c>
      <c r="G2279" s="14" t="s">
        <v>3494</v>
      </c>
      <c r="H2279" s="2" t="s">
        <v>24</v>
      </c>
      <c r="I2279" s="2" t="s">
        <v>3491</v>
      </c>
      <c r="J2279" s="2">
        <v>2.0</v>
      </c>
      <c r="K2279" s="23" t="s">
        <v>4670</v>
      </c>
      <c r="L2279" s="11">
        <v>0.0</v>
      </c>
    </row>
    <row r="2280" hidden="1">
      <c r="A2280" s="8" t="s">
        <v>1881</v>
      </c>
      <c r="B2280" s="8" t="s">
        <v>1881</v>
      </c>
      <c r="C2280" s="13">
        <v>45966.694560185184</v>
      </c>
      <c r="D2280" s="2" t="s">
        <v>1228</v>
      </c>
      <c r="E2280" s="2" t="s">
        <v>1229</v>
      </c>
      <c r="F2280" s="14" t="s">
        <v>3486</v>
      </c>
      <c r="G2280" s="14" t="s">
        <v>3487</v>
      </c>
      <c r="H2280" s="2" t="s">
        <v>24</v>
      </c>
      <c r="I2280" s="2" t="s">
        <v>3491</v>
      </c>
      <c r="J2280" s="2">
        <v>10.0</v>
      </c>
      <c r="K2280" s="23" t="s">
        <v>5149</v>
      </c>
      <c r="L2280" s="11">
        <v>0.0</v>
      </c>
    </row>
    <row r="2281" hidden="1">
      <c r="A2281" s="1"/>
      <c r="B2281" s="1"/>
      <c r="C2281" s="13"/>
      <c r="D2281" s="2"/>
      <c r="E2281" s="2"/>
      <c r="F2281" s="14"/>
      <c r="G2281" s="14"/>
      <c r="H2281" s="2"/>
      <c r="I2281" s="2"/>
      <c r="J2281" s="2"/>
      <c r="K2281" s="12"/>
      <c r="L2281" s="11"/>
    </row>
    <row r="2282" hidden="1">
      <c r="A2282" s="8" t="s">
        <v>1882</v>
      </c>
      <c r="B2282" s="8" t="s">
        <v>1882</v>
      </c>
      <c r="C2282" s="13">
        <v>45966.70618055556</v>
      </c>
      <c r="D2282" s="2" t="s">
        <v>786</v>
      </c>
      <c r="E2282" s="2" t="s">
        <v>787</v>
      </c>
      <c r="F2282" s="14" t="s">
        <v>3516</v>
      </c>
      <c r="G2282" s="14" t="s">
        <v>3517</v>
      </c>
      <c r="H2282" s="2" t="s">
        <v>16</v>
      </c>
      <c r="I2282" s="2" t="s">
        <v>3488</v>
      </c>
      <c r="J2282" s="2">
        <v>2.0</v>
      </c>
      <c r="K2282" s="23" t="s">
        <v>5150</v>
      </c>
      <c r="L2282" s="11">
        <v>170000.0</v>
      </c>
    </row>
    <row r="2283" hidden="1">
      <c r="A2283" s="1"/>
      <c r="B2283" s="1"/>
      <c r="C2283" s="13"/>
      <c r="D2283" s="2"/>
      <c r="E2283" s="2"/>
      <c r="F2283" s="14"/>
      <c r="G2283" s="14"/>
      <c r="H2283" s="2"/>
      <c r="I2283" s="2"/>
      <c r="J2283" s="2"/>
      <c r="K2283" s="12"/>
      <c r="L2283" s="11"/>
    </row>
    <row r="2284" hidden="1">
      <c r="A2284" s="8" t="s">
        <v>1882</v>
      </c>
      <c r="B2284" s="8" t="s">
        <v>1882</v>
      </c>
      <c r="C2284" s="13">
        <v>45966.70618055556</v>
      </c>
      <c r="D2284" s="2" t="s">
        <v>786</v>
      </c>
      <c r="E2284" s="2" t="s">
        <v>787</v>
      </c>
      <c r="F2284" s="14" t="s">
        <v>3486</v>
      </c>
      <c r="G2284" s="14" t="s">
        <v>3487</v>
      </c>
      <c r="H2284" s="2" t="s">
        <v>16</v>
      </c>
      <c r="I2284" s="2" t="s">
        <v>3488</v>
      </c>
      <c r="J2284" s="2">
        <v>6.0</v>
      </c>
      <c r="K2284" s="23" t="s">
        <v>5151</v>
      </c>
      <c r="L2284" s="11">
        <v>60000.0</v>
      </c>
    </row>
    <row r="2285">
      <c r="A2285" s="8" t="s">
        <v>1883</v>
      </c>
      <c r="B2285" s="8" t="s">
        <v>1883</v>
      </c>
      <c r="C2285" s="13">
        <v>45967.34166666667</v>
      </c>
      <c r="D2285" s="2" t="s">
        <v>45</v>
      </c>
      <c r="E2285" s="2" t="s">
        <v>46</v>
      </c>
      <c r="F2285" s="14" t="s">
        <v>3522</v>
      </c>
      <c r="G2285" s="14" t="s">
        <v>3523</v>
      </c>
      <c r="H2285" s="2" t="s">
        <v>16</v>
      </c>
      <c r="I2285" s="2" t="s">
        <v>3488</v>
      </c>
      <c r="J2285" s="2">
        <v>10.0</v>
      </c>
      <c r="K2285" s="23" t="s">
        <v>5152</v>
      </c>
      <c r="L2285" s="11">
        <v>185000.0</v>
      </c>
    </row>
    <row r="2286" hidden="1">
      <c r="A2286" s="8" t="s">
        <v>1884</v>
      </c>
      <c r="B2286" s="8" t="s">
        <v>1884</v>
      </c>
      <c r="C2286" s="13">
        <v>45967.357465277775</v>
      </c>
      <c r="D2286" s="2" t="s">
        <v>943</v>
      </c>
      <c r="E2286" s="2" t="s">
        <v>944</v>
      </c>
      <c r="F2286" s="14" t="s">
        <v>4203</v>
      </c>
      <c r="G2286" s="14" t="s">
        <v>4204</v>
      </c>
      <c r="H2286" s="2" t="s">
        <v>16</v>
      </c>
      <c r="I2286" s="2" t="s">
        <v>3488</v>
      </c>
      <c r="J2286" s="2">
        <v>4.0</v>
      </c>
      <c r="K2286" s="23" t="s">
        <v>5153</v>
      </c>
      <c r="L2286" s="11">
        <v>55000.0</v>
      </c>
    </row>
    <row r="2287" hidden="1">
      <c r="A2287" s="8" t="s">
        <v>1885</v>
      </c>
      <c r="B2287" s="8" t="s">
        <v>1885</v>
      </c>
      <c r="C2287" s="13">
        <v>45967.51391203704</v>
      </c>
      <c r="D2287" s="2" t="s">
        <v>786</v>
      </c>
      <c r="E2287" s="2" t="s">
        <v>787</v>
      </c>
      <c r="F2287" s="14" t="s">
        <v>3516</v>
      </c>
      <c r="G2287" s="14" t="s">
        <v>3517</v>
      </c>
      <c r="H2287" s="2" t="s">
        <v>24</v>
      </c>
      <c r="I2287" s="2" t="s">
        <v>3491</v>
      </c>
      <c r="J2287" s="2">
        <v>3.0</v>
      </c>
      <c r="K2287" s="23" t="s">
        <v>5154</v>
      </c>
      <c r="L2287" s="11">
        <v>0.0</v>
      </c>
    </row>
    <row r="2288" hidden="1">
      <c r="A2288" s="8" t="s">
        <v>1885</v>
      </c>
      <c r="B2288" s="8" t="s">
        <v>1885</v>
      </c>
      <c r="C2288" s="13">
        <v>45967.51391203704</v>
      </c>
      <c r="D2288" s="2" t="s">
        <v>786</v>
      </c>
      <c r="E2288" s="2" t="s">
        <v>787</v>
      </c>
      <c r="F2288" s="14" t="s">
        <v>3486</v>
      </c>
      <c r="G2288" s="14" t="s">
        <v>3487</v>
      </c>
      <c r="H2288" s="2" t="s">
        <v>24</v>
      </c>
      <c r="I2288" s="2" t="s">
        <v>3491</v>
      </c>
      <c r="J2288" s="2">
        <v>4.0</v>
      </c>
      <c r="K2288" s="23" t="s">
        <v>5155</v>
      </c>
      <c r="L2288" s="11">
        <v>0.0</v>
      </c>
    </row>
    <row r="2289" hidden="1">
      <c r="A2289" s="8" t="s">
        <v>1886</v>
      </c>
      <c r="B2289" s="8" t="s">
        <v>1886</v>
      </c>
      <c r="C2289" s="13">
        <v>45967.51675925926</v>
      </c>
      <c r="D2289" s="2" t="s">
        <v>49</v>
      </c>
      <c r="E2289" s="2" t="s">
        <v>50</v>
      </c>
      <c r="F2289" s="14" t="s">
        <v>3486</v>
      </c>
      <c r="G2289" s="14" t="s">
        <v>3487</v>
      </c>
      <c r="H2289" s="2" t="s">
        <v>16</v>
      </c>
      <c r="I2289" s="2" t="s">
        <v>3488</v>
      </c>
      <c r="J2289" s="2">
        <v>5.0</v>
      </c>
      <c r="K2289" s="23" t="s">
        <v>5156</v>
      </c>
      <c r="L2289" s="11">
        <v>60000.0</v>
      </c>
    </row>
    <row r="2290" hidden="1">
      <c r="A2290" s="1"/>
      <c r="B2290" s="1"/>
      <c r="C2290" s="13"/>
      <c r="D2290" s="2"/>
      <c r="E2290" s="2"/>
      <c r="F2290" s="14"/>
      <c r="G2290" s="14"/>
      <c r="H2290" s="2"/>
      <c r="I2290" s="2"/>
      <c r="J2290" s="2"/>
      <c r="K2290" s="12"/>
      <c r="L2290" s="11"/>
    </row>
    <row r="2291" hidden="1">
      <c r="A2291" s="8" t="s">
        <v>1887</v>
      </c>
      <c r="B2291" s="8" t="s">
        <v>1887</v>
      </c>
      <c r="C2291" s="13">
        <v>45967.526504629626</v>
      </c>
      <c r="D2291" s="2" t="s">
        <v>20</v>
      </c>
      <c r="E2291" s="2" t="s">
        <v>21</v>
      </c>
      <c r="F2291" s="14" t="s">
        <v>3486</v>
      </c>
      <c r="G2291" s="14" t="s">
        <v>3487</v>
      </c>
      <c r="H2291" s="2" t="s">
        <v>16</v>
      </c>
      <c r="I2291" s="2" t="s">
        <v>3488</v>
      </c>
      <c r="J2291" s="2">
        <v>5.0</v>
      </c>
      <c r="K2291" s="23" t="s">
        <v>5157</v>
      </c>
      <c r="L2291" s="11">
        <v>60000.0</v>
      </c>
    </row>
    <row r="2292" hidden="1">
      <c r="A2292" s="1"/>
      <c r="B2292" s="1"/>
      <c r="C2292" s="13"/>
      <c r="D2292" s="2"/>
      <c r="E2292" s="2"/>
      <c r="F2292" s="14"/>
      <c r="G2292" s="14"/>
      <c r="H2292" s="2"/>
      <c r="I2292" s="2"/>
      <c r="J2292" s="2"/>
      <c r="K2292" s="12"/>
      <c r="L2292" s="11"/>
    </row>
    <row r="2293" hidden="1">
      <c r="A2293" s="1"/>
      <c r="B2293" s="1"/>
      <c r="C2293" s="13"/>
      <c r="D2293" s="2"/>
      <c r="E2293" s="2"/>
      <c r="F2293" s="14"/>
      <c r="G2293" s="14"/>
      <c r="H2293" s="2"/>
      <c r="I2293" s="2"/>
      <c r="J2293" s="2"/>
      <c r="K2293" s="12"/>
      <c r="L2293" s="11"/>
    </row>
    <row r="2294" hidden="1">
      <c r="A2294" s="8" t="s">
        <v>1888</v>
      </c>
      <c r="B2294" s="8" t="s">
        <v>1888</v>
      </c>
      <c r="C2294" s="13">
        <v>45967.55252314815</v>
      </c>
      <c r="D2294" s="2" t="s">
        <v>1889</v>
      </c>
      <c r="E2294" s="2" t="s">
        <v>5158</v>
      </c>
      <c r="F2294" s="14" t="s">
        <v>3486</v>
      </c>
      <c r="G2294" s="14" t="s">
        <v>3487</v>
      </c>
      <c r="H2294" s="2" t="s">
        <v>16</v>
      </c>
      <c r="I2294" s="2" t="s">
        <v>3488</v>
      </c>
      <c r="J2294" s="2">
        <v>2.0</v>
      </c>
      <c r="K2294" s="23" t="s">
        <v>5159</v>
      </c>
      <c r="L2294" s="11">
        <v>60000.0</v>
      </c>
    </row>
    <row r="2295" hidden="1">
      <c r="A2295" s="8" t="s">
        <v>1892</v>
      </c>
      <c r="B2295" s="8" t="s">
        <v>1892</v>
      </c>
      <c r="C2295" s="13">
        <v>45967.58736111111</v>
      </c>
      <c r="D2295" s="2" t="s">
        <v>1756</v>
      </c>
      <c r="E2295" s="2" t="s">
        <v>1757</v>
      </c>
      <c r="F2295" s="14" t="s">
        <v>4203</v>
      </c>
      <c r="G2295" s="14" t="s">
        <v>4204</v>
      </c>
      <c r="H2295" s="2" t="s">
        <v>16</v>
      </c>
      <c r="I2295" s="2" t="s">
        <v>3488</v>
      </c>
      <c r="J2295" s="2">
        <v>3.0</v>
      </c>
      <c r="K2295" s="23" t="s">
        <v>5160</v>
      </c>
      <c r="L2295" s="11">
        <v>65000.0</v>
      </c>
    </row>
    <row r="2296" hidden="1">
      <c r="A2296" s="8" t="s">
        <v>1892</v>
      </c>
      <c r="B2296" s="8" t="s">
        <v>1892</v>
      </c>
      <c r="C2296" s="13">
        <v>45967.58736111111</v>
      </c>
      <c r="D2296" s="2" t="s">
        <v>1756</v>
      </c>
      <c r="E2296" s="2" t="s">
        <v>1757</v>
      </c>
      <c r="F2296" s="14" t="s">
        <v>3486</v>
      </c>
      <c r="G2296" s="14" t="s">
        <v>3487</v>
      </c>
      <c r="H2296" s="2" t="s">
        <v>16</v>
      </c>
      <c r="I2296" s="2" t="s">
        <v>3488</v>
      </c>
      <c r="J2296" s="2">
        <v>1.0</v>
      </c>
      <c r="K2296" s="23" t="s">
        <v>5161</v>
      </c>
      <c r="L2296" s="11">
        <v>65000.0</v>
      </c>
    </row>
    <row r="2297" hidden="1">
      <c r="A2297" s="8" t="s">
        <v>1893</v>
      </c>
      <c r="B2297" s="8" t="s">
        <v>1893</v>
      </c>
      <c r="C2297" s="13">
        <v>45967.58876157407</v>
      </c>
      <c r="D2297" s="2" t="s">
        <v>1830</v>
      </c>
      <c r="E2297" s="2" t="s">
        <v>1831</v>
      </c>
      <c r="F2297" s="14" t="s">
        <v>4203</v>
      </c>
      <c r="G2297" s="14" t="s">
        <v>4204</v>
      </c>
      <c r="H2297" s="2" t="s">
        <v>16</v>
      </c>
      <c r="I2297" s="2" t="s">
        <v>3488</v>
      </c>
      <c r="J2297" s="2">
        <v>1.0</v>
      </c>
      <c r="K2297" s="23" t="s">
        <v>5162</v>
      </c>
      <c r="L2297" s="11">
        <v>55000.0</v>
      </c>
    </row>
    <row r="2298" hidden="1">
      <c r="A2298" s="8" t="s">
        <v>1893</v>
      </c>
      <c r="B2298" s="8" t="s">
        <v>1893</v>
      </c>
      <c r="C2298" s="13">
        <v>45967.58876157407</v>
      </c>
      <c r="D2298" s="2" t="s">
        <v>1830</v>
      </c>
      <c r="E2298" s="2" t="s">
        <v>1831</v>
      </c>
      <c r="F2298" s="14" t="s">
        <v>3486</v>
      </c>
      <c r="G2298" s="14" t="s">
        <v>3487</v>
      </c>
      <c r="H2298" s="2" t="s">
        <v>16</v>
      </c>
      <c r="I2298" s="2" t="s">
        <v>3488</v>
      </c>
      <c r="J2298" s="2">
        <v>14.0</v>
      </c>
      <c r="K2298" s="23" t="s">
        <v>5163</v>
      </c>
      <c r="L2298" s="11">
        <v>55000.0</v>
      </c>
    </row>
    <row r="2299" hidden="1">
      <c r="A2299" s="8" t="s">
        <v>1893</v>
      </c>
      <c r="B2299" s="8" t="s">
        <v>1893</v>
      </c>
      <c r="C2299" s="13">
        <v>45967.58876157407</v>
      </c>
      <c r="D2299" s="2" t="s">
        <v>1830</v>
      </c>
      <c r="E2299" s="2" t="s">
        <v>1831</v>
      </c>
      <c r="F2299" s="14" t="s">
        <v>3493</v>
      </c>
      <c r="G2299" s="14" t="s">
        <v>3494</v>
      </c>
      <c r="H2299" s="2" t="s">
        <v>16</v>
      </c>
      <c r="I2299" s="2" t="s">
        <v>3488</v>
      </c>
      <c r="J2299" s="2">
        <v>3.0</v>
      </c>
      <c r="K2299" s="23" t="s">
        <v>4704</v>
      </c>
      <c r="L2299" s="11">
        <v>210000.0</v>
      </c>
    </row>
    <row r="2300" hidden="1">
      <c r="A2300" s="8" t="s">
        <v>1893</v>
      </c>
      <c r="B2300" s="8" t="s">
        <v>1893</v>
      </c>
      <c r="C2300" s="13">
        <v>45967.58876157407</v>
      </c>
      <c r="D2300" s="2" t="s">
        <v>1830</v>
      </c>
      <c r="E2300" s="2" t="s">
        <v>1831</v>
      </c>
      <c r="F2300" s="14" t="s">
        <v>4729</v>
      </c>
      <c r="G2300" s="14" t="s">
        <v>4730</v>
      </c>
      <c r="H2300" s="2" t="s">
        <v>16</v>
      </c>
      <c r="I2300" s="2" t="s">
        <v>3488</v>
      </c>
      <c r="J2300" s="2">
        <v>1.0</v>
      </c>
      <c r="K2300" s="23" t="s">
        <v>4688</v>
      </c>
      <c r="L2300" s="11">
        <v>50000.0</v>
      </c>
    </row>
    <row r="2301">
      <c r="A2301" s="8" t="s">
        <v>1894</v>
      </c>
      <c r="B2301" s="8" t="s">
        <v>1894</v>
      </c>
      <c r="C2301" s="13">
        <v>45967.606828703705</v>
      </c>
      <c r="D2301" s="2" t="s">
        <v>45</v>
      </c>
      <c r="E2301" s="2" t="s">
        <v>46</v>
      </c>
      <c r="F2301" s="14" t="s">
        <v>3486</v>
      </c>
      <c r="G2301" s="14" t="s">
        <v>3487</v>
      </c>
      <c r="H2301" s="2" t="s">
        <v>24</v>
      </c>
      <c r="I2301" s="2" t="s">
        <v>3491</v>
      </c>
      <c r="J2301" s="2">
        <v>4.0</v>
      </c>
      <c r="K2301" s="23" t="s">
        <v>5164</v>
      </c>
      <c r="L2301" s="11">
        <v>0.0</v>
      </c>
    </row>
    <row r="2302">
      <c r="A2302" s="8" t="s">
        <v>1894</v>
      </c>
      <c r="B2302" s="8" t="s">
        <v>1894</v>
      </c>
      <c r="C2302" s="13">
        <v>45967.606828703705</v>
      </c>
      <c r="D2302" s="2" t="s">
        <v>45</v>
      </c>
      <c r="E2302" s="2" t="s">
        <v>46</v>
      </c>
      <c r="F2302" s="14" t="s">
        <v>3522</v>
      </c>
      <c r="G2302" s="14" t="s">
        <v>3523</v>
      </c>
      <c r="H2302" s="2" t="s">
        <v>24</v>
      </c>
      <c r="I2302" s="2" t="s">
        <v>3491</v>
      </c>
      <c r="J2302" s="2">
        <v>9.0</v>
      </c>
      <c r="K2302" s="23" t="s">
        <v>5165</v>
      </c>
      <c r="L2302" s="11">
        <v>0.0</v>
      </c>
    </row>
    <row r="2303">
      <c r="A2303" s="8" t="s">
        <v>1894</v>
      </c>
      <c r="B2303" s="8" t="s">
        <v>1894</v>
      </c>
      <c r="C2303" s="13">
        <v>45967.606828703705</v>
      </c>
      <c r="D2303" s="2" t="s">
        <v>45</v>
      </c>
      <c r="E2303" s="2" t="s">
        <v>46</v>
      </c>
      <c r="F2303" s="14" t="s">
        <v>4203</v>
      </c>
      <c r="G2303" s="14" t="s">
        <v>4204</v>
      </c>
      <c r="H2303" s="2" t="s">
        <v>24</v>
      </c>
      <c r="I2303" s="2" t="s">
        <v>3491</v>
      </c>
      <c r="J2303" s="2">
        <v>2.0</v>
      </c>
      <c r="K2303" s="23" t="s">
        <v>5166</v>
      </c>
      <c r="L2303" s="11">
        <v>0.0</v>
      </c>
    </row>
    <row r="2304" hidden="1">
      <c r="A2304" s="8" t="s">
        <v>1895</v>
      </c>
      <c r="B2304" s="8" t="s">
        <v>1895</v>
      </c>
      <c r="C2304" s="13">
        <v>45967.61241898148</v>
      </c>
      <c r="D2304" s="2" t="s">
        <v>943</v>
      </c>
      <c r="E2304" s="2" t="s">
        <v>944</v>
      </c>
      <c r="F2304" s="14" t="s">
        <v>3486</v>
      </c>
      <c r="G2304" s="14" t="s">
        <v>3487</v>
      </c>
      <c r="H2304" s="2" t="s">
        <v>24</v>
      </c>
      <c r="I2304" s="2" t="s">
        <v>3491</v>
      </c>
      <c r="J2304" s="2">
        <v>5.0</v>
      </c>
      <c r="K2304" s="23" t="s">
        <v>5167</v>
      </c>
      <c r="L2304" s="11">
        <v>0.0</v>
      </c>
    </row>
    <row r="2305" hidden="1">
      <c r="A2305" s="8" t="s">
        <v>1895</v>
      </c>
      <c r="B2305" s="8" t="s">
        <v>1895</v>
      </c>
      <c r="C2305" s="13">
        <v>45967.61241898148</v>
      </c>
      <c r="D2305" s="2" t="s">
        <v>943</v>
      </c>
      <c r="E2305" s="2" t="s">
        <v>944</v>
      </c>
      <c r="F2305" s="14" t="s">
        <v>3506</v>
      </c>
      <c r="G2305" s="14" t="s">
        <v>3507</v>
      </c>
      <c r="H2305" s="2" t="s">
        <v>24</v>
      </c>
      <c r="I2305" s="2" t="s">
        <v>3491</v>
      </c>
      <c r="J2305" s="2">
        <v>1.0</v>
      </c>
      <c r="K2305" s="23" t="s">
        <v>4688</v>
      </c>
      <c r="L2305" s="11">
        <v>0.0</v>
      </c>
    </row>
    <row r="2306" hidden="1">
      <c r="A2306" s="8" t="s">
        <v>1896</v>
      </c>
      <c r="B2306" s="8" t="s">
        <v>1896</v>
      </c>
      <c r="C2306" s="13">
        <v>45967.615069444444</v>
      </c>
      <c r="D2306" s="2" t="s">
        <v>49</v>
      </c>
      <c r="E2306" s="2" t="s">
        <v>50</v>
      </c>
      <c r="F2306" s="14" t="s">
        <v>3486</v>
      </c>
      <c r="G2306" s="14" t="s">
        <v>3487</v>
      </c>
      <c r="H2306" s="2" t="s">
        <v>24</v>
      </c>
      <c r="I2306" s="2" t="s">
        <v>3491</v>
      </c>
      <c r="J2306" s="2">
        <v>3.0</v>
      </c>
      <c r="K2306" s="23" t="s">
        <v>5168</v>
      </c>
      <c r="L2306" s="11">
        <v>0.0</v>
      </c>
    </row>
    <row r="2307" hidden="1">
      <c r="A2307" s="8" t="s">
        <v>1897</v>
      </c>
      <c r="B2307" s="8" t="s">
        <v>1897</v>
      </c>
      <c r="C2307" s="13">
        <v>45967.6156712963</v>
      </c>
      <c r="D2307" s="2" t="s">
        <v>20</v>
      </c>
      <c r="E2307" s="2" t="s">
        <v>21</v>
      </c>
      <c r="F2307" s="14" t="s">
        <v>3486</v>
      </c>
      <c r="G2307" s="14" t="s">
        <v>3487</v>
      </c>
      <c r="H2307" s="2" t="s">
        <v>24</v>
      </c>
      <c r="I2307" s="2" t="s">
        <v>3491</v>
      </c>
      <c r="J2307" s="2">
        <v>6.0</v>
      </c>
      <c r="K2307" s="23" t="s">
        <v>5169</v>
      </c>
      <c r="L2307" s="11">
        <v>0.0</v>
      </c>
    </row>
    <row r="2308" hidden="1">
      <c r="A2308" s="8" t="s">
        <v>1898</v>
      </c>
      <c r="B2308" s="8" t="s">
        <v>1898</v>
      </c>
      <c r="C2308" s="13">
        <v>45967.692824074074</v>
      </c>
      <c r="D2308" s="2" t="s">
        <v>1756</v>
      </c>
      <c r="E2308" s="2" t="s">
        <v>1757</v>
      </c>
      <c r="F2308" s="14" t="s">
        <v>4203</v>
      </c>
      <c r="G2308" s="14" t="s">
        <v>4204</v>
      </c>
      <c r="H2308" s="2" t="s">
        <v>24</v>
      </c>
      <c r="I2308" s="2" t="s">
        <v>3491</v>
      </c>
      <c r="J2308" s="2">
        <v>2.0</v>
      </c>
      <c r="K2308" s="23" t="s">
        <v>5170</v>
      </c>
      <c r="L2308" s="11">
        <v>0.0</v>
      </c>
    </row>
    <row r="2309" hidden="1">
      <c r="A2309" s="8" t="s">
        <v>1899</v>
      </c>
      <c r="B2309" s="8" t="s">
        <v>1899</v>
      </c>
      <c r="C2309" s="13">
        <v>45967.71277777778</v>
      </c>
      <c r="D2309" s="2" t="s">
        <v>1830</v>
      </c>
      <c r="E2309" s="2" t="s">
        <v>1831</v>
      </c>
      <c r="F2309" s="14" t="s">
        <v>3486</v>
      </c>
      <c r="G2309" s="14" t="s">
        <v>3487</v>
      </c>
      <c r="H2309" s="2" t="s">
        <v>24</v>
      </c>
      <c r="I2309" s="2" t="s">
        <v>3491</v>
      </c>
      <c r="J2309" s="2">
        <v>13.0</v>
      </c>
      <c r="K2309" s="23" t="s">
        <v>5171</v>
      </c>
      <c r="L2309" s="11">
        <v>0.0</v>
      </c>
    </row>
    <row r="2310" hidden="1">
      <c r="A2310" s="8" t="s">
        <v>1899</v>
      </c>
      <c r="B2310" s="8" t="s">
        <v>1899</v>
      </c>
      <c r="C2310" s="13">
        <v>45967.71277777778</v>
      </c>
      <c r="D2310" s="2" t="s">
        <v>1830</v>
      </c>
      <c r="E2310" s="2" t="s">
        <v>1831</v>
      </c>
      <c r="F2310" s="14" t="s">
        <v>3493</v>
      </c>
      <c r="G2310" s="14" t="s">
        <v>3494</v>
      </c>
      <c r="H2310" s="2" t="s">
        <v>24</v>
      </c>
      <c r="I2310" s="2" t="s">
        <v>3491</v>
      </c>
      <c r="J2310" s="2">
        <v>1.0</v>
      </c>
      <c r="K2310" s="23" t="s">
        <v>4688</v>
      </c>
      <c r="L2310" s="11">
        <v>0.0</v>
      </c>
    </row>
    <row r="2311" hidden="1">
      <c r="A2311" s="8" t="s">
        <v>1900</v>
      </c>
      <c r="B2311" s="8" t="s">
        <v>1900</v>
      </c>
      <c r="C2311" s="13">
        <v>45968.39582175926</v>
      </c>
      <c r="D2311" s="2" t="s">
        <v>786</v>
      </c>
      <c r="E2311" s="2" t="s">
        <v>787</v>
      </c>
      <c r="F2311" s="14" t="s">
        <v>3486</v>
      </c>
      <c r="G2311" s="14" t="s">
        <v>3487</v>
      </c>
      <c r="H2311" s="2" t="s">
        <v>16</v>
      </c>
      <c r="I2311" s="2" t="s">
        <v>3488</v>
      </c>
      <c r="J2311" s="2">
        <v>5.0</v>
      </c>
      <c r="K2311" s="23" t="s">
        <v>5172</v>
      </c>
      <c r="L2311" s="11">
        <v>60000.0</v>
      </c>
    </row>
    <row r="2312" hidden="1">
      <c r="A2312" s="8" t="s">
        <v>1900</v>
      </c>
      <c r="B2312" s="8" t="s">
        <v>1900</v>
      </c>
      <c r="C2312" s="13">
        <v>45968.39582175926</v>
      </c>
      <c r="D2312" s="2" t="s">
        <v>786</v>
      </c>
      <c r="E2312" s="2" t="s">
        <v>787</v>
      </c>
      <c r="F2312" s="14" t="s">
        <v>3516</v>
      </c>
      <c r="G2312" s="14" t="s">
        <v>3517</v>
      </c>
      <c r="H2312" s="2" t="s">
        <v>16</v>
      </c>
      <c r="I2312" s="2" t="s">
        <v>3488</v>
      </c>
      <c r="J2312" s="2">
        <v>2.0</v>
      </c>
      <c r="K2312" s="23" t="s">
        <v>5173</v>
      </c>
      <c r="L2312" s="11">
        <v>170000.0</v>
      </c>
    </row>
    <row r="2313" hidden="1">
      <c r="A2313" s="8" t="s">
        <v>1901</v>
      </c>
      <c r="B2313" s="8" t="s">
        <v>1901</v>
      </c>
      <c r="C2313" s="13">
        <v>45968.549375</v>
      </c>
      <c r="D2313" s="2" t="s">
        <v>131</v>
      </c>
      <c r="E2313" s="2" t="s">
        <v>132</v>
      </c>
      <c r="F2313" s="14" t="s">
        <v>4203</v>
      </c>
      <c r="G2313" s="14" t="s">
        <v>4204</v>
      </c>
      <c r="H2313" s="2" t="s">
        <v>24</v>
      </c>
      <c r="I2313" s="2" t="s">
        <v>3491</v>
      </c>
      <c r="J2313" s="2">
        <v>1.0</v>
      </c>
      <c r="K2313" s="23" t="s">
        <v>4912</v>
      </c>
      <c r="L2313" s="11">
        <v>0.0</v>
      </c>
    </row>
    <row r="2314" hidden="1">
      <c r="A2314" s="8" t="s">
        <v>1902</v>
      </c>
      <c r="B2314" s="8" t="s">
        <v>1902</v>
      </c>
      <c r="C2314" s="13">
        <v>45968.550462962965</v>
      </c>
      <c r="D2314" s="2" t="s">
        <v>786</v>
      </c>
      <c r="E2314" s="2" t="s">
        <v>787</v>
      </c>
      <c r="F2314" s="14" t="s">
        <v>3516</v>
      </c>
      <c r="G2314" s="14" t="s">
        <v>3517</v>
      </c>
      <c r="H2314" s="2" t="s">
        <v>24</v>
      </c>
      <c r="I2314" s="2" t="s">
        <v>3491</v>
      </c>
      <c r="J2314" s="2">
        <v>1.0</v>
      </c>
      <c r="K2314" s="23" t="s">
        <v>5174</v>
      </c>
      <c r="L2314" s="11">
        <v>0.0</v>
      </c>
    </row>
    <row r="2315" hidden="1">
      <c r="A2315" s="8" t="s">
        <v>1902</v>
      </c>
      <c r="B2315" s="8" t="s">
        <v>1902</v>
      </c>
      <c r="C2315" s="13">
        <v>45968.550462962965</v>
      </c>
      <c r="D2315" s="2" t="s">
        <v>786</v>
      </c>
      <c r="E2315" s="2" t="s">
        <v>787</v>
      </c>
      <c r="F2315" s="14" t="s">
        <v>3486</v>
      </c>
      <c r="G2315" s="14" t="s">
        <v>3487</v>
      </c>
      <c r="H2315" s="2" t="s">
        <v>24</v>
      </c>
      <c r="I2315" s="2" t="s">
        <v>3491</v>
      </c>
      <c r="J2315" s="2">
        <v>4.0</v>
      </c>
      <c r="K2315" s="23" t="s">
        <v>5175</v>
      </c>
      <c r="L2315" s="11">
        <v>0.0</v>
      </c>
    </row>
    <row r="2316" hidden="1">
      <c r="A2316" s="8" t="s">
        <v>1903</v>
      </c>
      <c r="B2316" s="8" t="s">
        <v>1903</v>
      </c>
      <c r="C2316" s="13">
        <v>45968.60333333333</v>
      </c>
      <c r="D2316" s="2" t="s">
        <v>1904</v>
      </c>
      <c r="E2316" s="2" t="s">
        <v>1905</v>
      </c>
      <c r="F2316" s="14" t="s">
        <v>3486</v>
      </c>
      <c r="G2316" s="14" t="s">
        <v>3487</v>
      </c>
      <c r="H2316" s="2" t="s">
        <v>16</v>
      </c>
      <c r="I2316" s="2" t="s">
        <v>3488</v>
      </c>
      <c r="J2316" s="2">
        <v>10.0</v>
      </c>
      <c r="K2316" s="23" t="s">
        <v>5176</v>
      </c>
      <c r="L2316" s="11">
        <v>50000.0</v>
      </c>
    </row>
    <row r="2317" hidden="1">
      <c r="A2317" s="8" t="s">
        <v>1907</v>
      </c>
      <c r="B2317" s="8" t="s">
        <v>1907</v>
      </c>
      <c r="C2317" s="13">
        <v>45968.668761574074</v>
      </c>
      <c r="D2317" s="2" t="s">
        <v>1613</v>
      </c>
      <c r="E2317" s="2" t="s">
        <v>1614</v>
      </c>
      <c r="F2317" s="14" t="s">
        <v>4203</v>
      </c>
      <c r="G2317" s="14" t="s">
        <v>4204</v>
      </c>
      <c r="H2317" s="2" t="s">
        <v>16</v>
      </c>
      <c r="I2317" s="2" t="s">
        <v>3488</v>
      </c>
      <c r="J2317" s="2">
        <v>2.0</v>
      </c>
      <c r="K2317" s="23" t="s">
        <v>5177</v>
      </c>
      <c r="L2317" s="11">
        <v>65000.0</v>
      </c>
    </row>
    <row r="2318" hidden="1">
      <c r="A2318" s="8" t="s">
        <v>1907</v>
      </c>
      <c r="B2318" s="8" t="s">
        <v>1907</v>
      </c>
      <c r="C2318" s="13">
        <v>45968.668761574074</v>
      </c>
      <c r="D2318" s="2" t="s">
        <v>1613</v>
      </c>
      <c r="E2318" s="2" t="s">
        <v>1614</v>
      </c>
      <c r="F2318" s="14" t="s">
        <v>4729</v>
      </c>
      <c r="G2318" s="14" t="s">
        <v>4730</v>
      </c>
      <c r="H2318" s="2" t="s">
        <v>16</v>
      </c>
      <c r="I2318" s="2" t="s">
        <v>3488</v>
      </c>
      <c r="J2318" s="2">
        <v>1.0</v>
      </c>
      <c r="K2318" s="12"/>
      <c r="L2318" s="11">
        <v>50000.0</v>
      </c>
    </row>
    <row r="2319" hidden="1">
      <c r="A2319" s="8" t="s">
        <v>1908</v>
      </c>
      <c r="B2319" s="8" t="s">
        <v>1908</v>
      </c>
      <c r="C2319" s="13">
        <v>45969.34925925926</v>
      </c>
      <c r="D2319" s="2" t="s">
        <v>1873</v>
      </c>
      <c r="E2319" s="2" t="s">
        <v>1874</v>
      </c>
      <c r="F2319" s="14" t="s">
        <v>3486</v>
      </c>
      <c r="G2319" s="14" t="s">
        <v>3487</v>
      </c>
      <c r="H2319" s="2" t="s">
        <v>16</v>
      </c>
      <c r="I2319" s="2" t="s">
        <v>3488</v>
      </c>
      <c r="J2319" s="2">
        <v>7.0</v>
      </c>
      <c r="K2319" s="23" t="s">
        <v>5178</v>
      </c>
      <c r="L2319" s="11">
        <v>70000.0</v>
      </c>
    </row>
    <row r="2320" hidden="1">
      <c r="A2320" s="8" t="s">
        <v>1909</v>
      </c>
      <c r="B2320" s="8" t="s">
        <v>1909</v>
      </c>
      <c r="C2320" s="13">
        <v>45969.352002314816</v>
      </c>
      <c r="D2320" s="2" t="s">
        <v>1613</v>
      </c>
      <c r="E2320" s="2" t="s">
        <v>1614</v>
      </c>
      <c r="F2320" s="14" t="s">
        <v>4203</v>
      </c>
      <c r="G2320" s="14" t="s">
        <v>4204</v>
      </c>
      <c r="H2320" s="2" t="s">
        <v>24</v>
      </c>
      <c r="I2320" s="2" t="s">
        <v>3491</v>
      </c>
      <c r="J2320" s="2">
        <v>2.0</v>
      </c>
      <c r="K2320" s="23" t="s">
        <v>5117</v>
      </c>
      <c r="L2320" s="11">
        <v>0.0</v>
      </c>
    </row>
    <row r="2321" hidden="1">
      <c r="A2321" s="8" t="s">
        <v>1910</v>
      </c>
      <c r="B2321" s="8" t="s">
        <v>1910</v>
      </c>
      <c r="C2321" s="13">
        <v>45969.465092592596</v>
      </c>
      <c r="D2321" s="2" t="s">
        <v>786</v>
      </c>
      <c r="E2321" s="2" t="s">
        <v>787</v>
      </c>
      <c r="F2321" s="14" t="s">
        <v>3486</v>
      </c>
      <c r="G2321" s="14" t="s">
        <v>3487</v>
      </c>
      <c r="H2321" s="2" t="s">
        <v>16</v>
      </c>
      <c r="I2321" s="2" t="s">
        <v>3488</v>
      </c>
      <c r="J2321" s="2">
        <v>4.0</v>
      </c>
      <c r="K2321" s="23" t="s">
        <v>5179</v>
      </c>
      <c r="L2321" s="11">
        <v>60000.0</v>
      </c>
    </row>
    <row r="2322" hidden="1">
      <c r="A2322" s="8" t="s">
        <v>1910</v>
      </c>
      <c r="B2322" s="8" t="s">
        <v>1910</v>
      </c>
      <c r="C2322" s="13">
        <v>45969.465092592596</v>
      </c>
      <c r="D2322" s="2" t="s">
        <v>786</v>
      </c>
      <c r="E2322" s="2" t="s">
        <v>787</v>
      </c>
      <c r="F2322" s="14" t="s">
        <v>3516</v>
      </c>
      <c r="G2322" s="14" t="s">
        <v>3517</v>
      </c>
      <c r="H2322" s="2" t="s">
        <v>16</v>
      </c>
      <c r="I2322" s="2" t="s">
        <v>3488</v>
      </c>
      <c r="J2322" s="2">
        <v>3.0</v>
      </c>
      <c r="K2322" s="23" t="s">
        <v>5180</v>
      </c>
      <c r="L2322" s="11">
        <v>170000.0</v>
      </c>
    </row>
    <row r="2323" hidden="1">
      <c r="A2323" s="8" t="s">
        <v>1911</v>
      </c>
      <c r="B2323" s="8" t="s">
        <v>1911</v>
      </c>
      <c r="C2323" s="13">
        <v>45969.47990740741</v>
      </c>
      <c r="D2323" s="2" t="s">
        <v>1745</v>
      </c>
      <c r="E2323" s="2" t="s">
        <v>1746</v>
      </c>
      <c r="F2323" s="14" t="s">
        <v>3486</v>
      </c>
      <c r="G2323" s="14" t="s">
        <v>3487</v>
      </c>
      <c r="H2323" s="2" t="s">
        <v>16</v>
      </c>
      <c r="I2323" s="2" t="s">
        <v>3488</v>
      </c>
      <c r="J2323" s="2">
        <v>2.0</v>
      </c>
      <c r="K2323" s="23" t="s">
        <v>5181</v>
      </c>
      <c r="L2323" s="11">
        <v>65000.0</v>
      </c>
    </row>
    <row r="2324" hidden="1">
      <c r="A2324" s="8" t="s">
        <v>1912</v>
      </c>
      <c r="B2324" s="8" t="s">
        <v>1912</v>
      </c>
      <c r="C2324" s="13">
        <v>45969.48795138889</v>
      </c>
      <c r="D2324" s="2" t="s">
        <v>904</v>
      </c>
      <c r="E2324" s="2" t="s">
        <v>905</v>
      </c>
      <c r="F2324" s="14" t="s">
        <v>4203</v>
      </c>
      <c r="G2324" s="14" t="s">
        <v>4204</v>
      </c>
      <c r="H2324" s="2" t="s">
        <v>24</v>
      </c>
      <c r="I2324" s="2" t="s">
        <v>3491</v>
      </c>
      <c r="J2324" s="2">
        <v>2.0</v>
      </c>
      <c r="K2324" s="23" t="s">
        <v>5182</v>
      </c>
      <c r="L2324" s="11">
        <v>0.0</v>
      </c>
    </row>
    <row r="2325" hidden="1">
      <c r="A2325" s="8" t="s">
        <v>1913</v>
      </c>
      <c r="B2325" s="8" t="s">
        <v>1913</v>
      </c>
      <c r="C2325" s="13">
        <v>45969.61</v>
      </c>
      <c r="D2325" s="2" t="s">
        <v>786</v>
      </c>
      <c r="E2325" s="2" t="s">
        <v>787</v>
      </c>
      <c r="F2325" s="14" t="s">
        <v>3486</v>
      </c>
      <c r="G2325" s="14" t="s">
        <v>3487</v>
      </c>
      <c r="H2325" s="2" t="s">
        <v>24</v>
      </c>
      <c r="I2325" s="2" t="s">
        <v>3491</v>
      </c>
      <c r="J2325" s="2">
        <v>4.0</v>
      </c>
      <c r="K2325" s="23" t="s">
        <v>5183</v>
      </c>
      <c r="L2325" s="11">
        <v>0.0</v>
      </c>
    </row>
    <row r="2326" hidden="1">
      <c r="A2326" s="8" t="s">
        <v>1913</v>
      </c>
      <c r="B2326" s="8" t="s">
        <v>1913</v>
      </c>
      <c r="C2326" s="13">
        <v>45969.61</v>
      </c>
      <c r="D2326" s="2" t="s">
        <v>786</v>
      </c>
      <c r="E2326" s="2" t="s">
        <v>787</v>
      </c>
      <c r="F2326" s="14" t="s">
        <v>3516</v>
      </c>
      <c r="G2326" s="14" t="s">
        <v>3517</v>
      </c>
      <c r="H2326" s="2" t="s">
        <v>24</v>
      </c>
      <c r="I2326" s="2" t="s">
        <v>3491</v>
      </c>
      <c r="J2326" s="2">
        <v>2.0</v>
      </c>
      <c r="K2326" s="23" t="s">
        <v>5184</v>
      </c>
      <c r="L2326" s="11">
        <v>0.0</v>
      </c>
    </row>
    <row r="2327" hidden="1">
      <c r="A2327" s="8" t="s">
        <v>1914</v>
      </c>
      <c r="B2327" s="8" t="s">
        <v>1914</v>
      </c>
      <c r="C2327" s="13">
        <v>45969.6112037037</v>
      </c>
      <c r="D2327" s="2" t="s">
        <v>1873</v>
      </c>
      <c r="E2327" s="2" t="s">
        <v>1874</v>
      </c>
      <c r="F2327" s="14" t="s">
        <v>4203</v>
      </c>
      <c r="G2327" s="14" t="s">
        <v>4204</v>
      </c>
      <c r="H2327" s="2" t="s">
        <v>24</v>
      </c>
      <c r="I2327" s="2" t="s">
        <v>3491</v>
      </c>
      <c r="J2327" s="2">
        <v>4.0</v>
      </c>
      <c r="K2327" s="23" t="s">
        <v>5185</v>
      </c>
      <c r="L2327" s="11">
        <v>0.0</v>
      </c>
    </row>
    <row r="2328" hidden="1">
      <c r="A2328" s="8" t="s">
        <v>1915</v>
      </c>
      <c r="B2328" s="8" t="s">
        <v>1915</v>
      </c>
      <c r="C2328" s="13">
        <v>45969.63728009259</v>
      </c>
      <c r="D2328" s="2" t="s">
        <v>1745</v>
      </c>
      <c r="E2328" s="2" t="s">
        <v>1746</v>
      </c>
      <c r="F2328" s="14" t="s">
        <v>4203</v>
      </c>
      <c r="G2328" s="14" t="s">
        <v>4204</v>
      </c>
      <c r="H2328" s="2" t="s">
        <v>24</v>
      </c>
      <c r="I2328" s="2" t="s">
        <v>3491</v>
      </c>
      <c r="J2328" s="2">
        <v>1.0</v>
      </c>
      <c r="K2328" s="23" t="s">
        <v>5186</v>
      </c>
      <c r="L2328" s="11">
        <v>0.0</v>
      </c>
    </row>
    <row r="2329" hidden="1">
      <c r="A2329" s="8" t="s">
        <v>1916</v>
      </c>
      <c r="B2329" s="8" t="s">
        <v>1916</v>
      </c>
      <c r="C2329" s="13">
        <v>45971.35695601852</v>
      </c>
      <c r="D2329" s="2" t="s">
        <v>1830</v>
      </c>
      <c r="E2329" s="2" t="s">
        <v>1831</v>
      </c>
      <c r="F2329" s="14" t="s">
        <v>3486</v>
      </c>
      <c r="G2329" s="14" t="s">
        <v>3487</v>
      </c>
      <c r="H2329" s="2" t="s">
        <v>16</v>
      </c>
      <c r="I2329" s="2" t="s">
        <v>3488</v>
      </c>
      <c r="J2329" s="2">
        <v>9.0</v>
      </c>
      <c r="K2329" s="23" t="s">
        <v>5187</v>
      </c>
      <c r="L2329" s="11">
        <v>55000.0</v>
      </c>
    </row>
    <row r="2330" hidden="1">
      <c r="A2330" s="1"/>
      <c r="B2330" s="1"/>
      <c r="C2330" s="13"/>
      <c r="D2330" s="2"/>
      <c r="E2330" s="2"/>
      <c r="F2330" s="14"/>
      <c r="G2330" s="14"/>
      <c r="H2330" s="2"/>
      <c r="I2330" s="2"/>
      <c r="J2330" s="2"/>
      <c r="K2330" s="12"/>
      <c r="L2330" s="11"/>
    </row>
    <row r="2331" hidden="1">
      <c r="A2331" s="8" t="s">
        <v>1916</v>
      </c>
      <c r="B2331" s="8" t="s">
        <v>1916</v>
      </c>
      <c r="C2331" s="13">
        <v>45971.35695601852</v>
      </c>
      <c r="D2331" s="2" t="s">
        <v>1830</v>
      </c>
      <c r="E2331" s="2" t="s">
        <v>1831</v>
      </c>
      <c r="F2331" s="14" t="s">
        <v>3493</v>
      </c>
      <c r="G2331" s="14" t="s">
        <v>3494</v>
      </c>
      <c r="H2331" s="2" t="s">
        <v>16</v>
      </c>
      <c r="I2331" s="2" t="s">
        <v>3488</v>
      </c>
      <c r="J2331" s="2">
        <v>1.0</v>
      </c>
      <c r="K2331" s="12"/>
      <c r="L2331" s="11">
        <v>100000.0</v>
      </c>
    </row>
    <row r="2332" hidden="1">
      <c r="A2332" s="8" t="s">
        <v>1916</v>
      </c>
      <c r="B2332" s="8" t="s">
        <v>1916</v>
      </c>
      <c r="C2332" s="13">
        <v>45971.35695601852</v>
      </c>
      <c r="D2332" s="2" t="s">
        <v>1830</v>
      </c>
      <c r="E2332" s="2" t="s">
        <v>1831</v>
      </c>
      <c r="F2332" s="14" t="s">
        <v>4203</v>
      </c>
      <c r="G2332" s="14" t="s">
        <v>4204</v>
      </c>
      <c r="H2332" s="2" t="s">
        <v>16</v>
      </c>
      <c r="I2332" s="2" t="s">
        <v>3488</v>
      </c>
      <c r="J2332" s="2">
        <v>6.0</v>
      </c>
      <c r="K2332" s="23" t="s">
        <v>5188</v>
      </c>
      <c r="L2332" s="11">
        <v>55000.0</v>
      </c>
    </row>
    <row r="2333" hidden="1">
      <c r="A2333" s="8" t="s">
        <v>1916</v>
      </c>
      <c r="B2333" s="8" t="s">
        <v>1916</v>
      </c>
      <c r="C2333" s="13">
        <v>45971.35695601852</v>
      </c>
      <c r="D2333" s="2" t="s">
        <v>1830</v>
      </c>
      <c r="E2333" s="2" t="s">
        <v>1831</v>
      </c>
      <c r="F2333" s="14" t="s">
        <v>4729</v>
      </c>
      <c r="G2333" s="14" t="s">
        <v>4730</v>
      </c>
      <c r="H2333" s="2" t="s">
        <v>16</v>
      </c>
      <c r="I2333" s="2" t="s">
        <v>3488</v>
      </c>
      <c r="J2333" s="2">
        <v>1.0</v>
      </c>
      <c r="K2333" s="12"/>
      <c r="L2333" s="11">
        <v>50000.0</v>
      </c>
    </row>
    <row r="2334" hidden="1">
      <c r="A2334" s="8" t="s">
        <v>1917</v>
      </c>
      <c r="B2334" s="8" t="s">
        <v>1917</v>
      </c>
      <c r="C2334" s="13">
        <v>45971.36813657408</v>
      </c>
      <c r="D2334" s="2" t="s">
        <v>131</v>
      </c>
      <c r="E2334" s="2" t="s">
        <v>132</v>
      </c>
      <c r="F2334" s="14" t="s">
        <v>3516</v>
      </c>
      <c r="G2334" s="14" t="s">
        <v>3517</v>
      </c>
      <c r="H2334" s="2" t="s">
        <v>159</v>
      </c>
      <c r="I2334" s="2" t="s">
        <v>3619</v>
      </c>
      <c r="J2334" s="2">
        <v>1.0</v>
      </c>
      <c r="K2334" s="23" t="s">
        <v>5189</v>
      </c>
      <c r="L2334" s="11">
        <v>0.0</v>
      </c>
    </row>
    <row r="2335" hidden="1">
      <c r="A2335" s="1" t="s">
        <v>825</v>
      </c>
      <c r="B2335" s="1" t="s">
        <v>825</v>
      </c>
      <c r="C2335" s="13">
        <v>45766.4875</v>
      </c>
      <c r="D2335" s="2" t="s">
        <v>493</v>
      </c>
      <c r="E2335" s="2" t="s">
        <v>494</v>
      </c>
      <c r="F2335" s="14" t="s">
        <v>3493</v>
      </c>
      <c r="G2335" s="14" t="s">
        <v>3494</v>
      </c>
      <c r="H2335" s="2" t="s">
        <v>24</v>
      </c>
      <c r="I2335" s="2" t="s">
        <v>3491</v>
      </c>
      <c r="J2335" s="2">
        <v>1.0</v>
      </c>
      <c r="K2335" s="12"/>
      <c r="L2335" s="11">
        <v>0.0</v>
      </c>
    </row>
    <row r="2336" hidden="1">
      <c r="A2336" s="8" t="s">
        <v>1919</v>
      </c>
      <c r="B2336" s="8" t="s">
        <v>1919</v>
      </c>
      <c r="C2336" s="13">
        <v>45971.389560185184</v>
      </c>
      <c r="D2336" s="2" t="s">
        <v>131</v>
      </c>
      <c r="E2336" s="2" t="s">
        <v>132</v>
      </c>
      <c r="F2336" s="14" t="s">
        <v>4203</v>
      </c>
      <c r="G2336" s="14" t="s">
        <v>4204</v>
      </c>
      <c r="H2336" s="2" t="s">
        <v>24</v>
      </c>
      <c r="I2336" s="2" t="s">
        <v>3491</v>
      </c>
      <c r="J2336" s="2">
        <v>1.0</v>
      </c>
      <c r="K2336" s="23" t="s">
        <v>5045</v>
      </c>
      <c r="L2336" s="11">
        <v>0.0</v>
      </c>
    </row>
    <row r="2337" hidden="1">
      <c r="A2337" s="1"/>
      <c r="B2337" s="1"/>
      <c r="C2337" s="13"/>
      <c r="D2337" s="2"/>
      <c r="E2337" s="2"/>
      <c r="F2337" s="14"/>
      <c r="G2337" s="14"/>
      <c r="H2337" s="2"/>
      <c r="I2337" s="2"/>
      <c r="J2337" s="2"/>
      <c r="K2337" s="12"/>
      <c r="L2337" s="11"/>
    </row>
    <row r="2338" hidden="1">
      <c r="A2338" s="8" t="s">
        <v>1919</v>
      </c>
      <c r="B2338" s="8" t="s">
        <v>1919</v>
      </c>
      <c r="C2338" s="13">
        <v>45971.389560185184</v>
      </c>
      <c r="D2338" s="2" t="s">
        <v>131</v>
      </c>
      <c r="E2338" s="2" t="s">
        <v>132</v>
      </c>
      <c r="F2338" s="14" t="s">
        <v>3516</v>
      </c>
      <c r="G2338" s="14" t="s">
        <v>3517</v>
      </c>
      <c r="H2338" s="2" t="s">
        <v>24</v>
      </c>
      <c r="I2338" s="2" t="s">
        <v>3491</v>
      </c>
      <c r="J2338" s="2">
        <v>2.0</v>
      </c>
      <c r="K2338" s="23" t="s">
        <v>5139</v>
      </c>
      <c r="L2338" s="11">
        <v>0.0</v>
      </c>
    </row>
    <row r="2339" hidden="1">
      <c r="A2339" s="8" t="s">
        <v>1919</v>
      </c>
      <c r="B2339" s="8" t="s">
        <v>1919</v>
      </c>
      <c r="C2339" s="13">
        <v>45971.389560185184</v>
      </c>
      <c r="D2339" s="2" t="s">
        <v>131</v>
      </c>
      <c r="E2339" s="2" t="s">
        <v>132</v>
      </c>
      <c r="F2339" s="14" t="s">
        <v>3516</v>
      </c>
      <c r="G2339" s="14" t="s">
        <v>3517</v>
      </c>
      <c r="H2339" s="2" t="s">
        <v>24</v>
      </c>
      <c r="I2339" s="2" t="s">
        <v>3614</v>
      </c>
      <c r="J2339" s="2">
        <v>1.0</v>
      </c>
      <c r="K2339" s="23" t="s">
        <v>4733</v>
      </c>
      <c r="L2339" s="11">
        <v>0.0</v>
      </c>
    </row>
    <row r="2340" hidden="1">
      <c r="A2340" s="8" t="s">
        <v>1918</v>
      </c>
      <c r="B2340" s="8" t="s">
        <v>1918</v>
      </c>
      <c r="C2340" s="13">
        <v>45971.38550925926</v>
      </c>
      <c r="D2340" s="2" t="s">
        <v>1705</v>
      </c>
      <c r="E2340" s="2" t="s">
        <v>1706</v>
      </c>
      <c r="F2340" s="14" t="s">
        <v>4203</v>
      </c>
      <c r="G2340" s="14" t="s">
        <v>4204</v>
      </c>
      <c r="H2340" s="2" t="s">
        <v>16</v>
      </c>
      <c r="I2340" s="2" t="s">
        <v>3488</v>
      </c>
      <c r="J2340" s="2">
        <v>2.0</v>
      </c>
      <c r="K2340" s="23" t="s">
        <v>5190</v>
      </c>
      <c r="L2340" s="11">
        <v>65000.0</v>
      </c>
    </row>
    <row r="2341" hidden="1">
      <c r="A2341" s="8" t="s">
        <v>1920</v>
      </c>
      <c r="B2341" s="8" t="s">
        <v>1920</v>
      </c>
      <c r="C2341" s="13">
        <v>45971.49912037037</v>
      </c>
      <c r="D2341" s="2" t="s">
        <v>1830</v>
      </c>
      <c r="E2341" s="2" t="s">
        <v>1831</v>
      </c>
      <c r="F2341" s="14" t="s">
        <v>3493</v>
      </c>
      <c r="G2341" s="14" t="s">
        <v>3494</v>
      </c>
      <c r="H2341" s="2" t="s">
        <v>24</v>
      </c>
      <c r="I2341" s="2" t="s">
        <v>3491</v>
      </c>
      <c r="J2341" s="2">
        <v>1.0</v>
      </c>
      <c r="K2341" s="12"/>
      <c r="L2341" s="11">
        <v>0.0</v>
      </c>
    </row>
    <row r="2342" hidden="1">
      <c r="A2342" s="8" t="s">
        <v>1920</v>
      </c>
      <c r="B2342" s="8" t="s">
        <v>1920</v>
      </c>
      <c r="C2342" s="13">
        <v>45971.49912037037</v>
      </c>
      <c r="D2342" s="2" t="s">
        <v>1830</v>
      </c>
      <c r="E2342" s="2" t="s">
        <v>1831</v>
      </c>
      <c r="F2342" s="14" t="s">
        <v>3486</v>
      </c>
      <c r="G2342" s="14" t="s">
        <v>3487</v>
      </c>
      <c r="H2342" s="2" t="s">
        <v>24</v>
      </c>
      <c r="I2342" s="2" t="s">
        <v>3491</v>
      </c>
      <c r="J2342" s="2">
        <v>13.0</v>
      </c>
      <c r="K2342" s="23" t="s">
        <v>5191</v>
      </c>
      <c r="L2342" s="11">
        <v>0.0</v>
      </c>
    </row>
    <row r="2343" hidden="1">
      <c r="A2343" s="8" t="s">
        <v>1921</v>
      </c>
      <c r="B2343" s="8" t="s">
        <v>1921</v>
      </c>
      <c r="C2343" s="13">
        <v>45971.50270833333</v>
      </c>
      <c r="D2343" s="2" t="s">
        <v>20</v>
      </c>
      <c r="E2343" s="2" t="s">
        <v>21</v>
      </c>
      <c r="F2343" s="14" t="s">
        <v>3493</v>
      </c>
      <c r="G2343" s="14" t="s">
        <v>3494</v>
      </c>
      <c r="H2343" s="2" t="s">
        <v>16</v>
      </c>
      <c r="I2343" s="2" t="s">
        <v>3488</v>
      </c>
      <c r="J2343" s="2">
        <v>1.0</v>
      </c>
      <c r="K2343" s="23" t="s">
        <v>4688</v>
      </c>
      <c r="L2343" s="11">
        <v>210000.0</v>
      </c>
    </row>
    <row r="2344" hidden="1">
      <c r="A2344" s="8" t="s">
        <v>1921</v>
      </c>
      <c r="B2344" s="8" t="s">
        <v>1921</v>
      </c>
      <c r="C2344" s="13">
        <v>45971.50270833333</v>
      </c>
      <c r="D2344" s="2" t="s">
        <v>20</v>
      </c>
      <c r="E2344" s="2" t="s">
        <v>21</v>
      </c>
      <c r="F2344" s="14" t="s">
        <v>3486</v>
      </c>
      <c r="G2344" s="14" t="s">
        <v>3487</v>
      </c>
      <c r="H2344" s="2" t="s">
        <v>16</v>
      </c>
      <c r="I2344" s="2" t="s">
        <v>3488</v>
      </c>
      <c r="J2344" s="2">
        <v>7.0</v>
      </c>
      <c r="K2344" s="23" t="s">
        <v>5192</v>
      </c>
      <c r="L2344" s="11">
        <v>60000.0</v>
      </c>
    </row>
    <row r="2345" hidden="1">
      <c r="A2345" s="8" t="s">
        <v>1920</v>
      </c>
      <c r="B2345" s="8" t="s">
        <v>1920</v>
      </c>
      <c r="C2345" s="13">
        <v>45971.49912037037</v>
      </c>
      <c r="D2345" s="2" t="s">
        <v>1830</v>
      </c>
      <c r="E2345" s="2" t="s">
        <v>1831</v>
      </c>
      <c r="F2345" s="14" t="s">
        <v>4203</v>
      </c>
      <c r="G2345" s="14" t="s">
        <v>4204</v>
      </c>
      <c r="H2345" s="2" t="s">
        <v>24</v>
      </c>
      <c r="I2345" s="2" t="s">
        <v>3491</v>
      </c>
      <c r="J2345" s="2">
        <v>2.0</v>
      </c>
      <c r="K2345" s="23" t="s">
        <v>5193</v>
      </c>
      <c r="L2345" s="11">
        <v>0.0</v>
      </c>
    </row>
    <row r="2346" hidden="1">
      <c r="A2346" s="8" t="s">
        <v>1922</v>
      </c>
      <c r="B2346" s="8" t="s">
        <v>1922</v>
      </c>
      <c r="C2346" s="13">
        <v>45971.58252314815</v>
      </c>
      <c r="D2346" s="2" t="s">
        <v>20</v>
      </c>
      <c r="E2346" s="2" t="s">
        <v>21</v>
      </c>
      <c r="F2346" s="14" t="s">
        <v>3486</v>
      </c>
      <c r="G2346" s="14" t="s">
        <v>3487</v>
      </c>
      <c r="H2346" s="2" t="s">
        <v>24</v>
      </c>
      <c r="I2346" s="2" t="s">
        <v>3491</v>
      </c>
      <c r="J2346" s="2">
        <v>4.0</v>
      </c>
      <c r="K2346" s="23" t="s">
        <v>5194</v>
      </c>
      <c r="L2346" s="11">
        <v>0.0</v>
      </c>
    </row>
    <row r="2347" hidden="1">
      <c r="A2347" s="8" t="s">
        <v>1923</v>
      </c>
      <c r="B2347" s="8" t="s">
        <v>1923</v>
      </c>
      <c r="C2347" s="13">
        <v>45971.58299768518</v>
      </c>
      <c r="D2347" s="2" t="s">
        <v>320</v>
      </c>
      <c r="E2347" s="2" t="s">
        <v>321</v>
      </c>
      <c r="F2347" s="14" t="s">
        <v>3516</v>
      </c>
      <c r="G2347" s="14" t="s">
        <v>3517</v>
      </c>
      <c r="H2347" s="2" t="s">
        <v>16</v>
      </c>
      <c r="I2347" s="2" t="s">
        <v>3488</v>
      </c>
      <c r="J2347" s="2">
        <v>2.0</v>
      </c>
      <c r="K2347" s="23" t="s">
        <v>5195</v>
      </c>
      <c r="L2347" s="11">
        <v>180000.0</v>
      </c>
    </row>
    <row r="2348">
      <c r="A2348" s="8" t="s">
        <v>1924</v>
      </c>
      <c r="B2348" s="8" t="s">
        <v>1924</v>
      </c>
      <c r="C2348" s="13">
        <v>45971.583449074074</v>
      </c>
      <c r="D2348" s="2" t="s">
        <v>45</v>
      </c>
      <c r="E2348" s="2" t="s">
        <v>46</v>
      </c>
      <c r="F2348" s="14" t="s">
        <v>3522</v>
      </c>
      <c r="G2348" s="14" t="s">
        <v>3523</v>
      </c>
      <c r="H2348" s="2" t="s">
        <v>16</v>
      </c>
      <c r="I2348" s="2" t="s">
        <v>3488</v>
      </c>
      <c r="J2348" s="2">
        <v>8.0</v>
      </c>
      <c r="K2348" s="23" t="s">
        <v>5196</v>
      </c>
      <c r="L2348" s="11">
        <v>185000.0</v>
      </c>
    </row>
    <row r="2349" hidden="1">
      <c r="A2349" s="8" t="s">
        <v>1925</v>
      </c>
      <c r="B2349" s="8" t="s">
        <v>1925</v>
      </c>
      <c r="C2349" s="13">
        <v>45971.59909722222</v>
      </c>
      <c r="D2349" s="2" t="s">
        <v>786</v>
      </c>
      <c r="E2349" s="2" t="s">
        <v>787</v>
      </c>
      <c r="F2349" s="14" t="s">
        <v>3486</v>
      </c>
      <c r="G2349" s="14" t="s">
        <v>3487</v>
      </c>
      <c r="H2349" s="2" t="s">
        <v>24</v>
      </c>
      <c r="I2349" s="2" t="s">
        <v>3491</v>
      </c>
      <c r="J2349" s="2">
        <v>5.0</v>
      </c>
      <c r="K2349" s="23" t="s">
        <v>5197</v>
      </c>
      <c r="L2349" s="11">
        <v>0.0</v>
      </c>
    </row>
    <row r="2350">
      <c r="A2350" s="8" t="s">
        <v>1926</v>
      </c>
      <c r="B2350" s="8" t="s">
        <v>1926</v>
      </c>
      <c r="C2350" s="13">
        <v>45971.664930555555</v>
      </c>
      <c r="D2350" s="2" t="s">
        <v>45</v>
      </c>
      <c r="E2350" s="2" t="s">
        <v>46</v>
      </c>
      <c r="F2350" s="14" t="s">
        <v>3486</v>
      </c>
      <c r="G2350" s="14" t="s">
        <v>3487</v>
      </c>
      <c r="H2350" s="2" t="s">
        <v>24</v>
      </c>
      <c r="I2350" s="2" t="s">
        <v>3491</v>
      </c>
      <c r="J2350" s="2">
        <v>3.0</v>
      </c>
      <c r="K2350" s="23" t="s">
        <v>5198</v>
      </c>
      <c r="L2350" s="11">
        <v>0.0</v>
      </c>
    </row>
    <row r="2351">
      <c r="A2351" s="8" t="s">
        <v>1926</v>
      </c>
      <c r="B2351" s="8" t="s">
        <v>1926</v>
      </c>
      <c r="C2351" s="13">
        <v>45971.664930555555</v>
      </c>
      <c r="D2351" s="2" t="s">
        <v>45</v>
      </c>
      <c r="E2351" s="2" t="s">
        <v>46</v>
      </c>
      <c r="F2351" s="14" t="s">
        <v>3522</v>
      </c>
      <c r="G2351" s="14" t="s">
        <v>3523</v>
      </c>
      <c r="H2351" s="2" t="s">
        <v>24</v>
      </c>
      <c r="I2351" s="2" t="s">
        <v>3491</v>
      </c>
      <c r="J2351" s="2">
        <v>7.0</v>
      </c>
      <c r="K2351" s="23" t="s">
        <v>5199</v>
      </c>
      <c r="L2351" s="11">
        <v>0.0</v>
      </c>
    </row>
    <row r="2352" hidden="1">
      <c r="A2352" s="8" t="s">
        <v>1927</v>
      </c>
      <c r="B2352" s="8" t="s">
        <v>1927</v>
      </c>
      <c r="C2352" s="13">
        <v>45972.34324074074</v>
      </c>
      <c r="D2352" s="2" t="s">
        <v>786</v>
      </c>
      <c r="E2352" s="2" t="s">
        <v>787</v>
      </c>
      <c r="F2352" s="14" t="s">
        <v>3516</v>
      </c>
      <c r="G2352" s="14" t="s">
        <v>3517</v>
      </c>
      <c r="H2352" s="2" t="s">
        <v>16</v>
      </c>
      <c r="I2352" s="2" t="s">
        <v>3488</v>
      </c>
      <c r="J2352" s="2">
        <v>3.0</v>
      </c>
      <c r="K2352" s="23" t="s">
        <v>5200</v>
      </c>
      <c r="L2352" s="11">
        <v>170000.0</v>
      </c>
    </row>
    <row r="2353" hidden="1">
      <c r="A2353" s="8" t="s">
        <v>1927</v>
      </c>
      <c r="B2353" s="8" t="s">
        <v>1927</v>
      </c>
      <c r="C2353" s="13">
        <v>45972.34324074074</v>
      </c>
      <c r="D2353" s="2" t="s">
        <v>786</v>
      </c>
      <c r="E2353" s="2" t="s">
        <v>787</v>
      </c>
      <c r="F2353" s="14" t="s">
        <v>3486</v>
      </c>
      <c r="G2353" s="14" t="s">
        <v>3487</v>
      </c>
      <c r="H2353" s="2" t="s">
        <v>16</v>
      </c>
      <c r="I2353" s="2" t="s">
        <v>3488</v>
      </c>
      <c r="J2353" s="2">
        <v>8.0</v>
      </c>
      <c r="K2353" s="23" t="s">
        <v>5201</v>
      </c>
      <c r="L2353" s="11">
        <v>60000.0</v>
      </c>
    </row>
    <row r="2354" hidden="1">
      <c r="A2354" s="8" t="s">
        <v>1928</v>
      </c>
      <c r="B2354" s="8" t="s">
        <v>1928</v>
      </c>
      <c r="C2354" s="13">
        <v>45972.34755787037</v>
      </c>
      <c r="D2354" s="2" t="s">
        <v>1613</v>
      </c>
      <c r="E2354" s="2" t="s">
        <v>1614</v>
      </c>
      <c r="F2354" s="14" t="s">
        <v>4203</v>
      </c>
      <c r="G2354" s="14" t="s">
        <v>4204</v>
      </c>
      <c r="H2354" s="2" t="s">
        <v>16</v>
      </c>
      <c r="I2354" s="2" t="s">
        <v>3488</v>
      </c>
      <c r="J2354" s="2">
        <v>2.0</v>
      </c>
      <c r="K2354" s="23" t="s">
        <v>5202</v>
      </c>
      <c r="L2354" s="11">
        <v>65000.0</v>
      </c>
    </row>
    <row r="2355" hidden="1">
      <c r="A2355" s="8" t="s">
        <v>1929</v>
      </c>
      <c r="B2355" s="8" t="s">
        <v>1929</v>
      </c>
      <c r="C2355" s="13">
        <v>45972.412939814814</v>
      </c>
      <c r="D2355" s="2" t="s">
        <v>943</v>
      </c>
      <c r="E2355" s="2" t="s">
        <v>944</v>
      </c>
      <c r="F2355" s="14" t="s">
        <v>4203</v>
      </c>
      <c r="G2355" s="14" t="s">
        <v>4204</v>
      </c>
      <c r="H2355" s="2" t="s">
        <v>16</v>
      </c>
      <c r="I2355" s="2" t="s">
        <v>3488</v>
      </c>
      <c r="J2355" s="2">
        <v>4.0</v>
      </c>
      <c r="K2355" s="23" t="s">
        <v>5203</v>
      </c>
      <c r="L2355" s="11">
        <v>55000.0</v>
      </c>
    </row>
    <row r="2356" hidden="1">
      <c r="A2356" s="8" t="s">
        <v>1929</v>
      </c>
      <c r="B2356" s="8" t="s">
        <v>1929</v>
      </c>
      <c r="C2356" s="13">
        <v>45972.412939814814</v>
      </c>
      <c r="D2356" s="2" t="s">
        <v>943</v>
      </c>
      <c r="E2356" s="2" t="s">
        <v>944</v>
      </c>
      <c r="F2356" s="14" t="s">
        <v>3506</v>
      </c>
      <c r="G2356" s="14" t="s">
        <v>3507</v>
      </c>
      <c r="H2356" s="2" t="s">
        <v>16</v>
      </c>
      <c r="I2356" s="2" t="s">
        <v>3488</v>
      </c>
      <c r="J2356" s="2">
        <v>1.0</v>
      </c>
      <c r="K2356" s="23" t="s">
        <v>4688</v>
      </c>
      <c r="L2356" s="11">
        <v>50000.0</v>
      </c>
    </row>
    <row r="2357" hidden="1">
      <c r="A2357" s="8" t="s">
        <v>1930</v>
      </c>
      <c r="B2357" s="8" t="s">
        <v>1930</v>
      </c>
      <c r="C2357" s="13">
        <v>45972.541655092595</v>
      </c>
      <c r="D2357" s="2" t="s">
        <v>943</v>
      </c>
      <c r="E2357" s="2" t="s">
        <v>944</v>
      </c>
      <c r="F2357" s="14" t="s">
        <v>4203</v>
      </c>
      <c r="G2357" s="14" t="s">
        <v>4204</v>
      </c>
      <c r="H2357" s="2" t="s">
        <v>24</v>
      </c>
      <c r="I2357" s="2" t="s">
        <v>3491</v>
      </c>
      <c r="J2357" s="2">
        <v>4.0</v>
      </c>
      <c r="K2357" s="23" t="s">
        <v>5204</v>
      </c>
      <c r="L2357" s="11">
        <v>0.0</v>
      </c>
    </row>
    <row r="2358" hidden="1">
      <c r="A2358" s="8" t="s">
        <v>1930</v>
      </c>
      <c r="B2358" s="8" t="s">
        <v>1930</v>
      </c>
      <c r="C2358" s="13">
        <v>45972.541655092595</v>
      </c>
      <c r="D2358" s="2" t="s">
        <v>943</v>
      </c>
      <c r="E2358" s="2" t="s">
        <v>944</v>
      </c>
      <c r="F2358" s="14" t="s">
        <v>3506</v>
      </c>
      <c r="G2358" s="14" t="s">
        <v>3507</v>
      </c>
      <c r="H2358" s="2" t="s">
        <v>24</v>
      </c>
      <c r="I2358" s="2" t="s">
        <v>3491</v>
      </c>
      <c r="J2358" s="2">
        <v>1.0</v>
      </c>
      <c r="K2358" s="23" t="s">
        <v>4688</v>
      </c>
      <c r="L2358" s="11">
        <v>0.0</v>
      </c>
    </row>
    <row r="2359" hidden="1">
      <c r="A2359" s="8" t="s">
        <v>1931</v>
      </c>
      <c r="B2359" s="8" t="s">
        <v>1931</v>
      </c>
      <c r="C2359" s="13">
        <v>45972.542349537034</v>
      </c>
      <c r="D2359" s="2" t="s">
        <v>1873</v>
      </c>
      <c r="E2359" s="2" t="s">
        <v>1874</v>
      </c>
      <c r="F2359" s="14" t="s">
        <v>3486</v>
      </c>
      <c r="G2359" s="14" t="s">
        <v>3487</v>
      </c>
      <c r="H2359" s="2" t="s">
        <v>16</v>
      </c>
      <c r="I2359" s="2" t="s">
        <v>3488</v>
      </c>
      <c r="J2359" s="2">
        <v>2.0</v>
      </c>
      <c r="K2359" s="23" t="s">
        <v>5205</v>
      </c>
      <c r="L2359" s="11">
        <v>70000.0</v>
      </c>
    </row>
    <row r="2360" hidden="1">
      <c r="A2360" s="8" t="s">
        <v>1932</v>
      </c>
      <c r="B2360" s="8" t="s">
        <v>1932</v>
      </c>
      <c r="C2360" s="13">
        <v>45972.59868055556</v>
      </c>
      <c r="D2360" s="2" t="s">
        <v>1830</v>
      </c>
      <c r="E2360" s="2" t="s">
        <v>1831</v>
      </c>
      <c r="F2360" s="14" t="s">
        <v>3486</v>
      </c>
      <c r="G2360" s="14" t="s">
        <v>3487</v>
      </c>
      <c r="H2360" s="2" t="s">
        <v>16</v>
      </c>
      <c r="I2360" s="2" t="s">
        <v>3488</v>
      </c>
      <c r="J2360" s="2">
        <v>15.0</v>
      </c>
      <c r="K2360" s="23" t="s">
        <v>5206</v>
      </c>
      <c r="L2360" s="11">
        <v>55000.0</v>
      </c>
    </row>
    <row r="2361" hidden="1">
      <c r="A2361" s="8" t="s">
        <v>1932</v>
      </c>
      <c r="B2361" s="8" t="s">
        <v>1932</v>
      </c>
      <c r="C2361" s="13">
        <v>45972.59868055556</v>
      </c>
      <c r="D2361" s="2" t="s">
        <v>1830</v>
      </c>
      <c r="E2361" s="2" t="s">
        <v>1831</v>
      </c>
      <c r="F2361" s="14" t="s">
        <v>4729</v>
      </c>
      <c r="G2361" s="14" t="s">
        <v>4730</v>
      </c>
      <c r="H2361" s="2" t="s">
        <v>16</v>
      </c>
      <c r="I2361" s="2" t="s">
        <v>3488</v>
      </c>
      <c r="J2361" s="2">
        <v>1.0</v>
      </c>
      <c r="K2361" s="12"/>
      <c r="L2361" s="11">
        <v>50000.0</v>
      </c>
    </row>
    <row r="2362" hidden="1">
      <c r="A2362" s="8" t="s">
        <v>1933</v>
      </c>
      <c r="B2362" s="8" t="s">
        <v>1933</v>
      </c>
      <c r="C2362" s="13">
        <v>45972.60775462963</v>
      </c>
      <c r="D2362" s="2" t="s">
        <v>1613</v>
      </c>
      <c r="E2362" s="2" t="s">
        <v>1614</v>
      </c>
      <c r="F2362" s="14" t="s">
        <v>4203</v>
      </c>
      <c r="G2362" s="14" t="s">
        <v>4204</v>
      </c>
      <c r="H2362" s="2" t="s">
        <v>24</v>
      </c>
      <c r="I2362" s="2" t="s">
        <v>3491</v>
      </c>
      <c r="J2362" s="2">
        <v>1.0</v>
      </c>
      <c r="K2362" s="23" t="s">
        <v>5207</v>
      </c>
      <c r="L2362" s="11">
        <v>0.0</v>
      </c>
    </row>
    <row r="2363" hidden="1">
      <c r="A2363" s="8" t="s">
        <v>1934</v>
      </c>
      <c r="B2363" s="8" t="s">
        <v>1934</v>
      </c>
      <c r="C2363" s="13">
        <v>45972.60917824074</v>
      </c>
      <c r="D2363" s="2" t="s">
        <v>1084</v>
      </c>
      <c r="E2363" s="2" t="s">
        <v>1085</v>
      </c>
      <c r="F2363" s="14" t="s">
        <v>3486</v>
      </c>
      <c r="G2363" s="14" t="s">
        <v>3487</v>
      </c>
      <c r="H2363" s="2" t="s">
        <v>24</v>
      </c>
      <c r="I2363" s="2" t="s">
        <v>3491</v>
      </c>
      <c r="J2363" s="2">
        <v>1.0</v>
      </c>
      <c r="K2363" s="23" t="s">
        <v>4072</v>
      </c>
      <c r="L2363" s="11">
        <v>0.0</v>
      </c>
    </row>
    <row r="2364" hidden="1">
      <c r="A2364" s="8" t="s">
        <v>1935</v>
      </c>
      <c r="B2364" s="8" t="s">
        <v>1935</v>
      </c>
      <c r="C2364" s="13">
        <v>45972.60975694445</v>
      </c>
      <c r="D2364" s="2" t="s">
        <v>786</v>
      </c>
      <c r="E2364" s="2" t="s">
        <v>787</v>
      </c>
      <c r="F2364" s="14" t="s">
        <v>3516</v>
      </c>
      <c r="G2364" s="14" t="s">
        <v>3517</v>
      </c>
      <c r="H2364" s="2" t="s">
        <v>24</v>
      </c>
      <c r="I2364" s="2" t="s">
        <v>3491</v>
      </c>
      <c r="J2364" s="2">
        <v>2.0</v>
      </c>
      <c r="K2364" s="23" t="s">
        <v>4801</v>
      </c>
      <c r="L2364" s="11">
        <v>0.0</v>
      </c>
    </row>
    <row r="2365" hidden="1">
      <c r="A2365" s="8" t="s">
        <v>1935</v>
      </c>
      <c r="B2365" s="8" t="s">
        <v>1935</v>
      </c>
      <c r="C2365" s="13">
        <v>45972.60975694445</v>
      </c>
      <c r="D2365" s="2" t="s">
        <v>786</v>
      </c>
      <c r="E2365" s="2" t="s">
        <v>787</v>
      </c>
      <c r="F2365" s="14" t="s">
        <v>3486</v>
      </c>
      <c r="G2365" s="14" t="s">
        <v>3487</v>
      </c>
      <c r="H2365" s="2" t="s">
        <v>24</v>
      </c>
      <c r="I2365" s="2" t="s">
        <v>3491</v>
      </c>
      <c r="J2365" s="2">
        <v>2.0</v>
      </c>
      <c r="K2365" s="23" t="s">
        <v>5208</v>
      </c>
      <c r="L2365" s="11">
        <v>0.0</v>
      </c>
    </row>
    <row r="2366" hidden="1">
      <c r="A2366" s="8" t="s">
        <v>1635</v>
      </c>
      <c r="B2366" s="8" t="s">
        <v>1635</v>
      </c>
      <c r="C2366" s="13">
        <v>45938.36178240741</v>
      </c>
      <c r="D2366" s="2" t="s">
        <v>169</v>
      </c>
      <c r="E2366" s="2" t="s">
        <v>170</v>
      </c>
      <c r="F2366" s="14" t="s">
        <v>4729</v>
      </c>
      <c r="G2366" s="14" t="s">
        <v>4730</v>
      </c>
      <c r="H2366" s="2" t="s">
        <v>16</v>
      </c>
      <c r="I2366" s="2" t="s">
        <v>3488</v>
      </c>
      <c r="J2366" s="2">
        <v>1.0</v>
      </c>
      <c r="K2366" s="12"/>
      <c r="L2366" s="11">
        <v>100000.0</v>
      </c>
    </row>
    <row r="2367" hidden="1">
      <c r="A2367" s="8" t="s">
        <v>1936</v>
      </c>
      <c r="B2367" s="8" t="s">
        <v>1936</v>
      </c>
      <c r="C2367" s="13">
        <v>45972.65744212963</v>
      </c>
      <c r="D2367" s="2" t="s">
        <v>1873</v>
      </c>
      <c r="E2367" s="2" t="s">
        <v>1874</v>
      </c>
      <c r="F2367" s="14" t="s">
        <v>3486</v>
      </c>
      <c r="G2367" s="14" t="s">
        <v>3487</v>
      </c>
      <c r="H2367" s="2" t="s">
        <v>24</v>
      </c>
      <c r="I2367" s="2" t="s">
        <v>3491</v>
      </c>
      <c r="J2367" s="2">
        <v>6.0</v>
      </c>
      <c r="K2367" s="23" t="s">
        <v>5209</v>
      </c>
      <c r="L2367" s="11">
        <v>0.0</v>
      </c>
    </row>
    <row r="2368" hidden="1">
      <c r="A2368" s="8" t="s">
        <v>1937</v>
      </c>
      <c r="B2368" s="8" t="s">
        <v>1937</v>
      </c>
      <c r="C2368" s="13">
        <v>45973.357766203706</v>
      </c>
      <c r="D2368" s="2" t="s">
        <v>1830</v>
      </c>
      <c r="E2368" s="2" t="s">
        <v>1831</v>
      </c>
      <c r="F2368" s="14" t="s">
        <v>3493</v>
      </c>
      <c r="G2368" s="14" t="s">
        <v>3494</v>
      </c>
      <c r="H2368" s="2" t="s">
        <v>24</v>
      </c>
      <c r="I2368" s="2" t="s">
        <v>3491</v>
      </c>
      <c r="J2368" s="2">
        <v>2.0</v>
      </c>
      <c r="K2368" s="12"/>
      <c r="L2368" s="11">
        <v>0.0</v>
      </c>
    </row>
    <row r="2369" hidden="1">
      <c r="A2369" s="8" t="s">
        <v>1937</v>
      </c>
      <c r="B2369" s="8" t="s">
        <v>1937</v>
      </c>
      <c r="C2369" s="13">
        <v>45973.357766203706</v>
      </c>
      <c r="D2369" s="2" t="s">
        <v>1830</v>
      </c>
      <c r="E2369" s="2" t="s">
        <v>1831</v>
      </c>
      <c r="F2369" s="14" t="s">
        <v>3486</v>
      </c>
      <c r="G2369" s="14" t="s">
        <v>3487</v>
      </c>
      <c r="H2369" s="2" t="s">
        <v>24</v>
      </c>
      <c r="I2369" s="2" t="s">
        <v>3491</v>
      </c>
      <c r="J2369" s="2">
        <v>11.0</v>
      </c>
      <c r="K2369" s="23" t="s">
        <v>5210</v>
      </c>
      <c r="L2369" s="11">
        <v>0.0</v>
      </c>
    </row>
    <row r="2370" hidden="1">
      <c r="A2370" s="8" t="s">
        <v>1937</v>
      </c>
      <c r="B2370" s="8" t="s">
        <v>1937</v>
      </c>
      <c r="C2370" s="13">
        <v>45973.357766203706</v>
      </c>
      <c r="D2370" s="2" t="s">
        <v>1830</v>
      </c>
      <c r="E2370" s="2" t="s">
        <v>1831</v>
      </c>
      <c r="F2370" s="14" t="s">
        <v>4203</v>
      </c>
      <c r="G2370" s="14" t="s">
        <v>4204</v>
      </c>
      <c r="H2370" s="2" t="s">
        <v>24</v>
      </c>
      <c r="I2370" s="2" t="s">
        <v>3491</v>
      </c>
      <c r="J2370" s="2">
        <v>2.0</v>
      </c>
      <c r="K2370" s="23" t="s">
        <v>5211</v>
      </c>
      <c r="L2370" s="11">
        <v>0.0</v>
      </c>
    </row>
    <row r="2371">
      <c r="A2371" s="8" t="s">
        <v>1938</v>
      </c>
      <c r="B2371" s="8" t="s">
        <v>1938</v>
      </c>
      <c r="C2371" s="13">
        <v>45973.36148148148</v>
      </c>
      <c r="D2371" s="2" t="s">
        <v>45</v>
      </c>
      <c r="E2371" s="2" t="s">
        <v>46</v>
      </c>
      <c r="F2371" s="14" t="s">
        <v>3486</v>
      </c>
      <c r="G2371" s="14" t="s">
        <v>3487</v>
      </c>
      <c r="H2371" s="2" t="s">
        <v>16</v>
      </c>
      <c r="I2371" s="2" t="s">
        <v>3488</v>
      </c>
      <c r="J2371" s="2">
        <v>5.0</v>
      </c>
      <c r="K2371" s="23" t="s">
        <v>5212</v>
      </c>
      <c r="L2371" s="11">
        <v>60000.0</v>
      </c>
    </row>
    <row r="2372" hidden="1">
      <c r="A2372" s="8" t="s">
        <v>1939</v>
      </c>
      <c r="B2372" s="8" t="s">
        <v>1939</v>
      </c>
      <c r="C2372" s="13">
        <v>45973.36194444444</v>
      </c>
      <c r="D2372" s="2" t="s">
        <v>904</v>
      </c>
      <c r="E2372" s="2" t="s">
        <v>905</v>
      </c>
      <c r="F2372" s="14" t="s">
        <v>3486</v>
      </c>
      <c r="G2372" s="14" t="s">
        <v>3487</v>
      </c>
      <c r="H2372" s="2" t="s">
        <v>16</v>
      </c>
      <c r="I2372" s="2" t="s">
        <v>3488</v>
      </c>
      <c r="J2372" s="2">
        <v>3.0</v>
      </c>
      <c r="K2372" s="23" t="s">
        <v>5213</v>
      </c>
      <c r="L2372" s="11">
        <v>70000.0</v>
      </c>
    </row>
    <row r="2373" hidden="1">
      <c r="A2373" s="8" t="s">
        <v>1939</v>
      </c>
      <c r="B2373" s="8" t="s">
        <v>1939</v>
      </c>
      <c r="C2373" s="13">
        <v>45973.36194444444</v>
      </c>
      <c r="D2373" s="2" t="s">
        <v>904</v>
      </c>
      <c r="E2373" s="2" t="s">
        <v>905</v>
      </c>
      <c r="F2373" s="14" t="s">
        <v>3493</v>
      </c>
      <c r="G2373" s="14" t="s">
        <v>3494</v>
      </c>
      <c r="H2373" s="2" t="s">
        <v>16</v>
      </c>
      <c r="I2373" s="2" t="s">
        <v>3488</v>
      </c>
      <c r="J2373" s="2">
        <v>1.0</v>
      </c>
      <c r="K2373" s="12"/>
      <c r="L2373" s="11">
        <v>200000.0</v>
      </c>
    </row>
    <row r="2374" hidden="1">
      <c r="A2374" s="8" t="s">
        <v>1940</v>
      </c>
      <c r="B2374" s="8" t="s">
        <v>1940</v>
      </c>
      <c r="C2374" s="13">
        <v>45973.36615740741</v>
      </c>
      <c r="D2374" s="2" t="s">
        <v>786</v>
      </c>
      <c r="E2374" s="2" t="s">
        <v>787</v>
      </c>
      <c r="F2374" s="14" t="s">
        <v>3486</v>
      </c>
      <c r="G2374" s="14" t="s">
        <v>3487</v>
      </c>
      <c r="H2374" s="2" t="s">
        <v>16</v>
      </c>
      <c r="I2374" s="2" t="s">
        <v>3488</v>
      </c>
      <c r="J2374" s="2">
        <v>6.0</v>
      </c>
      <c r="K2374" s="23" t="s">
        <v>5214</v>
      </c>
      <c r="L2374" s="11">
        <v>60000.0</v>
      </c>
    </row>
    <row r="2375" hidden="1">
      <c r="A2375" s="8" t="s">
        <v>1941</v>
      </c>
      <c r="B2375" s="8" t="s">
        <v>1941</v>
      </c>
      <c r="C2375" s="13">
        <v>45973.444918981484</v>
      </c>
      <c r="D2375" s="2" t="s">
        <v>904</v>
      </c>
      <c r="E2375" s="2" t="s">
        <v>905</v>
      </c>
      <c r="F2375" s="14" t="s">
        <v>4203</v>
      </c>
      <c r="G2375" s="14" t="s">
        <v>4204</v>
      </c>
      <c r="H2375" s="2" t="s">
        <v>24</v>
      </c>
      <c r="I2375" s="2" t="s">
        <v>3491</v>
      </c>
      <c r="J2375" s="2">
        <v>1.0</v>
      </c>
      <c r="K2375" s="23" t="s">
        <v>4412</v>
      </c>
      <c r="L2375" s="11">
        <v>0.0</v>
      </c>
    </row>
    <row r="2376" hidden="1">
      <c r="A2376" s="8" t="s">
        <v>1941</v>
      </c>
      <c r="B2376" s="8" t="s">
        <v>1941</v>
      </c>
      <c r="C2376" s="13">
        <v>45973.444918981484</v>
      </c>
      <c r="D2376" s="2" t="s">
        <v>904</v>
      </c>
      <c r="E2376" s="2" t="s">
        <v>905</v>
      </c>
      <c r="F2376" s="14" t="s">
        <v>3493</v>
      </c>
      <c r="G2376" s="14" t="s">
        <v>3494</v>
      </c>
      <c r="H2376" s="2" t="s">
        <v>24</v>
      </c>
      <c r="I2376" s="2" t="s">
        <v>3491</v>
      </c>
      <c r="J2376" s="2">
        <v>1.0</v>
      </c>
      <c r="K2376" s="12"/>
      <c r="L2376" s="11">
        <v>0.0</v>
      </c>
    </row>
    <row r="2377" hidden="1">
      <c r="A2377" s="8" t="s">
        <v>1942</v>
      </c>
      <c r="B2377" s="8" t="s">
        <v>1942</v>
      </c>
      <c r="C2377" s="13">
        <v>45973.495092592595</v>
      </c>
      <c r="D2377" s="2" t="s">
        <v>786</v>
      </c>
      <c r="E2377" s="2" t="s">
        <v>787</v>
      </c>
      <c r="F2377" s="14" t="s">
        <v>3486</v>
      </c>
      <c r="G2377" s="14" t="s">
        <v>3487</v>
      </c>
      <c r="H2377" s="2" t="s">
        <v>24</v>
      </c>
      <c r="I2377" s="2" t="s">
        <v>3491</v>
      </c>
      <c r="J2377" s="2">
        <v>5.0</v>
      </c>
      <c r="K2377" s="23" t="s">
        <v>5215</v>
      </c>
      <c r="L2377" s="11">
        <v>0.0</v>
      </c>
    </row>
    <row r="2378" hidden="1">
      <c r="A2378" s="8" t="s">
        <v>1942</v>
      </c>
      <c r="B2378" s="8" t="s">
        <v>1942</v>
      </c>
      <c r="C2378" s="13">
        <v>45973.495092592595</v>
      </c>
      <c r="D2378" s="2" t="s">
        <v>786</v>
      </c>
      <c r="E2378" s="2" t="s">
        <v>787</v>
      </c>
      <c r="F2378" s="14" t="s">
        <v>3516</v>
      </c>
      <c r="G2378" s="14" t="s">
        <v>3517</v>
      </c>
      <c r="H2378" s="2" t="s">
        <v>24</v>
      </c>
      <c r="I2378" s="2" t="s">
        <v>3491</v>
      </c>
      <c r="J2378" s="2">
        <v>1.0</v>
      </c>
      <c r="K2378" s="23" t="s">
        <v>4948</v>
      </c>
      <c r="L2378" s="11">
        <v>0.0</v>
      </c>
    </row>
    <row r="2379" hidden="1">
      <c r="A2379" s="1"/>
      <c r="B2379" s="1"/>
      <c r="C2379" s="13"/>
      <c r="D2379" s="2"/>
      <c r="E2379" s="2"/>
      <c r="F2379" s="14"/>
      <c r="G2379" s="14"/>
      <c r="H2379" s="2"/>
      <c r="I2379" s="2"/>
      <c r="J2379" s="2"/>
      <c r="K2379" s="12"/>
      <c r="L2379" s="11"/>
    </row>
    <row r="2380" hidden="1">
      <c r="A2380" s="1"/>
      <c r="B2380" s="1"/>
      <c r="C2380" s="13"/>
      <c r="D2380" s="2"/>
      <c r="E2380" s="2"/>
      <c r="F2380" s="14"/>
      <c r="G2380" s="14"/>
      <c r="H2380" s="2"/>
      <c r="I2380" s="2"/>
      <c r="J2380" s="2"/>
      <c r="K2380" s="12"/>
      <c r="L2380" s="11"/>
    </row>
    <row r="2381" hidden="1">
      <c r="A2381" s="1"/>
      <c r="B2381" s="1"/>
      <c r="C2381" s="13"/>
      <c r="D2381" s="2"/>
      <c r="E2381" s="2"/>
      <c r="F2381" s="14"/>
      <c r="G2381" s="14"/>
      <c r="H2381" s="2"/>
      <c r="I2381" s="2"/>
      <c r="J2381" s="2"/>
      <c r="K2381" s="12"/>
      <c r="L2381" s="11"/>
    </row>
    <row r="2382" hidden="1">
      <c r="A2382" s="1"/>
      <c r="B2382" s="1"/>
      <c r="C2382" s="13"/>
      <c r="D2382" s="2"/>
      <c r="E2382" s="2"/>
      <c r="F2382" s="14"/>
      <c r="G2382" s="14"/>
      <c r="H2382" s="2"/>
      <c r="I2382" s="2"/>
      <c r="J2382" s="2"/>
      <c r="K2382" s="12"/>
      <c r="L2382" s="11"/>
    </row>
    <row r="2383" hidden="1">
      <c r="A2383" s="8" t="s">
        <v>1943</v>
      </c>
      <c r="B2383" s="8" t="s">
        <v>1943</v>
      </c>
      <c r="C2383" s="13">
        <v>45973.630844907406</v>
      </c>
      <c r="D2383" s="2" t="s">
        <v>131</v>
      </c>
      <c r="E2383" s="2" t="s">
        <v>132</v>
      </c>
      <c r="F2383" s="14" t="s">
        <v>3516</v>
      </c>
      <c r="G2383" s="14" t="s">
        <v>3517</v>
      </c>
      <c r="H2383" s="2" t="s">
        <v>16</v>
      </c>
      <c r="I2383" s="2" t="s">
        <v>3488</v>
      </c>
      <c r="J2383" s="2">
        <v>3.0</v>
      </c>
      <c r="K2383" s="23" t="s">
        <v>5216</v>
      </c>
      <c r="L2383" s="11">
        <v>170000.0</v>
      </c>
    </row>
    <row r="2384" hidden="1">
      <c r="A2384" s="8" t="s">
        <v>1944</v>
      </c>
      <c r="B2384" s="8" t="s">
        <v>1944</v>
      </c>
      <c r="C2384" s="13">
        <v>45973.66840277778</v>
      </c>
      <c r="D2384" s="2" t="s">
        <v>131</v>
      </c>
      <c r="E2384" s="2" t="s">
        <v>132</v>
      </c>
      <c r="F2384" s="14" t="s">
        <v>4203</v>
      </c>
      <c r="G2384" s="14" t="s">
        <v>4204</v>
      </c>
      <c r="H2384" s="2" t="s">
        <v>24</v>
      </c>
      <c r="I2384" s="2" t="s">
        <v>3491</v>
      </c>
      <c r="J2384" s="2">
        <v>1.0</v>
      </c>
      <c r="K2384" s="23" t="s">
        <v>5127</v>
      </c>
      <c r="L2384" s="11">
        <v>0.0</v>
      </c>
    </row>
    <row r="2385" hidden="1">
      <c r="A2385" s="8" t="s">
        <v>1944</v>
      </c>
      <c r="B2385" s="8" t="s">
        <v>1944</v>
      </c>
      <c r="C2385" s="13">
        <v>45973.66840277778</v>
      </c>
      <c r="D2385" s="2" t="s">
        <v>131</v>
      </c>
      <c r="E2385" s="2" t="s">
        <v>132</v>
      </c>
      <c r="F2385" s="14" t="s">
        <v>3516</v>
      </c>
      <c r="G2385" s="14" t="s">
        <v>3517</v>
      </c>
      <c r="H2385" s="2" t="s">
        <v>24</v>
      </c>
      <c r="I2385" s="2" t="s">
        <v>3491</v>
      </c>
      <c r="J2385" s="2">
        <v>2.0</v>
      </c>
      <c r="K2385" s="23" t="s">
        <v>5217</v>
      </c>
      <c r="L2385" s="11">
        <v>0.0</v>
      </c>
    </row>
    <row r="2386" hidden="1">
      <c r="A2386" s="8" t="s">
        <v>1945</v>
      </c>
      <c r="B2386" s="8" t="s">
        <v>1945</v>
      </c>
      <c r="C2386" s="13">
        <v>45973.67659722222</v>
      </c>
      <c r="D2386" s="2" t="s">
        <v>1830</v>
      </c>
      <c r="E2386" s="2" t="s">
        <v>1831</v>
      </c>
      <c r="F2386" s="14" t="s">
        <v>3493</v>
      </c>
      <c r="G2386" s="14" t="s">
        <v>3494</v>
      </c>
      <c r="H2386" s="2" t="s">
        <v>16</v>
      </c>
      <c r="I2386" s="2" t="s">
        <v>3488</v>
      </c>
      <c r="J2386" s="2">
        <v>1.0</v>
      </c>
      <c r="K2386" s="12"/>
      <c r="L2386" s="11">
        <v>210000.0</v>
      </c>
    </row>
    <row r="2387" hidden="1">
      <c r="A2387" s="8" t="s">
        <v>1945</v>
      </c>
      <c r="B2387" s="8" t="s">
        <v>1945</v>
      </c>
      <c r="C2387" s="13">
        <v>45973.67659722222</v>
      </c>
      <c r="D2387" s="2" t="s">
        <v>1830</v>
      </c>
      <c r="E2387" s="2" t="s">
        <v>1831</v>
      </c>
      <c r="F2387" s="14" t="s">
        <v>4729</v>
      </c>
      <c r="G2387" s="14" t="s">
        <v>4730</v>
      </c>
      <c r="H2387" s="2" t="s">
        <v>16</v>
      </c>
      <c r="I2387" s="2" t="s">
        <v>3488</v>
      </c>
      <c r="J2387" s="2">
        <v>1.0</v>
      </c>
      <c r="K2387" s="12"/>
      <c r="L2387" s="11">
        <v>50000.0</v>
      </c>
    </row>
    <row r="2388" hidden="1">
      <c r="A2388" s="8" t="s">
        <v>1946</v>
      </c>
      <c r="B2388" s="8" t="s">
        <v>1946</v>
      </c>
      <c r="C2388" s="13">
        <v>45973.678819444445</v>
      </c>
      <c r="D2388" s="2" t="s">
        <v>1830</v>
      </c>
      <c r="E2388" s="2" t="s">
        <v>1831</v>
      </c>
      <c r="F2388" s="14" t="s">
        <v>4203</v>
      </c>
      <c r="G2388" s="14" t="s">
        <v>4204</v>
      </c>
      <c r="H2388" s="2" t="s">
        <v>24</v>
      </c>
      <c r="I2388" s="2" t="s">
        <v>3491</v>
      </c>
      <c r="J2388" s="2">
        <v>2.0</v>
      </c>
      <c r="K2388" s="23" t="s">
        <v>5218</v>
      </c>
      <c r="L2388" s="11">
        <v>0.0</v>
      </c>
    </row>
    <row r="2389" hidden="1">
      <c r="A2389" s="8" t="s">
        <v>1946</v>
      </c>
      <c r="B2389" s="8" t="s">
        <v>1946</v>
      </c>
      <c r="C2389" s="13">
        <v>45973.678819444445</v>
      </c>
      <c r="D2389" s="2" t="s">
        <v>1830</v>
      </c>
      <c r="E2389" s="2" t="s">
        <v>1831</v>
      </c>
      <c r="F2389" s="14" t="s">
        <v>3486</v>
      </c>
      <c r="G2389" s="14" t="s">
        <v>3487</v>
      </c>
      <c r="H2389" s="2" t="s">
        <v>24</v>
      </c>
      <c r="I2389" s="2" t="s">
        <v>3491</v>
      </c>
      <c r="J2389" s="2">
        <v>5.0</v>
      </c>
      <c r="K2389" s="23" t="s">
        <v>5219</v>
      </c>
      <c r="L2389" s="11">
        <v>0.0</v>
      </c>
    </row>
    <row r="2390" hidden="1">
      <c r="A2390" s="8" t="s">
        <v>1947</v>
      </c>
      <c r="B2390" s="8" t="s">
        <v>1947</v>
      </c>
      <c r="C2390" s="13">
        <v>45974.345671296294</v>
      </c>
      <c r="D2390" s="2" t="s">
        <v>1889</v>
      </c>
      <c r="E2390" s="2" t="s">
        <v>1890</v>
      </c>
      <c r="F2390" s="14" t="s">
        <v>4203</v>
      </c>
      <c r="G2390" s="14" t="s">
        <v>4204</v>
      </c>
      <c r="H2390" s="2" t="s">
        <v>16</v>
      </c>
      <c r="I2390" s="2" t="s">
        <v>3488</v>
      </c>
      <c r="J2390" s="2">
        <v>1.0</v>
      </c>
      <c r="K2390" s="23" t="s">
        <v>5162</v>
      </c>
      <c r="L2390" s="11">
        <v>60000.0</v>
      </c>
    </row>
    <row r="2391" hidden="1">
      <c r="A2391" s="8" t="s">
        <v>1948</v>
      </c>
      <c r="B2391" s="8" t="s">
        <v>1948</v>
      </c>
      <c r="C2391" s="13">
        <v>45974.35978009259</v>
      </c>
      <c r="D2391" s="2" t="s">
        <v>109</v>
      </c>
      <c r="E2391" s="2" t="s">
        <v>110</v>
      </c>
      <c r="F2391" s="14" t="s">
        <v>3486</v>
      </c>
      <c r="G2391" s="14" t="s">
        <v>3487</v>
      </c>
      <c r="H2391" s="2" t="s">
        <v>16</v>
      </c>
      <c r="I2391" s="2" t="s">
        <v>3488</v>
      </c>
      <c r="J2391" s="2">
        <v>3.0</v>
      </c>
      <c r="K2391" s="23" t="s">
        <v>5220</v>
      </c>
      <c r="L2391" s="11">
        <v>60000.0</v>
      </c>
    </row>
    <row r="2392" hidden="1">
      <c r="A2392" s="8" t="s">
        <v>1948</v>
      </c>
      <c r="B2392" s="8" t="s">
        <v>1948</v>
      </c>
      <c r="C2392" s="13">
        <v>45974.35978009259</v>
      </c>
      <c r="D2392" s="2" t="s">
        <v>109</v>
      </c>
      <c r="E2392" s="2" t="s">
        <v>110</v>
      </c>
      <c r="F2392" s="14" t="s">
        <v>3522</v>
      </c>
      <c r="G2392" s="14" t="s">
        <v>3523</v>
      </c>
      <c r="H2392" s="2" t="s">
        <v>16</v>
      </c>
      <c r="I2392" s="2" t="s">
        <v>3488</v>
      </c>
      <c r="J2392" s="2">
        <v>3.0</v>
      </c>
      <c r="K2392" s="23" t="s">
        <v>5221</v>
      </c>
      <c r="L2392" s="11">
        <v>190000.0</v>
      </c>
    </row>
    <row r="2393" hidden="1">
      <c r="A2393" s="8" t="s">
        <v>1949</v>
      </c>
      <c r="B2393" s="8" t="s">
        <v>1949</v>
      </c>
      <c r="C2393" s="13">
        <v>45974.360300925924</v>
      </c>
      <c r="D2393" s="2" t="s">
        <v>320</v>
      </c>
      <c r="E2393" s="2" t="s">
        <v>321</v>
      </c>
      <c r="F2393" s="14" t="s">
        <v>3486</v>
      </c>
      <c r="G2393" s="14" t="s">
        <v>3487</v>
      </c>
      <c r="H2393" s="2" t="s">
        <v>16</v>
      </c>
      <c r="I2393" s="2" t="s">
        <v>3488</v>
      </c>
      <c r="J2393" s="2">
        <v>2.0</v>
      </c>
      <c r="K2393" s="23" t="s">
        <v>5222</v>
      </c>
      <c r="L2393" s="11">
        <v>70000.0</v>
      </c>
    </row>
    <row r="2394" hidden="1">
      <c r="A2394" s="8" t="s">
        <v>1950</v>
      </c>
      <c r="B2394" s="8" t="s">
        <v>1950</v>
      </c>
      <c r="C2394" s="13">
        <v>45974.36552083334</v>
      </c>
      <c r="D2394" s="2" t="s">
        <v>1904</v>
      </c>
      <c r="E2394" s="2" t="s">
        <v>1905</v>
      </c>
      <c r="F2394" s="14" t="s">
        <v>4203</v>
      </c>
      <c r="G2394" s="14" t="s">
        <v>4204</v>
      </c>
      <c r="H2394" s="2" t="s">
        <v>16</v>
      </c>
      <c r="I2394" s="2" t="s">
        <v>3488</v>
      </c>
      <c r="J2394" s="2">
        <v>10.0</v>
      </c>
      <c r="K2394" s="23" t="s">
        <v>5223</v>
      </c>
      <c r="L2394" s="11">
        <v>50000.0</v>
      </c>
    </row>
    <row r="2395" hidden="1">
      <c r="A2395" s="8" t="s">
        <v>1951</v>
      </c>
      <c r="B2395" s="8" t="s">
        <v>1951</v>
      </c>
      <c r="C2395" s="13">
        <v>45974.44081018519</v>
      </c>
      <c r="D2395" s="2" t="s">
        <v>1904</v>
      </c>
      <c r="E2395" s="2" t="s">
        <v>1905</v>
      </c>
      <c r="F2395" s="14" t="s">
        <v>3486</v>
      </c>
      <c r="G2395" s="14" t="s">
        <v>3487</v>
      </c>
      <c r="H2395" s="2" t="s">
        <v>24</v>
      </c>
      <c r="I2395" s="2" t="s">
        <v>3491</v>
      </c>
      <c r="J2395" s="2">
        <v>7.0</v>
      </c>
      <c r="K2395" s="23" t="s">
        <v>5224</v>
      </c>
      <c r="L2395" s="11">
        <v>0.0</v>
      </c>
    </row>
    <row r="2396" hidden="1">
      <c r="A2396" s="8" t="s">
        <v>1952</v>
      </c>
      <c r="B2396" s="8" t="s">
        <v>1952</v>
      </c>
      <c r="C2396" s="13">
        <v>45974.44159722222</v>
      </c>
      <c r="D2396" s="2" t="s">
        <v>320</v>
      </c>
      <c r="E2396" s="2" t="s">
        <v>321</v>
      </c>
      <c r="F2396" s="14" t="s">
        <v>3486</v>
      </c>
      <c r="G2396" s="14" t="s">
        <v>3487</v>
      </c>
      <c r="H2396" s="2" t="s">
        <v>24</v>
      </c>
      <c r="I2396" s="2" t="s">
        <v>3491</v>
      </c>
      <c r="J2396" s="2">
        <v>1.0</v>
      </c>
      <c r="K2396" s="23" t="s">
        <v>5225</v>
      </c>
      <c r="L2396" s="11">
        <v>0.0</v>
      </c>
    </row>
    <row r="2397" hidden="1">
      <c r="A2397" s="8" t="s">
        <v>1953</v>
      </c>
      <c r="B2397" s="8" t="s">
        <v>1953</v>
      </c>
      <c r="C2397" s="13">
        <v>45974.44189814815</v>
      </c>
      <c r="D2397" s="2" t="s">
        <v>109</v>
      </c>
      <c r="E2397" s="2" t="s">
        <v>110</v>
      </c>
      <c r="F2397" s="14" t="s">
        <v>3486</v>
      </c>
      <c r="G2397" s="14" t="s">
        <v>3487</v>
      </c>
      <c r="H2397" s="2" t="s">
        <v>24</v>
      </c>
      <c r="I2397" s="2" t="s">
        <v>3491</v>
      </c>
      <c r="J2397" s="2">
        <v>2.0</v>
      </c>
      <c r="K2397" s="23" t="s">
        <v>5226</v>
      </c>
      <c r="L2397" s="11">
        <v>0.0</v>
      </c>
    </row>
    <row r="2398" hidden="1">
      <c r="A2398" s="8" t="s">
        <v>1953</v>
      </c>
      <c r="B2398" s="8" t="s">
        <v>1953</v>
      </c>
      <c r="C2398" s="13">
        <v>45974.44189814815</v>
      </c>
      <c r="D2398" s="2" t="s">
        <v>109</v>
      </c>
      <c r="E2398" s="2" t="s">
        <v>110</v>
      </c>
      <c r="F2398" s="14" t="s">
        <v>3522</v>
      </c>
      <c r="G2398" s="14" t="s">
        <v>3523</v>
      </c>
      <c r="H2398" s="2" t="s">
        <v>24</v>
      </c>
      <c r="I2398" s="2" t="s">
        <v>3491</v>
      </c>
      <c r="J2398" s="2">
        <v>2.0</v>
      </c>
      <c r="K2398" s="23" t="s">
        <v>5227</v>
      </c>
      <c r="L2398" s="11">
        <v>0.0</v>
      </c>
    </row>
    <row r="2399" hidden="1">
      <c r="A2399" s="8" t="s">
        <v>1954</v>
      </c>
      <c r="B2399" s="8" t="s">
        <v>1954</v>
      </c>
      <c r="C2399" s="13">
        <v>45974.45353009259</v>
      </c>
      <c r="D2399" s="2" t="s">
        <v>1830</v>
      </c>
      <c r="E2399" s="2" t="s">
        <v>1831</v>
      </c>
      <c r="F2399" s="14" t="s">
        <v>3486</v>
      </c>
      <c r="G2399" s="14" t="s">
        <v>3487</v>
      </c>
      <c r="H2399" s="2" t="s">
        <v>16</v>
      </c>
      <c r="I2399" s="2" t="s">
        <v>3488</v>
      </c>
      <c r="J2399" s="2">
        <v>10.0</v>
      </c>
      <c r="K2399" s="23" t="s">
        <v>5228</v>
      </c>
      <c r="L2399" s="11">
        <v>55000.0</v>
      </c>
    </row>
    <row r="2400" hidden="1">
      <c r="A2400" s="8" t="s">
        <v>1954</v>
      </c>
      <c r="B2400" s="8" t="s">
        <v>1954</v>
      </c>
      <c r="C2400" s="13">
        <v>45974.45353009259</v>
      </c>
      <c r="D2400" s="2" t="s">
        <v>1830</v>
      </c>
      <c r="E2400" s="2" t="s">
        <v>1831</v>
      </c>
      <c r="F2400" s="14" t="s">
        <v>3493</v>
      </c>
      <c r="G2400" s="14" t="s">
        <v>3494</v>
      </c>
      <c r="H2400" s="2" t="s">
        <v>16</v>
      </c>
      <c r="I2400" s="2" t="s">
        <v>3488</v>
      </c>
      <c r="J2400" s="2">
        <v>1.0</v>
      </c>
      <c r="K2400" s="12"/>
      <c r="L2400" s="11">
        <v>210000.0</v>
      </c>
    </row>
    <row r="2401" hidden="1">
      <c r="A2401" s="8" t="s">
        <v>1955</v>
      </c>
      <c r="B2401" s="8" t="s">
        <v>1955</v>
      </c>
      <c r="C2401" s="13">
        <v>45974.552719907406</v>
      </c>
      <c r="D2401" s="2" t="s">
        <v>951</v>
      </c>
      <c r="E2401" s="2" t="s">
        <v>952</v>
      </c>
      <c r="F2401" s="14" t="s">
        <v>3516</v>
      </c>
      <c r="G2401" s="14" t="s">
        <v>3517</v>
      </c>
      <c r="H2401" s="2" t="s">
        <v>16</v>
      </c>
      <c r="I2401" s="2" t="s">
        <v>3488</v>
      </c>
      <c r="J2401" s="2">
        <v>2.0</v>
      </c>
      <c r="K2401" s="23" t="s">
        <v>5229</v>
      </c>
      <c r="L2401" s="11">
        <v>165000.0</v>
      </c>
    </row>
    <row r="2402" hidden="1">
      <c r="A2402" s="8" t="s">
        <v>1955</v>
      </c>
      <c r="B2402" s="8" t="s">
        <v>1955</v>
      </c>
      <c r="C2402" s="13">
        <v>45974.552719907406</v>
      </c>
      <c r="D2402" s="2" t="s">
        <v>951</v>
      </c>
      <c r="E2402" s="2" t="s">
        <v>952</v>
      </c>
      <c r="F2402" s="14" t="s">
        <v>3486</v>
      </c>
      <c r="G2402" s="14" t="s">
        <v>3487</v>
      </c>
      <c r="H2402" s="2" t="s">
        <v>16</v>
      </c>
      <c r="I2402" s="2" t="s">
        <v>3488</v>
      </c>
      <c r="J2402" s="2">
        <v>4.0</v>
      </c>
      <c r="K2402" s="23" t="s">
        <v>5230</v>
      </c>
      <c r="L2402" s="11">
        <v>55000.0</v>
      </c>
    </row>
    <row r="2403" hidden="1">
      <c r="A2403" s="8" t="s">
        <v>1956</v>
      </c>
      <c r="B2403" s="8" t="s">
        <v>1956</v>
      </c>
      <c r="C2403" s="13">
        <v>45974.554027777776</v>
      </c>
      <c r="D2403" s="2" t="s">
        <v>1889</v>
      </c>
      <c r="E2403" s="2" t="s">
        <v>1890</v>
      </c>
      <c r="F2403" s="14" t="s">
        <v>3486</v>
      </c>
      <c r="G2403" s="14" t="s">
        <v>3487</v>
      </c>
      <c r="H2403" s="2" t="s">
        <v>24</v>
      </c>
      <c r="I2403" s="2" t="s">
        <v>3491</v>
      </c>
      <c r="J2403" s="2">
        <v>1.0</v>
      </c>
      <c r="K2403" s="23" t="s">
        <v>5231</v>
      </c>
      <c r="L2403" s="11">
        <v>0.0</v>
      </c>
    </row>
    <row r="2404" hidden="1">
      <c r="A2404" s="8" t="s">
        <v>1957</v>
      </c>
      <c r="B2404" s="8" t="s">
        <v>1957</v>
      </c>
      <c r="C2404" s="13">
        <v>45974.59086805556</v>
      </c>
      <c r="D2404" s="2" t="s">
        <v>109</v>
      </c>
      <c r="E2404" s="2" t="s">
        <v>110</v>
      </c>
      <c r="F2404" s="14" t="s">
        <v>3773</v>
      </c>
      <c r="G2404" s="14" t="s">
        <v>3774</v>
      </c>
      <c r="H2404" s="2" t="s">
        <v>16</v>
      </c>
      <c r="I2404" s="2" t="s">
        <v>3488</v>
      </c>
      <c r="J2404" s="2">
        <v>2.0</v>
      </c>
      <c r="K2404" s="12"/>
      <c r="L2404" s="11">
        <v>2000000.0</v>
      </c>
      <c r="N2404" s="2" t="s">
        <v>5232</v>
      </c>
    </row>
    <row r="2405" hidden="1">
      <c r="A2405" s="8" t="s">
        <v>1958</v>
      </c>
      <c r="B2405" s="8" t="s">
        <v>1958</v>
      </c>
      <c r="C2405" s="13">
        <v>45974.62777777778</v>
      </c>
      <c r="D2405" s="2" t="s">
        <v>464</v>
      </c>
      <c r="E2405" s="2" t="s">
        <v>465</v>
      </c>
      <c r="F2405" s="14" t="s">
        <v>4203</v>
      </c>
      <c r="G2405" s="14" t="s">
        <v>4204</v>
      </c>
      <c r="H2405" s="2" t="s">
        <v>24</v>
      </c>
      <c r="I2405" s="2" t="s">
        <v>3491</v>
      </c>
      <c r="J2405" s="2">
        <v>2.0</v>
      </c>
      <c r="K2405" s="23" t="s">
        <v>5233</v>
      </c>
      <c r="L2405" s="11">
        <v>0.0</v>
      </c>
    </row>
    <row r="2406" hidden="1">
      <c r="A2406" s="8" t="s">
        <v>1958</v>
      </c>
      <c r="B2406" s="8" t="s">
        <v>1958</v>
      </c>
      <c r="C2406" s="13">
        <v>45974.62777777778</v>
      </c>
      <c r="D2406" s="2" t="s">
        <v>464</v>
      </c>
      <c r="E2406" s="2" t="s">
        <v>465</v>
      </c>
      <c r="F2406" s="14" t="s">
        <v>3506</v>
      </c>
      <c r="G2406" s="14" t="s">
        <v>3507</v>
      </c>
      <c r="H2406" s="2" t="s">
        <v>24</v>
      </c>
      <c r="I2406" s="2" t="s">
        <v>3491</v>
      </c>
      <c r="J2406" s="2">
        <v>1.0</v>
      </c>
      <c r="K2406" s="23" t="s">
        <v>4688</v>
      </c>
      <c r="L2406" s="11">
        <v>0.0</v>
      </c>
    </row>
    <row r="2407" hidden="1">
      <c r="A2407" s="8" t="s">
        <v>1959</v>
      </c>
      <c r="B2407" s="8" t="s">
        <v>1959</v>
      </c>
      <c r="C2407" s="13">
        <v>45974.628969907404</v>
      </c>
      <c r="D2407" s="2" t="s">
        <v>326</v>
      </c>
      <c r="E2407" s="2" t="s">
        <v>327</v>
      </c>
      <c r="F2407" s="14" t="s">
        <v>3486</v>
      </c>
      <c r="G2407" s="14" t="s">
        <v>3487</v>
      </c>
      <c r="H2407" s="2" t="s">
        <v>24</v>
      </c>
      <c r="I2407" s="2" t="s">
        <v>3491</v>
      </c>
      <c r="J2407" s="2">
        <v>3.0</v>
      </c>
      <c r="K2407" s="23" t="s">
        <v>5234</v>
      </c>
      <c r="L2407" s="11">
        <v>0.0</v>
      </c>
    </row>
    <row r="2408" hidden="1">
      <c r="A2408" s="8" t="s">
        <v>1959</v>
      </c>
      <c r="B2408" s="8" t="s">
        <v>1959</v>
      </c>
      <c r="C2408" s="13">
        <v>45974.628969907404</v>
      </c>
      <c r="D2408" s="2" t="s">
        <v>326</v>
      </c>
      <c r="E2408" s="2" t="s">
        <v>327</v>
      </c>
      <c r="F2408" s="14" t="s">
        <v>4203</v>
      </c>
      <c r="G2408" s="14" t="s">
        <v>4204</v>
      </c>
      <c r="H2408" s="2" t="s">
        <v>24</v>
      </c>
      <c r="I2408" s="2" t="s">
        <v>3491</v>
      </c>
      <c r="J2408" s="2">
        <v>3.0</v>
      </c>
      <c r="K2408" s="23" t="s">
        <v>5235</v>
      </c>
      <c r="L2408" s="11">
        <v>0.0</v>
      </c>
    </row>
    <row r="2409" hidden="1">
      <c r="A2409" s="8" t="s">
        <v>1960</v>
      </c>
      <c r="B2409" s="8" t="s">
        <v>1960</v>
      </c>
      <c r="C2409" s="13">
        <v>45974.65892361111</v>
      </c>
      <c r="D2409" s="2" t="s">
        <v>951</v>
      </c>
      <c r="E2409" s="2" t="s">
        <v>952</v>
      </c>
      <c r="F2409" s="14" t="s">
        <v>3486</v>
      </c>
      <c r="G2409" s="14" t="s">
        <v>3487</v>
      </c>
      <c r="H2409" s="2" t="s">
        <v>24</v>
      </c>
      <c r="I2409" s="2" t="s">
        <v>3491</v>
      </c>
      <c r="J2409" s="2">
        <v>1.0</v>
      </c>
      <c r="K2409" s="23" t="s">
        <v>5236</v>
      </c>
      <c r="L2409" s="11">
        <v>0.0</v>
      </c>
    </row>
    <row r="2410" hidden="1">
      <c r="A2410" s="8" t="s">
        <v>1960</v>
      </c>
      <c r="B2410" s="8" t="s">
        <v>1960</v>
      </c>
      <c r="C2410" s="13">
        <v>45974.65892361111</v>
      </c>
      <c r="D2410" s="2" t="s">
        <v>951</v>
      </c>
      <c r="E2410" s="2" t="s">
        <v>952</v>
      </c>
      <c r="F2410" s="14" t="s">
        <v>3516</v>
      </c>
      <c r="G2410" s="14" t="s">
        <v>3517</v>
      </c>
      <c r="H2410" s="2" t="s">
        <v>24</v>
      </c>
      <c r="I2410" s="2" t="s">
        <v>3491</v>
      </c>
      <c r="J2410" s="2">
        <v>1.0</v>
      </c>
      <c r="K2410" s="23" t="s">
        <v>4662</v>
      </c>
      <c r="L2410" s="11">
        <v>0.0</v>
      </c>
    </row>
    <row r="2411" hidden="1">
      <c r="A2411" s="8" t="s">
        <v>1961</v>
      </c>
      <c r="B2411" s="8" t="s">
        <v>1961</v>
      </c>
      <c r="C2411" s="13">
        <v>45974.68707175926</v>
      </c>
      <c r="D2411" s="2" t="s">
        <v>786</v>
      </c>
      <c r="E2411" s="2" t="s">
        <v>787</v>
      </c>
      <c r="F2411" s="14" t="s">
        <v>3516</v>
      </c>
      <c r="G2411" s="14" t="s">
        <v>3517</v>
      </c>
      <c r="H2411" s="2" t="s">
        <v>16</v>
      </c>
      <c r="I2411" s="2" t="s">
        <v>3488</v>
      </c>
      <c r="J2411" s="2">
        <v>2.0</v>
      </c>
      <c r="K2411" s="23" t="s">
        <v>5237</v>
      </c>
      <c r="L2411" s="11">
        <v>170000.0</v>
      </c>
    </row>
    <row r="2412" hidden="1">
      <c r="A2412" s="8" t="s">
        <v>1961</v>
      </c>
      <c r="B2412" s="8" t="s">
        <v>1961</v>
      </c>
      <c r="C2412" s="13">
        <v>45975.34027777778</v>
      </c>
      <c r="D2412" s="2" t="s">
        <v>786</v>
      </c>
      <c r="E2412" s="2" t="s">
        <v>787</v>
      </c>
      <c r="F2412" s="14" t="s">
        <v>3486</v>
      </c>
      <c r="G2412" s="14" t="s">
        <v>3487</v>
      </c>
      <c r="H2412" s="2" t="s">
        <v>16</v>
      </c>
      <c r="I2412" s="2" t="s">
        <v>3488</v>
      </c>
      <c r="J2412" s="2">
        <v>8.0</v>
      </c>
      <c r="K2412" s="23" t="s">
        <v>5238</v>
      </c>
      <c r="L2412" s="11">
        <v>60000.0</v>
      </c>
    </row>
    <row r="2413" hidden="1">
      <c r="A2413" s="8" t="s">
        <v>1962</v>
      </c>
      <c r="B2413" s="8" t="s">
        <v>1962</v>
      </c>
      <c r="C2413" s="13">
        <v>45975.36054398148</v>
      </c>
      <c r="D2413" s="2" t="s">
        <v>1963</v>
      </c>
      <c r="E2413" s="2" t="s">
        <v>1964</v>
      </c>
      <c r="F2413" s="14" t="s">
        <v>4203</v>
      </c>
      <c r="G2413" s="14" t="s">
        <v>4204</v>
      </c>
      <c r="H2413" s="2" t="s">
        <v>16</v>
      </c>
      <c r="I2413" s="2" t="s">
        <v>3488</v>
      </c>
      <c r="J2413" s="2">
        <v>2.0</v>
      </c>
      <c r="K2413" s="23" t="s">
        <v>5239</v>
      </c>
      <c r="L2413" s="11">
        <v>60000.0</v>
      </c>
    </row>
    <row r="2414" hidden="1">
      <c r="A2414" s="8" t="s">
        <v>1966</v>
      </c>
      <c r="B2414" s="8" t="s">
        <v>1966</v>
      </c>
      <c r="C2414" s="13">
        <v>45975.36082175926</v>
      </c>
      <c r="D2414" s="2" t="s">
        <v>1018</v>
      </c>
      <c r="E2414" s="2" t="s">
        <v>1019</v>
      </c>
      <c r="F2414" s="14" t="s">
        <v>3486</v>
      </c>
      <c r="G2414" s="14" t="s">
        <v>3487</v>
      </c>
      <c r="H2414" s="2" t="s">
        <v>16</v>
      </c>
      <c r="I2414" s="2" t="s">
        <v>3488</v>
      </c>
      <c r="J2414" s="2">
        <v>1.0</v>
      </c>
      <c r="K2414" s="23" t="s">
        <v>5240</v>
      </c>
      <c r="L2414" s="11">
        <v>60000.0</v>
      </c>
    </row>
    <row r="2415" hidden="1">
      <c r="A2415" s="8" t="s">
        <v>1967</v>
      </c>
      <c r="B2415" s="8" t="s">
        <v>1967</v>
      </c>
      <c r="C2415" s="13">
        <v>45975.36162037037</v>
      </c>
      <c r="D2415" s="2" t="s">
        <v>55</v>
      </c>
      <c r="E2415" s="2" t="s">
        <v>56</v>
      </c>
      <c r="F2415" s="14" t="s">
        <v>3486</v>
      </c>
      <c r="G2415" s="14" t="s">
        <v>3487</v>
      </c>
      <c r="H2415" s="2" t="s">
        <v>16</v>
      </c>
      <c r="I2415" s="2" t="s">
        <v>3488</v>
      </c>
      <c r="J2415" s="2">
        <v>3.0</v>
      </c>
      <c r="K2415" s="23" t="s">
        <v>5241</v>
      </c>
      <c r="L2415" s="11">
        <v>60000.0</v>
      </c>
    </row>
    <row r="2416" hidden="1">
      <c r="A2416" s="8" t="s">
        <v>1968</v>
      </c>
      <c r="B2416" s="8" t="s">
        <v>1968</v>
      </c>
      <c r="C2416" s="13">
        <v>45975.42219907408</v>
      </c>
      <c r="D2416" s="2" t="s">
        <v>55</v>
      </c>
      <c r="E2416" s="2" t="s">
        <v>56</v>
      </c>
      <c r="F2416" s="14" t="s">
        <v>3486</v>
      </c>
      <c r="G2416" s="14" t="s">
        <v>3487</v>
      </c>
      <c r="H2416" s="2" t="s">
        <v>24</v>
      </c>
      <c r="I2416" s="2" t="s">
        <v>3491</v>
      </c>
      <c r="J2416" s="2">
        <v>2.0</v>
      </c>
      <c r="K2416" s="23" t="s">
        <v>5242</v>
      </c>
      <c r="L2416" s="11">
        <v>0.0</v>
      </c>
    </row>
    <row r="2417" hidden="1">
      <c r="A2417" s="8" t="s">
        <v>1969</v>
      </c>
      <c r="B2417" s="8" t="s">
        <v>1969</v>
      </c>
      <c r="C2417" s="13">
        <v>45975.42320601852</v>
      </c>
      <c r="D2417" s="2" t="s">
        <v>1018</v>
      </c>
      <c r="E2417" s="2" t="s">
        <v>1019</v>
      </c>
      <c r="F2417" s="14" t="s">
        <v>3486</v>
      </c>
      <c r="G2417" s="14" t="s">
        <v>3487</v>
      </c>
      <c r="H2417" s="2" t="s">
        <v>24</v>
      </c>
      <c r="I2417" s="2" t="s">
        <v>3491</v>
      </c>
      <c r="J2417" s="2">
        <v>1.0</v>
      </c>
      <c r="K2417" s="23" t="s">
        <v>4292</v>
      </c>
      <c r="L2417" s="11">
        <v>0.0</v>
      </c>
    </row>
    <row r="2418" hidden="1">
      <c r="A2418" s="8" t="s">
        <v>1970</v>
      </c>
      <c r="B2418" s="8" t="s">
        <v>1970</v>
      </c>
      <c r="C2418" s="13">
        <v>45975.444768518515</v>
      </c>
      <c r="D2418" s="2" t="s">
        <v>786</v>
      </c>
      <c r="E2418" s="2" t="s">
        <v>787</v>
      </c>
      <c r="F2418" s="14" t="s">
        <v>3516</v>
      </c>
      <c r="G2418" s="14" t="s">
        <v>3517</v>
      </c>
      <c r="H2418" s="2" t="s">
        <v>24</v>
      </c>
      <c r="I2418" s="2" t="s">
        <v>3491</v>
      </c>
      <c r="J2418" s="2">
        <v>3.0</v>
      </c>
      <c r="K2418" s="23" t="s">
        <v>5243</v>
      </c>
      <c r="L2418" s="11">
        <v>0.0</v>
      </c>
    </row>
    <row r="2419" hidden="1">
      <c r="A2419" s="8" t="s">
        <v>1970</v>
      </c>
      <c r="B2419" s="8" t="s">
        <v>1970</v>
      </c>
      <c r="C2419" s="13">
        <v>45975.444768518515</v>
      </c>
      <c r="D2419" s="2" t="s">
        <v>786</v>
      </c>
      <c r="E2419" s="2" t="s">
        <v>787</v>
      </c>
      <c r="F2419" s="14" t="s">
        <v>3486</v>
      </c>
      <c r="G2419" s="14" t="s">
        <v>3487</v>
      </c>
      <c r="H2419" s="2" t="s">
        <v>24</v>
      </c>
      <c r="I2419" s="2" t="s">
        <v>3491</v>
      </c>
      <c r="J2419" s="2">
        <v>5.0</v>
      </c>
      <c r="K2419" s="23" t="s">
        <v>5244</v>
      </c>
      <c r="L2419" s="11">
        <v>0.0</v>
      </c>
    </row>
    <row r="2420" hidden="1">
      <c r="A2420" s="8" t="s">
        <v>1970</v>
      </c>
      <c r="B2420" s="8" t="s">
        <v>1970</v>
      </c>
      <c r="C2420" s="13">
        <v>45975.444768518515</v>
      </c>
      <c r="D2420" s="2" t="s">
        <v>786</v>
      </c>
      <c r="E2420" s="2" t="s">
        <v>787</v>
      </c>
      <c r="F2420" s="14" t="s">
        <v>4203</v>
      </c>
      <c r="G2420" s="14" t="s">
        <v>4204</v>
      </c>
      <c r="H2420" s="2" t="s">
        <v>24</v>
      </c>
      <c r="I2420" s="2" t="s">
        <v>3491</v>
      </c>
      <c r="J2420" s="2">
        <v>1.0</v>
      </c>
      <c r="K2420" s="23" t="s">
        <v>5245</v>
      </c>
      <c r="L2420" s="11">
        <v>0.0</v>
      </c>
    </row>
    <row r="2421" hidden="1">
      <c r="A2421" s="8" t="s">
        <v>1971</v>
      </c>
      <c r="B2421" s="8" t="s">
        <v>1971</v>
      </c>
      <c r="C2421" s="13">
        <v>45975.58423611111</v>
      </c>
      <c r="D2421" s="2" t="s">
        <v>1618</v>
      </c>
      <c r="E2421" s="2" t="s">
        <v>1619</v>
      </c>
      <c r="F2421" s="14" t="s">
        <v>3516</v>
      </c>
      <c r="G2421" s="14" t="s">
        <v>3517</v>
      </c>
      <c r="H2421" s="2" t="s">
        <v>16</v>
      </c>
      <c r="I2421" s="2" t="s">
        <v>3488</v>
      </c>
      <c r="J2421" s="2">
        <v>3.0</v>
      </c>
      <c r="K2421" s="23" t="s">
        <v>5246</v>
      </c>
      <c r="L2421" s="11">
        <v>180000.0</v>
      </c>
    </row>
    <row r="2422" hidden="1">
      <c r="A2422" s="8" t="s">
        <v>1972</v>
      </c>
      <c r="B2422" s="8" t="s">
        <v>1972</v>
      </c>
      <c r="C2422" s="13">
        <v>45975.5853125</v>
      </c>
      <c r="D2422" s="2" t="s">
        <v>309</v>
      </c>
      <c r="E2422" s="2" t="s">
        <v>310</v>
      </c>
      <c r="F2422" s="14" t="s">
        <v>3516</v>
      </c>
      <c r="G2422" s="14" t="s">
        <v>3517</v>
      </c>
      <c r="H2422" s="2" t="s">
        <v>16</v>
      </c>
      <c r="I2422" s="2" t="s">
        <v>3488</v>
      </c>
      <c r="J2422" s="2">
        <v>2.0</v>
      </c>
      <c r="K2422" s="23" t="s">
        <v>5247</v>
      </c>
      <c r="L2422" s="11">
        <v>160000.0</v>
      </c>
    </row>
    <row r="2423" hidden="1">
      <c r="A2423" s="8" t="s">
        <v>1973</v>
      </c>
      <c r="B2423" s="8" t="s">
        <v>1973</v>
      </c>
      <c r="C2423" s="13">
        <v>45975.639861111114</v>
      </c>
      <c r="D2423" s="2" t="s">
        <v>1618</v>
      </c>
      <c r="E2423" s="2" t="s">
        <v>1619</v>
      </c>
      <c r="F2423" s="14" t="s">
        <v>3516</v>
      </c>
      <c r="G2423" s="14" t="s">
        <v>3517</v>
      </c>
      <c r="H2423" s="2" t="s">
        <v>24</v>
      </c>
      <c r="I2423" s="2" t="s">
        <v>3491</v>
      </c>
      <c r="J2423" s="2">
        <v>3.0</v>
      </c>
      <c r="K2423" s="23" t="s">
        <v>5248</v>
      </c>
      <c r="L2423" s="11">
        <v>0.0</v>
      </c>
    </row>
    <row r="2424" hidden="1">
      <c r="A2424" s="8" t="s">
        <v>1974</v>
      </c>
      <c r="B2424" s="8" t="s">
        <v>1974</v>
      </c>
      <c r="C2424" s="13">
        <v>45975.64539351852</v>
      </c>
      <c r="D2424" s="2" t="s">
        <v>1975</v>
      </c>
      <c r="E2424" s="2" t="s">
        <v>1976</v>
      </c>
      <c r="F2424" s="14" t="s">
        <v>3486</v>
      </c>
      <c r="G2424" s="14" t="s">
        <v>3487</v>
      </c>
      <c r="H2424" s="2" t="s">
        <v>16</v>
      </c>
      <c r="I2424" s="2" t="s">
        <v>3488</v>
      </c>
      <c r="J2424" s="2">
        <v>5.0</v>
      </c>
      <c r="K2424" s="23" t="s">
        <v>5249</v>
      </c>
      <c r="L2424" s="11">
        <v>60000.0</v>
      </c>
    </row>
    <row r="2425" hidden="1">
      <c r="A2425" s="8" t="s">
        <v>1978</v>
      </c>
      <c r="B2425" s="8" t="s">
        <v>1978</v>
      </c>
      <c r="C2425" s="13">
        <v>45975.67866898148</v>
      </c>
      <c r="D2425" s="2" t="s">
        <v>309</v>
      </c>
      <c r="E2425" s="2" t="s">
        <v>310</v>
      </c>
      <c r="F2425" s="14" t="s">
        <v>3516</v>
      </c>
      <c r="G2425" s="14" t="s">
        <v>3517</v>
      </c>
      <c r="H2425" s="2" t="s">
        <v>24</v>
      </c>
      <c r="I2425" s="2" t="s">
        <v>3491</v>
      </c>
      <c r="J2425" s="2">
        <v>1.0</v>
      </c>
      <c r="K2425" s="23" t="s">
        <v>4720</v>
      </c>
      <c r="L2425" s="11">
        <v>0.0</v>
      </c>
    </row>
    <row r="2426" hidden="1">
      <c r="A2426" s="8" t="s">
        <v>1978</v>
      </c>
      <c r="B2426" s="8" t="s">
        <v>1978</v>
      </c>
      <c r="C2426" s="13">
        <v>45975.67866898148</v>
      </c>
      <c r="D2426" s="2" t="s">
        <v>309</v>
      </c>
      <c r="E2426" s="2" t="s">
        <v>310</v>
      </c>
      <c r="F2426" s="14" t="s">
        <v>4045</v>
      </c>
      <c r="G2426" s="14" t="s">
        <v>4046</v>
      </c>
      <c r="H2426" s="2" t="s">
        <v>24</v>
      </c>
      <c r="I2426" s="2" t="s">
        <v>3491</v>
      </c>
      <c r="J2426" s="2">
        <v>1.0</v>
      </c>
      <c r="K2426" s="23" t="s">
        <v>4065</v>
      </c>
      <c r="L2426" s="11">
        <v>0.0</v>
      </c>
    </row>
    <row r="2427" hidden="1">
      <c r="A2427" s="8" t="s">
        <v>1978</v>
      </c>
      <c r="B2427" s="8" t="s">
        <v>1978</v>
      </c>
      <c r="C2427" s="13">
        <v>45975.67866898148</v>
      </c>
      <c r="D2427" s="2" t="s">
        <v>309</v>
      </c>
      <c r="E2427" s="2" t="s">
        <v>310</v>
      </c>
      <c r="F2427" s="14" t="s">
        <v>3506</v>
      </c>
      <c r="G2427" s="14" t="s">
        <v>3507</v>
      </c>
      <c r="H2427" s="2" t="s">
        <v>24</v>
      </c>
      <c r="I2427" s="2" t="s">
        <v>3491</v>
      </c>
      <c r="J2427" s="2">
        <v>15.0</v>
      </c>
      <c r="K2427" s="12"/>
      <c r="L2427" s="11">
        <v>0.0</v>
      </c>
    </row>
    <row r="2428" hidden="1">
      <c r="A2428" s="8" t="s">
        <v>1979</v>
      </c>
      <c r="B2428" s="8" t="s">
        <v>1979</v>
      </c>
      <c r="C2428" s="13">
        <v>45976.3721875</v>
      </c>
      <c r="D2428" s="2" t="s">
        <v>1183</v>
      </c>
      <c r="E2428" s="2" t="s">
        <v>1184</v>
      </c>
      <c r="F2428" s="14" t="s">
        <v>3486</v>
      </c>
      <c r="G2428" s="14" t="s">
        <v>3487</v>
      </c>
      <c r="H2428" s="2" t="s">
        <v>16</v>
      </c>
      <c r="I2428" s="2" t="s">
        <v>3488</v>
      </c>
      <c r="J2428" s="2">
        <v>4.0</v>
      </c>
      <c r="K2428" s="23" t="s">
        <v>5250</v>
      </c>
      <c r="L2428" s="11">
        <v>70000.0</v>
      </c>
    </row>
    <row r="2429">
      <c r="A2429" s="8" t="s">
        <v>1980</v>
      </c>
      <c r="B2429" s="8" t="s">
        <v>1980</v>
      </c>
      <c r="C2429" s="13">
        <v>45976.37732638889</v>
      </c>
      <c r="D2429" s="2" t="s">
        <v>45</v>
      </c>
      <c r="E2429" s="2" t="s">
        <v>46</v>
      </c>
      <c r="F2429" s="14" t="s">
        <v>3522</v>
      </c>
      <c r="G2429" s="14" t="s">
        <v>3523</v>
      </c>
      <c r="H2429" s="2" t="s">
        <v>16</v>
      </c>
      <c r="I2429" s="2" t="s">
        <v>3488</v>
      </c>
      <c r="J2429" s="2">
        <v>10.0</v>
      </c>
      <c r="K2429" s="23" t="s">
        <v>5251</v>
      </c>
      <c r="L2429" s="11">
        <v>185000.0</v>
      </c>
    </row>
    <row r="2430" hidden="1">
      <c r="A2430" s="8" t="s">
        <v>1981</v>
      </c>
      <c r="B2430" s="8" t="s">
        <v>1981</v>
      </c>
      <c r="C2430" s="13">
        <v>45976.378217592595</v>
      </c>
      <c r="D2430" s="2" t="s">
        <v>309</v>
      </c>
      <c r="E2430" s="2" t="s">
        <v>310</v>
      </c>
      <c r="F2430" s="14" t="s">
        <v>3506</v>
      </c>
      <c r="G2430" s="14" t="s">
        <v>3507</v>
      </c>
      <c r="H2430" s="2" t="s">
        <v>16</v>
      </c>
      <c r="I2430" s="2" t="s">
        <v>3488</v>
      </c>
      <c r="J2430" s="2">
        <v>14.0</v>
      </c>
      <c r="K2430" s="12"/>
      <c r="L2430" s="11">
        <v>55000.0</v>
      </c>
    </row>
    <row r="2431" hidden="1">
      <c r="A2431" s="8" t="s">
        <v>1982</v>
      </c>
      <c r="B2431" s="8" t="s">
        <v>1982</v>
      </c>
      <c r="C2431" s="13">
        <v>45976.43341435185</v>
      </c>
      <c r="D2431" s="2" t="s">
        <v>786</v>
      </c>
      <c r="E2431" s="2" t="s">
        <v>787</v>
      </c>
      <c r="F2431" s="14" t="s">
        <v>3486</v>
      </c>
      <c r="G2431" s="14" t="s">
        <v>3487</v>
      </c>
      <c r="H2431" s="2" t="s">
        <v>16</v>
      </c>
      <c r="I2431" s="2" t="s">
        <v>3488</v>
      </c>
      <c r="J2431" s="2">
        <v>6.0</v>
      </c>
      <c r="K2431" s="23" t="s">
        <v>5252</v>
      </c>
      <c r="L2431" s="11">
        <v>60000.0</v>
      </c>
    </row>
    <row r="2432" hidden="1">
      <c r="A2432" s="8" t="s">
        <v>1982</v>
      </c>
      <c r="B2432" s="8" t="s">
        <v>1982</v>
      </c>
      <c r="C2432" s="13">
        <v>45976.43341435185</v>
      </c>
      <c r="D2432" s="2" t="s">
        <v>786</v>
      </c>
      <c r="E2432" s="2" t="s">
        <v>787</v>
      </c>
      <c r="F2432" s="14" t="s">
        <v>3516</v>
      </c>
      <c r="G2432" s="14" t="s">
        <v>3517</v>
      </c>
      <c r="H2432" s="2" t="s">
        <v>16</v>
      </c>
      <c r="I2432" s="2" t="s">
        <v>3488</v>
      </c>
      <c r="J2432" s="2">
        <v>4.0</v>
      </c>
      <c r="K2432" s="23" t="s">
        <v>5253</v>
      </c>
      <c r="L2432" s="11">
        <v>170000.0</v>
      </c>
    </row>
    <row r="2433">
      <c r="A2433" s="8" t="s">
        <v>1983</v>
      </c>
      <c r="B2433" s="8" t="s">
        <v>1983</v>
      </c>
      <c r="C2433" s="13">
        <v>45976.49833333334</v>
      </c>
      <c r="D2433" s="2" t="s">
        <v>45</v>
      </c>
      <c r="E2433" s="2" t="s">
        <v>46</v>
      </c>
      <c r="F2433" s="14" t="s">
        <v>3486</v>
      </c>
      <c r="G2433" s="14" t="s">
        <v>3487</v>
      </c>
      <c r="H2433" s="2" t="s">
        <v>24</v>
      </c>
      <c r="I2433" s="2" t="s">
        <v>3491</v>
      </c>
      <c r="J2433" s="2">
        <v>1.0</v>
      </c>
      <c r="K2433" s="23" t="s">
        <v>5254</v>
      </c>
      <c r="L2433" s="11">
        <v>0.0</v>
      </c>
    </row>
    <row r="2434">
      <c r="A2434" s="8" t="s">
        <v>1983</v>
      </c>
      <c r="B2434" s="8" t="s">
        <v>1983</v>
      </c>
      <c r="C2434" s="13">
        <v>45976.49833333334</v>
      </c>
      <c r="D2434" s="2" t="s">
        <v>45</v>
      </c>
      <c r="E2434" s="2" t="s">
        <v>46</v>
      </c>
      <c r="F2434" s="14" t="s">
        <v>4203</v>
      </c>
      <c r="G2434" s="14" t="s">
        <v>4204</v>
      </c>
      <c r="H2434" s="2" t="s">
        <v>24</v>
      </c>
      <c r="I2434" s="2" t="s">
        <v>3491</v>
      </c>
      <c r="J2434" s="2">
        <v>1.0</v>
      </c>
      <c r="K2434" s="23" t="s">
        <v>5255</v>
      </c>
      <c r="L2434" s="11">
        <v>0.0</v>
      </c>
    </row>
    <row r="2435">
      <c r="A2435" s="8" t="s">
        <v>1983</v>
      </c>
      <c r="B2435" s="8" t="s">
        <v>1983</v>
      </c>
      <c r="C2435" s="13">
        <v>45976.49833333334</v>
      </c>
      <c r="D2435" s="2" t="s">
        <v>45</v>
      </c>
      <c r="E2435" s="2" t="s">
        <v>46</v>
      </c>
      <c r="F2435" s="14" t="s">
        <v>3522</v>
      </c>
      <c r="G2435" s="14" t="s">
        <v>3523</v>
      </c>
      <c r="H2435" s="2" t="s">
        <v>24</v>
      </c>
      <c r="I2435" s="2" t="s">
        <v>3491</v>
      </c>
      <c r="J2435" s="2">
        <v>19.0</v>
      </c>
      <c r="K2435" s="23" t="s">
        <v>5256</v>
      </c>
      <c r="L2435" s="11">
        <v>0.0</v>
      </c>
    </row>
    <row r="2436" hidden="1">
      <c r="A2436" s="8" t="s">
        <v>1984</v>
      </c>
      <c r="B2436" s="8" t="s">
        <v>1984</v>
      </c>
      <c r="C2436" s="13">
        <v>45976.535520833335</v>
      </c>
      <c r="D2436" s="2" t="s">
        <v>1904</v>
      </c>
      <c r="E2436" s="2" t="s">
        <v>1905</v>
      </c>
      <c r="F2436" s="14" t="s">
        <v>3516</v>
      </c>
      <c r="G2436" s="14" t="s">
        <v>3517</v>
      </c>
      <c r="H2436" s="2" t="s">
        <v>16</v>
      </c>
      <c r="I2436" s="2" t="s">
        <v>3488</v>
      </c>
      <c r="J2436" s="2">
        <v>3.0</v>
      </c>
      <c r="K2436" s="23" t="s">
        <v>5257</v>
      </c>
      <c r="L2436" s="11">
        <v>155000.0</v>
      </c>
    </row>
    <row r="2437" hidden="1">
      <c r="A2437" s="8" t="s">
        <v>1985</v>
      </c>
      <c r="B2437" s="8" t="s">
        <v>1985</v>
      </c>
      <c r="C2437" s="13">
        <v>45976.62053240741</v>
      </c>
      <c r="D2437" s="2" t="s">
        <v>1183</v>
      </c>
      <c r="E2437" s="2" t="s">
        <v>1184</v>
      </c>
      <c r="F2437" s="14" t="s">
        <v>3486</v>
      </c>
      <c r="G2437" s="14" t="s">
        <v>3487</v>
      </c>
      <c r="H2437" s="2" t="s">
        <v>24</v>
      </c>
      <c r="I2437" s="2" t="s">
        <v>3491</v>
      </c>
      <c r="J2437" s="2">
        <v>4.0</v>
      </c>
      <c r="K2437" s="23" t="s">
        <v>5258</v>
      </c>
      <c r="L2437" s="11">
        <v>0.0</v>
      </c>
    </row>
    <row r="2438" hidden="1">
      <c r="A2438" s="8" t="s">
        <v>1986</v>
      </c>
      <c r="B2438" s="8" t="s">
        <v>1986</v>
      </c>
      <c r="C2438" s="13">
        <v>45976.622708333336</v>
      </c>
      <c r="D2438" s="2" t="s">
        <v>786</v>
      </c>
      <c r="E2438" s="2" t="s">
        <v>787</v>
      </c>
      <c r="F2438" s="14" t="s">
        <v>3516</v>
      </c>
      <c r="G2438" s="14" t="s">
        <v>3517</v>
      </c>
      <c r="H2438" s="2" t="s">
        <v>24</v>
      </c>
      <c r="I2438" s="2" t="s">
        <v>3491</v>
      </c>
      <c r="J2438" s="2">
        <v>3.0</v>
      </c>
      <c r="K2438" s="23" t="s">
        <v>5259</v>
      </c>
      <c r="L2438" s="11">
        <v>0.0</v>
      </c>
    </row>
    <row r="2439" hidden="1">
      <c r="A2439" s="8" t="s">
        <v>1986</v>
      </c>
      <c r="B2439" s="8" t="s">
        <v>1986</v>
      </c>
      <c r="C2439" s="13">
        <v>45976.622708333336</v>
      </c>
      <c r="D2439" s="2" t="s">
        <v>786</v>
      </c>
      <c r="E2439" s="2" t="s">
        <v>787</v>
      </c>
      <c r="F2439" s="14" t="s">
        <v>3486</v>
      </c>
      <c r="G2439" s="14" t="s">
        <v>3487</v>
      </c>
      <c r="H2439" s="2" t="s">
        <v>24</v>
      </c>
      <c r="I2439" s="2" t="s">
        <v>3491</v>
      </c>
      <c r="J2439" s="2">
        <v>8.0</v>
      </c>
      <c r="K2439" s="23" t="s">
        <v>5260</v>
      </c>
      <c r="L2439" s="11">
        <v>0.0</v>
      </c>
    </row>
    <row r="2440" hidden="1">
      <c r="A2440" s="8" t="s">
        <v>1987</v>
      </c>
      <c r="B2440" s="8" t="s">
        <v>1987</v>
      </c>
      <c r="C2440" s="13">
        <v>45978.46538194444</v>
      </c>
      <c r="D2440" s="2" t="s">
        <v>943</v>
      </c>
      <c r="E2440" s="2" t="s">
        <v>944</v>
      </c>
      <c r="F2440" s="14" t="s">
        <v>3506</v>
      </c>
      <c r="G2440" s="14" t="s">
        <v>3507</v>
      </c>
      <c r="H2440" s="2" t="s">
        <v>16</v>
      </c>
      <c r="I2440" s="2" t="s">
        <v>3488</v>
      </c>
      <c r="J2440" s="2">
        <v>1.0</v>
      </c>
      <c r="K2440" s="23" t="s">
        <v>4688</v>
      </c>
      <c r="L2440" s="11">
        <v>50000.0</v>
      </c>
    </row>
    <row r="2441" hidden="1">
      <c r="A2441" s="8" t="s">
        <v>1987</v>
      </c>
      <c r="B2441" s="8" t="s">
        <v>1987</v>
      </c>
      <c r="C2441" s="13">
        <v>45978.46538194444</v>
      </c>
      <c r="D2441" s="2" t="s">
        <v>943</v>
      </c>
      <c r="E2441" s="2" t="s">
        <v>944</v>
      </c>
      <c r="F2441" s="14" t="s">
        <v>3486</v>
      </c>
      <c r="G2441" s="14" t="s">
        <v>3487</v>
      </c>
      <c r="H2441" s="2" t="s">
        <v>16</v>
      </c>
      <c r="I2441" s="2" t="s">
        <v>3488</v>
      </c>
      <c r="J2441" s="2">
        <v>2.0</v>
      </c>
      <c r="K2441" s="23" t="s">
        <v>5261</v>
      </c>
      <c r="L2441" s="11">
        <v>50000.0</v>
      </c>
    </row>
    <row r="2442" hidden="1">
      <c r="A2442" s="8" t="s">
        <v>1987</v>
      </c>
      <c r="B2442" s="8" t="s">
        <v>1987</v>
      </c>
      <c r="C2442" s="13">
        <v>45978.46538194444</v>
      </c>
      <c r="D2442" s="2" t="s">
        <v>943</v>
      </c>
      <c r="E2442" s="2" t="s">
        <v>944</v>
      </c>
      <c r="F2442" s="14" t="s">
        <v>4203</v>
      </c>
      <c r="G2442" s="14" t="s">
        <v>4204</v>
      </c>
      <c r="H2442" s="2" t="s">
        <v>16</v>
      </c>
      <c r="I2442" s="2" t="s">
        <v>3488</v>
      </c>
      <c r="J2442" s="2">
        <v>3.0</v>
      </c>
      <c r="K2442" s="23" t="s">
        <v>5262</v>
      </c>
      <c r="L2442" s="11">
        <v>55000.0</v>
      </c>
    </row>
    <row r="2443" hidden="1">
      <c r="A2443" s="8" t="s">
        <v>1988</v>
      </c>
      <c r="B2443" s="8" t="s">
        <v>1988</v>
      </c>
      <c r="C2443" s="13">
        <v>45978.47421296296</v>
      </c>
      <c r="D2443" s="2" t="s">
        <v>493</v>
      </c>
      <c r="E2443" s="2" t="s">
        <v>494</v>
      </c>
      <c r="F2443" s="14" t="s">
        <v>3486</v>
      </c>
      <c r="G2443" s="14" t="s">
        <v>3487</v>
      </c>
      <c r="H2443" s="2" t="s">
        <v>24</v>
      </c>
      <c r="I2443" s="2" t="s">
        <v>3491</v>
      </c>
      <c r="J2443" s="2">
        <v>1.0</v>
      </c>
      <c r="K2443" s="23" t="s">
        <v>4443</v>
      </c>
      <c r="L2443" s="11">
        <v>0.0</v>
      </c>
    </row>
    <row r="2444" hidden="1">
      <c r="A2444" s="8" t="s">
        <v>1989</v>
      </c>
      <c r="B2444" s="8" t="s">
        <v>1989</v>
      </c>
      <c r="C2444" s="13">
        <v>45978.476018518515</v>
      </c>
      <c r="D2444" s="2" t="s">
        <v>1830</v>
      </c>
      <c r="E2444" s="2" t="s">
        <v>1831</v>
      </c>
      <c r="F2444" s="14" t="s">
        <v>3493</v>
      </c>
      <c r="G2444" s="14" t="s">
        <v>3494</v>
      </c>
      <c r="H2444" s="2" t="s">
        <v>24</v>
      </c>
      <c r="I2444" s="2" t="s">
        <v>3491</v>
      </c>
      <c r="J2444" s="2">
        <v>2.0</v>
      </c>
      <c r="K2444" s="23" t="s">
        <v>4670</v>
      </c>
      <c r="L2444" s="11">
        <v>0.0</v>
      </c>
    </row>
    <row r="2445" hidden="1">
      <c r="A2445" s="8" t="s">
        <v>1989</v>
      </c>
      <c r="B2445" s="8" t="s">
        <v>1989</v>
      </c>
      <c r="C2445" s="13">
        <v>45978.476018518515</v>
      </c>
      <c r="D2445" s="2" t="s">
        <v>1830</v>
      </c>
      <c r="E2445" s="2" t="s">
        <v>1831</v>
      </c>
      <c r="F2445" s="14" t="s">
        <v>3486</v>
      </c>
      <c r="G2445" s="14" t="s">
        <v>3487</v>
      </c>
      <c r="H2445" s="2" t="s">
        <v>24</v>
      </c>
      <c r="I2445" s="2" t="s">
        <v>3614</v>
      </c>
      <c r="J2445" s="2">
        <v>4.0</v>
      </c>
      <c r="K2445" s="23" t="s">
        <v>5263</v>
      </c>
      <c r="L2445" s="11">
        <v>0.0</v>
      </c>
      <c r="N2445" s="2" t="s">
        <v>4984</v>
      </c>
    </row>
    <row r="2446" hidden="1">
      <c r="A2446" s="8" t="s">
        <v>1989</v>
      </c>
      <c r="B2446" s="8" t="s">
        <v>1989</v>
      </c>
      <c r="C2446" s="13">
        <v>45978.476018518515</v>
      </c>
      <c r="D2446" s="2" t="s">
        <v>1830</v>
      </c>
      <c r="E2446" s="2" t="s">
        <v>1831</v>
      </c>
      <c r="F2446" s="14" t="s">
        <v>3486</v>
      </c>
      <c r="G2446" s="14" t="s">
        <v>3487</v>
      </c>
      <c r="H2446" s="2" t="s">
        <v>24</v>
      </c>
      <c r="I2446" s="2" t="s">
        <v>3491</v>
      </c>
      <c r="J2446" s="2">
        <v>19.0</v>
      </c>
      <c r="K2446" s="23" t="s">
        <v>5264</v>
      </c>
      <c r="L2446" s="11">
        <v>0.0</v>
      </c>
    </row>
    <row r="2447" hidden="1">
      <c r="A2447" s="8" t="s">
        <v>1989</v>
      </c>
      <c r="B2447" s="8" t="s">
        <v>1989</v>
      </c>
      <c r="C2447" s="13">
        <v>45978.476018518515</v>
      </c>
      <c r="D2447" s="2" t="s">
        <v>1830</v>
      </c>
      <c r="E2447" s="2" t="s">
        <v>1831</v>
      </c>
      <c r="F2447" s="14" t="s">
        <v>4203</v>
      </c>
      <c r="G2447" s="14" t="s">
        <v>4204</v>
      </c>
      <c r="H2447" s="2" t="s">
        <v>24</v>
      </c>
      <c r="I2447" s="2" t="s">
        <v>3491</v>
      </c>
      <c r="J2447" s="2">
        <v>1.0</v>
      </c>
      <c r="K2447" s="23" t="s">
        <v>4198</v>
      </c>
      <c r="L2447" s="11">
        <v>0.0</v>
      </c>
    </row>
    <row r="2448" hidden="1">
      <c r="A2448" s="8" t="s">
        <v>1990</v>
      </c>
      <c r="B2448" s="8" t="s">
        <v>1990</v>
      </c>
      <c r="C2448" s="13">
        <v>45978.560381944444</v>
      </c>
      <c r="D2448" s="2" t="s">
        <v>55</v>
      </c>
      <c r="E2448" s="2" t="s">
        <v>56</v>
      </c>
      <c r="F2448" s="14" t="s">
        <v>3516</v>
      </c>
      <c r="G2448" s="14" t="s">
        <v>3517</v>
      </c>
      <c r="H2448" s="2" t="s">
        <v>16</v>
      </c>
      <c r="I2448" s="2" t="s">
        <v>3488</v>
      </c>
      <c r="J2448" s="2">
        <v>2.0</v>
      </c>
      <c r="K2448" s="23" t="s">
        <v>5265</v>
      </c>
      <c r="L2448" s="11">
        <v>180000.0</v>
      </c>
    </row>
    <row r="2449" hidden="1">
      <c r="A2449" s="8" t="s">
        <v>1991</v>
      </c>
      <c r="B2449" s="8" t="s">
        <v>1991</v>
      </c>
      <c r="C2449" s="13">
        <v>45978.56854166667</v>
      </c>
      <c r="D2449" s="2" t="s">
        <v>786</v>
      </c>
      <c r="E2449" s="2" t="s">
        <v>787</v>
      </c>
      <c r="F2449" s="14" t="s">
        <v>3486</v>
      </c>
      <c r="G2449" s="14" t="s">
        <v>3487</v>
      </c>
      <c r="H2449" s="2" t="s">
        <v>24</v>
      </c>
      <c r="I2449" s="2" t="s">
        <v>3491</v>
      </c>
      <c r="J2449" s="2">
        <v>3.0</v>
      </c>
      <c r="K2449" s="23" t="s">
        <v>5266</v>
      </c>
      <c r="L2449" s="11">
        <v>0.0</v>
      </c>
    </row>
    <row r="2450" hidden="1">
      <c r="A2450" s="8" t="s">
        <v>1992</v>
      </c>
      <c r="B2450" s="8" t="s">
        <v>1992</v>
      </c>
      <c r="C2450" s="13">
        <v>45978.58541666667</v>
      </c>
      <c r="D2450" s="2" t="s">
        <v>1993</v>
      </c>
      <c r="E2450" s="2" t="s">
        <v>1994</v>
      </c>
      <c r="F2450" s="14" t="s">
        <v>4203</v>
      </c>
      <c r="G2450" s="14" t="s">
        <v>4204</v>
      </c>
      <c r="H2450" s="2" t="s">
        <v>16</v>
      </c>
      <c r="I2450" s="2" t="s">
        <v>3488</v>
      </c>
      <c r="J2450" s="2">
        <v>5.0</v>
      </c>
      <c r="K2450" s="23" t="s">
        <v>5267</v>
      </c>
      <c r="L2450" s="11">
        <v>65000.0</v>
      </c>
    </row>
    <row r="2451" hidden="1">
      <c r="A2451" s="8" t="s">
        <v>1996</v>
      </c>
      <c r="B2451" s="8" t="s">
        <v>1996</v>
      </c>
      <c r="C2451" s="13">
        <v>45978.61478009259</v>
      </c>
      <c r="D2451" s="2" t="s">
        <v>55</v>
      </c>
      <c r="E2451" s="2" t="s">
        <v>56</v>
      </c>
      <c r="F2451" s="14" t="s">
        <v>3486</v>
      </c>
      <c r="G2451" s="14" t="s">
        <v>3487</v>
      </c>
      <c r="H2451" s="2" t="s">
        <v>24</v>
      </c>
      <c r="I2451" s="2" t="s">
        <v>3491</v>
      </c>
      <c r="J2451" s="2">
        <v>2.0</v>
      </c>
      <c r="K2451" s="23" t="s">
        <v>5268</v>
      </c>
      <c r="L2451" s="11">
        <v>0.0</v>
      </c>
    </row>
    <row r="2452" hidden="1">
      <c r="A2452" s="8" t="s">
        <v>1997</v>
      </c>
      <c r="B2452" s="8" t="s">
        <v>1997</v>
      </c>
      <c r="C2452" s="13">
        <v>45978.641064814816</v>
      </c>
      <c r="D2452" s="2" t="s">
        <v>943</v>
      </c>
      <c r="E2452" s="2" t="s">
        <v>944</v>
      </c>
      <c r="F2452" s="14" t="s">
        <v>3506</v>
      </c>
      <c r="G2452" s="14" t="s">
        <v>3507</v>
      </c>
      <c r="H2452" s="2" t="s">
        <v>24</v>
      </c>
      <c r="I2452" s="2" t="s">
        <v>3491</v>
      </c>
      <c r="J2452" s="2">
        <v>2.0</v>
      </c>
      <c r="K2452" s="23" t="s">
        <v>4670</v>
      </c>
      <c r="L2452" s="11">
        <v>0.0</v>
      </c>
    </row>
    <row r="2453" hidden="1">
      <c r="A2453" s="8" t="s">
        <v>1997</v>
      </c>
      <c r="B2453" s="8" t="s">
        <v>1997</v>
      </c>
      <c r="C2453" s="13">
        <v>45978.641064814816</v>
      </c>
      <c r="D2453" s="2" t="s">
        <v>943</v>
      </c>
      <c r="E2453" s="2" t="s">
        <v>944</v>
      </c>
      <c r="F2453" s="14" t="s">
        <v>4203</v>
      </c>
      <c r="G2453" s="14" t="s">
        <v>4204</v>
      </c>
      <c r="H2453" s="2" t="s">
        <v>24</v>
      </c>
      <c r="I2453" s="2" t="s">
        <v>3491</v>
      </c>
      <c r="J2453" s="2">
        <v>4.0</v>
      </c>
      <c r="K2453" s="23" t="s">
        <v>5203</v>
      </c>
      <c r="L2453" s="11">
        <v>0.0</v>
      </c>
    </row>
    <row r="2454" hidden="1">
      <c r="A2454" s="8" t="s">
        <v>1998</v>
      </c>
      <c r="B2454" s="8" t="s">
        <v>1998</v>
      </c>
      <c r="C2454" s="13">
        <v>45978.651979166665</v>
      </c>
      <c r="D2454" s="2" t="s">
        <v>1745</v>
      </c>
      <c r="E2454" s="2" t="s">
        <v>1746</v>
      </c>
      <c r="F2454" s="14" t="s">
        <v>3486</v>
      </c>
      <c r="G2454" s="14" t="s">
        <v>3487</v>
      </c>
      <c r="H2454" s="2" t="s">
        <v>16</v>
      </c>
      <c r="I2454" s="2" t="s">
        <v>3488</v>
      </c>
      <c r="J2454" s="2">
        <v>2.0</v>
      </c>
      <c r="K2454" s="23" t="s">
        <v>5269</v>
      </c>
      <c r="L2454" s="11">
        <v>65000.0</v>
      </c>
    </row>
    <row r="2455" hidden="1">
      <c r="A2455" s="1"/>
      <c r="B2455" s="1"/>
      <c r="C2455" s="13"/>
      <c r="D2455" s="2"/>
      <c r="E2455" s="2"/>
      <c r="F2455" s="14"/>
      <c r="G2455" s="14"/>
      <c r="H2455" s="2"/>
      <c r="I2455" s="2"/>
      <c r="J2455" s="2"/>
      <c r="K2455" s="12"/>
      <c r="L2455" s="11"/>
    </row>
    <row r="2456" hidden="1">
      <c r="A2456" s="8" t="s">
        <v>1999</v>
      </c>
      <c r="B2456" s="8" t="s">
        <v>1999</v>
      </c>
      <c r="C2456" s="13">
        <v>45978.34074074074</v>
      </c>
      <c r="D2456" s="2" t="s">
        <v>309</v>
      </c>
      <c r="E2456" s="2" t="s">
        <v>310</v>
      </c>
      <c r="F2456" s="14" t="s">
        <v>3506</v>
      </c>
      <c r="G2456" s="14" t="s">
        <v>3507</v>
      </c>
      <c r="H2456" s="2" t="s">
        <v>16</v>
      </c>
      <c r="I2456" s="2" t="s">
        <v>3488</v>
      </c>
      <c r="J2456" s="2">
        <v>1.0</v>
      </c>
      <c r="K2456" s="23" t="s">
        <v>4688</v>
      </c>
      <c r="L2456" s="11">
        <v>55000.0</v>
      </c>
    </row>
    <row r="2457" hidden="1">
      <c r="A2457" s="8" t="s">
        <v>2000</v>
      </c>
      <c r="B2457" s="8" t="s">
        <v>2000</v>
      </c>
      <c r="C2457" s="13">
        <v>45979.34074074074</v>
      </c>
      <c r="D2457" s="2" t="s">
        <v>309</v>
      </c>
      <c r="E2457" s="2" t="s">
        <v>310</v>
      </c>
      <c r="F2457" s="14" t="s">
        <v>3506</v>
      </c>
      <c r="G2457" s="14" t="s">
        <v>3507</v>
      </c>
      <c r="H2457" s="2" t="s">
        <v>16</v>
      </c>
      <c r="I2457" s="2" t="s">
        <v>3488</v>
      </c>
      <c r="J2457" s="2">
        <v>2.0</v>
      </c>
      <c r="K2457" s="23" t="s">
        <v>4670</v>
      </c>
      <c r="L2457" s="11">
        <v>55000.0</v>
      </c>
    </row>
    <row r="2458" hidden="1">
      <c r="A2458" s="8" t="s">
        <v>2001</v>
      </c>
      <c r="B2458" s="8" t="s">
        <v>2001</v>
      </c>
      <c r="C2458" s="13">
        <v>45979.341458333336</v>
      </c>
      <c r="D2458" s="2" t="s">
        <v>326</v>
      </c>
      <c r="E2458" s="2" t="s">
        <v>327</v>
      </c>
      <c r="F2458" s="14" t="s">
        <v>3486</v>
      </c>
      <c r="G2458" s="14" t="s">
        <v>3487</v>
      </c>
      <c r="H2458" s="2" t="s">
        <v>16</v>
      </c>
      <c r="I2458" s="2" t="s">
        <v>3488</v>
      </c>
      <c r="J2458" s="2">
        <v>20.0</v>
      </c>
      <c r="K2458" s="23" t="s">
        <v>5270</v>
      </c>
      <c r="L2458" s="11">
        <v>45000.0</v>
      </c>
    </row>
    <row r="2459" hidden="1">
      <c r="A2459" s="1"/>
      <c r="B2459" s="1"/>
      <c r="C2459" s="13"/>
      <c r="D2459" s="2"/>
      <c r="E2459" s="2"/>
      <c r="F2459" s="14"/>
      <c r="G2459" s="14"/>
      <c r="H2459" s="2"/>
      <c r="I2459" s="2"/>
      <c r="J2459" s="2"/>
      <c r="K2459" s="12"/>
      <c r="L2459" s="11"/>
    </row>
    <row r="2460" hidden="1">
      <c r="A2460" s="8" t="s">
        <v>2000</v>
      </c>
      <c r="B2460" s="8" t="s">
        <v>2000</v>
      </c>
      <c r="C2460" s="13">
        <v>45979.34074074074</v>
      </c>
      <c r="D2460" s="2" t="s">
        <v>309</v>
      </c>
      <c r="E2460" s="2" t="s">
        <v>310</v>
      </c>
      <c r="F2460" s="14" t="s">
        <v>5271</v>
      </c>
      <c r="G2460" s="14" t="s">
        <v>5272</v>
      </c>
      <c r="H2460" s="2" t="s">
        <v>16</v>
      </c>
      <c r="I2460" s="2" t="s">
        <v>3488</v>
      </c>
      <c r="J2460" s="2">
        <v>1.0</v>
      </c>
      <c r="K2460" s="12"/>
      <c r="L2460" s="11">
        <v>200000.0</v>
      </c>
    </row>
    <row r="2461" hidden="1">
      <c r="A2461" s="8" t="s">
        <v>2002</v>
      </c>
      <c r="B2461" s="8" t="s">
        <v>2002</v>
      </c>
      <c r="C2461" s="13">
        <v>45978.69152777778</v>
      </c>
      <c r="D2461" s="2" t="s">
        <v>786</v>
      </c>
      <c r="E2461" s="2" t="s">
        <v>787</v>
      </c>
      <c r="F2461" s="14" t="s">
        <v>3516</v>
      </c>
      <c r="G2461" s="14" t="s">
        <v>3517</v>
      </c>
      <c r="H2461" s="2" t="s">
        <v>16</v>
      </c>
      <c r="I2461" s="2" t="s">
        <v>3488</v>
      </c>
      <c r="J2461" s="2">
        <v>2.0</v>
      </c>
      <c r="K2461" s="23" t="s">
        <v>5273</v>
      </c>
      <c r="L2461" s="11">
        <v>170000.0</v>
      </c>
    </row>
    <row r="2462" hidden="1">
      <c r="A2462" s="8" t="s">
        <v>2002</v>
      </c>
      <c r="B2462" s="8" t="s">
        <v>2002</v>
      </c>
      <c r="C2462" s="13">
        <v>45978.69152777778</v>
      </c>
      <c r="D2462" s="2" t="s">
        <v>786</v>
      </c>
      <c r="E2462" s="2" t="s">
        <v>787</v>
      </c>
      <c r="F2462" s="14" t="s">
        <v>3486</v>
      </c>
      <c r="G2462" s="14" t="s">
        <v>3487</v>
      </c>
      <c r="H2462" s="2" t="s">
        <v>16</v>
      </c>
      <c r="I2462" s="2" t="s">
        <v>3488</v>
      </c>
      <c r="J2462" s="2">
        <v>8.0</v>
      </c>
      <c r="K2462" s="23" t="s">
        <v>5274</v>
      </c>
      <c r="L2462" s="11">
        <v>60000.0</v>
      </c>
    </row>
    <row r="2463" hidden="1">
      <c r="A2463" s="8" t="s">
        <v>2000</v>
      </c>
      <c r="B2463" s="8" t="s">
        <v>2000</v>
      </c>
      <c r="C2463" s="13">
        <v>45979.34074074074</v>
      </c>
      <c r="D2463" s="2" t="s">
        <v>309</v>
      </c>
      <c r="E2463" s="2" t="s">
        <v>310</v>
      </c>
      <c r="F2463" s="14" t="s">
        <v>5275</v>
      </c>
      <c r="G2463" s="14" t="s">
        <v>5276</v>
      </c>
      <c r="H2463" s="2" t="s">
        <v>16</v>
      </c>
      <c r="I2463" s="2" t="s">
        <v>3488</v>
      </c>
      <c r="J2463" s="2">
        <v>1.0</v>
      </c>
      <c r="K2463" s="12"/>
      <c r="L2463" s="11">
        <v>250000.0</v>
      </c>
    </row>
    <row r="2464" hidden="1">
      <c r="A2464" s="8" t="s">
        <v>2003</v>
      </c>
      <c r="B2464" s="8" t="s">
        <v>2003</v>
      </c>
      <c r="C2464" s="13">
        <v>45978.69782407407</v>
      </c>
      <c r="D2464" s="2" t="s">
        <v>309</v>
      </c>
      <c r="E2464" s="2" t="s">
        <v>310</v>
      </c>
      <c r="F2464" s="14" t="s">
        <v>4045</v>
      </c>
      <c r="G2464" s="14" t="s">
        <v>4046</v>
      </c>
      <c r="H2464" s="2" t="s">
        <v>16</v>
      </c>
      <c r="I2464" s="2" t="s">
        <v>3488</v>
      </c>
      <c r="J2464" s="2">
        <v>1.0</v>
      </c>
      <c r="K2464" s="23" t="s">
        <v>4688</v>
      </c>
      <c r="L2464" s="11">
        <v>160000.0</v>
      </c>
    </row>
    <row r="2465" hidden="1">
      <c r="A2465" s="8" t="s">
        <v>2004</v>
      </c>
      <c r="B2465" s="8" t="s">
        <v>2004</v>
      </c>
      <c r="C2465" s="13">
        <v>45979.352106481485</v>
      </c>
      <c r="D2465" s="2" t="s">
        <v>2005</v>
      </c>
      <c r="E2465" s="2" t="s">
        <v>2006</v>
      </c>
      <c r="F2465" s="14" t="s">
        <v>4203</v>
      </c>
      <c r="G2465" s="14" t="s">
        <v>4204</v>
      </c>
      <c r="H2465" s="2" t="s">
        <v>16</v>
      </c>
      <c r="I2465" s="2" t="s">
        <v>3488</v>
      </c>
      <c r="J2465" s="2">
        <v>10.0</v>
      </c>
      <c r="K2465" s="23" t="s">
        <v>5277</v>
      </c>
      <c r="L2465" s="11">
        <v>60000.0</v>
      </c>
    </row>
    <row r="2466" hidden="1">
      <c r="A2466" s="8" t="s">
        <v>2004</v>
      </c>
      <c r="B2466" s="8" t="s">
        <v>2004</v>
      </c>
      <c r="C2466" s="13">
        <v>45979.352106481485</v>
      </c>
      <c r="D2466" s="2" t="s">
        <v>2005</v>
      </c>
      <c r="E2466" s="2" t="s">
        <v>2006</v>
      </c>
      <c r="F2466" s="14" t="s">
        <v>3493</v>
      </c>
      <c r="G2466" s="14" t="s">
        <v>3494</v>
      </c>
      <c r="H2466" s="2" t="s">
        <v>16</v>
      </c>
      <c r="I2466" s="2" t="s">
        <v>3488</v>
      </c>
      <c r="J2466" s="2">
        <v>1.0</v>
      </c>
      <c r="K2466" s="23" t="s">
        <v>4688</v>
      </c>
      <c r="L2466" s="11">
        <v>215000.0</v>
      </c>
    </row>
    <row r="2467" hidden="1">
      <c r="A2467" s="8" t="s">
        <v>2008</v>
      </c>
      <c r="B2467" s="8" t="s">
        <v>2008</v>
      </c>
      <c r="C2467" s="13">
        <v>45979.365694444445</v>
      </c>
      <c r="D2467" s="2" t="s">
        <v>1993</v>
      </c>
      <c r="E2467" s="2" t="s">
        <v>1994</v>
      </c>
      <c r="F2467" s="14" t="s">
        <v>3493</v>
      </c>
      <c r="G2467" s="14" t="s">
        <v>3494</v>
      </c>
      <c r="H2467" s="2" t="s">
        <v>16</v>
      </c>
      <c r="I2467" s="2" t="s">
        <v>3488</v>
      </c>
      <c r="J2467" s="2">
        <v>3.0</v>
      </c>
      <c r="K2467" s="23" t="s">
        <v>4704</v>
      </c>
      <c r="L2467" s="11">
        <v>200000.0</v>
      </c>
    </row>
    <row r="2468" hidden="1">
      <c r="A2468" s="8" t="s">
        <v>2009</v>
      </c>
      <c r="B2468" s="8" t="s">
        <v>2009</v>
      </c>
      <c r="C2468" s="13">
        <v>45979.373020833336</v>
      </c>
      <c r="D2468" s="2" t="s">
        <v>1993</v>
      </c>
      <c r="E2468" s="2" t="s">
        <v>1994</v>
      </c>
      <c r="F2468" s="14" t="s">
        <v>3486</v>
      </c>
      <c r="G2468" s="14" t="s">
        <v>3487</v>
      </c>
      <c r="H2468" s="2" t="s">
        <v>16</v>
      </c>
      <c r="I2468" s="2" t="s">
        <v>3488</v>
      </c>
      <c r="J2468" s="2">
        <v>5.0</v>
      </c>
      <c r="K2468" s="23" t="s">
        <v>5278</v>
      </c>
      <c r="L2468" s="11">
        <v>65000.0</v>
      </c>
    </row>
    <row r="2469" hidden="1">
      <c r="A2469" s="8" t="s">
        <v>2010</v>
      </c>
      <c r="B2469" s="8" t="s">
        <v>2010</v>
      </c>
      <c r="C2469" s="13">
        <v>45979.4444212963</v>
      </c>
      <c r="D2469" s="2" t="s">
        <v>1904</v>
      </c>
      <c r="E2469" s="2" t="s">
        <v>1905</v>
      </c>
      <c r="F2469" s="14" t="s">
        <v>3516</v>
      </c>
      <c r="G2469" s="14" t="s">
        <v>3517</v>
      </c>
      <c r="H2469" s="2" t="s">
        <v>16</v>
      </c>
      <c r="I2469" s="2" t="s">
        <v>3488</v>
      </c>
      <c r="J2469" s="2">
        <v>2.0</v>
      </c>
      <c r="K2469" s="23" t="s">
        <v>5279</v>
      </c>
      <c r="L2469" s="11">
        <v>155000.0</v>
      </c>
    </row>
    <row r="2470" hidden="1">
      <c r="A2470" s="8" t="s">
        <v>2011</v>
      </c>
      <c r="B2470" s="8" t="s">
        <v>2011</v>
      </c>
      <c r="C2470" s="13">
        <v>45979.44483796296</v>
      </c>
      <c r="D2470" s="2" t="s">
        <v>1830</v>
      </c>
      <c r="E2470" s="2" t="s">
        <v>1831</v>
      </c>
      <c r="F2470" s="14" t="s">
        <v>3493</v>
      </c>
      <c r="G2470" s="14" t="s">
        <v>3494</v>
      </c>
      <c r="H2470" s="2" t="s">
        <v>16</v>
      </c>
      <c r="I2470" s="2" t="s">
        <v>3488</v>
      </c>
      <c r="J2470" s="2">
        <v>2.0</v>
      </c>
      <c r="K2470" s="12"/>
      <c r="L2470" s="11">
        <v>210000.0</v>
      </c>
    </row>
    <row r="2471" hidden="1">
      <c r="A2471" s="8" t="s">
        <v>2012</v>
      </c>
      <c r="B2471" s="8" t="s">
        <v>2012</v>
      </c>
      <c r="C2471" s="13">
        <v>45979.46836805555</v>
      </c>
      <c r="D2471" s="2" t="s">
        <v>2005</v>
      </c>
      <c r="E2471" s="2" t="s">
        <v>2006</v>
      </c>
      <c r="F2471" s="14" t="s">
        <v>3493</v>
      </c>
      <c r="G2471" s="14" t="s">
        <v>3494</v>
      </c>
      <c r="H2471" s="2" t="s">
        <v>24</v>
      </c>
      <c r="I2471" s="2" t="s">
        <v>3491</v>
      </c>
      <c r="J2471" s="2">
        <v>1.0</v>
      </c>
      <c r="K2471" s="23" t="s">
        <v>4688</v>
      </c>
      <c r="L2471" s="11">
        <v>0.0</v>
      </c>
    </row>
    <row r="2472" hidden="1">
      <c r="A2472" s="8" t="s">
        <v>2013</v>
      </c>
      <c r="B2472" s="8" t="s">
        <v>2013</v>
      </c>
      <c r="C2472" s="13">
        <v>45979.468877314815</v>
      </c>
      <c r="D2472" s="2" t="s">
        <v>1745</v>
      </c>
      <c r="E2472" s="2" t="s">
        <v>1746</v>
      </c>
      <c r="F2472" s="14" t="s">
        <v>3486</v>
      </c>
      <c r="G2472" s="14" t="s">
        <v>3487</v>
      </c>
      <c r="H2472" s="2" t="s">
        <v>24</v>
      </c>
      <c r="I2472" s="2" t="s">
        <v>3491</v>
      </c>
      <c r="J2472" s="2">
        <v>2.0</v>
      </c>
      <c r="K2472" s="23" t="s">
        <v>5181</v>
      </c>
      <c r="L2472" s="11">
        <v>0.0</v>
      </c>
    </row>
    <row r="2473" hidden="1">
      <c r="A2473" s="8" t="s">
        <v>2013</v>
      </c>
      <c r="B2473" s="8" t="s">
        <v>2013</v>
      </c>
      <c r="C2473" s="13">
        <v>45979.468877314815</v>
      </c>
      <c r="D2473" s="2" t="s">
        <v>1745</v>
      </c>
      <c r="E2473" s="2" t="s">
        <v>1746</v>
      </c>
      <c r="F2473" s="14" t="s">
        <v>4203</v>
      </c>
      <c r="G2473" s="14" t="s">
        <v>4204</v>
      </c>
      <c r="H2473" s="2" t="s">
        <v>24</v>
      </c>
      <c r="I2473" s="2" t="s">
        <v>3491</v>
      </c>
      <c r="J2473" s="2">
        <v>1.0</v>
      </c>
      <c r="K2473" s="23" t="s">
        <v>4517</v>
      </c>
      <c r="L2473" s="11">
        <v>0.0</v>
      </c>
    </row>
    <row r="2474" hidden="1">
      <c r="A2474" s="8" t="s">
        <v>2014</v>
      </c>
      <c r="B2474" s="8" t="s">
        <v>2014</v>
      </c>
      <c r="C2474" s="13">
        <v>45979.47429398148</v>
      </c>
      <c r="D2474" s="2" t="s">
        <v>1993</v>
      </c>
      <c r="E2474" s="2" t="s">
        <v>1994</v>
      </c>
      <c r="F2474" s="14" t="s">
        <v>3493</v>
      </c>
      <c r="G2474" s="14" t="s">
        <v>3494</v>
      </c>
      <c r="H2474" s="2" t="s">
        <v>24</v>
      </c>
      <c r="I2474" s="2" t="s">
        <v>3491</v>
      </c>
      <c r="J2474" s="2">
        <v>3.0</v>
      </c>
      <c r="K2474" s="12"/>
      <c r="L2474" s="11">
        <v>0.0</v>
      </c>
    </row>
    <row r="2475" hidden="1">
      <c r="A2475" s="8" t="s">
        <v>2015</v>
      </c>
      <c r="B2475" s="8" t="s">
        <v>2015</v>
      </c>
      <c r="C2475" s="13">
        <v>45979.5000462963</v>
      </c>
      <c r="D2475" s="2" t="s">
        <v>1830</v>
      </c>
      <c r="E2475" s="2" t="s">
        <v>1831</v>
      </c>
      <c r="F2475" s="14" t="s">
        <v>3493</v>
      </c>
      <c r="G2475" s="14" t="s">
        <v>3494</v>
      </c>
      <c r="H2475" s="2" t="s">
        <v>24</v>
      </c>
      <c r="I2475" s="2" t="s">
        <v>3491</v>
      </c>
      <c r="J2475" s="2">
        <v>2.0</v>
      </c>
      <c r="K2475" s="12"/>
      <c r="L2475" s="11">
        <v>0.0</v>
      </c>
    </row>
    <row r="2476" hidden="1">
      <c r="A2476" s="8" t="s">
        <v>2016</v>
      </c>
      <c r="B2476" s="8" t="s">
        <v>2016</v>
      </c>
      <c r="C2476" s="13">
        <v>45979.50099537037</v>
      </c>
      <c r="D2476" s="2" t="s">
        <v>1904</v>
      </c>
      <c r="E2476" s="2" t="s">
        <v>1905</v>
      </c>
      <c r="F2476" s="14" t="s">
        <v>3486</v>
      </c>
      <c r="G2476" s="14" t="s">
        <v>3487</v>
      </c>
      <c r="H2476" s="2" t="s">
        <v>24</v>
      </c>
      <c r="I2476" s="2" t="s">
        <v>3491</v>
      </c>
      <c r="J2476" s="2">
        <v>1.0</v>
      </c>
      <c r="K2476" s="23" t="s">
        <v>4059</v>
      </c>
      <c r="L2476" s="11">
        <v>0.0</v>
      </c>
    </row>
    <row r="2477" hidden="1">
      <c r="A2477" s="8" t="s">
        <v>2016</v>
      </c>
      <c r="B2477" s="8" t="s">
        <v>2016</v>
      </c>
      <c r="C2477" s="13">
        <v>45979.50099537037</v>
      </c>
      <c r="D2477" s="2" t="s">
        <v>1904</v>
      </c>
      <c r="E2477" s="2" t="s">
        <v>1905</v>
      </c>
      <c r="F2477" s="14" t="s">
        <v>4203</v>
      </c>
      <c r="G2477" s="14" t="s">
        <v>4204</v>
      </c>
      <c r="H2477" s="2" t="s">
        <v>24</v>
      </c>
      <c r="I2477" s="2" t="s">
        <v>3491</v>
      </c>
      <c r="J2477" s="2">
        <v>4.0</v>
      </c>
      <c r="K2477" s="23" t="s">
        <v>5280</v>
      </c>
      <c r="L2477" s="11">
        <v>0.0</v>
      </c>
    </row>
    <row r="2478" hidden="1">
      <c r="A2478" s="8" t="s">
        <v>2016</v>
      </c>
      <c r="B2478" s="8" t="s">
        <v>2016</v>
      </c>
      <c r="C2478" s="13">
        <v>45979.50099537037</v>
      </c>
      <c r="D2478" s="2" t="s">
        <v>1904</v>
      </c>
      <c r="E2478" s="2" t="s">
        <v>1905</v>
      </c>
      <c r="F2478" s="14" t="s">
        <v>3516</v>
      </c>
      <c r="G2478" s="14" t="s">
        <v>3517</v>
      </c>
      <c r="H2478" s="2" t="s">
        <v>24</v>
      </c>
      <c r="I2478" s="2" t="s">
        <v>3491</v>
      </c>
      <c r="J2478" s="2">
        <v>1.0</v>
      </c>
      <c r="K2478" s="23" t="s">
        <v>4662</v>
      </c>
      <c r="L2478" s="11">
        <v>0.0</v>
      </c>
    </row>
    <row r="2479" hidden="1">
      <c r="A2479" s="8" t="s">
        <v>2017</v>
      </c>
      <c r="B2479" s="8" t="s">
        <v>2017</v>
      </c>
      <c r="C2479" s="13">
        <v>45979.504953703705</v>
      </c>
      <c r="D2479" s="2" t="s">
        <v>326</v>
      </c>
      <c r="E2479" s="2" t="s">
        <v>327</v>
      </c>
      <c r="F2479" s="14" t="s">
        <v>3486</v>
      </c>
      <c r="G2479" s="14" t="s">
        <v>3487</v>
      </c>
      <c r="H2479" s="2" t="s">
        <v>24</v>
      </c>
      <c r="I2479" s="2" t="s">
        <v>3491</v>
      </c>
      <c r="J2479" s="2">
        <v>5.0</v>
      </c>
      <c r="K2479" s="23" t="s">
        <v>5281</v>
      </c>
      <c r="L2479" s="11">
        <v>0.0</v>
      </c>
    </row>
    <row r="2480" hidden="1">
      <c r="A2480" s="8" t="s">
        <v>2018</v>
      </c>
      <c r="B2480" s="8" t="s">
        <v>2018</v>
      </c>
      <c r="C2480" s="13">
        <v>45979.63701388889</v>
      </c>
      <c r="D2480" s="2" t="s">
        <v>1564</v>
      </c>
      <c r="E2480" s="2" t="s">
        <v>1565</v>
      </c>
      <c r="F2480" s="14" t="s">
        <v>3486</v>
      </c>
      <c r="G2480" s="14" t="s">
        <v>3487</v>
      </c>
      <c r="H2480" s="2" t="s">
        <v>16</v>
      </c>
      <c r="I2480" s="2" t="s">
        <v>3488</v>
      </c>
      <c r="J2480" s="2">
        <v>2.0</v>
      </c>
      <c r="K2480" s="23" t="s">
        <v>5282</v>
      </c>
      <c r="L2480" s="11">
        <v>80000.0</v>
      </c>
    </row>
    <row r="2481" hidden="1">
      <c r="A2481" s="8" t="s">
        <v>2019</v>
      </c>
      <c r="B2481" s="8" t="s">
        <v>2019</v>
      </c>
      <c r="C2481" s="13">
        <v>45979.66452546296</v>
      </c>
      <c r="D2481" s="2" t="s">
        <v>1705</v>
      </c>
      <c r="E2481" s="2" t="s">
        <v>1706</v>
      </c>
      <c r="F2481" s="14" t="s">
        <v>4203</v>
      </c>
      <c r="G2481" s="14" t="s">
        <v>4204</v>
      </c>
      <c r="H2481" s="2" t="s">
        <v>24</v>
      </c>
      <c r="I2481" s="2" t="s">
        <v>3491</v>
      </c>
      <c r="J2481" s="2">
        <v>2.0</v>
      </c>
      <c r="K2481" s="23" t="s">
        <v>5283</v>
      </c>
      <c r="L2481" s="11">
        <v>0.0</v>
      </c>
    </row>
    <row r="2482" hidden="1">
      <c r="A2482" s="8" t="s">
        <v>2020</v>
      </c>
      <c r="B2482" s="8" t="s">
        <v>2020</v>
      </c>
      <c r="C2482" s="13">
        <v>45979.665625</v>
      </c>
      <c r="D2482" s="2" t="s">
        <v>786</v>
      </c>
      <c r="E2482" s="2" t="s">
        <v>787</v>
      </c>
      <c r="F2482" s="14" t="s">
        <v>3516</v>
      </c>
      <c r="G2482" s="14" t="s">
        <v>3517</v>
      </c>
      <c r="H2482" s="2" t="s">
        <v>24</v>
      </c>
      <c r="I2482" s="2" t="s">
        <v>3491</v>
      </c>
      <c r="J2482" s="2">
        <v>2.0</v>
      </c>
      <c r="K2482" s="23" t="s">
        <v>5284</v>
      </c>
      <c r="L2482" s="11">
        <v>0.0</v>
      </c>
    </row>
    <row r="2483" hidden="1">
      <c r="A2483" s="8" t="s">
        <v>2020</v>
      </c>
      <c r="B2483" s="8" t="s">
        <v>2020</v>
      </c>
      <c r="C2483" s="13">
        <v>45979.665625</v>
      </c>
      <c r="D2483" s="2" t="s">
        <v>786</v>
      </c>
      <c r="E2483" s="2" t="s">
        <v>787</v>
      </c>
      <c r="F2483" s="14" t="s">
        <v>3486</v>
      </c>
      <c r="G2483" s="14" t="s">
        <v>3487</v>
      </c>
      <c r="H2483" s="2" t="s">
        <v>24</v>
      </c>
      <c r="I2483" s="2" t="s">
        <v>3491</v>
      </c>
      <c r="J2483" s="2">
        <v>5.0</v>
      </c>
      <c r="K2483" s="23" t="s">
        <v>5285</v>
      </c>
      <c r="L2483" s="11">
        <v>0.0</v>
      </c>
    </row>
    <row r="2484" hidden="1">
      <c r="A2484" s="8" t="s">
        <v>2021</v>
      </c>
      <c r="B2484" s="8" t="s">
        <v>2021</v>
      </c>
      <c r="C2484" s="13">
        <v>45980.34303240741</v>
      </c>
      <c r="D2484" s="2" t="s">
        <v>2005</v>
      </c>
      <c r="E2484" s="2" t="s">
        <v>2006</v>
      </c>
      <c r="F2484" s="14" t="s">
        <v>4203</v>
      </c>
      <c r="G2484" s="14" t="s">
        <v>4204</v>
      </c>
      <c r="H2484" s="2" t="s">
        <v>16</v>
      </c>
      <c r="I2484" s="2" t="s">
        <v>3488</v>
      </c>
      <c r="J2484" s="2">
        <v>10.0</v>
      </c>
      <c r="K2484" s="23" t="s">
        <v>5286</v>
      </c>
      <c r="L2484" s="11">
        <v>60000.0</v>
      </c>
    </row>
    <row r="2485" hidden="1">
      <c r="A2485" s="8" t="s">
        <v>2021</v>
      </c>
      <c r="B2485" s="8" t="s">
        <v>2021</v>
      </c>
      <c r="C2485" s="13">
        <v>45980.34303240741</v>
      </c>
      <c r="D2485" s="2" t="s">
        <v>2005</v>
      </c>
      <c r="E2485" s="2" t="s">
        <v>2006</v>
      </c>
      <c r="F2485" s="14" t="s">
        <v>3493</v>
      </c>
      <c r="G2485" s="14" t="s">
        <v>3494</v>
      </c>
      <c r="H2485" s="2" t="s">
        <v>16</v>
      </c>
      <c r="I2485" s="2" t="s">
        <v>3488</v>
      </c>
      <c r="J2485" s="2">
        <v>1.0</v>
      </c>
      <c r="K2485" s="23" t="s">
        <v>4688</v>
      </c>
      <c r="L2485" s="11">
        <v>215000.0</v>
      </c>
    </row>
    <row r="2486" hidden="1">
      <c r="A2486" s="8" t="s">
        <v>2022</v>
      </c>
      <c r="B2486" s="8" t="s">
        <v>2022</v>
      </c>
      <c r="C2486" s="13">
        <v>45980.40420138889</v>
      </c>
      <c r="D2486" s="2" t="s">
        <v>2005</v>
      </c>
      <c r="E2486" s="2" t="s">
        <v>2006</v>
      </c>
      <c r="F2486" s="14" t="s">
        <v>3493</v>
      </c>
      <c r="G2486" s="14" t="s">
        <v>3494</v>
      </c>
      <c r="H2486" s="2" t="s">
        <v>24</v>
      </c>
      <c r="I2486" s="2" t="s">
        <v>3491</v>
      </c>
      <c r="J2486" s="2">
        <v>1.0</v>
      </c>
      <c r="K2486" s="23" t="s">
        <v>4688</v>
      </c>
      <c r="L2486" s="11">
        <v>0.0</v>
      </c>
    </row>
    <row r="2487" hidden="1">
      <c r="A2487" s="8" t="s">
        <v>2022</v>
      </c>
      <c r="B2487" s="8" t="s">
        <v>2022</v>
      </c>
      <c r="C2487" s="13">
        <v>45980.40420138889</v>
      </c>
      <c r="D2487" s="2" t="s">
        <v>2005</v>
      </c>
      <c r="E2487" s="2" t="s">
        <v>2006</v>
      </c>
      <c r="F2487" s="14" t="s">
        <v>4203</v>
      </c>
      <c r="G2487" s="14" t="s">
        <v>4204</v>
      </c>
      <c r="H2487" s="2" t="s">
        <v>24</v>
      </c>
      <c r="I2487" s="2" t="s">
        <v>3491</v>
      </c>
      <c r="J2487" s="2">
        <v>8.0</v>
      </c>
      <c r="K2487" s="23" t="s">
        <v>5287</v>
      </c>
      <c r="L2487" s="11">
        <v>0.0</v>
      </c>
    </row>
    <row r="2488">
      <c r="A2488" s="8" t="s">
        <v>2023</v>
      </c>
      <c r="B2488" s="8" t="s">
        <v>2023</v>
      </c>
      <c r="C2488" s="13">
        <v>45980.40855324074</v>
      </c>
      <c r="D2488" s="2" t="s">
        <v>45</v>
      </c>
      <c r="E2488" s="2" t="s">
        <v>46</v>
      </c>
      <c r="F2488" s="14" t="s">
        <v>3486</v>
      </c>
      <c r="G2488" s="14" t="s">
        <v>3487</v>
      </c>
      <c r="H2488" s="2" t="s">
        <v>16</v>
      </c>
      <c r="I2488" s="2" t="s">
        <v>3488</v>
      </c>
      <c r="J2488" s="2">
        <v>10.0</v>
      </c>
      <c r="K2488" s="23" t="s">
        <v>5288</v>
      </c>
      <c r="L2488" s="11">
        <v>60000.0</v>
      </c>
    </row>
    <row r="2489">
      <c r="A2489" s="8" t="s">
        <v>2023</v>
      </c>
      <c r="B2489" s="8" t="s">
        <v>2023</v>
      </c>
      <c r="C2489" s="13">
        <v>45980.40855324074</v>
      </c>
      <c r="D2489" s="2" t="s">
        <v>45</v>
      </c>
      <c r="E2489" s="2" t="s">
        <v>46</v>
      </c>
      <c r="F2489" s="14" t="s">
        <v>3522</v>
      </c>
      <c r="G2489" s="14" t="s">
        <v>3523</v>
      </c>
      <c r="H2489" s="2" t="s">
        <v>16</v>
      </c>
      <c r="I2489" s="2" t="s">
        <v>3488</v>
      </c>
      <c r="J2489" s="2">
        <v>6.0</v>
      </c>
      <c r="K2489" s="23" t="s">
        <v>5289</v>
      </c>
      <c r="L2489" s="11">
        <v>185000.0</v>
      </c>
    </row>
    <row r="2490" hidden="1">
      <c r="A2490" s="8" t="s">
        <v>2024</v>
      </c>
      <c r="B2490" s="8" t="s">
        <v>2024</v>
      </c>
      <c r="C2490" s="13">
        <v>45980.56327546296</v>
      </c>
      <c r="D2490" s="2" t="s">
        <v>1904</v>
      </c>
      <c r="E2490" s="2" t="s">
        <v>1905</v>
      </c>
      <c r="F2490" s="14" t="s">
        <v>3516</v>
      </c>
      <c r="G2490" s="14" t="s">
        <v>3517</v>
      </c>
      <c r="H2490" s="2" t="s">
        <v>16</v>
      </c>
      <c r="I2490" s="2" t="s">
        <v>3488</v>
      </c>
      <c r="J2490" s="2">
        <v>3.0</v>
      </c>
      <c r="K2490" s="23" t="s">
        <v>5290</v>
      </c>
      <c r="L2490" s="11">
        <v>155000.0</v>
      </c>
    </row>
    <row r="2491" hidden="1">
      <c r="A2491" s="8" t="s">
        <v>2025</v>
      </c>
      <c r="B2491" s="8" t="s">
        <v>2025</v>
      </c>
      <c r="C2491" s="13">
        <v>45980.58803240741</v>
      </c>
      <c r="D2491" s="2" t="s">
        <v>1203</v>
      </c>
      <c r="E2491" s="2" t="s">
        <v>1204</v>
      </c>
      <c r="F2491" s="14" t="s">
        <v>3516</v>
      </c>
      <c r="G2491" s="14" t="s">
        <v>3517</v>
      </c>
      <c r="H2491" s="2" t="s">
        <v>24</v>
      </c>
      <c r="I2491" s="2" t="s">
        <v>3491</v>
      </c>
      <c r="J2491" s="2">
        <v>2.0</v>
      </c>
      <c r="K2491" s="23" t="s">
        <v>5291</v>
      </c>
      <c r="L2491" s="11">
        <v>0.0</v>
      </c>
    </row>
    <row r="2492" hidden="1">
      <c r="A2492" s="8" t="s">
        <v>2026</v>
      </c>
      <c r="B2492" s="8" t="s">
        <v>2026</v>
      </c>
      <c r="C2492" s="13">
        <v>45980.58951388889</v>
      </c>
      <c r="D2492" s="2" t="s">
        <v>131</v>
      </c>
      <c r="E2492" s="2" t="s">
        <v>132</v>
      </c>
      <c r="F2492" s="14" t="s">
        <v>4203</v>
      </c>
      <c r="G2492" s="14" t="s">
        <v>4204</v>
      </c>
      <c r="H2492" s="2" t="s">
        <v>24</v>
      </c>
      <c r="I2492" s="2" t="s">
        <v>3491</v>
      </c>
      <c r="J2492" s="2">
        <v>1.0</v>
      </c>
      <c r="K2492" s="23" t="s">
        <v>4176</v>
      </c>
      <c r="L2492" s="11">
        <v>0.0</v>
      </c>
    </row>
    <row r="2493" hidden="1">
      <c r="A2493" s="8" t="s">
        <v>2027</v>
      </c>
      <c r="B2493" s="8" t="s">
        <v>2027</v>
      </c>
      <c r="C2493" s="13">
        <v>45980.590625</v>
      </c>
      <c r="D2493" s="2" t="s">
        <v>1228</v>
      </c>
      <c r="E2493" s="2" t="s">
        <v>1229</v>
      </c>
      <c r="F2493" s="14" t="s">
        <v>3486</v>
      </c>
      <c r="G2493" s="14" t="s">
        <v>3487</v>
      </c>
      <c r="H2493" s="2" t="s">
        <v>24</v>
      </c>
      <c r="I2493" s="2" t="s">
        <v>3491</v>
      </c>
      <c r="J2493" s="2">
        <v>10.0</v>
      </c>
      <c r="K2493" s="23" t="s">
        <v>5292</v>
      </c>
      <c r="L2493" s="11">
        <v>0.0</v>
      </c>
    </row>
    <row r="2494" hidden="1">
      <c r="A2494" s="8" t="s">
        <v>2028</v>
      </c>
      <c r="B2494" s="8" t="s">
        <v>2028</v>
      </c>
      <c r="C2494" s="13">
        <v>45980.62446759259</v>
      </c>
      <c r="D2494" s="2" t="s">
        <v>812</v>
      </c>
      <c r="E2494" s="2" t="s">
        <v>813</v>
      </c>
      <c r="F2494" s="14" t="s">
        <v>3506</v>
      </c>
      <c r="G2494" s="14" t="s">
        <v>3507</v>
      </c>
      <c r="H2494" s="2" t="s">
        <v>16</v>
      </c>
      <c r="I2494" s="2" t="s">
        <v>3488</v>
      </c>
      <c r="J2494" s="2">
        <v>34.0</v>
      </c>
      <c r="K2494" s="12"/>
      <c r="L2494" s="11">
        <v>50000.0</v>
      </c>
    </row>
    <row r="2495" hidden="1">
      <c r="A2495" s="8" t="s">
        <v>2029</v>
      </c>
      <c r="B2495" s="8" t="s">
        <v>2029</v>
      </c>
      <c r="C2495" s="13">
        <v>45980.65280092593</v>
      </c>
      <c r="D2495" s="2" t="s">
        <v>812</v>
      </c>
      <c r="E2495" s="2" t="s">
        <v>813</v>
      </c>
      <c r="F2495" s="14" t="s">
        <v>3506</v>
      </c>
      <c r="G2495" s="14" t="s">
        <v>3507</v>
      </c>
      <c r="H2495" s="2" t="s">
        <v>24</v>
      </c>
      <c r="I2495" s="2" t="s">
        <v>3491</v>
      </c>
      <c r="J2495" s="2">
        <v>34.0</v>
      </c>
      <c r="K2495" s="12"/>
      <c r="L2495" s="11">
        <v>0.0</v>
      </c>
    </row>
    <row r="2496" hidden="1">
      <c r="A2496" s="8" t="s">
        <v>2030</v>
      </c>
      <c r="B2496" s="8" t="s">
        <v>2030</v>
      </c>
      <c r="C2496" s="13">
        <v>45981.35804398148</v>
      </c>
      <c r="D2496" s="2" t="s">
        <v>1889</v>
      </c>
      <c r="E2496" s="2" t="s">
        <v>1890</v>
      </c>
      <c r="F2496" s="14" t="s">
        <v>3486</v>
      </c>
      <c r="G2496" s="14" t="s">
        <v>3487</v>
      </c>
      <c r="H2496" s="2" t="s">
        <v>16</v>
      </c>
      <c r="I2496" s="2" t="s">
        <v>3488</v>
      </c>
      <c r="J2496" s="2">
        <v>1.0</v>
      </c>
      <c r="K2496" s="23" t="s">
        <v>5293</v>
      </c>
      <c r="L2496" s="11">
        <v>60000.0</v>
      </c>
    </row>
    <row r="2497" hidden="1">
      <c r="A2497" s="8" t="s">
        <v>2031</v>
      </c>
      <c r="B2497" s="8" t="s">
        <v>2031</v>
      </c>
      <c r="C2497" s="13">
        <v>45981.36053240741</v>
      </c>
      <c r="D2497" s="2" t="s">
        <v>2032</v>
      </c>
      <c r="E2497" s="2" t="s">
        <v>2033</v>
      </c>
      <c r="F2497" s="14" t="s">
        <v>3486</v>
      </c>
      <c r="G2497" s="14" t="s">
        <v>3487</v>
      </c>
      <c r="H2497" s="2" t="s">
        <v>16</v>
      </c>
      <c r="I2497" s="2" t="s">
        <v>3488</v>
      </c>
      <c r="J2497" s="2">
        <v>1.0</v>
      </c>
      <c r="K2497" s="23" t="s">
        <v>5294</v>
      </c>
      <c r="L2497" s="11">
        <v>60000.0</v>
      </c>
    </row>
    <row r="2498" hidden="1">
      <c r="A2498" s="8" t="s">
        <v>2034</v>
      </c>
      <c r="B2498" s="8" t="s">
        <v>2034</v>
      </c>
      <c r="C2498" s="13">
        <v>45981.37018518519</v>
      </c>
      <c r="D2498" s="2" t="s">
        <v>943</v>
      </c>
      <c r="E2498" s="2" t="s">
        <v>944</v>
      </c>
      <c r="F2498" s="14" t="s">
        <v>3506</v>
      </c>
      <c r="G2498" s="14" t="s">
        <v>3507</v>
      </c>
      <c r="H2498" s="2" t="s">
        <v>16</v>
      </c>
      <c r="I2498" s="2" t="s">
        <v>3488</v>
      </c>
      <c r="J2498" s="2">
        <v>2.0</v>
      </c>
      <c r="K2498" s="23" t="s">
        <v>4670</v>
      </c>
      <c r="L2498" s="11">
        <v>50000.0</v>
      </c>
    </row>
    <row r="2499">
      <c r="A2499" s="8" t="s">
        <v>2035</v>
      </c>
      <c r="B2499" s="8" t="s">
        <v>2035</v>
      </c>
      <c r="C2499" s="13">
        <v>45980.66731481482</v>
      </c>
      <c r="D2499" s="2" t="s">
        <v>45</v>
      </c>
      <c r="E2499" s="2" t="s">
        <v>46</v>
      </c>
      <c r="F2499" s="14" t="s">
        <v>3486</v>
      </c>
      <c r="G2499" s="14" t="s">
        <v>3487</v>
      </c>
      <c r="H2499" s="2" t="s">
        <v>24</v>
      </c>
      <c r="I2499" s="2" t="s">
        <v>3491</v>
      </c>
      <c r="J2499" s="2">
        <v>3.0</v>
      </c>
      <c r="K2499" s="23" t="s">
        <v>5295</v>
      </c>
      <c r="L2499" s="11">
        <v>0.0</v>
      </c>
    </row>
    <row r="2500" hidden="1">
      <c r="A2500" s="8" t="s">
        <v>2036</v>
      </c>
      <c r="B2500" s="8" t="s">
        <v>2036</v>
      </c>
      <c r="C2500" s="13">
        <v>45981.41701388889</v>
      </c>
      <c r="D2500" s="2" t="s">
        <v>1756</v>
      </c>
      <c r="E2500" s="2" t="s">
        <v>1757</v>
      </c>
      <c r="F2500" s="14" t="s">
        <v>4203</v>
      </c>
      <c r="G2500" s="14" t="s">
        <v>4204</v>
      </c>
      <c r="H2500" s="2" t="s">
        <v>16</v>
      </c>
      <c r="I2500" s="2" t="s">
        <v>3488</v>
      </c>
      <c r="J2500" s="2">
        <v>4.0</v>
      </c>
      <c r="K2500" s="23" t="s">
        <v>5296</v>
      </c>
      <c r="L2500" s="11">
        <v>65000.0</v>
      </c>
    </row>
    <row r="2501" hidden="1">
      <c r="A2501" s="8" t="s">
        <v>2037</v>
      </c>
      <c r="B2501" s="8" t="s">
        <v>2037</v>
      </c>
      <c r="C2501" s="13">
        <v>45981.44412037037</v>
      </c>
      <c r="D2501" s="2" t="s">
        <v>2005</v>
      </c>
      <c r="E2501" s="2" t="s">
        <v>2006</v>
      </c>
      <c r="F2501" s="14" t="s">
        <v>4203</v>
      </c>
      <c r="G2501" s="14" t="s">
        <v>4204</v>
      </c>
      <c r="H2501" s="2" t="s">
        <v>24</v>
      </c>
      <c r="I2501" s="2" t="s">
        <v>3491</v>
      </c>
      <c r="J2501" s="2">
        <v>5.0</v>
      </c>
      <c r="K2501" s="23" t="s">
        <v>5297</v>
      </c>
      <c r="L2501" s="11">
        <v>0.0</v>
      </c>
    </row>
    <row r="2502" hidden="1">
      <c r="A2502" s="8" t="s">
        <v>2038</v>
      </c>
      <c r="B2502" s="8" t="s">
        <v>2038</v>
      </c>
      <c r="C2502" s="13">
        <v>45981.44550925926</v>
      </c>
      <c r="D2502" s="2" t="s">
        <v>1993</v>
      </c>
      <c r="E2502" s="2" t="s">
        <v>1994</v>
      </c>
      <c r="F2502" s="14" t="s">
        <v>4203</v>
      </c>
      <c r="G2502" s="14" t="s">
        <v>4204</v>
      </c>
      <c r="H2502" s="2" t="s">
        <v>24</v>
      </c>
      <c r="I2502" s="2" t="s">
        <v>3491</v>
      </c>
      <c r="J2502" s="2">
        <v>1.0</v>
      </c>
      <c r="K2502" s="23" t="s">
        <v>3805</v>
      </c>
      <c r="L2502" s="11">
        <v>0.0</v>
      </c>
    </row>
    <row r="2503" hidden="1">
      <c r="A2503" s="8" t="s">
        <v>2039</v>
      </c>
      <c r="B2503" s="8" t="s">
        <v>2039</v>
      </c>
      <c r="C2503" s="13">
        <v>45981.52609953703</v>
      </c>
      <c r="D2503" s="2" t="s">
        <v>786</v>
      </c>
      <c r="E2503" s="2" t="s">
        <v>787</v>
      </c>
      <c r="F2503" s="14" t="s">
        <v>4203</v>
      </c>
      <c r="G2503" s="14" t="s">
        <v>4204</v>
      </c>
      <c r="H2503" s="2" t="s">
        <v>16</v>
      </c>
      <c r="I2503" s="2" t="s">
        <v>3488</v>
      </c>
      <c r="J2503" s="2">
        <v>2.0</v>
      </c>
      <c r="K2503" s="23" t="s">
        <v>5298</v>
      </c>
      <c r="L2503" s="11">
        <v>60000.0</v>
      </c>
    </row>
    <row r="2504" hidden="1">
      <c r="A2504" s="8" t="s">
        <v>2039</v>
      </c>
      <c r="B2504" s="8" t="s">
        <v>2039</v>
      </c>
      <c r="C2504" s="13">
        <v>45981.52609953703</v>
      </c>
      <c r="D2504" s="2" t="s">
        <v>786</v>
      </c>
      <c r="E2504" s="2" t="s">
        <v>787</v>
      </c>
      <c r="F2504" s="14" t="s">
        <v>3486</v>
      </c>
      <c r="G2504" s="14" t="s">
        <v>3487</v>
      </c>
      <c r="H2504" s="2" t="s">
        <v>16</v>
      </c>
      <c r="I2504" s="2" t="s">
        <v>3488</v>
      </c>
      <c r="J2504" s="2">
        <v>4.0</v>
      </c>
      <c r="K2504" s="23" t="s">
        <v>5299</v>
      </c>
      <c r="L2504" s="11">
        <v>60000.0</v>
      </c>
    </row>
    <row r="2505" hidden="1">
      <c r="A2505" s="8" t="s">
        <v>2040</v>
      </c>
      <c r="B2505" s="8" t="s">
        <v>2040</v>
      </c>
      <c r="C2505" s="13">
        <v>45981.528715277775</v>
      </c>
      <c r="D2505" s="2" t="s">
        <v>951</v>
      </c>
      <c r="E2505" s="2" t="s">
        <v>952</v>
      </c>
      <c r="F2505" s="14" t="s">
        <v>3486</v>
      </c>
      <c r="G2505" s="14" t="s">
        <v>3487</v>
      </c>
      <c r="H2505" s="2" t="s">
        <v>16</v>
      </c>
      <c r="I2505" s="2" t="s">
        <v>3488</v>
      </c>
      <c r="J2505" s="2">
        <v>7.0</v>
      </c>
      <c r="K2505" s="23" t="s">
        <v>5300</v>
      </c>
      <c r="L2505" s="11">
        <v>55000.0</v>
      </c>
    </row>
    <row r="2506">
      <c r="A2506" s="8" t="s">
        <v>2041</v>
      </c>
      <c r="B2506" s="8" t="s">
        <v>2041</v>
      </c>
      <c r="C2506" s="13">
        <v>45981.55824074074</v>
      </c>
      <c r="D2506" s="2" t="s">
        <v>45</v>
      </c>
      <c r="E2506" s="2" t="s">
        <v>46</v>
      </c>
      <c r="F2506" s="14" t="s">
        <v>4203</v>
      </c>
      <c r="G2506" s="14" t="s">
        <v>4204</v>
      </c>
      <c r="H2506" s="2" t="s">
        <v>24</v>
      </c>
      <c r="I2506" s="2" t="s">
        <v>3491</v>
      </c>
      <c r="J2506" s="2">
        <v>1.0</v>
      </c>
      <c r="K2506" s="23" t="s">
        <v>5301</v>
      </c>
      <c r="L2506" s="11">
        <v>0.0</v>
      </c>
    </row>
    <row r="2507" hidden="1">
      <c r="A2507" s="8" t="s">
        <v>2042</v>
      </c>
      <c r="B2507" s="8" t="s">
        <v>2042</v>
      </c>
      <c r="C2507" s="13">
        <v>45981.558842592596</v>
      </c>
      <c r="D2507" s="2" t="s">
        <v>326</v>
      </c>
      <c r="E2507" s="2" t="s">
        <v>327</v>
      </c>
      <c r="F2507" s="14" t="s">
        <v>3486</v>
      </c>
      <c r="G2507" s="14" t="s">
        <v>3487</v>
      </c>
      <c r="H2507" s="2" t="s">
        <v>24</v>
      </c>
      <c r="I2507" s="2" t="s">
        <v>3491</v>
      </c>
      <c r="J2507" s="2">
        <v>2.0</v>
      </c>
      <c r="K2507" s="23" t="s">
        <v>5302</v>
      </c>
      <c r="L2507" s="11">
        <v>0.0</v>
      </c>
    </row>
    <row r="2508" hidden="1">
      <c r="A2508" s="8" t="s">
        <v>2043</v>
      </c>
      <c r="B2508" s="8" t="s">
        <v>2043</v>
      </c>
      <c r="C2508" s="13">
        <v>45981.55998842593</v>
      </c>
      <c r="D2508" s="2" t="s">
        <v>943</v>
      </c>
      <c r="E2508" s="2" t="s">
        <v>944</v>
      </c>
      <c r="F2508" s="14" t="s">
        <v>4203</v>
      </c>
      <c r="G2508" s="14" t="s">
        <v>4204</v>
      </c>
      <c r="H2508" s="2" t="s">
        <v>24</v>
      </c>
      <c r="I2508" s="2" t="s">
        <v>3491</v>
      </c>
      <c r="J2508" s="2">
        <v>2.0</v>
      </c>
      <c r="K2508" s="23" t="s">
        <v>5303</v>
      </c>
      <c r="L2508" s="11">
        <v>0.0</v>
      </c>
    </row>
    <row r="2509" hidden="1">
      <c r="A2509" s="8" t="s">
        <v>2043</v>
      </c>
      <c r="B2509" s="8" t="s">
        <v>2043</v>
      </c>
      <c r="C2509" s="13">
        <v>45981.55998842593</v>
      </c>
      <c r="D2509" s="2" t="s">
        <v>943</v>
      </c>
      <c r="E2509" s="2" t="s">
        <v>944</v>
      </c>
      <c r="F2509" s="14" t="s">
        <v>3506</v>
      </c>
      <c r="G2509" s="14" t="s">
        <v>3507</v>
      </c>
      <c r="H2509" s="2" t="s">
        <v>24</v>
      </c>
      <c r="I2509" s="2" t="s">
        <v>3491</v>
      </c>
      <c r="J2509" s="2">
        <v>1.0</v>
      </c>
      <c r="K2509" s="23" t="s">
        <v>4688</v>
      </c>
      <c r="L2509" s="11">
        <v>0.0</v>
      </c>
    </row>
    <row r="2510" hidden="1">
      <c r="A2510" s="8" t="s">
        <v>2040</v>
      </c>
      <c r="B2510" s="8" t="s">
        <v>2040</v>
      </c>
      <c r="C2510" s="13">
        <v>45981.528715277775</v>
      </c>
      <c r="D2510" s="2" t="s">
        <v>951</v>
      </c>
      <c r="E2510" s="2" t="s">
        <v>952</v>
      </c>
      <c r="F2510" s="14" t="s">
        <v>3516</v>
      </c>
      <c r="G2510" s="14" t="s">
        <v>3517</v>
      </c>
      <c r="H2510" s="2" t="s">
        <v>16</v>
      </c>
      <c r="I2510" s="2" t="s">
        <v>3488</v>
      </c>
      <c r="J2510" s="2">
        <v>1.0</v>
      </c>
      <c r="K2510" s="23" t="s">
        <v>4733</v>
      </c>
      <c r="L2510" s="11">
        <v>165000.0</v>
      </c>
    </row>
    <row r="2511" hidden="1">
      <c r="A2511" s="8" t="s">
        <v>2044</v>
      </c>
      <c r="B2511" s="8" t="s">
        <v>2044</v>
      </c>
      <c r="C2511" s="13">
        <v>45981.63590277778</v>
      </c>
      <c r="D2511" s="2" t="s">
        <v>786</v>
      </c>
      <c r="E2511" s="2" t="s">
        <v>787</v>
      </c>
      <c r="F2511" s="14" t="s">
        <v>3486</v>
      </c>
      <c r="G2511" s="14" t="s">
        <v>3487</v>
      </c>
      <c r="H2511" s="2" t="s">
        <v>24</v>
      </c>
      <c r="I2511" s="2" t="s">
        <v>3491</v>
      </c>
      <c r="J2511" s="2">
        <v>6.0</v>
      </c>
      <c r="K2511" s="23" t="s">
        <v>5304</v>
      </c>
      <c r="L2511" s="11">
        <v>0.0</v>
      </c>
    </row>
    <row r="2512" hidden="1">
      <c r="A2512" s="8" t="s">
        <v>2044</v>
      </c>
      <c r="B2512" s="8" t="s">
        <v>2044</v>
      </c>
      <c r="C2512" s="13">
        <v>45981.63590277778</v>
      </c>
      <c r="D2512" s="2" t="s">
        <v>786</v>
      </c>
      <c r="E2512" s="2" t="s">
        <v>787</v>
      </c>
      <c r="F2512" s="14" t="s">
        <v>3516</v>
      </c>
      <c r="G2512" s="14" t="s">
        <v>3517</v>
      </c>
      <c r="H2512" s="2" t="s">
        <v>24</v>
      </c>
      <c r="I2512" s="2" t="s">
        <v>3491</v>
      </c>
      <c r="J2512" s="2">
        <v>1.0</v>
      </c>
      <c r="K2512" s="23" t="s">
        <v>4505</v>
      </c>
      <c r="L2512" s="11">
        <v>0.0</v>
      </c>
    </row>
    <row r="2513" hidden="1">
      <c r="A2513" s="8" t="s">
        <v>2044</v>
      </c>
      <c r="B2513" s="8" t="s">
        <v>2044</v>
      </c>
      <c r="C2513" s="13">
        <v>45981.63590277778</v>
      </c>
      <c r="D2513" s="2" t="s">
        <v>786</v>
      </c>
      <c r="E2513" s="2" t="s">
        <v>787</v>
      </c>
      <c r="F2513" s="14" t="s">
        <v>3516</v>
      </c>
      <c r="G2513" s="14" t="s">
        <v>3517</v>
      </c>
      <c r="H2513" s="2" t="s">
        <v>24</v>
      </c>
      <c r="I2513" s="2" t="s">
        <v>3614</v>
      </c>
      <c r="J2513" s="2">
        <v>1.0</v>
      </c>
      <c r="K2513" s="23" t="s">
        <v>4733</v>
      </c>
      <c r="L2513" s="11">
        <v>0.0</v>
      </c>
    </row>
    <row r="2514" hidden="1">
      <c r="A2514" s="8" t="s">
        <v>2045</v>
      </c>
      <c r="B2514" s="8" t="s">
        <v>2045</v>
      </c>
      <c r="C2514" s="13">
        <v>45981.63791666667</v>
      </c>
      <c r="D2514" s="2" t="s">
        <v>1756</v>
      </c>
      <c r="E2514" s="2" t="s">
        <v>1757</v>
      </c>
      <c r="F2514" s="14" t="s">
        <v>3486</v>
      </c>
      <c r="G2514" s="14" t="s">
        <v>3487</v>
      </c>
      <c r="H2514" s="2" t="s">
        <v>24</v>
      </c>
      <c r="I2514" s="2" t="s">
        <v>3491</v>
      </c>
      <c r="J2514" s="2">
        <v>2.0</v>
      </c>
      <c r="K2514" s="23" t="s">
        <v>5305</v>
      </c>
      <c r="L2514" s="11">
        <v>0.0</v>
      </c>
    </row>
    <row r="2515" hidden="1">
      <c r="A2515" s="8" t="s">
        <v>2045</v>
      </c>
      <c r="B2515" s="8" t="s">
        <v>2045</v>
      </c>
      <c r="C2515" s="13">
        <v>45981.63791666667</v>
      </c>
      <c r="D2515" s="2" t="s">
        <v>1756</v>
      </c>
      <c r="E2515" s="2" t="s">
        <v>1757</v>
      </c>
      <c r="F2515" s="14" t="s">
        <v>4203</v>
      </c>
      <c r="G2515" s="14" t="s">
        <v>4204</v>
      </c>
      <c r="H2515" s="2" t="s">
        <v>24</v>
      </c>
      <c r="I2515" s="2" t="s">
        <v>3491</v>
      </c>
      <c r="J2515" s="2">
        <v>2.0</v>
      </c>
      <c r="K2515" s="23" t="s">
        <v>5306</v>
      </c>
      <c r="L2515" s="11">
        <v>0.0</v>
      </c>
    </row>
    <row r="2516" hidden="1">
      <c r="A2516" s="8" t="s">
        <v>2046</v>
      </c>
      <c r="B2516" s="8" t="s">
        <v>2046</v>
      </c>
      <c r="C2516" s="13">
        <v>45981.639131944445</v>
      </c>
      <c r="D2516" s="2" t="s">
        <v>20</v>
      </c>
      <c r="E2516" s="2" t="s">
        <v>21</v>
      </c>
      <c r="F2516" s="14" t="s">
        <v>3486</v>
      </c>
      <c r="G2516" s="14" t="s">
        <v>3487</v>
      </c>
      <c r="H2516" s="2" t="s">
        <v>24</v>
      </c>
      <c r="I2516" s="2" t="s">
        <v>3491</v>
      </c>
      <c r="J2516" s="2">
        <v>8.0</v>
      </c>
      <c r="K2516" s="23" t="s">
        <v>5307</v>
      </c>
      <c r="L2516" s="11">
        <v>0.0</v>
      </c>
    </row>
    <row r="2517" hidden="1">
      <c r="A2517" s="8" t="s">
        <v>2046</v>
      </c>
      <c r="B2517" s="8" t="s">
        <v>2046</v>
      </c>
      <c r="C2517" s="13">
        <v>45981.639131944445</v>
      </c>
      <c r="D2517" s="2" t="s">
        <v>20</v>
      </c>
      <c r="E2517" s="2" t="s">
        <v>21</v>
      </c>
      <c r="F2517" s="14" t="s">
        <v>3493</v>
      </c>
      <c r="G2517" s="14" t="s">
        <v>3494</v>
      </c>
      <c r="H2517" s="2" t="s">
        <v>24</v>
      </c>
      <c r="I2517" s="2" t="s">
        <v>3491</v>
      </c>
      <c r="J2517" s="2">
        <v>1.0</v>
      </c>
      <c r="K2517" s="12"/>
      <c r="L2517" s="11">
        <v>0.0</v>
      </c>
    </row>
    <row r="2518" hidden="1">
      <c r="A2518" s="8" t="s">
        <v>2047</v>
      </c>
      <c r="B2518" s="8" t="s">
        <v>2047</v>
      </c>
      <c r="C2518" s="13">
        <v>45981.68829861111</v>
      </c>
      <c r="D2518" s="2" t="s">
        <v>951</v>
      </c>
      <c r="E2518" s="2" t="s">
        <v>952</v>
      </c>
      <c r="F2518" s="14" t="s">
        <v>3516</v>
      </c>
      <c r="G2518" s="14" t="s">
        <v>3517</v>
      </c>
      <c r="H2518" s="2" t="s">
        <v>24</v>
      </c>
      <c r="I2518" s="2" t="s">
        <v>3491</v>
      </c>
      <c r="J2518" s="2">
        <v>1.0</v>
      </c>
      <c r="K2518" s="23" t="s">
        <v>4391</v>
      </c>
      <c r="L2518" s="11">
        <v>0.0</v>
      </c>
    </row>
    <row r="2519" hidden="1">
      <c r="A2519" s="8" t="s">
        <v>2047</v>
      </c>
      <c r="B2519" s="8" t="s">
        <v>2047</v>
      </c>
      <c r="C2519" s="13">
        <v>45981.68829861111</v>
      </c>
      <c r="D2519" s="2" t="s">
        <v>951</v>
      </c>
      <c r="E2519" s="2" t="s">
        <v>952</v>
      </c>
      <c r="F2519" s="14" t="s">
        <v>3486</v>
      </c>
      <c r="G2519" s="14" t="s">
        <v>3487</v>
      </c>
      <c r="H2519" s="2" t="s">
        <v>24</v>
      </c>
      <c r="I2519" s="2" t="s">
        <v>3491</v>
      </c>
      <c r="J2519" s="2">
        <v>7.0</v>
      </c>
      <c r="K2519" s="23" t="s">
        <v>5308</v>
      </c>
      <c r="L2519" s="11">
        <v>0.0</v>
      </c>
    </row>
    <row r="2520" hidden="1">
      <c r="A2520" s="8" t="s">
        <v>2048</v>
      </c>
      <c r="B2520" s="8" t="s">
        <v>2048</v>
      </c>
      <c r="C2520" s="13">
        <v>45982.48925925926</v>
      </c>
      <c r="D2520" s="2" t="s">
        <v>1084</v>
      </c>
      <c r="E2520" s="2" t="s">
        <v>1085</v>
      </c>
      <c r="F2520" s="14" t="s">
        <v>3486</v>
      </c>
      <c r="G2520" s="14" t="s">
        <v>3487</v>
      </c>
      <c r="H2520" s="2" t="s">
        <v>16</v>
      </c>
      <c r="I2520" s="2" t="s">
        <v>3488</v>
      </c>
      <c r="J2520" s="2">
        <v>10.0</v>
      </c>
      <c r="K2520" s="23" t="s">
        <v>5309</v>
      </c>
      <c r="L2520" s="11">
        <v>60000.0</v>
      </c>
    </row>
    <row r="2521" hidden="1">
      <c r="A2521" s="8" t="s">
        <v>2049</v>
      </c>
      <c r="B2521" s="8" t="s">
        <v>2049</v>
      </c>
      <c r="C2521" s="13">
        <v>45982.49140046296</v>
      </c>
      <c r="D2521" s="2" t="s">
        <v>2005</v>
      </c>
      <c r="E2521" s="2" t="s">
        <v>2006</v>
      </c>
      <c r="F2521" s="14" t="s">
        <v>4203</v>
      </c>
      <c r="G2521" s="14" t="s">
        <v>4204</v>
      </c>
      <c r="H2521" s="2" t="s">
        <v>16</v>
      </c>
      <c r="I2521" s="2" t="s">
        <v>3488</v>
      </c>
      <c r="J2521" s="2">
        <v>10.0</v>
      </c>
      <c r="K2521" s="23" t="s">
        <v>5310</v>
      </c>
      <c r="L2521" s="11">
        <v>60000.0</v>
      </c>
    </row>
    <row r="2522" hidden="1">
      <c r="A2522" s="8" t="s">
        <v>2049</v>
      </c>
      <c r="B2522" s="8" t="s">
        <v>2049</v>
      </c>
      <c r="C2522" s="13">
        <v>45982.49140046296</v>
      </c>
      <c r="D2522" s="2" t="s">
        <v>2005</v>
      </c>
      <c r="E2522" s="2" t="s">
        <v>2006</v>
      </c>
      <c r="F2522" s="14" t="s">
        <v>3493</v>
      </c>
      <c r="G2522" s="14" t="s">
        <v>3494</v>
      </c>
      <c r="H2522" s="2" t="s">
        <v>16</v>
      </c>
      <c r="I2522" s="2" t="s">
        <v>3488</v>
      </c>
      <c r="J2522" s="2">
        <v>1.0</v>
      </c>
      <c r="K2522" s="12"/>
      <c r="L2522" s="11">
        <v>215000.0</v>
      </c>
    </row>
    <row r="2523" hidden="1">
      <c r="A2523" s="8" t="s">
        <v>2050</v>
      </c>
      <c r="B2523" s="8" t="s">
        <v>2050</v>
      </c>
      <c r="C2523" s="13">
        <v>45982.49204861111</v>
      </c>
      <c r="D2523" s="2" t="s">
        <v>320</v>
      </c>
      <c r="E2523" s="2" t="s">
        <v>321</v>
      </c>
      <c r="F2523" s="14" t="s">
        <v>3486</v>
      </c>
      <c r="G2523" s="14" t="s">
        <v>3487</v>
      </c>
      <c r="H2523" s="2" t="s">
        <v>16</v>
      </c>
      <c r="I2523" s="2" t="s">
        <v>3488</v>
      </c>
      <c r="J2523" s="2">
        <v>2.0</v>
      </c>
      <c r="K2523" s="23" t="s">
        <v>5311</v>
      </c>
      <c r="L2523" s="11">
        <v>70000.0</v>
      </c>
    </row>
    <row r="2524" hidden="1">
      <c r="A2524" s="8" t="s">
        <v>2051</v>
      </c>
      <c r="B2524" s="8" t="s">
        <v>2051</v>
      </c>
      <c r="C2524" s="13">
        <v>45982.49234953704</v>
      </c>
      <c r="D2524" s="2" t="s">
        <v>320</v>
      </c>
      <c r="E2524" s="2" t="s">
        <v>321</v>
      </c>
      <c r="F2524" s="14" t="s">
        <v>3486</v>
      </c>
      <c r="G2524" s="14" t="s">
        <v>3487</v>
      </c>
      <c r="H2524" s="2" t="s">
        <v>16</v>
      </c>
      <c r="I2524" s="2" t="s">
        <v>3488</v>
      </c>
      <c r="J2524" s="2">
        <v>2.0</v>
      </c>
      <c r="K2524" s="23" t="s">
        <v>5312</v>
      </c>
      <c r="L2524" s="11">
        <v>70000.0</v>
      </c>
    </row>
    <row r="2525" hidden="1">
      <c r="A2525" s="8" t="s">
        <v>2051</v>
      </c>
      <c r="B2525" s="8" t="s">
        <v>2051</v>
      </c>
      <c r="C2525" s="13">
        <v>45982.49234953704</v>
      </c>
      <c r="D2525" s="2" t="s">
        <v>320</v>
      </c>
      <c r="E2525" s="2" t="s">
        <v>321</v>
      </c>
      <c r="F2525" s="14" t="s">
        <v>3516</v>
      </c>
      <c r="G2525" s="14" t="s">
        <v>3517</v>
      </c>
      <c r="H2525" s="2" t="s">
        <v>16</v>
      </c>
      <c r="I2525" s="2" t="s">
        <v>3488</v>
      </c>
      <c r="J2525" s="2">
        <v>1.0</v>
      </c>
      <c r="K2525" s="23" t="s">
        <v>4391</v>
      </c>
      <c r="L2525" s="11">
        <v>180000.0</v>
      </c>
    </row>
    <row r="2526" hidden="1">
      <c r="A2526" s="8" t="s">
        <v>2052</v>
      </c>
      <c r="B2526" s="8" t="s">
        <v>2052</v>
      </c>
      <c r="C2526" s="13">
        <v>45982.539976851855</v>
      </c>
      <c r="D2526" s="2" t="s">
        <v>1830</v>
      </c>
      <c r="E2526" s="2" t="s">
        <v>1831</v>
      </c>
      <c r="F2526" s="14" t="s">
        <v>3486</v>
      </c>
      <c r="G2526" s="14" t="s">
        <v>3487</v>
      </c>
      <c r="H2526" s="2" t="s">
        <v>16</v>
      </c>
      <c r="I2526" s="2" t="s">
        <v>3488</v>
      </c>
      <c r="J2526" s="2">
        <v>4.0</v>
      </c>
      <c r="K2526" s="23" t="s">
        <v>5313</v>
      </c>
      <c r="L2526" s="11">
        <v>55000.0</v>
      </c>
    </row>
    <row r="2527" hidden="1">
      <c r="A2527" s="8" t="s">
        <v>2053</v>
      </c>
      <c r="B2527" s="8" t="s">
        <v>2053</v>
      </c>
      <c r="C2527" s="13">
        <v>45982.61571759259</v>
      </c>
      <c r="D2527" s="2" t="s">
        <v>320</v>
      </c>
      <c r="E2527" s="2" t="s">
        <v>321</v>
      </c>
      <c r="F2527" s="14" t="s">
        <v>3486</v>
      </c>
      <c r="G2527" s="14" t="s">
        <v>3487</v>
      </c>
      <c r="H2527" s="2" t="s">
        <v>24</v>
      </c>
      <c r="I2527" s="2" t="s">
        <v>3491</v>
      </c>
      <c r="J2527" s="2">
        <v>3.0</v>
      </c>
      <c r="K2527" s="23" t="s">
        <v>5314</v>
      </c>
      <c r="L2527" s="11">
        <v>0.0</v>
      </c>
    </row>
    <row r="2528" hidden="1">
      <c r="A2528" s="8" t="s">
        <v>2053</v>
      </c>
      <c r="B2528" s="8" t="s">
        <v>2053</v>
      </c>
      <c r="C2528" s="13">
        <v>45982.61571759259</v>
      </c>
      <c r="D2528" s="2" t="s">
        <v>320</v>
      </c>
      <c r="E2528" s="2" t="s">
        <v>321</v>
      </c>
      <c r="F2528" s="14" t="s">
        <v>3516</v>
      </c>
      <c r="G2528" s="14" t="s">
        <v>3517</v>
      </c>
      <c r="H2528" s="2" t="s">
        <v>24</v>
      </c>
      <c r="I2528" s="2" t="s">
        <v>3491</v>
      </c>
      <c r="J2528" s="2">
        <v>1.0</v>
      </c>
      <c r="K2528" s="23" t="s">
        <v>5174</v>
      </c>
      <c r="L2528" s="11">
        <v>0.0</v>
      </c>
    </row>
    <row r="2529" hidden="1">
      <c r="A2529" s="8" t="s">
        <v>2054</v>
      </c>
      <c r="B2529" s="8" t="s">
        <v>2054</v>
      </c>
      <c r="C2529" s="13">
        <v>45982.61809027778</v>
      </c>
      <c r="D2529" s="2" t="s">
        <v>2005</v>
      </c>
      <c r="E2529" s="2" t="s">
        <v>2006</v>
      </c>
      <c r="F2529" s="14" t="s">
        <v>3486</v>
      </c>
      <c r="G2529" s="14" t="s">
        <v>3487</v>
      </c>
      <c r="H2529" s="2" t="s">
        <v>24</v>
      </c>
      <c r="I2529" s="2" t="s">
        <v>3491</v>
      </c>
      <c r="J2529" s="2">
        <v>0.0</v>
      </c>
      <c r="K2529" s="12"/>
      <c r="L2529" s="11">
        <v>0.0</v>
      </c>
    </row>
    <row r="2530" hidden="1">
      <c r="A2530" s="8" t="s">
        <v>2054</v>
      </c>
      <c r="B2530" s="8" t="s">
        <v>2054</v>
      </c>
      <c r="C2530" s="13">
        <v>45982.61809027778</v>
      </c>
      <c r="D2530" s="2" t="s">
        <v>2005</v>
      </c>
      <c r="E2530" s="2" t="s">
        <v>2006</v>
      </c>
      <c r="F2530" s="14" t="s">
        <v>4203</v>
      </c>
      <c r="G2530" s="14" t="s">
        <v>4204</v>
      </c>
      <c r="H2530" s="2" t="s">
        <v>24</v>
      </c>
      <c r="I2530" s="2" t="s">
        <v>3491</v>
      </c>
      <c r="J2530" s="2">
        <v>7.0</v>
      </c>
      <c r="K2530" s="23" t="s">
        <v>5315</v>
      </c>
      <c r="L2530" s="11">
        <v>0.0</v>
      </c>
    </row>
    <row r="2531" hidden="1">
      <c r="A2531" s="8" t="s">
        <v>2055</v>
      </c>
      <c r="B2531" s="8" t="s">
        <v>2055</v>
      </c>
      <c r="C2531" s="13">
        <v>45982.64460648148</v>
      </c>
      <c r="D2531" s="2" t="s">
        <v>1084</v>
      </c>
      <c r="E2531" s="2" t="s">
        <v>1085</v>
      </c>
      <c r="F2531" s="14" t="s">
        <v>3486</v>
      </c>
      <c r="G2531" s="14" t="s">
        <v>3487</v>
      </c>
      <c r="H2531" s="2" t="s">
        <v>24</v>
      </c>
      <c r="I2531" s="2" t="s">
        <v>3491</v>
      </c>
      <c r="J2531" s="2">
        <v>3.0</v>
      </c>
      <c r="K2531" s="23" t="s">
        <v>5316</v>
      </c>
      <c r="L2531" s="11">
        <v>0.0</v>
      </c>
    </row>
    <row r="2532" hidden="1">
      <c r="A2532" s="1"/>
      <c r="B2532" s="1"/>
      <c r="C2532" s="13"/>
      <c r="D2532" s="2"/>
      <c r="E2532" s="2"/>
      <c r="F2532" s="14"/>
      <c r="G2532" s="14"/>
      <c r="H2532" s="2"/>
      <c r="I2532" s="2"/>
      <c r="J2532" s="2"/>
      <c r="K2532" s="12"/>
      <c r="L2532" s="11"/>
    </row>
    <row r="2533" hidden="1">
      <c r="A2533" s="8" t="s">
        <v>2056</v>
      </c>
      <c r="B2533" s="8" t="s">
        <v>2056</v>
      </c>
      <c r="C2533" s="13">
        <v>45983.35766203704</v>
      </c>
      <c r="D2533" s="2" t="s">
        <v>1963</v>
      </c>
      <c r="E2533" s="2" t="s">
        <v>1964</v>
      </c>
      <c r="F2533" s="14" t="s">
        <v>4203</v>
      </c>
      <c r="G2533" s="14" t="s">
        <v>4204</v>
      </c>
      <c r="H2533" s="2" t="s">
        <v>16</v>
      </c>
      <c r="I2533" s="2" t="s">
        <v>3488</v>
      </c>
      <c r="J2533" s="2">
        <v>3.0</v>
      </c>
      <c r="K2533" s="23" t="s">
        <v>5317</v>
      </c>
      <c r="L2533" s="11">
        <v>60000.0</v>
      </c>
    </row>
    <row r="2534" hidden="1">
      <c r="A2534" s="8" t="s">
        <v>2057</v>
      </c>
      <c r="B2534" s="8" t="s">
        <v>2057</v>
      </c>
      <c r="C2534" s="13">
        <v>45983.406006944446</v>
      </c>
      <c r="D2534" s="2" t="s">
        <v>786</v>
      </c>
      <c r="E2534" s="2" t="s">
        <v>787</v>
      </c>
      <c r="F2534" s="14" t="s">
        <v>3516</v>
      </c>
      <c r="G2534" s="14" t="s">
        <v>3517</v>
      </c>
      <c r="H2534" s="2" t="s">
        <v>16</v>
      </c>
      <c r="I2534" s="2" t="s">
        <v>3488</v>
      </c>
      <c r="J2534" s="2">
        <v>3.0</v>
      </c>
      <c r="K2534" s="23" t="s">
        <v>5318</v>
      </c>
      <c r="L2534" s="11">
        <v>170000.0</v>
      </c>
    </row>
    <row r="2535" hidden="1">
      <c r="A2535" s="8" t="s">
        <v>2058</v>
      </c>
      <c r="B2535" s="8" t="s">
        <v>2058</v>
      </c>
      <c r="C2535" s="13">
        <v>45983.408159722225</v>
      </c>
      <c r="D2535" s="2" t="s">
        <v>786</v>
      </c>
      <c r="E2535" s="2" t="s">
        <v>787</v>
      </c>
      <c r="F2535" s="14" t="s">
        <v>3516</v>
      </c>
      <c r="G2535" s="14" t="s">
        <v>3517</v>
      </c>
      <c r="H2535" s="2" t="s">
        <v>159</v>
      </c>
      <c r="I2535" s="2" t="s">
        <v>3619</v>
      </c>
      <c r="J2535" s="2">
        <v>1.0</v>
      </c>
      <c r="K2535" s="23" t="s">
        <v>5319</v>
      </c>
      <c r="L2535" s="11">
        <v>0.0</v>
      </c>
    </row>
    <row r="2536" hidden="1">
      <c r="A2536" s="8" t="s">
        <v>2057</v>
      </c>
      <c r="B2536" s="8" t="s">
        <v>2057</v>
      </c>
      <c r="C2536" s="13">
        <v>45983.406006944446</v>
      </c>
      <c r="D2536" s="2" t="s">
        <v>786</v>
      </c>
      <c r="E2536" s="2" t="s">
        <v>787</v>
      </c>
      <c r="F2536" s="14" t="s">
        <v>3486</v>
      </c>
      <c r="G2536" s="14" t="s">
        <v>3487</v>
      </c>
      <c r="H2536" s="2" t="s">
        <v>16</v>
      </c>
      <c r="I2536" s="2" t="s">
        <v>3488</v>
      </c>
      <c r="J2536" s="2">
        <v>4.0</v>
      </c>
      <c r="K2536" s="23" t="s">
        <v>5320</v>
      </c>
      <c r="L2536" s="11">
        <v>60000.0</v>
      </c>
    </row>
    <row r="2537" hidden="1">
      <c r="A2537" s="8" t="s">
        <v>2059</v>
      </c>
      <c r="B2537" s="8" t="s">
        <v>2059</v>
      </c>
      <c r="C2537" s="13">
        <v>45983.408842592595</v>
      </c>
      <c r="D2537" s="2" t="s">
        <v>464</v>
      </c>
      <c r="E2537" s="2" t="s">
        <v>465</v>
      </c>
      <c r="F2537" s="14" t="s">
        <v>4203</v>
      </c>
      <c r="G2537" s="14" t="s">
        <v>4204</v>
      </c>
      <c r="H2537" s="2" t="s">
        <v>16</v>
      </c>
      <c r="I2537" s="2" t="s">
        <v>3488</v>
      </c>
      <c r="J2537" s="2">
        <v>2.0</v>
      </c>
      <c r="K2537" s="23" t="s">
        <v>5321</v>
      </c>
      <c r="L2537" s="11">
        <v>55000.0</v>
      </c>
    </row>
    <row r="2538" hidden="1">
      <c r="A2538" s="8" t="s">
        <v>2059</v>
      </c>
      <c r="B2538" s="8" t="s">
        <v>2059</v>
      </c>
      <c r="C2538" s="13">
        <v>45983.408842592595</v>
      </c>
      <c r="D2538" s="2" t="s">
        <v>464</v>
      </c>
      <c r="E2538" s="2" t="s">
        <v>465</v>
      </c>
      <c r="F2538" s="14" t="s">
        <v>3506</v>
      </c>
      <c r="G2538" s="14" t="s">
        <v>3507</v>
      </c>
      <c r="H2538" s="2" t="s">
        <v>16</v>
      </c>
      <c r="I2538" s="2" t="s">
        <v>3488</v>
      </c>
      <c r="J2538" s="2">
        <v>1.0</v>
      </c>
      <c r="K2538" s="23" t="s">
        <v>4688</v>
      </c>
      <c r="L2538" s="11">
        <v>55000.0</v>
      </c>
    </row>
    <row r="2539" hidden="1">
      <c r="A2539" s="8" t="s">
        <v>2060</v>
      </c>
      <c r="B2539" s="8" t="s">
        <v>2060</v>
      </c>
      <c r="C2539" s="13">
        <v>45983.40940972222</v>
      </c>
      <c r="D2539" s="2" t="s">
        <v>1810</v>
      </c>
      <c r="E2539" s="2" t="s">
        <v>1811</v>
      </c>
      <c r="F2539" s="14" t="s">
        <v>3506</v>
      </c>
      <c r="G2539" s="14" t="s">
        <v>3507</v>
      </c>
      <c r="H2539" s="2" t="s">
        <v>16</v>
      </c>
      <c r="I2539" s="2" t="s">
        <v>3488</v>
      </c>
      <c r="J2539" s="2">
        <v>1.0</v>
      </c>
      <c r="K2539" s="23" t="s">
        <v>4688</v>
      </c>
      <c r="L2539" s="11">
        <v>80000.0</v>
      </c>
    </row>
    <row r="2540" hidden="1">
      <c r="A2540" s="8" t="s">
        <v>2061</v>
      </c>
      <c r="B2540" s="8" t="s">
        <v>2061</v>
      </c>
      <c r="C2540" s="13">
        <v>45983.4225</v>
      </c>
      <c r="D2540" s="2" t="s">
        <v>1810</v>
      </c>
      <c r="E2540" s="2" t="s">
        <v>1811</v>
      </c>
      <c r="F2540" s="14" t="s">
        <v>4203</v>
      </c>
      <c r="G2540" s="14" t="s">
        <v>4204</v>
      </c>
      <c r="H2540" s="2" t="s">
        <v>24</v>
      </c>
      <c r="I2540" s="2" t="s">
        <v>3491</v>
      </c>
      <c r="J2540" s="2">
        <v>1.0</v>
      </c>
      <c r="K2540" s="23" t="s">
        <v>4945</v>
      </c>
      <c r="L2540" s="11">
        <v>0.0</v>
      </c>
    </row>
    <row r="2541" hidden="1">
      <c r="A2541" s="8" t="s">
        <v>2062</v>
      </c>
      <c r="B2541" s="8" t="s">
        <v>2062</v>
      </c>
      <c r="C2541" s="13">
        <v>45983.56675925926</v>
      </c>
      <c r="D2541" s="2" t="s">
        <v>1830</v>
      </c>
      <c r="E2541" s="2" t="s">
        <v>1831</v>
      </c>
      <c r="F2541" s="14" t="s">
        <v>3486</v>
      </c>
      <c r="G2541" s="14" t="s">
        <v>3487</v>
      </c>
      <c r="H2541" s="2" t="s">
        <v>16</v>
      </c>
      <c r="I2541" s="2" t="s">
        <v>3488</v>
      </c>
      <c r="J2541" s="2">
        <v>17.0</v>
      </c>
      <c r="K2541" s="23" t="s">
        <v>5322</v>
      </c>
      <c r="L2541" s="11">
        <v>55000.0</v>
      </c>
    </row>
    <row r="2542" hidden="1">
      <c r="A2542" s="8" t="s">
        <v>2062</v>
      </c>
      <c r="B2542" s="8" t="s">
        <v>2062</v>
      </c>
      <c r="C2542" s="13">
        <v>45983.56675925926</v>
      </c>
      <c r="D2542" s="2" t="s">
        <v>1830</v>
      </c>
      <c r="E2542" s="2" t="s">
        <v>1831</v>
      </c>
      <c r="F2542" s="14" t="s">
        <v>4203</v>
      </c>
      <c r="G2542" s="14" t="s">
        <v>4204</v>
      </c>
      <c r="H2542" s="2" t="s">
        <v>16</v>
      </c>
      <c r="I2542" s="2" t="s">
        <v>3488</v>
      </c>
      <c r="J2542" s="2">
        <v>3.0</v>
      </c>
      <c r="K2542" s="23" t="s">
        <v>5323</v>
      </c>
      <c r="L2542" s="11">
        <v>55000.0</v>
      </c>
    </row>
    <row r="2543" hidden="1">
      <c r="A2543" s="8" t="s">
        <v>2062</v>
      </c>
      <c r="B2543" s="8" t="s">
        <v>2062</v>
      </c>
      <c r="C2543" s="13">
        <v>45983.56675925926</v>
      </c>
      <c r="D2543" s="2" t="s">
        <v>1830</v>
      </c>
      <c r="E2543" s="2" t="s">
        <v>1831</v>
      </c>
      <c r="F2543" s="14" t="s">
        <v>3493</v>
      </c>
      <c r="G2543" s="14" t="s">
        <v>3494</v>
      </c>
      <c r="H2543" s="2" t="s">
        <v>16</v>
      </c>
      <c r="I2543" s="2" t="s">
        <v>3488</v>
      </c>
      <c r="J2543" s="2">
        <v>3.0</v>
      </c>
      <c r="K2543" s="12"/>
      <c r="L2543" s="11">
        <v>210000.0</v>
      </c>
    </row>
    <row r="2544" hidden="1">
      <c r="A2544" s="8" t="s">
        <v>2063</v>
      </c>
      <c r="B2544" s="8" t="s">
        <v>2063</v>
      </c>
      <c r="C2544" s="13">
        <v>45983.58994212963</v>
      </c>
      <c r="D2544" s="2" t="s">
        <v>1830</v>
      </c>
      <c r="E2544" s="2" t="s">
        <v>1831</v>
      </c>
      <c r="F2544" s="14" t="s">
        <v>3486</v>
      </c>
      <c r="G2544" s="14" t="s">
        <v>3487</v>
      </c>
      <c r="H2544" s="2" t="s">
        <v>24</v>
      </c>
      <c r="I2544" s="2" t="s">
        <v>3491</v>
      </c>
      <c r="J2544" s="2">
        <v>4.0</v>
      </c>
      <c r="K2544" s="23" t="s">
        <v>5324</v>
      </c>
      <c r="L2544" s="11">
        <v>0.0</v>
      </c>
    </row>
    <row r="2545" hidden="1">
      <c r="A2545" s="8" t="s">
        <v>2064</v>
      </c>
      <c r="B2545" s="8" t="s">
        <v>2064</v>
      </c>
      <c r="C2545" s="13">
        <v>45983.590636574074</v>
      </c>
      <c r="D2545" s="2" t="s">
        <v>49</v>
      </c>
      <c r="E2545" s="2" t="s">
        <v>50</v>
      </c>
      <c r="F2545" s="14" t="s">
        <v>3486</v>
      </c>
      <c r="G2545" s="14" t="s">
        <v>3487</v>
      </c>
      <c r="H2545" s="2" t="s">
        <v>24</v>
      </c>
      <c r="I2545" s="2" t="s">
        <v>3491</v>
      </c>
      <c r="J2545" s="2">
        <v>2.0</v>
      </c>
      <c r="K2545" s="23" t="s">
        <v>5325</v>
      </c>
      <c r="L2545" s="11">
        <v>0.0</v>
      </c>
    </row>
    <row r="2546" hidden="1">
      <c r="A2546" s="8" t="s">
        <v>2065</v>
      </c>
      <c r="B2546" s="8" t="s">
        <v>2065</v>
      </c>
      <c r="C2546" s="13">
        <v>45983.59240740741</v>
      </c>
      <c r="D2546" s="2" t="s">
        <v>1963</v>
      </c>
      <c r="E2546" s="2" t="s">
        <v>1964</v>
      </c>
      <c r="F2546" s="14" t="s">
        <v>4203</v>
      </c>
      <c r="G2546" s="14" t="s">
        <v>4204</v>
      </c>
      <c r="H2546" s="2" t="s">
        <v>24</v>
      </c>
      <c r="I2546" s="2" t="s">
        <v>3491</v>
      </c>
      <c r="J2546" s="2">
        <v>1.0</v>
      </c>
      <c r="K2546" s="23" t="s">
        <v>4478</v>
      </c>
      <c r="L2546" s="11">
        <v>0.0</v>
      </c>
    </row>
    <row r="2547" hidden="1">
      <c r="A2547" s="8" t="s">
        <v>2066</v>
      </c>
      <c r="B2547" s="8" t="s">
        <v>2066</v>
      </c>
      <c r="C2547" s="13">
        <v>45983.59275462963</v>
      </c>
      <c r="D2547" s="2" t="s">
        <v>1613</v>
      </c>
      <c r="E2547" s="2" t="s">
        <v>1614</v>
      </c>
      <c r="F2547" s="14" t="s">
        <v>4203</v>
      </c>
      <c r="G2547" s="14" t="s">
        <v>4204</v>
      </c>
      <c r="H2547" s="2" t="s">
        <v>24</v>
      </c>
      <c r="I2547" s="2" t="s">
        <v>3491</v>
      </c>
      <c r="J2547" s="2">
        <v>2.0</v>
      </c>
      <c r="K2547" s="23" t="s">
        <v>5326</v>
      </c>
      <c r="L2547" s="11">
        <v>0.0</v>
      </c>
    </row>
    <row r="2548" hidden="1">
      <c r="A2548" s="8" t="s">
        <v>2067</v>
      </c>
      <c r="B2548" s="8" t="s">
        <v>2067</v>
      </c>
      <c r="C2548" s="13">
        <v>45983.615902777776</v>
      </c>
      <c r="D2548" s="2" t="s">
        <v>1993</v>
      </c>
      <c r="E2548" s="2" t="s">
        <v>1994</v>
      </c>
      <c r="F2548" s="14" t="s">
        <v>3486</v>
      </c>
      <c r="G2548" s="14" t="s">
        <v>3487</v>
      </c>
      <c r="H2548" s="2" t="s">
        <v>24</v>
      </c>
      <c r="I2548" s="2" t="s">
        <v>3491</v>
      </c>
      <c r="J2548" s="2">
        <v>1.0</v>
      </c>
      <c r="K2548" s="23" t="s">
        <v>5327</v>
      </c>
      <c r="L2548" s="11">
        <v>0.0</v>
      </c>
    </row>
    <row r="2549" hidden="1">
      <c r="A2549" s="8" t="s">
        <v>2068</v>
      </c>
      <c r="B2549" s="8" t="s">
        <v>2068</v>
      </c>
      <c r="C2549" s="13">
        <v>45983.617106481484</v>
      </c>
      <c r="D2549" s="2" t="s">
        <v>464</v>
      </c>
      <c r="E2549" s="2" t="s">
        <v>465</v>
      </c>
      <c r="F2549" s="14" t="s">
        <v>4203</v>
      </c>
      <c r="G2549" s="14" t="s">
        <v>4204</v>
      </c>
      <c r="H2549" s="2" t="s">
        <v>24</v>
      </c>
      <c r="I2549" s="2" t="s">
        <v>3491</v>
      </c>
      <c r="J2549" s="2">
        <v>2.0</v>
      </c>
      <c r="K2549" s="23" t="s">
        <v>5328</v>
      </c>
      <c r="L2549" s="11">
        <v>0.0</v>
      </c>
    </row>
    <row r="2550" hidden="1">
      <c r="A2550" s="8" t="s">
        <v>2069</v>
      </c>
      <c r="B2550" s="8" t="s">
        <v>2069</v>
      </c>
      <c r="C2550" s="13">
        <v>45983.61746527778</v>
      </c>
      <c r="D2550" s="2" t="s">
        <v>786</v>
      </c>
      <c r="E2550" s="2" t="s">
        <v>787</v>
      </c>
      <c r="F2550" s="14" t="s">
        <v>3486</v>
      </c>
      <c r="G2550" s="14" t="s">
        <v>3487</v>
      </c>
      <c r="H2550" s="2" t="s">
        <v>24</v>
      </c>
      <c r="I2550" s="2" t="s">
        <v>3491</v>
      </c>
      <c r="J2550" s="2">
        <v>6.0</v>
      </c>
      <c r="K2550" s="23" t="s">
        <v>5329</v>
      </c>
      <c r="L2550" s="11">
        <v>0.0</v>
      </c>
    </row>
    <row r="2551" hidden="1">
      <c r="A2551" s="8" t="s">
        <v>2069</v>
      </c>
      <c r="B2551" s="8" t="s">
        <v>2069</v>
      </c>
      <c r="C2551" s="13">
        <v>45983.61746527778</v>
      </c>
      <c r="D2551" s="2" t="s">
        <v>786</v>
      </c>
      <c r="E2551" s="2" t="s">
        <v>787</v>
      </c>
      <c r="F2551" s="14" t="s">
        <v>3516</v>
      </c>
      <c r="G2551" s="14" t="s">
        <v>3517</v>
      </c>
      <c r="H2551" s="2" t="s">
        <v>24</v>
      </c>
      <c r="I2551" s="2" t="s">
        <v>3491</v>
      </c>
      <c r="J2551" s="2">
        <v>1.0</v>
      </c>
      <c r="K2551" s="23" t="s">
        <v>5047</v>
      </c>
      <c r="L2551" s="11">
        <v>0.0</v>
      </c>
    </row>
    <row r="2552" hidden="1">
      <c r="A2552" s="8" t="s">
        <v>2070</v>
      </c>
      <c r="B2552" s="8" t="s">
        <v>2070</v>
      </c>
      <c r="C2552" s="13">
        <v>45985.4571875</v>
      </c>
      <c r="D2552" s="2" t="s">
        <v>2005</v>
      </c>
      <c r="E2552" s="2" t="s">
        <v>2006</v>
      </c>
      <c r="F2552" s="14" t="s">
        <v>4203</v>
      </c>
      <c r="G2552" s="14" t="s">
        <v>4204</v>
      </c>
      <c r="H2552" s="2" t="s">
        <v>16</v>
      </c>
      <c r="I2552" s="2" t="s">
        <v>3488</v>
      </c>
      <c r="J2552" s="2">
        <v>10.0</v>
      </c>
      <c r="K2552" s="23" t="s">
        <v>5330</v>
      </c>
      <c r="L2552" s="11">
        <v>60000.0</v>
      </c>
    </row>
    <row r="2553" hidden="1">
      <c r="A2553" s="8" t="s">
        <v>2070</v>
      </c>
      <c r="B2553" s="8" t="s">
        <v>2070</v>
      </c>
      <c r="C2553" s="13">
        <v>45985.4571875</v>
      </c>
      <c r="D2553" s="2" t="s">
        <v>2005</v>
      </c>
      <c r="E2553" s="2" t="s">
        <v>2006</v>
      </c>
      <c r="F2553" s="14" t="s">
        <v>3493</v>
      </c>
      <c r="G2553" s="14" t="s">
        <v>3494</v>
      </c>
      <c r="H2553" s="2" t="s">
        <v>16</v>
      </c>
      <c r="I2553" s="2" t="s">
        <v>3488</v>
      </c>
      <c r="J2553" s="2">
        <v>1.0</v>
      </c>
      <c r="K2553" s="23" t="s">
        <v>4688</v>
      </c>
      <c r="L2553" s="11">
        <v>215000.0</v>
      </c>
    </row>
    <row r="2554" hidden="1">
      <c r="A2554" s="8" t="s">
        <v>2071</v>
      </c>
      <c r="B2554" s="8" t="s">
        <v>2071</v>
      </c>
      <c r="C2554" s="13">
        <v>45985.54923611111</v>
      </c>
      <c r="D2554" s="2" t="s">
        <v>320</v>
      </c>
      <c r="E2554" s="2" t="s">
        <v>321</v>
      </c>
      <c r="F2554" s="14" t="s">
        <v>3516</v>
      </c>
      <c r="G2554" s="14" t="s">
        <v>3517</v>
      </c>
      <c r="H2554" s="2" t="s">
        <v>16</v>
      </c>
      <c r="I2554" s="2" t="s">
        <v>3488</v>
      </c>
      <c r="J2554" s="2">
        <v>1.0</v>
      </c>
      <c r="K2554" s="23" t="s">
        <v>5331</v>
      </c>
      <c r="L2554" s="11">
        <v>180000.0</v>
      </c>
    </row>
    <row r="2555" hidden="1">
      <c r="A2555" s="8" t="s">
        <v>2072</v>
      </c>
      <c r="B2555" s="8" t="s">
        <v>2072</v>
      </c>
      <c r="C2555" s="13">
        <v>45985.54944444444</v>
      </c>
      <c r="D2555" s="2" t="s">
        <v>1228</v>
      </c>
      <c r="E2555" s="2" t="s">
        <v>1229</v>
      </c>
      <c r="F2555" s="14" t="s">
        <v>3486</v>
      </c>
      <c r="G2555" s="14" t="s">
        <v>3487</v>
      </c>
      <c r="H2555" s="2" t="s">
        <v>16</v>
      </c>
      <c r="I2555" s="2" t="s">
        <v>3488</v>
      </c>
      <c r="J2555" s="2">
        <v>5.0</v>
      </c>
      <c r="K2555" s="23" t="s">
        <v>5332</v>
      </c>
      <c r="L2555" s="11">
        <v>55000.0</v>
      </c>
    </row>
    <row r="2556" hidden="1">
      <c r="A2556" s="8" t="s">
        <v>2073</v>
      </c>
      <c r="B2556" s="8" t="s">
        <v>2073</v>
      </c>
      <c r="C2556" s="13">
        <v>45985.5552662037</v>
      </c>
      <c r="D2556" s="2" t="s">
        <v>2005</v>
      </c>
      <c r="E2556" s="2" t="s">
        <v>2006</v>
      </c>
      <c r="F2556" s="14" t="s">
        <v>3493</v>
      </c>
      <c r="G2556" s="14" t="s">
        <v>3494</v>
      </c>
      <c r="H2556" s="2" t="s">
        <v>24</v>
      </c>
      <c r="I2556" s="2" t="s">
        <v>3491</v>
      </c>
      <c r="J2556" s="2">
        <v>1.0</v>
      </c>
      <c r="K2556" s="23" t="s">
        <v>4688</v>
      </c>
      <c r="L2556" s="11">
        <v>0.0</v>
      </c>
    </row>
    <row r="2557" hidden="1">
      <c r="A2557" s="8" t="s">
        <v>2074</v>
      </c>
      <c r="B2557" s="8" t="s">
        <v>2074</v>
      </c>
      <c r="C2557" s="13">
        <v>45985.59956018518</v>
      </c>
      <c r="D2557" s="2" t="s">
        <v>109</v>
      </c>
      <c r="E2557" s="2" t="s">
        <v>110</v>
      </c>
      <c r="F2557" s="14" t="s">
        <v>3486</v>
      </c>
      <c r="G2557" s="14" t="s">
        <v>3487</v>
      </c>
      <c r="H2557" s="2" t="s">
        <v>24</v>
      </c>
      <c r="I2557" s="2" t="s">
        <v>3491</v>
      </c>
      <c r="J2557" s="2">
        <v>1.0</v>
      </c>
      <c r="K2557" s="23" t="s">
        <v>5333</v>
      </c>
      <c r="L2557" s="11">
        <v>0.0</v>
      </c>
    </row>
    <row r="2558" hidden="1">
      <c r="A2558" s="8" t="s">
        <v>2075</v>
      </c>
      <c r="B2558" s="8" t="s">
        <v>2075</v>
      </c>
      <c r="C2558" s="13">
        <v>45985.600625</v>
      </c>
      <c r="D2558" s="2" t="s">
        <v>951</v>
      </c>
      <c r="E2558" s="2" t="s">
        <v>952</v>
      </c>
      <c r="F2558" s="14" t="s">
        <v>3486</v>
      </c>
      <c r="G2558" s="14" t="s">
        <v>3487</v>
      </c>
      <c r="H2558" s="2" t="s">
        <v>24</v>
      </c>
      <c r="I2558" s="2" t="s">
        <v>3491</v>
      </c>
      <c r="J2558" s="2">
        <v>4.0</v>
      </c>
      <c r="K2558" s="23" t="s">
        <v>5334</v>
      </c>
      <c r="L2558" s="11">
        <v>0.0</v>
      </c>
    </row>
    <row r="2559" hidden="1">
      <c r="A2559" s="8" t="s">
        <v>2076</v>
      </c>
      <c r="B2559" s="8" t="s">
        <v>2076</v>
      </c>
      <c r="C2559" s="13">
        <v>45985.60313657407</v>
      </c>
      <c r="D2559" s="2" t="s">
        <v>2005</v>
      </c>
      <c r="E2559" s="2" t="s">
        <v>2006</v>
      </c>
      <c r="F2559" s="14" t="s">
        <v>3493</v>
      </c>
      <c r="G2559" s="14" t="s">
        <v>3494</v>
      </c>
      <c r="H2559" s="2" t="s">
        <v>24</v>
      </c>
      <c r="I2559" s="2" t="s">
        <v>3491</v>
      </c>
      <c r="J2559" s="2">
        <v>1.0</v>
      </c>
      <c r="K2559" s="23" t="s">
        <v>4688</v>
      </c>
      <c r="L2559" s="11">
        <v>0.0</v>
      </c>
    </row>
    <row r="2560" hidden="1">
      <c r="A2560" s="8" t="s">
        <v>2076</v>
      </c>
      <c r="B2560" s="8" t="s">
        <v>2076</v>
      </c>
      <c r="C2560" s="13">
        <v>45985.60313657407</v>
      </c>
      <c r="D2560" s="2" t="s">
        <v>2005</v>
      </c>
      <c r="E2560" s="2" t="s">
        <v>2006</v>
      </c>
      <c r="F2560" s="14" t="s">
        <v>4203</v>
      </c>
      <c r="G2560" s="14" t="s">
        <v>4204</v>
      </c>
      <c r="H2560" s="2" t="s">
        <v>24</v>
      </c>
      <c r="I2560" s="2" t="s">
        <v>3491</v>
      </c>
      <c r="J2560" s="2">
        <v>6.0</v>
      </c>
      <c r="K2560" s="23" t="s">
        <v>5335</v>
      </c>
      <c r="L2560" s="11">
        <v>0.0</v>
      </c>
    </row>
    <row r="2561" hidden="1">
      <c r="A2561" s="8" t="s">
        <v>2077</v>
      </c>
      <c r="B2561" s="8" t="s">
        <v>2077</v>
      </c>
      <c r="C2561" s="13">
        <v>45985.671064814815</v>
      </c>
      <c r="D2561" s="2" t="s">
        <v>320</v>
      </c>
      <c r="E2561" s="2" t="s">
        <v>321</v>
      </c>
      <c r="F2561" s="14" t="s">
        <v>3516</v>
      </c>
      <c r="G2561" s="14" t="s">
        <v>3517</v>
      </c>
      <c r="H2561" s="2" t="s">
        <v>24</v>
      </c>
      <c r="I2561" s="2" t="s">
        <v>3491</v>
      </c>
      <c r="J2561" s="2">
        <v>1.0</v>
      </c>
      <c r="K2561" s="23" t="s">
        <v>5336</v>
      </c>
      <c r="L2561" s="11">
        <v>0.0</v>
      </c>
    </row>
    <row r="2562" hidden="1">
      <c r="A2562" s="8" t="s">
        <v>2078</v>
      </c>
      <c r="B2562" s="8" t="s">
        <v>2078</v>
      </c>
      <c r="C2562" s="13">
        <v>45985.67508101852</v>
      </c>
      <c r="D2562" s="2" t="s">
        <v>1830</v>
      </c>
      <c r="E2562" s="2" t="s">
        <v>1831</v>
      </c>
      <c r="F2562" s="14" t="s">
        <v>3486</v>
      </c>
      <c r="G2562" s="14" t="s">
        <v>3487</v>
      </c>
      <c r="H2562" s="2" t="s">
        <v>24</v>
      </c>
      <c r="I2562" s="2" t="s">
        <v>3491</v>
      </c>
      <c r="J2562" s="2">
        <v>4.0</v>
      </c>
      <c r="K2562" s="23" t="s">
        <v>5337</v>
      </c>
      <c r="L2562" s="11">
        <v>0.0</v>
      </c>
    </row>
    <row r="2563" hidden="1">
      <c r="A2563" s="8" t="s">
        <v>2078</v>
      </c>
      <c r="B2563" s="8" t="s">
        <v>2078</v>
      </c>
      <c r="C2563" s="13">
        <v>45985.67508101852</v>
      </c>
      <c r="D2563" s="2" t="s">
        <v>1830</v>
      </c>
      <c r="E2563" s="2" t="s">
        <v>1831</v>
      </c>
      <c r="F2563" s="14" t="s">
        <v>4203</v>
      </c>
      <c r="G2563" s="14" t="s">
        <v>4204</v>
      </c>
      <c r="H2563" s="2" t="s">
        <v>24</v>
      </c>
      <c r="I2563" s="2" t="s">
        <v>3491</v>
      </c>
      <c r="J2563" s="2">
        <v>1.0</v>
      </c>
      <c r="K2563" s="23" t="s">
        <v>5338</v>
      </c>
      <c r="L2563" s="11">
        <v>0.0</v>
      </c>
    </row>
    <row r="2564" hidden="1">
      <c r="A2564" s="8" t="s">
        <v>2079</v>
      </c>
      <c r="B2564" s="8" t="s">
        <v>2079</v>
      </c>
      <c r="C2564" s="13">
        <v>45985.676203703704</v>
      </c>
      <c r="D2564" s="10" t="s">
        <v>1399</v>
      </c>
      <c r="E2564" s="2" t="s">
        <v>1400</v>
      </c>
      <c r="F2564" s="14" t="s">
        <v>3486</v>
      </c>
      <c r="G2564" s="14" t="s">
        <v>3487</v>
      </c>
      <c r="H2564" s="2" t="s">
        <v>24</v>
      </c>
      <c r="I2564" s="2" t="s">
        <v>3491</v>
      </c>
      <c r="J2564" s="2">
        <v>8.0</v>
      </c>
      <c r="K2564" s="23" t="s">
        <v>5339</v>
      </c>
      <c r="L2564" s="11">
        <v>0.0</v>
      </c>
    </row>
    <row r="2565" hidden="1">
      <c r="A2565" s="8" t="s">
        <v>2080</v>
      </c>
      <c r="B2565" s="8" t="s">
        <v>2080</v>
      </c>
      <c r="C2565" s="13">
        <v>45986.35318287037</v>
      </c>
      <c r="D2565" s="2" t="s">
        <v>2081</v>
      </c>
      <c r="E2565" s="2" t="s">
        <v>2082</v>
      </c>
      <c r="F2565" s="14" t="s">
        <v>4203</v>
      </c>
      <c r="G2565" s="14" t="s">
        <v>4204</v>
      </c>
      <c r="H2565" s="2" t="s">
        <v>16</v>
      </c>
      <c r="I2565" s="2" t="s">
        <v>3488</v>
      </c>
      <c r="J2565" s="2">
        <v>2.0</v>
      </c>
      <c r="K2565" s="23" t="s">
        <v>5340</v>
      </c>
      <c r="L2565" s="11">
        <v>60000.0</v>
      </c>
    </row>
    <row r="2566" hidden="1">
      <c r="A2566" s="8" t="s">
        <v>2080</v>
      </c>
      <c r="B2566" s="8" t="s">
        <v>2080</v>
      </c>
      <c r="C2566" s="13">
        <v>45986.35318287037</v>
      </c>
      <c r="D2566" s="2" t="s">
        <v>2081</v>
      </c>
      <c r="E2566" s="2" t="s">
        <v>2082</v>
      </c>
      <c r="F2566" s="14" t="s">
        <v>3493</v>
      </c>
      <c r="G2566" s="14" t="s">
        <v>3494</v>
      </c>
      <c r="H2566" s="2" t="s">
        <v>16</v>
      </c>
      <c r="I2566" s="2" t="s">
        <v>3488</v>
      </c>
      <c r="J2566" s="2">
        <v>1.0</v>
      </c>
      <c r="K2566" s="23" t="s">
        <v>4688</v>
      </c>
      <c r="L2566" s="11">
        <v>210000.0</v>
      </c>
    </row>
    <row r="2567" hidden="1">
      <c r="A2567" s="8" t="s">
        <v>2084</v>
      </c>
      <c r="B2567" s="8" t="s">
        <v>2084</v>
      </c>
      <c r="C2567" s="13">
        <v>45986.38753472222</v>
      </c>
      <c r="D2567" s="2" t="s">
        <v>1618</v>
      </c>
      <c r="E2567" s="2" t="s">
        <v>1619</v>
      </c>
      <c r="F2567" s="14" t="s">
        <v>3516</v>
      </c>
      <c r="G2567" s="14" t="s">
        <v>3517</v>
      </c>
      <c r="H2567" s="2" t="s">
        <v>16</v>
      </c>
      <c r="I2567" s="2" t="s">
        <v>3488</v>
      </c>
      <c r="J2567" s="2">
        <v>3.0</v>
      </c>
      <c r="K2567" s="23" t="s">
        <v>5341</v>
      </c>
      <c r="L2567" s="11">
        <v>180000.0</v>
      </c>
    </row>
    <row r="2568" hidden="1">
      <c r="A2568" s="8" t="s">
        <v>2085</v>
      </c>
      <c r="B2568" s="8" t="s">
        <v>2085</v>
      </c>
      <c r="C2568" s="13">
        <v>45986.469189814816</v>
      </c>
      <c r="D2568" s="2" t="s">
        <v>1756</v>
      </c>
      <c r="E2568" s="2" t="s">
        <v>1757</v>
      </c>
      <c r="F2568" s="14" t="s">
        <v>4203</v>
      </c>
      <c r="G2568" s="14" t="s">
        <v>4204</v>
      </c>
      <c r="H2568" s="2" t="s">
        <v>16</v>
      </c>
      <c r="I2568" s="2" t="s">
        <v>3488</v>
      </c>
      <c r="J2568" s="2">
        <v>2.0</v>
      </c>
      <c r="K2568" s="23" t="s">
        <v>5342</v>
      </c>
      <c r="L2568" s="11">
        <v>65000.0</v>
      </c>
    </row>
    <row r="2569" hidden="1">
      <c r="A2569" s="8" t="s">
        <v>2086</v>
      </c>
      <c r="B2569" s="8" t="s">
        <v>2086</v>
      </c>
      <c r="C2569" s="13">
        <v>45986.470509259256</v>
      </c>
      <c r="D2569" s="2" t="s">
        <v>786</v>
      </c>
      <c r="E2569" s="2" t="s">
        <v>787</v>
      </c>
      <c r="F2569" s="14" t="s">
        <v>3516</v>
      </c>
      <c r="G2569" s="14" t="s">
        <v>3517</v>
      </c>
      <c r="H2569" s="2" t="s">
        <v>16</v>
      </c>
      <c r="I2569" s="2" t="s">
        <v>3488</v>
      </c>
      <c r="J2569" s="2">
        <v>4.0</v>
      </c>
      <c r="K2569" s="23" t="s">
        <v>5343</v>
      </c>
      <c r="L2569" s="11">
        <v>170000.0</v>
      </c>
    </row>
    <row r="2570" hidden="1">
      <c r="A2570" s="8" t="s">
        <v>2087</v>
      </c>
      <c r="B2570" s="8" t="s">
        <v>2087</v>
      </c>
      <c r="C2570" s="13">
        <v>45986.47659722222</v>
      </c>
      <c r="D2570" s="2" t="s">
        <v>1904</v>
      </c>
      <c r="E2570" s="2" t="s">
        <v>1905</v>
      </c>
      <c r="F2570" s="14" t="s">
        <v>3516</v>
      </c>
      <c r="G2570" s="14" t="s">
        <v>3517</v>
      </c>
      <c r="H2570" s="2" t="s">
        <v>24</v>
      </c>
      <c r="I2570" s="2" t="s">
        <v>3491</v>
      </c>
      <c r="J2570" s="2">
        <v>1.0</v>
      </c>
      <c r="K2570" s="23" t="s">
        <v>5344</v>
      </c>
      <c r="L2570" s="11">
        <v>0.0</v>
      </c>
    </row>
    <row r="2571" hidden="1">
      <c r="A2571" s="8" t="s">
        <v>2087</v>
      </c>
      <c r="B2571" s="8" t="s">
        <v>2087</v>
      </c>
      <c r="C2571" s="13">
        <v>45986.47659722222</v>
      </c>
      <c r="D2571" s="2" t="s">
        <v>1904</v>
      </c>
      <c r="E2571" s="2" t="s">
        <v>1905</v>
      </c>
      <c r="F2571" s="14" t="s">
        <v>3486</v>
      </c>
      <c r="G2571" s="14" t="s">
        <v>3487</v>
      </c>
      <c r="H2571" s="2" t="s">
        <v>24</v>
      </c>
      <c r="I2571" s="2" t="s">
        <v>3491</v>
      </c>
      <c r="J2571" s="2">
        <v>1.0</v>
      </c>
      <c r="K2571" s="23" t="s">
        <v>5345</v>
      </c>
      <c r="L2571" s="11">
        <v>0.0</v>
      </c>
    </row>
    <row r="2572" hidden="1">
      <c r="A2572" s="8" t="s">
        <v>2088</v>
      </c>
      <c r="B2572" s="8" t="s">
        <v>2088</v>
      </c>
      <c r="C2572" s="13">
        <v>45986.47756944445</v>
      </c>
      <c r="D2572" s="2" t="s">
        <v>1993</v>
      </c>
      <c r="E2572" s="2" t="s">
        <v>1994</v>
      </c>
      <c r="F2572" s="14" t="s">
        <v>3486</v>
      </c>
      <c r="G2572" s="14" t="s">
        <v>3487</v>
      </c>
      <c r="H2572" s="2" t="s">
        <v>24</v>
      </c>
      <c r="I2572" s="2" t="s">
        <v>3491</v>
      </c>
      <c r="J2572" s="2">
        <v>1.0</v>
      </c>
      <c r="K2572" s="23" t="s">
        <v>5346</v>
      </c>
      <c r="L2572" s="11">
        <v>0.0</v>
      </c>
    </row>
    <row r="2573" hidden="1">
      <c r="A2573" s="8" t="s">
        <v>2088</v>
      </c>
      <c r="B2573" s="8" t="s">
        <v>2088</v>
      </c>
      <c r="C2573" s="13">
        <v>45986.47756944445</v>
      </c>
      <c r="D2573" s="2" t="s">
        <v>1993</v>
      </c>
      <c r="E2573" s="2" t="s">
        <v>1994</v>
      </c>
      <c r="F2573" s="14" t="s">
        <v>4203</v>
      </c>
      <c r="G2573" s="14" t="s">
        <v>4204</v>
      </c>
      <c r="H2573" s="2" t="s">
        <v>24</v>
      </c>
      <c r="I2573" s="2" t="s">
        <v>3491</v>
      </c>
      <c r="J2573" s="2">
        <v>1.0</v>
      </c>
      <c r="K2573" s="23" t="s">
        <v>4688</v>
      </c>
      <c r="L2573" s="11">
        <v>0.0</v>
      </c>
    </row>
    <row r="2574" hidden="1">
      <c r="A2574" s="8" t="s">
        <v>2089</v>
      </c>
      <c r="B2574" s="8" t="s">
        <v>2089</v>
      </c>
      <c r="C2574" s="13">
        <v>45986.478414351855</v>
      </c>
      <c r="D2574" s="2" t="s">
        <v>1618</v>
      </c>
      <c r="E2574" s="2" t="s">
        <v>1619</v>
      </c>
      <c r="F2574" s="14" t="s">
        <v>3516</v>
      </c>
      <c r="G2574" s="14" t="s">
        <v>3517</v>
      </c>
      <c r="H2574" s="2" t="s">
        <v>24</v>
      </c>
      <c r="I2574" s="2" t="s">
        <v>3491</v>
      </c>
      <c r="J2574" s="2">
        <v>3.0</v>
      </c>
      <c r="K2574" s="23" t="s">
        <v>5347</v>
      </c>
      <c r="L2574" s="11">
        <v>0.0</v>
      </c>
    </row>
    <row r="2575" hidden="1">
      <c r="A2575" s="8" t="s">
        <v>2090</v>
      </c>
      <c r="B2575" s="8" t="s">
        <v>2090</v>
      </c>
      <c r="C2575" s="13">
        <v>45986.55788194444</v>
      </c>
      <c r="D2575" s="2" t="s">
        <v>1873</v>
      </c>
      <c r="E2575" s="2" t="s">
        <v>1874</v>
      </c>
      <c r="F2575" s="14" t="s">
        <v>4203</v>
      </c>
      <c r="G2575" s="14" t="s">
        <v>4204</v>
      </c>
      <c r="H2575" s="2" t="s">
        <v>16</v>
      </c>
      <c r="I2575" s="2" t="s">
        <v>3488</v>
      </c>
      <c r="J2575" s="2">
        <v>1.0</v>
      </c>
      <c r="K2575" s="23" t="s">
        <v>5348</v>
      </c>
      <c r="L2575" s="11">
        <v>70000.0</v>
      </c>
    </row>
    <row r="2576" hidden="1">
      <c r="A2576" s="8" t="s">
        <v>2091</v>
      </c>
      <c r="B2576" s="8" t="s">
        <v>2091</v>
      </c>
      <c r="C2576" s="13">
        <v>45986.60313657407</v>
      </c>
      <c r="D2576" s="2" t="s">
        <v>1705</v>
      </c>
      <c r="E2576" s="2" t="s">
        <v>1706</v>
      </c>
      <c r="F2576" s="14" t="s">
        <v>4203</v>
      </c>
      <c r="G2576" s="14" t="s">
        <v>4204</v>
      </c>
      <c r="H2576" s="2" t="s">
        <v>24</v>
      </c>
      <c r="I2576" s="2" t="s">
        <v>3491</v>
      </c>
      <c r="J2576" s="2">
        <v>1.0</v>
      </c>
      <c r="K2576" s="23" t="s">
        <v>5095</v>
      </c>
      <c r="L2576" s="11">
        <v>0.0</v>
      </c>
    </row>
    <row r="2577" hidden="1">
      <c r="A2577" s="8" t="s">
        <v>2092</v>
      </c>
      <c r="B2577" s="8" t="s">
        <v>2092</v>
      </c>
      <c r="C2577" s="13">
        <v>45986.606724537036</v>
      </c>
      <c r="D2577" s="2" t="s">
        <v>1756</v>
      </c>
      <c r="E2577" s="2" t="s">
        <v>1757</v>
      </c>
      <c r="F2577" s="14" t="s">
        <v>4203</v>
      </c>
      <c r="G2577" s="14" t="s">
        <v>4204</v>
      </c>
      <c r="H2577" s="2" t="s">
        <v>24</v>
      </c>
      <c r="I2577" s="2" t="s">
        <v>3491</v>
      </c>
      <c r="J2577" s="2">
        <v>1.0</v>
      </c>
      <c r="K2577" s="23" t="s">
        <v>5349</v>
      </c>
      <c r="L2577" s="11">
        <v>0.0</v>
      </c>
    </row>
    <row r="2578" hidden="1">
      <c r="A2578" s="8" t="s">
        <v>2093</v>
      </c>
      <c r="B2578" s="8" t="s">
        <v>2093</v>
      </c>
      <c r="C2578" s="13">
        <v>45986.60743055555</v>
      </c>
      <c r="D2578" s="2" t="s">
        <v>786</v>
      </c>
      <c r="E2578" s="2" t="s">
        <v>787</v>
      </c>
      <c r="F2578" s="14" t="s">
        <v>3486</v>
      </c>
      <c r="G2578" s="14" t="s">
        <v>3487</v>
      </c>
      <c r="H2578" s="2" t="s">
        <v>24</v>
      </c>
      <c r="I2578" s="2" t="s">
        <v>3491</v>
      </c>
      <c r="J2578" s="2">
        <v>3.0</v>
      </c>
      <c r="K2578" s="23" t="s">
        <v>5350</v>
      </c>
      <c r="L2578" s="11">
        <v>0.0</v>
      </c>
    </row>
    <row r="2579" hidden="1">
      <c r="A2579" s="8" t="s">
        <v>2093</v>
      </c>
      <c r="B2579" s="8" t="s">
        <v>2093</v>
      </c>
      <c r="C2579" s="13">
        <v>45986.60743055555</v>
      </c>
      <c r="D2579" s="2" t="s">
        <v>786</v>
      </c>
      <c r="E2579" s="2" t="s">
        <v>787</v>
      </c>
      <c r="F2579" s="14" t="s">
        <v>3516</v>
      </c>
      <c r="G2579" s="14" t="s">
        <v>3517</v>
      </c>
      <c r="H2579" s="2" t="s">
        <v>24</v>
      </c>
      <c r="I2579" s="2" t="s">
        <v>3491</v>
      </c>
      <c r="J2579" s="2">
        <v>6.0</v>
      </c>
      <c r="K2579" s="23" t="s">
        <v>5351</v>
      </c>
      <c r="L2579" s="11">
        <v>0.0</v>
      </c>
    </row>
    <row r="2580" hidden="1">
      <c r="A2580" s="8" t="s">
        <v>2094</v>
      </c>
      <c r="B2580" s="8" t="s">
        <v>2094</v>
      </c>
      <c r="C2580" s="13">
        <v>45986.645150462966</v>
      </c>
      <c r="D2580" s="2" t="s">
        <v>1830</v>
      </c>
      <c r="E2580" s="2" t="s">
        <v>1831</v>
      </c>
      <c r="F2580" s="14" t="s">
        <v>3486</v>
      </c>
      <c r="G2580" s="14" t="s">
        <v>3487</v>
      </c>
      <c r="H2580" s="2" t="s">
        <v>16</v>
      </c>
      <c r="I2580" s="2" t="s">
        <v>3488</v>
      </c>
      <c r="J2580" s="2">
        <v>5.0</v>
      </c>
      <c r="K2580" s="23" t="s">
        <v>5352</v>
      </c>
      <c r="L2580" s="11">
        <v>55000.0</v>
      </c>
    </row>
    <row r="2581" hidden="1">
      <c r="A2581" s="8" t="s">
        <v>2094</v>
      </c>
      <c r="B2581" s="8" t="s">
        <v>2094</v>
      </c>
      <c r="C2581" s="13">
        <v>45986.645150462966</v>
      </c>
      <c r="D2581" s="2" t="s">
        <v>1830</v>
      </c>
      <c r="E2581" s="2" t="s">
        <v>1831</v>
      </c>
      <c r="F2581" s="14" t="s">
        <v>3493</v>
      </c>
      <c r="G2581" s="14" t="s">
        <v>3494</v>
      </c>
      <c r="H2581" s="2" t="s">
        <v>16</v>
      </c>
      <c r="I2581" s="2" t="s">
        <v>3488</v>
      </c>
      <c r="J2581" s="2">
        <v>1.0</v>
      </c>
      <c r="K2581" s="23" t="s">
        <v>4688</v>
      </c>
      <c r="L2581" s="11">
        <v>210000.0</v>
      </c>
    </row>
    <row r="2582" hidden="1">
      <c r="A2582" s="8" t="s">
        <v>2095</v>
      </c>
      <c r="B2582" s="8" t="s">
        <v>2095</v>
      </c>
      <c r="C2582" s="13">
        <v>45987.35873842592</v>
      </c>
      <c r="D2582" s="2" t="s">
        <v>1830</v>
      </c>
      <c r="E2582" s="2" t="s">
        <v>1831</v>
      </c>
      <c r="F2582" s="14" t="s">
        <v>3486</v>
      </c>
      <c r="G2582" s="14" t="s">
        <v>3487</v>
      </c>
      <c r="H2582" s="2" t="s">
        <v>16</v>
      </c>
      <c r="I2582" s="2" t="s">
        <v>3488</v>
      </c>
      <c r="J2582" s="2">
        <v>5.0</v>
      </c>
      <c r="K2582" s="23" t="s">
        <v>5353</v>
      </c>
      <c r="L2582" s="11">
        <v>55000.0</v>
      </c>
    </row>
    <row r="2583" hidden="1">
      <c r="A2583" s="8" t="s">
        <v>2095</v>
      </c>
      <c r="B2583" s="8" t="s">
        <v>2095</v>
      </c>
      <c r="C2583" s="13">
        <v>45987.35873842592</v>
      </c>
      <c r="D2583" s="2" t="s">
        <v>1830</v>
      </c>
      <c r="E2583" s="2" t="s">
        <v>1831</v>
      </c>
      <c r="F2583" s="14" t="s">
        <v>4729</v>
      </c>
      <c r="G2583" s="14" t="s">
        <v>4730</v>
      </c>
      <c r="H2583" s="2" t="s">
        <v>16</v>
      </c>
      <c r="I2583" s="2" t="s">
        <v>3488</v>
      </c>
      <c r="J2583" s="2">
        <v>1.0</v>
      </c>
      <c r="K2583" s="23" t="s">
        <v>4688</v>
      </c>
      <c r="L2583" s="11">
        <v>50000.0</v>
      </c>
    </row>
    <row r="2584" hidden="1">
      <c r="A2584" s="8" t="s">
        <v>2096</v>
      </c>
      <c r="B2584" s="8" t="s">
        <v>2096</v>
      </c>
      <c r="C2584" s="13">
        <v>45987.36027777778</v>
      </c>
      <c r="D2584" s="2" t="s">
        <v>464</v>
      </c>
      <c r="E2584" s="2" t="s">
        <v>465</v>
      </c>
      <c r="F2584" s="14" t="s">
        <v>3493</v>
      </c>
      <c r="G2584" s="14" t="s">
        <v>3494</v>
      </c>
      <c r="H2584" s="2" t="s">
        <v>16</v>
      </c>
      <c r="I2584" s="2" t="s">
        <v>3488</v>
      </c>
      <c r="J2584" s="2">
        <v>1.0</v>
      </c>
      <c r="K2584" s="23" t="s">
        <v>4688</v>
      </c>
      <c r="L2584" s="11">
        <v>210000.0</v>
      </c>
    </row>
    <row r="2585" hidden="1">
      <c r="A2585" s="8" t="s">
        <v>2097</v>
      </c>
      <c r="B2585" s="8" t="s">
        <v>2097</v>
      </c>
      <c r="C2585" s="13">
        <v>45987.363912037035</v>
      </c>
      <c r="D2585" s="2" t="s">
        <v>1993</v>
      </c>
      <c r="E2585" s="2" t="s">
        <v>1994</v>
      </c>
      <c r="F2585" s="14" t="s">
        <v>3486</v>
      </c>
      <c r="G2585" s="14" t="s">
        <v>3487</v>
      </c>
      <c r="H2585" s="2" t="s">
        <v>16</v>
      </c>
      <c r="I2585" s="2" t="s">
        <v>3488</v>
      </c>
      <c r="J2585" s="2">
        <v>8.0</v>
      </c>
      <c r="K2585" s="23" t="s">
        <v>5354</v>
      </c>
      <c r="L2585" s="11">
        <v>65000.0</v>
      </c>
    </row>
    <row r="2586" hidden="1">
      <c r="A2586" s="8" t="s">
        <v>2098</v>
      </c>
      <c r="B2586" s="8" t="s">
        <v>2098</v>
      </c>
      <c r="C2586" s="13">
        <v>45987.369155092594</v>
      </c>
      <c r="D2586" s="2" t="s">
        <v>1873</v>
      </c>
      <c r="E2586" s="2" t="s">
        <v>1874</v>
      </c>
      <c r="F2586" s="14" t="s">
        <v>3486</v>
      </c>
      <c r="G2586" s="14" t="s">
        <v>3487</v>
      </c>
      <c r="H2586" s="2" t="s">
        <v>24</v>
      </c>
      <c r="I2586" s="2" t="s">
        <v>3491</v>
      </c>
      <c r="J2586" s="2">
        <v>1.0</v>
      </c>
      <c r="K2586" s="23" t="s">
        <v>4359</v>
      </c>
      <c r="L2586" s="11">
        <v>0.0</v>
      </c>
    </row>
    <row r="2587" hidden="1">
      <c r="A2587" s="8" t="s">
        <v>2099</v>
      </c>
      <c r="B2587" s="8" t="s">
        <v>2099</v>
      </c>
      <c r="C2587" s="13">
        <v>45987.44532407408</v>
      </c>
      <c r="D2587" s="2" t="s">
        <v>1993</v>
      </c>
      <c r="E2587" s="2" t="s">
        <v>1994</v>
      </c>
      <c r="F2587" s="14"/>
      <c r="G2587" s="14"/>
      <c r="H2587" s="2" t="s">
        <v>24</v>
      </c>
      <c r="I2587" s="2" t="s">
        <v>3491</v>
      </c>
      <c r="J2587" s="2">
        <v>0.0</v>
      </c>
      <c r="K2587" s="12"/>
      <c r="L2587" s="11">
        <v>0.0</v>
      </c>
    </row>
    <row r="2588" hidden="1">
      <c r="A2588" s="8" t="s">
        <v>2099</v>
      </c>
      <c r="B2588" s="8" t="s">
        <v>2099</v>
      </c>
      <c r="C2588" s="13">
        <v>45987.44532407408</v>
      </c>
      <c r="D2588" s="2" t="s">
        <v>1993</v>
      </c>
      <c r="E2588" s="2" t="s">
        <v>1994</v>
      </c>
      <c r="F2588" s="14" t="s">
        <v>3486</v>
      </c>
      <c r="G2588" s="14" t="s">
        <v>3487</v>
      </c>
      <c r="H2588" s="2" t="s">
        <v>24</v>
      </c>
      <c r="I2588" s="2" t="s">
        <v>3491</v>
      </c>
      <c r="J2588" s="2">
        <v>2.0</v>
      </c>
      <c r="K2588" s="23" t="s">
        <v>5355</v>
      </c>
      <c r="L2588" s="11">
        <v>0.0</v>
      </c>
    </row>
    <row r="2589" hidden="1">
      <c r="A2589" s="1"/>
      <c r="B2589" s="1"/>
      <c r="C2589" s="13"/>
      <c r="D2589" s="2"/>
      <c r="E2589" s="2"/>
      <c r="F2589" s="14"/>
      <c r="G2589" s="14"/>
      <c r="H2589" s="2"/>
      <c r="I2589" s="2"/>
      <c r="J2589" s="2"/>
      <c r="K2589" s="12"/>
      <c r="L2589" s="11"/>
    </row>
    <row r="2590" hidden="1">
      <c r="A2590" s="8" t="s">
        <v>2100</v>
      </c>
      <c r="B2590" s="8" t="s">
        <v>2100</v>
      </c>
      <c r="C2590" s="13">
        <v>45987.446226851855</v>
      </c>
      <c r="D2590" s="2" t="s">
        <v>2005</v>
      </c>
      <c r="E2590" s="2" t="s">
        <v>2006</v>
      </c>
      <c r="F2590" s="14" t="s">
        <v>4203</v>
      </c>
      <c r="G2590" s="14" t="s">
        <v>4204</v>
      </c>
      <c r="H2590" s="2" t="s">
        <v>24</v>
      </c>
      <c r="I2590" s="2" t="s">
        <v>3491</v>
      </c>
      <c r="J2590" s="2">
        <v>6.0</v>
      </c>
      <c r="K2590" s="23" t="s">
        <v>5356</v>
      </c>
      <c r="L2590" s="11">
        <v>0.0</v>
      </c>
    </row>
    <row r="2591" hidden="1">
      <c r="A2591" s="8" t="s">
        <v>2101</v>
      </c>
      <c r="B2591" s="8" t="s">
        <v>2101</v>
      </c>
      <c r="C2591" s="13">
        <v>45987.46604166667</v>
      </c>
      <c r="D2591" s="2" t="s">
        <v>1889</v>
      </c>
      <c r="E2591" s="2" t="s">
        <v>1890</v>
      </c>
      <c r="F2591" s="14" t="s">
        <v>4203</v>
      </c>
      <c r="G2591" s="14" t="s">
        <v>4204</v>
      </c>
      <c r="H2591" s="2" t="s">
        <v>16</v>
      </c>
      <c r="I2591" s="2" t="s">
        <v>3488</v>
      </c>
      <c r="J2591" s="2">
        <v>1.0</v>
      </c>
      <c r="K2591" s="23" t="s">
        <v>5338</v>
      </c>
      <c r="L2591" s="11">
        <v>60000.0</v>
      </c>
    </row>
    <row r="2592" hidden="1">
      <c r="A2592" s="8" t="s">
        <v>2102</v>
      </c>
      <c r="B2592" s="8" t="s">
        <v>2102</v>
      </c>
      <c r="C2592" s="13">
        <v>45987.466319444444</v>
      </c>
      <c r="D2592" s="2" t="s">
        <v>943</v>
      </c>
      <c r="E2592" s="2" t="s">
        <v>944</v>
      </c>
      <c r="F2592" s="14" t="s">
        <v>3506</v>
      </c>
      <c r="G2592" s="14" t="s">
        <v>3507</v>
      </c>
      <c r="H2592" s="2" t="s">
        <v>16</v>
      </c>
      <c r="I2592" s="2" t="s">
        <v>3488</v>
      </c>
      <c r="J2592" s="2">
        <v>1.0</v>
      </c>
      <c r="K2592" s="23" t="s">
        <v>4688</v>
      </c>
      <c r="L2592" s="11">
        <v>50000.0</v>
      </c>
    </row>
    <row r="2593" hidden="1">
      <c r="A2593" s="8" t="s">
        <v>2102</v>
      </c>
      <c r="B2593" s="8" t="s">
        <v>2102</v>
      </c>
      <c r="C2593" s="13">
        <v>45987.466319444444</v>
      </c>
      <c r="D2593" s="2" t="s">
        <v>943</v>
      </c>
      <c r="E2593" s="2" t="s">
        <v>944</v>
      </c>
      <c r="F2593" s="14" t="s">
        <v>4203</v>
      </c>
      <c r="G2593" s="14" t="s">
        <v>4204</v>
      </c>
      <c r="H2593" s="2" t="s">
        <v>16</v>
      </c>
      <c r="I2593" s="2" t="s">
        <v>3488</v>
      </c>
      <c r="J2593" s="2">
        <v>2.0</v>
      </c>
      <c r="K2593" s="23" t="s">
        <v>5357</v>
      </c>
      <c r="L2593" s="11">
        <v>55000.0</v>
      </c>
    </row>
    <row r="2594" hidden="1">
      <c r="A2594" s="8" t="s">
        <v>2102</v>
      </c>
      <c r="B2594" s="8" t="s">
        <v>2102</v>
      </c>
      <c r="C2594" s="13">
        <v>45987.466319444444</v>
      </c>
      <c r="D2594" s="2" t="s">
        <v>943</v>
      </c>
      <c r="E2594" s="2" t="s">
        <v>944</v>
      </c>
      <c r="F2594" s="14" t="s">
        <v>3486</v>
      </c>
      <c r="G2594" s="14" t="s">
        <v>3487</v>
      </c>
      <c r="H2594" s="2" t="s">
        <v>16</v>
      </c>
      <c r="I2594" s="2" t="s">
        <v>3488</v>
      </c>
      <c r="J2594" s="2">
        <v>5.0</v>
      </c>
      <c r="K2594" s="23" t="s">
        <v>5358</v>
      </c>
      <c r="L2594" s="11">
        <v>50000.0</v>
      </c>
    </row>
    <row r="2595" hidden="1">
      <c r="A2595" s="8" t="s">
        <v>2103</v>
      </c>
      <c r="B2595" s="8" t="s">
        <v>2103</v>
      </c>
      <c r="C2595" s="13">
        <v>45987.54042824074</v>
      </c>
      <c r="D2595" s="2" t="s">
        <v>493</v>
      </c>
      <c r="E2595" s="2" t="s">
        <v>494</v>
      </c>
      <c r="F2595" s="14" t="s">
        <v>3486</v>
      </c>
      <c r="G2595" s="14" t="s">
        <v>3487</v>
      </c>
      <c r="H2595" s="2" t="s">
        <v>24</v>
      </c>
      <c r="I2595" s="2" t="s">
        <v>3491</v>
      </c>
      <c r="J2595" s="2">
        <v>1.0</v>
      </c>
      <c r="K2595" s="23" t="s">
        <v>5359</v>
      </c>
      <c r="L2595" s="11">
        <v>0.0</v>
      </c>
    </row>
    <row r="2596" hidden="1">
      <c r="A2596" s="8" t="s">
        <v>2103</v>
      </c>
      <c r="B2596" s="8" t="s">
        <v>2103</v>
      </c>
      <c r="C2596" s="13">
        <v>45987.54042824074</v>
      </c>
      <c r="D2596" s="2" t="s">
        <v>493</v>
      </c>
      <c r="E2596" s="2" t="s">
        <v>494</v>
      </c>
      <c r="F2596" s="14" t="s">
        <v>3493</v>
      </c>
      <c r="G2596" s="14" t="s">
        <v>3494</v>
      </c>
      <c r="H2596" s="2" t="s">
        <v>24</v>
      </c>
      <c r="I2596" s="2" t="s">
        <v>3491</v>
      </c>
      <c r="J2596" s="2">
        <v>1.0</v>
      </c>
      <c r="K2596" s="23" t="s">
        <v>4688</v>
      </c>
      <c r="L2596" s="11">
        <v>0.0</v>
      </c>
    </row>
    <row r="2597" hidden="1">
      <c r="A2597" s="8" t="s">
        <v>2104</v>
      </c>
      <c r="B2597" s="8" t="s">
        <v>2104</v>
      </c>
      <c r="C2597" s="13">
        <v>45987.54094907407</v>
      </c>
      <c r="D2597" s="2" t="s">
        <v>326</v>
      </c>
      <c r="E2597" s="2" t="s">
        <v>327</v>
      </c>
      <c r="F2597" s="14" t="s">
        <v>3486</v>
      </c>
      <c r="G2597" s="14" t="s">
        <v>3487</v>
      </c>
      <c r="H2597" s="2" t="s">
        <v>24</v>
      </c>
      <c r="I2597" s="2" t="s">
        <v>3491</v>
      </c>
      <c r="J2597" s="2">
        <v>4.0</v>
      </c>
      <c r="K2597" s="23" t="s">
        <v>5360</v>
      </c>
      <c r="L2597" s="11">
        <v>0.0</v>
      </c>
    </row>
    <row r="2598" hidden="1">
      <c r="A2598" s="8" t="s">
        <v>2105</v>
      </c>
      <c r="B2598" s="8" t="s">
        <v>2105</v>
      </c>
      <c r="C2598" s="13">
        <v>45987.54177083333</v>
      </c>
      <c r="D2598" s="2" t="s">
        <v>1830</v>
      </c>
      <c r="E2598" s="2" t="s">
        <v>1831</v>
      </c>
      <c r="F2598" s="14" t="s">
        <v>3486</v>
      </c>
      <c r="G2598" s="14" t="s">
        <v>3487</v>
      </c>
      <c r="H2598" s="2" t="s">
        <v>24</v>
      </c>
      <c r="I2598" s="2" t="s">
        <v>3491</v>
      </c>
      <c r="J2598" s="2">
        <v>11.0</v>
      </c>
      <c r="K2598" s="23" t="s">
        <v>5361</v>
      </c>
      <c r="L2598" s="11">
        <v>0.0</v>
      </c>
    </row>
    <row r="2599" hidden="1">
      <c r="A2599" s="8" t="s">
        <v>2105</v>
      </c>
      <c r="B2599" s="8" t="s">
        <v>2105</v>
      </c>
      <c r="C2599" s="13">
        <v>45987.54177083333</v>
      </c>
      <c r="D2599" s="2" t="s">
        <v>1830</v>
      </c>
      <c r="E2599" s="2" t="s">
        <v>1831</v>
      </c>
      <c r="F2599" s="14" t="s">
        <v>3493</v>
      </c>
      <c r="G2599" s="14" t="s">
        <v>3494</v>
      </c>
      <c r="H2599" s="2" t="s">
        <v>24</v>
      </c>
      <c r="I2599" s="2" t="s">
        <v>3491</v>
      </c>
      <c r="J2599" s="2">
        <v>1.0</v>
      </c>
      <c r="K2599" s="23" t="s">
        <v>4688</v>
      </c>
      <c r="L2599" s="11">
        <v>0.0</v>
      </c>
    </row>
    <row r="2600" hidden="1">
      <c r="A2600" s="8" t="s">
        <v>2106</v>
      </c>
      <c r="B2600" s="8" t="s">
        <v>2106</v>
      </c>
      <c r="C2600" s="13">
        <v>45987.644108796296</v>
      </c>
      <c r="D2600" s="2" t="s">
        <v>1889</v>
      </c>
      <c r="E2600" s="2" t="s">
        <v>1890</v>
      </c>
      <c r="F2600" s="14" t="s">
        <v>4203</v>
      </c>
      <c r="G2600" s="14" t="s">
        <v>4204</v>
      </c>
      <c r="H2600" s="2" t="s">
        <v>24</v>
      </c>
      <c r="I2600" s="2" t="s">
        <v>3491</v>
      </c>
      <c r="J2600" s="2">
        <v>1.0</v>
      </c>
      <c r="K2600" s="23" t="s">
        <v>5162</v>
      </c>
      <c r="L2600" s="11">
        <v>0.0</v>
      </c>
    </row>
    <row r="2601" hidden="1">
      <c r="A2601" s="8" t="s">
        <v>2107</v>
      </c>
      <c r="B2601" s="8" t="s">
        <v>2107</v>
      </c>
      <c r="C2601" s="13">
        <v>45987.64439814815</v>
      </c>
      <c r="D2601" s="2" t="s">
        <v>943</v>
      </c>
      <c r="E2601" s="2" t="s">
        <v>944</v>
      </c>
      <c r="F2601" s="14" t="s">
        <v>3516</v>
      </c>
      <c r="G2601" s="14" t="s">
        <v>3517</v>
      </c>
      <c r="H2601" s="2" t="s">
        <v>24</v>
      </c>
      <c r="I2601" s="2" t="s">
        <v>3491</v>
      </c>
      <c r="J2601" s="2">
        <v>1.0</v>
      </c>
      <c r="K2601" s="23" t="s">
        <v>4408</v>
      </c>
      <c r="L2601" s="11">
        <v>0.0</v>
      </c>
    </row>
    <row r="2602" hidden="1">
      <c r="A2602" s="8" t="s">
        <v>2107</v>
      </c>
      <c r="B2602" s="8" t="s">
        <v>2107</v>
      </c>
      <c r="C2602" s="13">
        <v>45987.64439814815</v>
      </c>
      <c r="D2602" s="2" t="s">
        <v>943</v>
      </c>
      <c r="E2602" s="2" t="s">
        <v>944</v>
      </c>
      <c r="F2602" s="14" t="s">
        <v>4203</v>
      </c>
      <c r="G2602" s="14" t="s">
        <v>4204</v>
      </c>
      <c r="H2602" s="2" t="s">
        <v>24</v>
      </c>
      <c r="I2602" s="2" t="s">
        <v>3491</v>
      </c>
      <c r="J2602" s="2">
        <v>3.0</v>
      </c>
      <c r="K2602" s="23" t="s">
        <v>5362</v>
      </c>
      <c r="L2602" s="11">
        <v>0.0</v>
      </c>
    </row>
    <row r="2603" hidden="1">
      <c r="A2603" s="8" t="s">
        <v>2107</v>
      </c>
      <c r="B2603" s="8" t="s">
        <v>2107</v>
      </c>
      <c r="C2603" s="13">
        <v>45987.64439814815</v>
      </c>
      <c r="D2603" s="2" t="s">
        <v>943</v>
      </c>
      <c r="E2603" s="2" t="s">
        <v>944</v>
      </c>
      <c r="F2603" s="14" t="s">
        <v>3486</v>
      </c>
      <c r="G2603" s="14" t="s">
        <v>3487</v>
      </c>
      <c r="H2603" s="2" t="s">
        <v>24</v>
      </c>
      <c r="I2603" s="2" t="s">
        <v>3491</v>
      </c>
      <c r="J2603" s="2">
        <v>2.0</v>
      </c>
      <c r="K2603" s="23" t="s">
        <v>5363</v>
      </c>
      <c r="L2603" s="11">
        <v>0.0</v>
      </c>
    </row>
    <row r="2604" hidden="1">
      <c r="A2604" s="8" t="s">
        <v>2108</v>
      </c>
      <c r="B2604" s="8" t="s">
        <v>2108</v>
      </c>
      <c r="C2604" s="13">
        <v>45988.36636574074</v>
      </c>
      <c r="D2604" s="2" t="s">
        <v>2005</v>
      </c>
      <c r="E2604" s="2" t="s">
        <v>2006</v>
      </c>
      <c r="F2604" s="14" t="s">
        <v>3493</v>
      </c>
      <c r="G2604" s="14" t="s">
        <v>3494</v>
      </c>
      <c r="H2604" s="2" t="s">
        <v>16</v>
      </c>
      <c r="I2604" s="2" t="s">
        <v>3488</v>
      </c>
      <c r="J2604" s="2">
        <v>2.0</v>
      </c>
      <c r="K2604" s="23" t="s">
        <v>4670</v>
      </c>
      <c r="L2604" s="11">
        <v>215000.0</v>
      </c>
    </row>
    <row r="2605" hidden="1">
      <c r="A2605" s="8" t="s">
        <v>2109</v>
      </c>
      <c r="B2605" s="8" t="s">
        <v>2109</v>
      </c>
      <c r="C2605" s="13">
        <v>45988.387349537035</v>
      </c>
      <c r="D2605" s="2" t="s">
        <v>392</v>
      </c>
      <c r="E2605" s="2" t="s">
        <v>393</v>
      </c>
      <c r="F2605" s="14" t="s">
        <v>3506</v>
      </c>
      <c r="G2605" s="14" t="s">
        <v>3507</v>
      </c>
      <c r="H2605" s="2" t="s">
        <v>24</v>
      </c>
      <c r="I2605" s="2" t="s">
        <v>3491</v>
      </c>
      <c r="J2605" s="2">
        <v>6.0</v>
      </c>
      <c r="K2605" s="12"/>
      <c r="L2605" s="11">
        <v>0.0</v>
      </c>
    </row>
    <row r="2606" hidden="1">
      <c r="A2606" s="8" t="s">
        <v>2110</v>
      </c>
      <c r="B2606" s="8" t="s">
        <v>2110</v>
      </c>
      <c r="C2606" s="13">
        <v>45988.43850694445</v>
      </c>
      <c r="D2606" s="2" t="s">
        <v>2005</v>
      </c>
      <c r="E2606" s="2" t="s">
        <v>2006</v>
      </c>
      <c r="F2606" s="14" t="s">
        <v>4203</v>
      </c>
      <c r="G2606" s="14" t="s">
        <v>4204</v>
      </c>
      <c r="H2606" s="2" t="s">
        <v>24</v>
      </c>
      <c r="I2606" s="2" t="s">
        <v>3491</v>
      </c>
      <c r="J2606" s="2">
        <v>3.0</v>
      </c>
      <c r="K2606" s="23" t="s">
        <v>5364</v>
      </c>
      <c r="L2606" s="11">
        <v>0.0</v>
      </c>
    </row>
    <row r="2607" hidden="1">
      <c r="A2607" s="8" t="s">
        <v>2111</v>
      </c>
      <c r="B2607" s="8" t="s">
        <v>2111</v>
      </c>
      <c r="C2607" s="13">
        <v>45988.439039351855</v>
      </c>
      <c r="D2607" s="2" t="s">
        <v>109</v>
      </c>
      <c r="E2607" s="2" t="s">
        <v>110</v>
      </c>
      <c r="F2607" s="14" t="s">
        <v>3522</v>
      </c>
      <c r="G2607" s="14" t="s">
        <v>3523</v>
      </c>
      <c r="H2607" s="2" t="s">
        <v>24</v>
      </c>
      <c r="I2607" s="2" t="s">
        <v>3491</v>
      </c>
      <c r="J2607" s="2">
        <v>4.0</v>
      </c>
      <c r="K2607" s="23" t="s">
        <v>5365</v>
      </c>
      <c r="L2607" s="11">
        <v>0.0</v>
      </c>
    </row>
    <row r="2608" hidden="1">
      <c r="A2608" s="8" t="s">
        <v>2112</v>
      </c>
      <c r="B2608" s="8" t="s">
        <v>2112</v>
      </c>
      <c r="C2608" s="13">
        <v>45988.459652777776</v>
      </c>
      <c r="D2608" s="2" t="s">
        <v>934</v>
      </c>
      <c r="E2608" s="2" t="s">
        <v>935</v>
      </c>
      <c r="F2608" s="14" t="s">
        <v>3522</v>
      </c>
      <c r="G2608" s="14" t="s">
        <v>3523</v>
      </c>
      <c r="H2608" s="2" t="s">
        <v>24</v>
      </c>
      <c r="I2608" s="2" t="s">
        <v>3491</v>
      </c>
      <c r="J2608" s="2">
        <v>1.0</v>
      </c>
      <c r="K2608" s="23" t="s">
        <v>4555</v>
      </c>
      <c r="L2608" s="11">
        <v>0.0</v>
      </c>
    </row>
    <row r="2609" hidden="1">
      <c r="A2609" s="8" t="s">
        <v>2113</v>
      </c>
      <c r="B2609" s="8" t="s">
        <v>2113</v>
      </c>
      <c r="C2609" s="13">
        <v>45988.61987268519</v>
      </c>
      <c r="D2609" s="2" t="s">
        <v>1830</v>
      </c>
      <c r="E2609" s="2" t="s">
        <v>1831</v>
      </c>
      <c r="F2609" s="14" t="s">
        <v>3486</v>
      </c>
      <c r="G2609" s="14" t="s">
        <v>3487</v>
      </c>
      <c r="H2609" s="2" t="s">
        <v>24</v>
      </c>
      <c r="I2609" s="2" t="s">
        <v>3491</v>
      </c>
      <c r="J2609" s="2">
        <v>5.0</v>
      </c>
      <c r="K2609" s="23" t="s">
        <v>5366</v>
      </c>
      <c r="L2609" s="11">
        <v>0.0</v>
      </c>
    </row>
    <row r="2610" hidden="1">
      <c r="A2610" s="8" t="s">
        <v>2113</v>
      </c>
      <c r="B2610" s="8" t="s">
        <v>2113</v>
      </c>
      <c r="C2610" s="13">
        <v>45988.61987268519</v>
      </c>
      <c r="D2610" s="2" t="s">
        <v>1830</v>
      </c>
      <c r="E2610" s="2" t="s">
        <v>1831</v>
      </c>
      <c r="F2610" s="14" t="s">
        <v>4203</v>
      </c>
      <c r="G2610" s="14" t="s">
        <v>4204</v>
      </c>
      <c r="H2610" s="2" t="s">
        <v>24</v>
      </c>
      <c r="I2610" s="2" t="s">
        <v>3491</v>
      </c>
      <c r="J2610" s="2">
        <v>1.0</v>
      </c>
      <c r="K2610" s="23" t="s">
        <v>4478</v>
      </c>
      <c r="L2610" s="11">
        <v>0.0</v>
      </c>
    </row>
    <row r="2611" hidden="1">
      <c r="A2611" s="8" t="s">
        <v>2113</v>
      </c>
      <c r="B2611" s="8" t="s">
        <v>2113</v>
      </c>
      <c r="C2611" s="13">
        <v>45988.61987268519</v>
      </c>
      <c r="D2611" s="2" t="s">
        <v>1830</v>
      </c>
      <c r="E2611" s="2" t="s">
        <v>1831</v>
      </c>
      <c r="F2611" s="14" t="s">
        <v>3486</v>
      </c>
      <c r="G2611" s="14" t="s">
        <v>3487</v>
      </c>
      <c r="H2611" s="2" t="s">
        <v>24</v>
      </c>
      <c r="I2611" s="2" t="s">
        <v>3614</v>
      </c>
      <c r="J2611" s="2">
        <v>2.0</v>
      </c>
      <c r="K2611" s="23" t="s">
        <v>5367</v>
      </c>
      <c r="L2611" s="11">
        <v>0.0</v>
      </c>
      <c r="M2611" s="2" t="s">
        <v>5368</v>
      </c>
    </row>
    <row r="2612" hidden="1">
      <c r="A2612" s="8" t="s">
        <v>2113</v>
      </c>
      <c r="B2612" s="8" t="s">
        <v>2113</v>
      </c>
      <c r="C2612" s="13">
        <v>45988.61987268519</v>
      </c>
      <c r="D2612" s="2" t="s">
        <v>1830</v>
      </c>
      <c r="E2612" s="2" t="s">
        <v>1831</v>
      </c>
      <c r="F2612" s="14" t="s">
        <v>3493</v>
      </c>
      <c r="G2612" s="14" t="s">
        <v>3494</v>
      </c>
      <c r="H2612" s="2" t="s">
        <v>24</v>
      </c>
      <c r="I2612" s="2" t="s">
        <v>3491</v>
      </c>
      <c r="J2612" s="2">
        <v>2.0</v>
      </c>
      <c r="K2612" s="12"/>
      <c r="L2612" s="11">
        <v>0.0</v>
      </c>
    </row>
    <row r="2613" hidden="1">
      <c r="A2613" s="8" t="s">
        <v>2114</v>
      </c>
      <c r="B2613" s="8" t="s">
        <v>2114</v>
      </c>
      <c r="C2613" s="13">
        <v>45988.626550925925</v>
      </c>
      <c r="D2613" s="2" t="s">
        <v>1564</v>
      </c>
      <c r="E2613" s="2" t="s">
        <v>1565</v>
      </c>
      <c r="F2613" s="14" t="s">
        <v>4203</v>
      </c>
      <c r="G2613" s="14" t="s">
        <v>4204</v>
      </c>
      <c r="H2613" s="2" t="s">
        <v>16</v>
      </c>
      <c r="I2613" s="2" t="s">
        <v>3488</v>
      </c>
      <c r="J2613" s="2">
        <v>1.0</v>
      </c>
      <c r="K2613" s="23" t="s">
        <v>5162</v>
      </c>
      <c r="L2613" s="11">
        <v>80000.0</v>
      </c>
    </row>
    <row r="2614" hidden="1">
      <c r="A2614" s="8" t="s">
        <v>2115</v>
      </c>
      <c r="B2614" s="8" t="s">
        <v>2115</v>
      </c>
      <c r="C2614" s="13">
        <v>45988.64511574074</v>
      </c>
      <c r="D2614" s="2" t="s">
        <v>392</v>
      </c>
      <c r="E2614" s="2" t="s">
        <v>393</v>
      </c>
      <c r="F2614" s="14" t="s">
        <v>3506</v>
      </c>
      <c r="G2614" s="14" t="s">
        <v>3507</v>
      </c>
      <c r="H2614" s="2" t="s">
        <v>16</v>
      </c>
      <c r="I2614" s="2" t="s">
        <v>3488</v>
      </c>
      <c r="J2614" s="2">
        <v>6.0</v>
      </c>
      <c r="K2614" s="23" t="s">
        <v>5369</v>
      </c>
      <c r="L2614" s="11">
        <v>50000.0</v>
      </c>
    </row>
    <row r="2615" hidden="1">
      <c r="A2615" s="8" t="s">
        <v>2116</v>
      </c>
      <c r="B2615" s="8" t="s">
        <v>2116</v>
      </c>
      <c r="C2615" s="13">
        <v>45988.648726851854</v>
      </c>
      <c r="D2615" s="2" t="s">
        <v>1564</v>
      </c>
      <c r="E2615" s="2" t="s">
        <v>1565</v>
      </c>
      <c r="F2615" s="14" t="s">
        <v>3486</v>
      </c>
      <c r="G2615" s="14" t="s">
        <v>3487</v>
      </c>
      <c r="H2615" s="2" t="s">
        <v>24</v>
      </c>
      <c r="I2615" s="2" t="s">
        <v>3491</v>
      </c>
      <c r="J2615" s="2">
        <v>1.0</v>
      </c>
      <c r="K2615" s="23" t="s">
        <v>5370</v>
      </c>
      <c r="L2615" s="11">
        <v>0.0</v>
      </c>
    </row>
    <row r="2616" hidden="1">
      <c r="A2616" s="8" t="s">
        <v>2117</v>
      </c>
      <c r="B2616" s="8" t="s">
        <v>2117</v>
      </c>
      <c r="C2616" s="13">
        <v>45989.34646990741</v>
      </c>
      <c r="D2616" s="2" t="s">
        <v>1228</v>
      </c>
      <c r="E2616" s="2" t="s">
        <v>1229</v>
      </c>
      <c r="F2616" s="14" t="s">
        <v>3486</v>
      </c>
      <c r="G2616" s="14" t="s">
        <v>3487</v>
      </c>
      <c r="H2616" s="2" t="s">
        <v>16</v>
      </c>
      <c r="I2616" s="2" t="s">
        <v>3488</v>
      </c>
      <c r="J2616" s="2">
        <v>5.0</v>
      </c>
      <c r="K2616" s="23" t="s">
        <v>5371</v>
      </c>
      <c r="L2616" s="11">
        <v>55000.0</v>
      </c>
    </row>
    <row r="2617" hidden="1">
      <c r="A2617" s="8" t="s">
        <v>2118</v>
      </c>
      <c r="B2617" s="8" t="s">
        <v>2118</v>
      </c>
      <c r="C2617" s="13">
        <v>45989.36552083334</v>
      </c>
      <c r="D2617" s="2" t="s">
        <v>2005</v>
      </c>
      <c r="E2617" s="2" t="s">
        <v>2006</v>
      </c>
      <c r="F2617" s="14" t="s">
        <v>4203</v>
      </c>
      <c r="G2617" s="14" t="s">
        <v>4204</v>
      </c>
      <c r="H2617" s="2" t="s">
        <v>16</v>
      </c>
      <c r="I2617" s="2" t="s">
        <v>3488</v>
      </c>
      <c r="J2617" s="2">
        <v>10.0</v>
      </c>
      <c r="K2617" s="23" t="s">
        <v>5372</v>
      </c>
      <c r="L2617" s="11">
        <v>60000.0</v>
      </c>
    </row>
    <row r="2618" hidden="1">
      <c r="A2618" s="8" t="s">
        <v>2119</v>
      </c>
      <c r="B2618" s="8" t="s">
        <v>2119</v>
      </c>
      <c r="C2618" s="13">
        <v>45989.38489583333</v>
      </c>
      <c r="D2618" s="2" t="s">
        <v>169</v>
      </c>
      <c r="E2618" s="2" t="s">
        <v>170</v>
      </c>
      <c r="F2618" s="14" t="s">
        <v>3486</v>
      </c>
      <c r="G2618" s="14" t="s">
        <v>3487</v>
      </c>
      <c r="H2618" s="2" t="s">
        <v>24</v>
      </c>
      <c r="I2618" s="2" t="s">
        <v>3491</v>
      </c>
      <c r="J2618" s="2">
        <v>2.0</v>
      </c>
      <c r="K2618" s="23" t="s">
        <v>5373</v>
      </c>
      <c r="L2618" s="11">
        <v>0.0</v>
      </c>
      <c r="N2618" s="2" t="s">
        <v>5374</v>
      </c>
    </row>
    <row r="2619" hidden="1">
      <c r="A2619" s="8" t="s">
        <v>2119</v>
      </c>
      <c r="B2619" s="8" t="s">
        <v>2119</v>
      </c>
      <c r="C2619" s="13">
        <v>45989.38489583333</v>
      </c>
      <c r="D2619" s="2" t="s">
        <v>169</v>
      </c>
      <c r="E2619" s="2" t="s">
        <v>170</v>
      </c>
      <c r="F2619" s="14" t="s">
        <v>3522</v>
      </c>
      <c r="G2619" s="14" t="s">
        <v>3523</v>
      </c>
      <c r="H2619" s="2" t="s">
        <v>24</v>
      </c>
      <c r="I2619" s="2" t="s">
        <v>3491</v>
      </c>
      <c r="J2619" s="2">
        <v>4.0</v>
      </c>
      <c r="K2619" s="23" t="s">
        <v>5375</v>
      </c>
      <c r="L2619" s="11">
        <v>0.0</v>
      </c>
    </row>
    <row r="2620" hidden="1">
      <c r="A2620" s="8" t="s">
        <v>2120</v>
      </c>
      <c r="B2620" s="8" t="s">
        <v>2120</v>
      </c>
      <c r="C2620" s="13">
        <v>45989.440833333334</v>
      </c>
      <c r="D2620" s="2" t="s">
        <v>2005</v>
      </c>
      <c r="E2620" s="2" t="s">
        <v>2006</v>
      </c>
      <c r="F2620" s="14" t="s">
        <v>4203</v>
      </c>
      <c r="G2620" s="14" t="s">
        <v>4204</v>
      </c>
      <c r="H2620" s="2" t="s">
        <v>24</v>
      </c>
      <c r="I2620" s="2" t="s">
        <v>3491</v>
      </c>
      <c r="J2620" s="2">
        <v>2.0</v>
      </c>
      <c r="K2620" s="23" t="s">
        <v>5376</v>
      </c>
      <c r="L2620" s="11">
        <v>0.0</v>
      </c>
    </row>
    <row r="2621" hidden="1">
      <c r="A2621" s="8" t="s">
        <v>2120</v>
      </c>
      <c r="B2621" s="8" t="s">
        <v>2120</v>
      </c>
      <c r="C2621" s="13">
        <v>45989.440833333334</v>
      </c>
      <c r="D2621" s="2" t="s">
        <v>2005</v>
      </c>
      <c r="E2621" s="2" t="s">
        <v>2006</v>
      </c>
      <c r="F2621" s="14" t="s">
        <v>3493</v>
      </c>
      <c r="G2621" s="14" t="s">
        <v>3494</v>
      </c>
      <c r="H2621" s="2" t="s">
        <v>24</v>
      </c>
      <c r="I2621" s="2" t="s">
        <v>3491</v>
      </c>
      <c r="J2621" s="2">
        <v>2.0</v>
      </c>
      <c r="K2621" s="23" t="s">
        <v>4670</v>
      </c>
      <c r="L2621" s="11">
        <v>0.0</v>
      </c>
    </row>
    <row r="2622" hidden="1">
      <c r="A2622" s="8" t="s">
        <v>2121</v>
      </c>
      <c r="B2622" s="8" t="s">
        <v>2121</v>
      </c>
      <c r="C2622" s="13">
        <v>45989.464212962965</v>
      </c>
      <c r="D2622" s="2" t="s">
        <v>1228</v>
      </c>
      <c r="E2622" s="2" t="s">
        <v>1229</v>
      </c>
      <c r="F2622" s="14" t="s">
        <v>3486</v>
      </c>
      <c r="G2622" s="14" t="s">
        <v>3487</v>
      </c>
      <c r="H2622" s="2" t="s">
        <v>24</v>
      </c>
      <c r="I2622" s="2" t="s">
        <v>3491</v>
      </c>
      <c r="J2622" s="2">
        <v>3.0</v>
      </c>
      <c r="K2622" s="23" t="s">
        <v>5377</v>
      </c>
      <c r="L2622" s="11">
        <v>0.0</v>
      </c>
    </row>
    <row r="2623" hidden="1">
      <c r="A2623" s="8" t="s">
        <v>2122</v>
      </c>
      <c r="B2623" s="8" t="s">
        <v>2122</v>
      </c>
      <c r="C2623" s="13">
        <v>45989.47094907407</v>
      </c>
      <c r="D2623" s="2" t="s">
        <v>309</v>
      </c>
      <c r="E2623" s="2" t="s">
        <v>310</v>
      </c>
      <c r="F2623" s="14" t="s">
        <v>3493</v>
      </c>
      <c r="G2623" s="14" t="s">
        <v>3494</v>
      </c>
      <c r="H2623" s="2" t="s">
        <v>16</v>
      </c>
      <c r="I2623" s="2" t="s">
        <v>3488</v>
      </c>
      <c r="J2623" s="2">
        <v>3.0</v>
      </c>
      <c r="K2623" s="23" t="s">
        <v>4704</v>
      </c>
      <c r="L2623" s="11">
        <v>200000.0</v>
      </c>
    </row>
    <row r="2624" hidden="1">
      <c r="A2624" s="8" t="s">
        <v>2123</v>
      </c>
      <c r="B2624" s="8" t="s">
        <v>2123</v>
      </c>
      <c r="C2624" s="13">
        <v>45989.613854166666</v>
      </c>
      <c r="D2624" s="2" t="s">
        <v>309</v>
      </c>
      <c r="E2624" s="2" t="s">
        <v>310</v>
      </c>
      <c r="F2624" s="14" t="s">
        <v>3493</v>
      </c>
      <c r="G2624" s="14" t="s">
        <v>3494</v>
      </c>
      <c r="H2624" s="2" t="s">
        <v>24</v>
      </c>
      <c r="I2624" s="2" t="s">
        <v>3491</v>
      </c>
      <c r="J2624" s="2">
        <v>3.0</v>
      </c>
      <c r="K2624" s="23" t="s">
        <v>5378</v>
      </c>
      <c r="L2624" s="11">
        <v>0.0</v>
      </c>
    </row>
    <row r="2625" hidden="1">
      <c r="A2625" s="8" t="s">
        <v>2124</v>
      </c>
      <c r="B2625" s="8" t="s">
        <v>2124</v>
      </c>
      <c r="C2625" s="13">
        <v>45990.352488425924</v>
      </c>
      <c r="D2625" s="2" t="s">
        <v>786</v>
      </c>
      <c r="E2625" s="2" t="s">
        <v>787</v>
      </c>
      <c r="F2625" s="14" t="s">
        <v>3486</v>
      </c>
      <c r="G2625" s="14" t="s">
        <v>3487</v>
      </c>
      <c r="H2625" s="2" t="s">
        <v>16</v>
      </c>
      <c r="I2625" s="2" t="s">
        <v>3488</v>
      </c>
      <c r="J2625" s="2">
        <v>6.0</v>
      </c>
      <c r="K2625" s="23" t="s">
        <v>5379</v>
      </c>
      <c r="L2625" s="11">
        <v>60000.0</v>
      </c>
    </row>
    <row r="2626" hidden="1">
      <c r="A2626" s="1"/>
      <c r="B2626" s="1"/>
      <c r="C2626" s="13"/>
      <c r="D2626" s="2"/>
      <c r="E2626" s="2"/>
      <c r="F2626" s="14"/>
      <c r="G2626" s="14"/>
      <c r="H2626" s="2"/>
      <c r="I2626" s="2"/>
      <c r="J2626" s="2"/>
      <c r="K2626" s="12"/>
      <c r="L2626" s="11"/>
    </row>
    <row r="2627" hidden="1">
      <c r="A2627" s="8" t="s">
        <v>2125</v>
      </c>
      <c r="B2627" s="8" t="s">
        <v>2125</v>
      </c>
      <c r="C2627" s="13">
        <v>45990.390185185184</v>
      </c>
      <c r="D2627" s="2" t="s">
        <v>1776</v>
      </c>
      <c r="E2627" s="2" t="s">
        <v>1777</v>
      </c>
      <c r="F2627" s="14" t="s">
        <v>4203</v>
      </c>
      <c r="G2627" s="14" t="s">
        <v>4204</v>
      </c>
      <c r="H2627" s="2" t="s">
        <v>16</v>
      </c>
      <c r="I2627" s="2" t="s">
        <v>3488</v>
      </c>
      <c r="J2627" s="2">
        <v>1.0</v>
      </c>
      <c r="K2627" s="23" t="s">
        <v>4724</v>
      </c>
      <c r="L2627" s="11">
        <v>80000.0</v>
      </c>
    </row>
    <row r="2628" hidden="1">
      <c r="A2628" s="8" t="s">
        <v>2126</v>
      </c>
      <c r="B2628" s="8" t="s">
        <v>2126</v>
      </c>
      <c r="C2628" s="13">
        <v>45990.395324074074</v>
      </c>
      <c r="D2628" s="2" t="s">
        <v>1830</v>
      </c>
      <c r="E2628" s="2" t="s">
        <v>1831</v>
      </c>
      <c r="F2628" s="14" t="s">
        <v>3486</v>
      </c>
      <c r="G2628" s="14" t="s">
        <v>3487</v>
      </c>
      <c r="H2628" s="2" t="s">
        <v>24</v>
      </c>
      <c r="I2628" s="2" t="s">
        <v>3491</v>
      </c>
      <c r="J2628" s="2">
        <v>5.0</v>
      </c>
      <c r="K2628" s="23" t="s">
        <v>5380</v>
      </c>
      <c r="L2628" s="11">
        <v>0.0</v>
      </c>
    </row>
    <row r="2629" hidden="1">
      <c r="A2629" s="8" t="s">
        <v>2126</v>
      </c>
      <c r="B2629" s="8" t="s">
        <v>2126</v>
      </c>
      <c r="C2629" s="13">
        <v>45990.395324074074</v>
      </c>
      <c r="D2629" s="2" t="s">
        <v>1830</v>
      </c>
      <c r="E2629" s="2" t="s">
        <v>1831</v>
      </c>
      <c r="F2629" s="14" t="s">
        <v>3493</v>
      </c>
      <c r="G2629" s="14" t="s">
        <v>3494</v>
      </c>
      <c r="H2629" s="2" t="s">
        <v>24</v>
      </c>
      <c r="I2629" s="2" t="s">
        <v>3491</v>
      </c>
      <c r="J2629" s="2">
        <v>1.0</v>
      </c>
      <c r="K2629" s="23" t="s">
        <v>4688</v>
      </c>
      <c r="L2629" s="11">
        <v>0.0</v>
      </c>
    </row>
    <row r="2630" hidden="1">
      <c r="A2630" s="8" t="s">
        <v>2105</v>
      </c>
      <c r="B2630" s="8" t="s">
        <v>2105</v>
      </c>
      <c r="C2630" s="13">
        <v>45987.54177083333</v>
      </c>
      <c r="D2630" s="2" t="s">
        <v>1830</v>
      </c>
      <c r="E2630" s="2" t="s">
        <v>1831</v>
      </c>
      <c r="F2630" s="14" t="s">
        <v>4203</v>
      </c>
      <c r="G2630" s="14" t="s">
        <v>4204</v>
      </c>
      <c r="H2630" s="2" t="s">
        <v>24</v>
      </c>
      <c r="I2630" s="2" t="s">
        <v>3491</v>
      </c>
      <c r="J2630" s="2">
        <v>1.0</v>
      </c>
      <c r="K2630" s="23" t="s">
        <v>4001</v>
      </c>
      <c r="L2630" s="11">
        <v>0.0</v>
      </c>
    </row>
    <row r="2631">
      <c r="A2631" s="8" t="s">
        <v>2127</v>
      </c>
      <c r="B2631" s="8" t="s">
        <v>2127</v>
      </c>
      <c r="C2631" s="13">
        <v>45990.434583333335</v>
      </c>
      <c r="D2631" s="2" t="s">
        <v>45</v>
      </c>
      <c r="E2631" s="2" t="s">
        <v>46</v>
      </c>
      <c r="F2631" s="14" t="s">
        <v>3486</v>
      </c>
      <c r="G2631" s="14" t="s">
        <v>3487</v>
      </c>
      <c r="H2631" s="2" t="s">
        <v>16</v>
      </c>
      <c r="I2631" s="2" t="s">
        <v>3488</v>
      </c>
      <c r="J2631" s="2">
        <v>10.0</v>
      </c>
      <c r="K2631" s="23" t="s">
        <v>5381</v>
      </c>
      <c r="L2631" s="11">
        <v>60000.0</v>
      </c>
    </row>
    <row r="2632">
      <c r="A2632" s="8" t="s">
        <v>2127</v>
      </c>
      <c r="B2632" s="8" t="s">
        <v>2127</v>
      </c>
      <c r="C2632" s="13">
        <v>45990.434583333335</v>
      </c>
      <c r="D2632" s="2" t="s">
        <v>45</v>
      </c>
      <c r="E2632" s="2" t="s">
        <v>46</v>
      </c>
      <c r="F2632" s="14" t="s">
        <v>3522</v>
      </c>
      <c r="G2632" s="14" t="s">
        <v>3523</v>
      </c>
      <c r="H2632" s="2" t="s">
        <v>16</v>
      </c>
      <c r="I2632" s="2" t="s">
        <v>3488</v>
      </c>
      <c r="J2632" s="2">
        <v>5.0</v>
      </c>
      <c r="K2632" s="23" t="s">
        <v>5382</v>
      </c>
      <c r="L2632" s="11">
        <v>185000.0</v>
      </c>
    </row>
    <row r="2633" hidden="1">
      <c r="A2633" s="8" t="s">
        <v>2128</v>
      </c>
      <c r="B2633" s="8" t="s">
        <v>2128</v>
      </c>
      <c r="C2633" s="13">
        <v>45990.44048611111</v>
      </c>
      <c r="D2633" s="2" t="s">
        <v>1776</v>
      </c>
      <c r="E2633" s="2" t="s">
        <v>1777</v>
      </c>
      <c r="F2633" s="14" t="s">
        <v>4203</v>
      </c>
      <c r="G2633" s="14" t="s">
        <v>4204</v>
      </c>
      <c r="H2633" s="2" t="s">
        <v>24</v>
      </c>
      <c r="I2633" s="2" t="s">
        <v>3491</v>
      </c>
      <c r="J2633" s="2">
        <v>1.0</v>
      </c>
      <c r="K2633" s="23" t="s">
        <v>4409</v>
      </c>
      <c r="L2633" s="11">
        <v>0.0</v>
      </c>
    </row>
    <row r="2634" hidden="1">
      <c r="A2634" s="8" t="s">
        <v>2129</v>
      </c>
      <c r="B2634" s="8" t="s">
        <v>2129</v>
      </c>
      <c r="C2634" s="13">
        <v>45990.54353009259</v>
      </c>
      <c r="D2634" s="2" t="s">
        <v>786</v>
      </c>
      <c r="E2634" s="2" t="s">
        <v>787</v>
      </c>
      <c r="F2634" s="14" t="s">
        <v>3516</v>
      </c>
      <c r="G2634" s="14" t="s">
        <v>3517</v>
      </c>
      <c r="H2634" s="2" t="s">
        <v>24</v>
      </c>
      <c r="I2634" s="2" t="s">
        <v>3491</v>
      </c>
      <c r="J2634" s="2">
        <v>1.0</v>
      </c>
      <c r="K2634" s="23" t="s">
        <v>5383</v>
      </c>
      <c r="L2634" s="11">
        <v>0.0</v>
      </c>
    </row>
    <row r="2635" hidden="1">
      <c r="A2635" s="8" t="s">
        <v>2129</v>
      </c>
      <c r="B2635" s="8" t="s">
        <v>2129</v>
      </c>
      <c r="C2635" s="13">
        <v>45990.54353009259</v>
      </c>
      <c r="D2635" s="2" t="s">
        <v>786</v>
      </c>
      <c r="E2635" s="2" t="s">
        <v>787</v>
      </c>
      <c r="F2635" s="14" t="s">
        <v>3486</v>
      </c>
      <c r="G2635" s="14" t="s">
        <v>3487</v>
      </c>
      <c r="H2635" s="2" t="s">
        <v>24</v>
      </c>
      <c r="I2635" s="2" t="s">
        <v>3491</v>
      </c>
      <c r="J2635" s="2">
        <v>4.0</v>
      </c>
      <c r="K2635" s="23" t="s">
        <v>5384</v>
      </c>
      <c r="L2635" s="11">
        <v>0.0</v>
      </c>
    </row>
    <row r="2636" hidden="1">
      <c r="A2636" s="8" t="s">
        <v>2129</v>
      </c>
      <c r="B2636" s="8" t="s">
        <v>2129</v>
      </c>
      <c r="C2636" s="13">
        <v>45990.54353009259</v>
      </c>
      <c r="D2636" s="2" t="s">
        <v>786</v>
      </c>
      <c r="E2636" s="2" t="s">
        <v>787</v>
      </c>
      <c r="F2636" s="14" t="s">
        <v>4203</v>
      </c>
      <c r="G2636" s="14" t="s">
        <v>4204</v>
      </c>
      <c r="H2636" s="2" t="s">
        <v>24</v>
      </c>
      <c r="I2636" s="2" t="s">
        <v>3491</v>
      </c>
      <c r="J2636" s="2">
        <v>2.0</v>
      </c>
      <c r="K2636" s="23" t="s">
        <v>5385</v>
      </c>
      <c r="L2636" s="11">
        <v>0.0</v>
      </c>
    </row>
    <row r="2637" hidden="1">
      <c r="A2637" s="8" t="s">
        <v>2130</v>
      </c>
      <c r="B2637" s="8" t="s">
        <v>2130</v>
      </c>
      <c r="C2637" s="13">
        <v>45992.286828703705</v>
      </c>
      <c r="D2637" s="2" t="s">
        <v>2131</v>
      </c>
      <c r="E2637" s="2" t="s">
        <v>2132</v>
      </c>
      <c r="F2637" s="14" t="s">
        <v>3486</v>
      </c>
      <c r="G2637" s="14" t="s">
        <v>3487</v>
      </c>
      <c r="H2637" s="2" t="s">
        <v>16</v>
      </c>
      <c r="I2637" s="2" t="s">
        <v>3488</v>
      </c>
      <c r="J2637" s="2">
        <v>14.0</v>
      </c>
      <c r="K2637" s="23" t="s">
        <v>5386</v>
      </c>
      <c r="L2637" s="11">
        <v>60000.0</v>
      </c>
    </row>
    <row r="2638" hidden="1">
      <c r="A2638" s="8" t="s">
        <v>2130</v>
      </c>
      <c r="B2638" s="8" t="s">
        <v>2130</v>
      </c>
      <c r="C2638" s="13">
        <v>45992.286828703705</v>
      </c>
      <c r="D2638" s="2" t="s">
        <v>2131</v>
      </c>
      <c r="E2638" s="2" t="s">
        <v>2132</v>
      </c>
      <c r="F2638" s="14" t="s">
        <v>4203</v>
      </c>
      <c r="G2638" s="14" t="s">
        <v>4204</v>
      </c>
      <c r="H2638" s="2" t="s">
        <v>16</v>
      </c>
      <c r="I2638" s="2" t="s">
        <v>3488</v>
      </c>
      <c r="J2638" s="2">
        <v>6.0</v>
      </c>
      <c r="K2638" s="23" t="s">
        <v>5387</v>
      </c>
      <c r="L2638" s="11">
        <v>60000.0</v>
      </c>
    </row>
    <row r="2639" hidden="1">
      <c r="A2639" s="8" t="s">
        <v>2134</v>
      </c>
      <c r="B2639" s="8" t="s">
        <v>2134</v>
      </c>
      <c r="C2639" s="13">
        <v>45992.37513888889</v>
      </c>
      <c r="D2639" s="2" t="s">
        <v>49</v>
      </c>
      <c r="E2639" s="2" t="s">
        <v>50</v>
      </c>
      <c r="F2639" s="14" t="s">
        <v>3486</v>
      </c>
      <c r="G2639" s="14" t="s">
        <v>3487</v>
      </c>
      <c r="H2639" s="2" t="s">
        <v>16</v>
      </c>
      <c r="I2639" s="2" t="s">
        <v>3488</v>
      </c>
      <c r="J2639" s="2">
        <v>5.0</v>
      </c>
      <c r="K2639" s="23" t="s">
        <v>5388</v>
      </c>
      <c r="L2639" s="11">
        <v>60000.0</v>
      </c>
    </row>
    <row r="2640" hidden="1">
      <c r="A2640" s="8" t="s">
        <v>2135</v>
      </c>
      <c r="B2640" s="8" t="s">
        <v>2135</v>
      </c>
      <c r="C2640" s="13">
        <v>45992.531226851854</v>
      </c>
      <c r="D2640" s="2" t="s">
        <v>49</v>
      </c>
      <c r="E2640" s="2" t="s">
        <v>50</v>
      </c>
      <c r="F2640" s="14" t="s">
        <v>3486</v>
      </c>
      <c r="G2640" s="14" t="s">
        <v>3487</v>
      </c>
      <c r="H2640" s="2" t="s">
        <v>24</v>
      </c>
      <c r="I2640" s="2" t="s">
        <v>3491</v>
      </c>
      <c r="J2640" s="2">
        <v>3.0</v>
      </c>
      <c r="K2640" s="23" t="s">
        <v>5389</v>
      </c>
      <c r="L2640" s="11">
        <v>0.0</v>
      </c>
    </row>
    <row r="2641" hidden="1">
      <c r="A2641" s="8" t="s">
        <v>2136</v>
      </c>
      <c r="B2641" s="8" t="s">
        <v>2136</v>
      </c>
      <c r="C2641" s="13">
        <v>45992.53172453704</v>
      </c>
      <c r="D2641" s="2" t="s">
        <v>812</v>
      </c>
      <c r="E2641" s="2" t="s">
        <v>813</v>
      </c>
      <c r="F2641" s="14" t="s">
        <v>3506</v>
      </c>
      <c r="G2641" s="14" t="s">
        <v>3507</v>
      </c>
      <c r="H2641" s="2" t="s">
        <v>24</v>
      </c>
      <c r="I2641" s="2" t="s">
        <v>3491</v>
      </c>
      <c r="J2641" s="2">
        <v>25.0</v>
      </c>
      <c r="K2641" s="12"/>
      <c r="L2641" s="11">
        <v>0.0</v>
      </c>
    </row>
    <row r="2642" hidden="1">
      <c r="A2642" s="8" t="s">
        <v>2137</v>
      </c>
      <c r="B2642" s="8" t="s">
        <v>2137</v>
      </c>
      <c r="C2642" s="13">
        <v>45992.65777777778</v>
      </c>
      <c r="D2642" s="2" t="s">
        <v>786</v>
      </c>
      <c r="E2642" s="2" t="s">
        <v>787</v>
      </c>
      <c r="F2642" s="14" t="s">
        <v>3486</v>
      </c>
      <c r="G2642" s="14" t="s">
        <v>3487</v>
      </c>
      <c r="H2642" s="2" t="s">
        <v>24</v>
      </c>
      <c r="I2642" s="2" t="s">
        <v>3491</v>
      </c>
      <c r="J2642" s="2">
        <v>3.0</v>
      </c>
      <c r="K2642" s="23" t="s">
        <v>5390</v>
      </c>
      <c r="L2642" s="11">
        <v>0.0</v>
      </c>
    </row>
    <row r="2643" hidden="1">
      <c r="A2643" s="8" t="s">
        <v>2138</v>
      </c>
      <c r="B2643" s="8" t="s">
        <v>2138</v>
      </c>
      <c r="C2643" s="13">
        <v>45992.65856481482</v>
      </c>
      <c r="D2643" s="2" t="s">
        <v>320</v>
      </c>
      <c r="E2643" s="2" t="s">
        <v>321</v>
      </c>
      <c r="F2643" s="14" t="s">
        <v>3486</v>
      </c>
      <c r="G2643" s="14" t="s">
        <v>3487</v>
      </c>
      <c r="H2643" s="2" t="s">
        <v>24</v>
      </c>
      <c r="I2643" s="2" t="s">
        <v>3491</v>
      </c>
      <c r="J2643" s="2">
        <v>1.0</v>
      </c>
      <c r="K2643" s="23" t="s">
        <v>4679</v>
      </c>
      <c r="L2643" s="11">
        <v>0.0</v>
      </c>
    </row>
    <row r="2644" hidden="1">
      <c r="A2644" s="8" t="s">
        <v>2139</v>
      </c>
      <c r="B2644" s="8" t="s">
        <v>2139</v>
      </c>
      <c r="C2644" s="13">
        <v>45992.65891203703</v>
      </c>
      <c r="D2644" s="2" t="s">
        <v>109</v>
      </c>
      <c r="E2644" s="2" t="s">
        <v>110</v>
      </c>
      <c r="F2644" s="14" t="s">
        <v>3522</v>
      </c>
      <c r="G2644" s="14" t="s">
        <v>3523</v>
      </c>
      <c r="H2644" s="2" t="s">
        <v>24</v>
      </c>
      <c r="I2644" s="2" t="s">
        <v>3491</v>
      </c>
      <c r="J2644" s="2">
        <v>1.0</v>
      </c>
      <c r="K2644" s="23" t="s">
        <v>5391</v>
      </c>
      <c r="L2644" s="11">
        <v>0.0</v>
      </c>
    </row>
    <row r="2645" hidden="1">
      <c r="A2645" s="8" t="s">
        <v>2140</v>
      </c>
      <c r="B2645" s="8" t="s">
        <v>2140</v>
      </c>
      <c r="C2645" s="13">
        <v>45992.65918981482</v>
      </c>
      <c r="D2645" s="2" t="s">
        <v>326</v>
      </c>
      <c r="E2645" s="2" t="s">
        <v>327</v>
      </c>
      <c r="F2645" s="14" t="s">
        <v>3486</v>
      </c>
      <c r="G2645" s="14" t="s">
        <v>3487</v>
      </c>
      <c r="H2645" s="2" t="s">
        <v>24</v>
      </c>
      <c r="I2645" s="2" t="s">
        <v>3491</v>
      </c>
      <c r="J2645" s="2">
        <v>10.0</v>
      </c>
      <c r="K2645" s="23" t="s">
        <v>5392</v>
      </c>
      <c r="L2645" s="11">
        <v>0.0</v>
      </c>
    </row>
    <row r="2646" hidden="1">
      <c r="A2646" s="8" t="s">
        <v>2140</v>
      </c>
      <c r="B2646" s="8" t="s">
        <v>2140</v>
      </c>
      <c r="C2646" s="13">
        <v>45992.65918981482</v>
      </c>
      <c r="D2646" s="2" t="s">
        <v>326</v>
      </c>
      <c r="E2646" s="2" t="s">
        <v>327</v>
      </c>
      <c r="F2646" s="14" t="s">
        <v>4203</v>
      </c>
      <c r="G2646" s="14" t="s">
        <v>4204</v>
      </c>
      <c r="H2646" s="2" t="s">
        <v>24</v>
      </c>
      <c r="I2646" s="2" t="s">
        <v>3491</v>
      </c>
      <c r="J2646" s="2">
        <v>2.0</v>
      </c>
      <c r="K2646" s="23" t="s">
        <v>5393</v>
      </c>
      <c r="L2646" s="11">
        <v>0.0</v>
      </c>
    </row>
    <row r="2647" hidden="1">
      <c r="A2647" s="8" t="s">
        <v>2141</v>
      </c>
      <c r="B2647" s="8" t="s">
        <v>2141</v>
      </c>
      <c r="C2647" s="13">
        <v>45992.6640625</v>
      </c>
      <c r="D2647" s="2" t="s">
        <v>2005</v>
      </c>
      <c r="E2647" s="2" t="s">
        <v>2006</v>
      </c>
      <c r="F2647" s="14" t="s">
        <v>4203</v>
      </c>
      <c r="G2647" s="14" t="s">
        <v>4204</v>
      </c>
      <c r="H2647" s="2" t="s">
        <v>24</v>
      </c>
      <c r="I2647" s="2" t="s">
        <v>3491</v>
      </c>
      <c r="J2647" s="2">
        <v>3.0</v>
      </c>
      <c r="K2647" s="23" t="s">
        <v>5394</v>
      </c>
      <c r="L2647" s="11">
        <v>0.0</v>
      </c>
    </row>
    <row r="2648" hidden="1">
      <c r="A2648" s="8" t="s">
        <v>2142</v>
      </c>
      <c r="B2648" s="8" t="s">
        <v>2142</v>
      </c>
      <c r="C2648" s="13">
        <v>45993.35135416667</v>
      </c>
      <c r="D2648" s="2" t="s">
        <v>812</v>
      </c>
      <c r="E2648" s="2" t="s">
        <v>813</v>
      </c>
      <c r="F2648" s="14" t="s">
        <v>3506</v>
      </c>
      <c r="G2648" s="14" t="s">
        <v>3507</v>
      </c>
      <c r="H2648" s="2" t="s">
        <v>16</v>
      </c>
      <c r="I2648" s="2" t="s">
        <v>3488</v>
      </c>
      <c r="J2648" s="2">
        <v>25.0</v>
      </c>
      <c r="K2648" s="12"/>
      <c r="L2648" s="11">
        <v>50000.0</v>
      </c>
    </row>
    <row r="2649" hidden="1">
      <c r="A2649" s="8" t="s">
        <v>2143</v>
      </c>
      <c r="B2649" s="8" t="s">
        <v>2143</v>
      </c>
      <c r="C2649" s="13">
        <v>45993.35780092593</v>
      </c>
      <c r="D2649" s="2" t="s">
        <v>786</v>
      </c>
      <c r="E2649" s="2" t="s">
        <v>787</v>
      </c>
      <c r="F2649" s="14" t="s">
        <v>3486</v>
      </c>
      <c r="G2649" s="14" t="s">
        <v>3487</v>
      </c>
      <c r="H2649" s="2" t="s">
        <v>16</v>
      </c>
      <c r="I2649" s="2" t="s">
        <v>3488</v>
      </c>
      <c r="J2649" s="2">
        <v>5.0</v>
      </c>
      <c r="K2649" s="23" t="s">
        <v>5395</v>
      </c>
      <c r="L2649" s="11">
        <v>60000.0</v>
      </c>
    </row>
    <row r="2650" hidden="1">
      <c r="A2650" s="8" t="s">
        <v>2144</v>
      </c>
      <c r="B2650" s="8" t="s">
        <v>2144</v>
      </c>
      <c r="C2650" s="13">
        <v>45993.35921296296</v>
      </c>
      <c r="D2650" s="2" t="s">
        <v>109</v>
      </c>
      <c r="E2650" s="2" t="s">
        <v>110</v>
      </c>
      <c r="F2650" s="14" t="s">
        <v>3486</v>
      </c>
      <c r="G2650" s="14" t="s">
        <v>3487</v>
      </c>
      <c r="H2650" s="2" t="s">
        <v>16</v>
      </c>
      <c r="I2650" s="2" t="s">
        <v>3488</v>
      </c>
      <c r="J2650" s="2">
        <v>2.0</v>
      </c>
      <c r="K2650" s="23" t="s">
        <v>5396</v>
      </c>
      <c r="L2650" s="11">
        <v>60000.0</v>
      </c>
    </row>
    <row r="2651" hidden="1">
      <c r="A2651" s="8" t="s">
        <v>2144</v>
      </c>
      <c r="B2651" s="8" t="s">
        <v>2144</v>
      </c>
      <c r="C2651" s="13">
        <v>45993.35921296296</v>
      </c>
      <c r="D2651" s="2" t="s">
        <v>109</v>
      </c>
      <c r="E2651" s="2" t="s">
        <v>110</v>
      </c>
      <c r="F2651" s="14" t="s">
        <v>3522</v>
      </c>
      <c r="G2651" s="14" t="s">
        <v>3523</v>
      </c>
      <c r="H2651" s="2" t="s">
        <v>16</v>
      </c>
      <c r="I2651" s="2" t="s">
        <v>3488</v>
      </c>
      <c r="J2651" s="2">
        <v>4.0</v>
      </c>
      <c r="K2651" s="23" t="s">
        <v>5397</v>
      </c>
      <c r="L2651" s="11">
        <v>215000.0</v>
      </c>
    </row>
    <row r="2652" hidden="1">
      <c r="A2652" s="8" t="s">
        <v>2145</v>
      </c>
      <c r="B2652" s="8" t="s">
        <v>2145</v>
      </c>
      <c r="C2652" s="13">
        <v>45993.54866898148</v>
      </c>
      <c r="D2652" s="2" t="s">
        <v>786</v>
      </c>
      <c r="E2652" s="2" t="s">
        <v>787</v>
      </c>
      <c r="F2652" s="14" t="s">
        <v>3486</v>
      </c>
      <c r="G2652" s="14" t="s">
        <v>3487</v>
      </c>
      <c r="H2652" s="2" t="s">
        <v>24</v>
      </c>
      <c r="I2652" s="2" t="s">
        <v>3491</v>
      </c>
      <c r="J2652" s="2">
        <v>2.0</v>
      </c>
      <c r="K2652" s="23" t="s">
        <v>5398</v>
      </c>
      <c r="L2652" s="11">
        <v>0.0</v>
      </c>
    </row>
    <row r="2653" hidden="1">
      <c r="A2653" s="8" t="s">
        <v>2146</v>
      </c>
      <c r="B2653" s="8" t="s">
        <v>2146</v>
      </c>
      <c r="C2653" s="13">
        <v>45993.55042824074</v>
      </c>
      <c r="D2653" s="2" t="s">
        <v>326</v>
      </c>
      <c r="E2653" s="2" t="s">
        <v>327</v>
      </c>
      <c r="F2653" s="14" t="s">
        <v>4203</v>
      </c>
      <c r="G2653" s="14" t="s">
        <v>4204</v>
      </c>
      <c r="H2653" s="2" t="s">
        <v>16</v>
      </c>
      <c r="I2653" s="2" t="s">
        <v>3488</v>
      </c>
      <c r="J2653" s="2">
        <v>3.0</v>
      </c>
      <c r="K2653" s="23" t="s">
        <v>5399</v>
      </c>
      <c r="L2653" s="11">
        <v>45000.0</v>
      </c>
    </row>
    <row r="2654" hidden="1">
      <c r="A2654" s="8" t="s">
        <v>2146</v>
      </c>
      <c r="B2654" s="8" t="s">
        <v>2146</v>
      </c>
      <c r="C2654" s="13">
        <v>45993.55042824074</v>
      </c>
      <c r="D2654" s="2" t="s">
        <v>326</v>
      </c>
      <c r="E2654" s="2" t="s">
        <v>327</v>
      </c>
      <c r="F2654" s="14" t="s">
        <v>3486</v>
      </c>
      <c r="G2654" s="14" t="s">
        <v>3487</v>
      </c>
      <c r="H2654" s="2" t="s">
        <v>16</v>
      </c>
      <c r="I2654" s="2" t="s">
        <v>3488</v>
      </c>
      <c r="J2654" s="2">
        <v>7.0</v>
      </c>
      <c r="K2654" s="23" t="s">
        <v>5400</v>
      </c>
      <c r="L2654" s="11">
        <v>45000.0</v>
      </c>
    </row>
    <row r="2655" hidden="1">
      <c r="A2655" s="8" t="s">
        <v>2147</v>
      </c>
      <c r="B2655" s="8" t="s">
        <v>2147</v>
      </c>
      <c r="C2655" s="13">
        <v>45993.5571875</v>
      </c>
      <c r="D2655" s="2" t="s">
        <v>1018</v>
      </c>
      <c r="E2655" s="2" t="s">
        <v>1019</v>
      </c>
      <c r="F2655" s="14" t="s">
        <v>4203</v>
      </c>
      <c r="G2655" s="14" t="s">
        <v>4204</v>
      </c>
      <c r="H2655" s="2" t="s">
        <v>16</v>
      </c>
      <c r="I2655" s="2" t="s">
        <v>3488</v>
      </c>
      <c r="J2655" s="2">
        <v>1.0</v>
      </c>
      <c r="K2655" s="23" t="s">
        <v>4412</v>
      </c>
      <c r="L2655" s="11">
        <v>60000.0</v>
      </c>
    </row>
    <row r="2656" hidden="1">
      <c r="A2656" s="8" t="s">
        <v>2148</v>
      </c>
      <c r="B2656" s="8" t="s">
        <v>2148</v>
      </c>
      <c r="C2656" s="13">
        <v>45993.56229166667</v>
      </c>
      <c r="D2656" s="2" t="s">
        <v>951</v>
      </c>
      <c r="E2656" s="2" t="s">
        <v>952</v>
      </c>
      <c r="F2656" s="14" t="s">
        <v>4203</v>
      </c>
      <c r="G2656" s="14" t="s">
        <v>4204</v>
      </c>
      <c r="H2656" s="2" t="s">
        <v>16</v>
      </c>
      <c r="I2656" s="2" t="s">
        <v>3488</v>
      </c>
      <c r="J2656" s="2">
        <v>4.0</v>
      </c>
      <c r="K2656" s="23" t="s">
        <v>5401</v>
      </c>
      <c r="L2656" s="11">
        <v>55000.0</v>
      </c>
    </row>
    <row r="2657" hidden="1">
      <c r="A2657" s="8" t="s">
        <v>2149</v>
      </c>
      <c r="B2657" s="8" t="s">
        <v>2149</v>
      </c>
      <c r="C2657" s="13">
        <v>45993.57962962963</v>
      </c>
      <c r="D2657" s="2" t="s">
        <v>2150</v>
      </c>
      <c r="E2657" s="2" t="s">
        <v>2151</v>
      </c>
      <c r="F2657" s="14" t="s">
        <v>3493</v>
      </c>
      <c r="G2657" s="14" t="s">
        <v>3494</v>
      </c>
      <c r="H2657" s="2" t="s">
        <v>159</v>
      </c>
      <c r="I2657" s="2" t="s">
        <v>5402</v>
      </c>
      <c r="J2657" s="2">
        <v>2.0</v>
      </c>
      <c r="K2657" s="23" t="s">
        <v>4670</v>
      </c>
      <c r="L2657" s="11">
        <v>170000.0</v>
      </c>
    </row>
    <row r="2658" hidden="1">
      <c r="A2658" s="8" t="s">
        <v>2153</v>
      </c>
      <c r="B2658" s="8" t="s">
        <v>2153</v>
      </c>
      <c r="C2658" s="13">
        <v>45993.70222222222</v>
      </c>
      <c r="D2658" s="2" t="s">
        <v>951</v>
      </c>
      <c r="E2658" s="2" t="s">
        <v>952</v>
      </c>
      <c r="F2658" s="14" t="s">
        <v>3486</v>
      </c>
      <c r="G2658" s="14" t="s">
        <v>3487</v>
      </c>
      <c r="H2658" s="2" t="s">
        <v>24</v>
      </c>
      <c r="I2658" s="2" t="s">
        <v>3491</v>
      </c>
      <c r="J2658" s="2">
        <v>3.0</v>
      </c>
      <c r="K2658" s="23" t="s">
        <v>5403</v>
      </c>
      <c r="L2658" s="11">
        <v>0.0</v>
      </c>
    </row>
    <row r="2659" hidden="1">
      <c r="A2659" s="8" t="s">
        <v>2154</v>
      </c>
      <c r="B2659" s="8" t="s">
        <v>2154</v>
      </c>
      <c r="C2659" s="13">
        <v>45993.702835648146</v>
      </c>
      <c r="D2659" s="2" t="s">
        <v>1018</v>
      </c>
      <c r="E2659" s="2" t="s">
        <v>1019</v>
      </c>
      <c r="F2659" s="14" t="s">
        <v>3486</v>
      </c>
      <c r="G2659" s="14" t="s">
        <v>3487</v>
      </c>
      <c r="H2659" s="2" t="s">
        <v>24</v>
      </c>
      <c r="I2659" s="2" t="s">
        <v>3491</v>
      </c>
      <c r="J2659" s="2">
        <v>1.0</v>
      </c>
      <c r="K2659" s="23" t="s">
        <v>5240</v>
      </c>
      <c r="L2659" s="11">
        <v>0.0</v>
      </c>
    </row>
    <row r="2660" hidden="1">
      <c r="A2660" s="8" t="s">
        <v>2155</v>
      </c>
      <c r="B2660" s="8" t="s">
        <v>2155</v>
      </c>
      <c r="C2660" s="13">
        <v>45993.70300925926</v>
      </c>
      <c r="D2660" s="2" t="s">
        <v>326</v>
      </c>
      <c r="E2660" s="2" t="s">
        <v>327</v>
      </c>
      <c r="F2660" s="14" t="s">
        <v>3486</v>
      </c>
      <c r="G2660" s="14" t="s">
        <v>3487</v>
      </c>
      <c r="H2660" s="2" t="s">
        <v>24</v>
      </c>
      <c r="I2660" s="2" t="s">
        <v>3491</v>
      </c>
      <c r="J2660" s="2">
        <v>5.0</v>
      </c>
      <c r="K2660" s="23" t="s">
        <v>5404</v>
      </c>
      <c r="L2660" s="11">
        <v>0.0</v>
      </c>
    </row>
    <row r="2661" hidden="1">
      <c r="A2661" s="8" t="s">
        <v>2156</v>
      </c>
      <c r="B2661" s="8" t="s">
        <v>2156</v>
      </c>
      <c r="C2661" s="13">
        <v>45994.3953125</v>
      </c>
      <c r="D2661" s="2" t="s">
        <v>1618</v>
      </c>
      <c r="E2661" s="2" t="s">
        <v>1619</v>
      </c>
      <c r="F2661" s="14" t="s">
        <v>3516</v>
      </c>
      <c r="G2661" s="14" t="s">
        <v>3517</v>
      </c>
      <c r="H2661" s="2" t="s">
        <v>16</v>
      </c>
      <c r="I2661" s="2" t="s">
        <v>3488</v>
      </c>
      <c r="J2661" s="2">
        <v>5.0</v>
      </c>
      <c r="K2661" s="23" t="s">
        <v>5405</v>
      </c>
      <c r="L2661" s="11">
        <v>180000.0</v>
      </c>
    </row>
    <row r="2662" hidden="1">
      <c r="A2662" s="8" t="s">
        <v>2157</v>
      </c>
      <c r="B2662" s="8" t="s">
        <v>2157</v>
      </c>
      <c r="C2662" s="13">
        <v>45994.50131944445</v>
      </c>
      <c r="D2662" s="2" t="s">
        <v>1084</v>
      </c>
      <c r="E2662" s="2" t="s">
        <v>1085</v>
      </c>
      <c r="F2662" s="14" t="s">
        <v>3486</v>
      </c>
      <c r="G2662" s="14" t="s">
        <v>3487</v>
      </c>
      <c r="H2662" s="2" t="s">
        <v>24</v>
      </c>
      <c r="I2662" s="2" t="s">
        <v>3491</v>
      </c>
      <c r="J2662" s="2">
        <v>3.0</v>
      </c>
      <c r="K2662" s="23" t="s">
        <v>5406</v>
      </c>
      <c r="L2662" s="11">
        <v>0.0</v>
      </c>
    </row>
    <row r="2663" hidden="1">
      <c r="A2663" s="8" t="s">
        <v>2158</v>
      </c>
      <c r="B2663" s="8" t="s">
        <v>2158</v>
      </c>
      <c r="C2663" s="13">
        <v>45994.50255787037</v>
      </c>
      <c r="D2663" s="2" t="s">
        <v>49</v>
      </c>
      <c r="E2663" s="2" t="s">
        <v>50</v>
      </c>
      <c r="F2663" s="14" t="s">
        <v>3486</v>
      </c>
      <c r="G2663" s="14" t="s">
        <v>3487</v>
      </c>
      <c r="H2663" s="2" t="s">
        <v>24</v>
      </c>
      <c r="I2663" s="2" t="s">
        <v>3491</v>
      </c>
      <c r="J2663" s="2">
        <v>2.0</v>
      </c>
      <c r="K2663" s="23" t="s">
        <v>5407</v>
      </c>
      <c r="L2663" s="11">
        <v>0.0</v>
      </c>
    </row>
    <row r="2664" hidden="1">
      <c r="A2664" s="8" t="s">
        <v>2159</v>
      </c>
      <c r="B2664" s="8" t="s">
        <v>2159</v>
      </c>
      <c r="C2664" s="13">
        <v>45994.51137731481</v>
      </c>
      <c r="D2664" s="2" t="s">
        <v>1904</v>
      </c>
      <c r="E2664" s="2" t="s">
        <v>1905</v>
      </c>
      <c r="F2664" s="14" t="s">
        <v>4203</v>
      </c>
      <c r="G2664" s="14" t="s">
        <v>4204</v>
      </c>
      <c r="H2664" s="2" t="s">
        <v>24</v>
      </c>
      <c r="I2664" s="2" t="s">
        <v>3491</v>
      </c>
      <c r="J2664" s="2">
        <v>1.0</v>
      </c>
      <c r="K2664" s="23" t="s">
        <v>5408</v>
      </c>
      <c r="L2664" s="11">
        <v>0.0</v>
      </c>
    </row>
    <row r="2665" hidden="1">
      <c r="A2665" s="8" t="s">
        <v>2159</v>
      </c>
      <c r="B2665" s="8" t="s">
        <v>2159</v>
      </c>
      <c r="C2665" s="13">
        <v>45994.51137731481</v>
      </c>
      <c r="D2665" s="2" t="s">
        <v>1904</v>
      </c>
      <c r="E2665" s="2" t="s">
        <v>1905</v>
      </c>
      <c r="F2665" s="14" t="s">
        <v>3516</v>
      </c>
      <c r="G2665" s="14" t="s">
        <v>3517</v>
      </c>
      <c r="H2665" s="2" t="s">
        <v>24</v>
      </c>
      <c r="I2665" s="2" t="s">
        <v>3491</v>
      </c>
      <c r="J2665" s="2">
        <v>2.0</v>
      </c>
      <c r="K2665" s="23" t="s">
        <v>5409</v>
      </c>
      <c r="L2665" s="11">
        <v>0.0</v>
      </c>
    </row>
    <row r="2666" hidden="1">
      <c r="A2666" s="8" t="s">
        <v>2159</v>
      </c>
      <c r="B2666" s="8" t="s">
        <v>2159</v>
      </c>
      <c r="C2666" s="13">
        <v>45994.51137731481</v>
      </c>
      <c r="D2666" s="2" t="s">
        <v>1904</v>
      </c>
      <c r="E2666" s="2" t="s">
        <v>1905</v>
      </c>
      <c r="F2666" s="14" t="s">
        <v>4203</v>
      </c>
      <c r="G2666" s="14" t="s">
        <v>4204</v>
      </c>
      <c r="H2666" s="2" t="s">
        <v>24</v>
      </c>
      <c r="I2666" s="2" t="s">
        <v>3614</v>
      </c>
      <c r="J2666" s="2">
        <v>1.0</v>
      </c>
      <c r="K2666" s="23" t="s">
        <v>5410</v>
      </c>
      <c r="L2666" s="11">
        <v>0.0</v>
      </c>
    </row>
    <row r="2667" hidden="1">
      <c r="A2667" s="8" t="s">
        <v>2160</v>
      </c>
      <c r="B2667" s="8" t="s">
        <v>2160</v>
      </c>
      <c r="C2667" s="13">
        <v>45994.51290509259</v>
      </c>
      <c r="D2667" s="2" t="s">
        <v>2131</v>
      </c>
      <c r="E2667" s="2" t="s">
        <v>2132</v>
      </c>
      <c r="F2667" s="14" t="s">
        <v>3486</v>
      </c>
      <c r="G2667" s="14" t="s">
        <v>3487</v>
      </c>
      <c r="H2667" s="2" t="s">
        <v>24</v>
      </c>
      <c r="I2667" s="2" t="s">
        <v>3491</v>
      </c>
      <c r="J2667" s="2">
        <v>2.0</v>
      </c>
      <c r="K2667" s="23" t="s">
        <v>5411</v>
      </c>
      <c r="L2667" s="11">
        <v>0.0</v>
      </c>
    </row>
    <row r="2668" hidden="1">
      <c r="A2668" s="8" t="s">
        <v>2160</v>
      </c>
      <c r="B2668" s="8" t="s">
        <v>2160</v>
      </c>
      <c r="C2668" s="13">
        <v>45994.51290509259</v>
      </c>
      <c r="D2668" s="2" t="s">
        <v>2131</v>
      </c>
      <c r="E2668" s="2" t="s">
        <v>2132</v>
      </c>
      <c r="F2668" s="14" t="s">
        <v>4203</v>
      </c>
      <c r="G2668" s="14" t="s">
        <v>4204</v>
      </c>
      <c r="H2668" s="2" t="s">
        <v>24</v>
      </c>
      <c r="I2668" s="2" t="s">
        <v>3491</v>
      </c>
      <c r="J2668" s="2">
        <v>3.0</v>
      </c>
      <c r="K2668" s="23" t="s">
        <v>5412</v>
      </c>
      <c r="L2668" s="11">
        <v>0.0</v>
      </c>
    </row>
    <row r="2669" hidden="1">
      <c r="A2669" s="8" t="s">
        <v>2161</v>
      </c>
      <c r="B2669" s="8" t="s">
        <v>2161</v>
      </c>
      <c r="C2669" s="13">
        <v>45994.58731481482</v>
      </c>
      <c r="D2669" s="2" t="s">
        <v>786</v>
      </c>
      <c r="E2669" s="2" t="s">
        <v>787</v>
      </c>
      <c r="F2669" s="14" t="s">
        <v>3516</v>
      </c>
      <c r="G2669" s="14" t="s">
        <v>3517</v>
      </c>
      <c r="H2669" s="2" t="s">
        <v>16</v>
      </c>
      <c r="I2669" s="2" t="s">
        <v>3488</v>
      </c>
      <c r="J2669" s="2">
        <v>2.0</v>
      </c>
      <c r="K2669" s="23" t="s">
        <v>5413</v>
      </c>
      <c r="L2669" s="11">
        <v>170000.0</v>
      </c>
    </row>
    <row r="2670" hidden="1">
      <c r="A2670" s="8" t="s">
        <v>2161</v>
      </c>
      <c r="B2670" s="8" t="s">
        <v>2161</v>
      </c>
      <c r="C2670" s="13">
        <v>45994.58731481482</v>
      </c>
      <c r="D2670" s="2" t="s">
        <v>786</v>
      </c>
      <c r="E2670" s="2" t="s">
        <v>787</v>
      </c>
      <c r="F2670" s="14" t="s">
        <v>3486</v>
      </c>
      <c r="G2670" s="14" t="s">
        <v>3487</v>
      </c>
      <c r="H2670" s="2" t="s">
        <v>16</v>
      </c>
      <c r="I2670" s="2" t="s">
        <v>3488</v>
      </c>
      <c r="J2670" s="2">
        <v>6.0</v>
      </c>
      <c r="K2670" s="23" t="s">
        <v>5414</v>
      </c>
      <c r="L2670" s="11">
        <v>60000.0</v>
      </c>
    </row>
    <row r="2671" hidden="1">
      <c r="A2671" s="8" t="s">
        <v>2162</v>
      </c>
      <c r="B2671" s="8" t="s">
        <v>2162</v>
      </c>
      <c r="C2671" s="13">
        <v>45995.361493055556</v>
      </c>
      <c r="D2671" s="2" t="s">
        <v>1993</v>
      </c>
      <c r="E2671" s="2" t="s">
        <v>1994</v>
      </c>
      <c r="F2671" s="14" t="s">
        <v>3486</v>
      </c>
      <c r="G2671" s="14" t="s">
        <v>3487</v>
      </c>
      <c r="H2671" s="2" t="s">
        <v>16</v>
      </c>
      <c r="I2671" s="2" t="s">
        <v>3488</v>
      </c>
      <c r="J2671" s="2">
        <v>8.0</v>
      </c>
      <c r="K2671" s="23" t="s">
        <v>5415</v>
      </c>
      <c r="L2671" s="11">
        <v>65000.0</v>
      </c>
    </row>
    <row r="2672" hidden="1">
      <c r="A2672" s="8" t="s">
        <v>2163</v>
      </c>
      <c r="B2672" s="8" t="s">
        <v>2163</v>
      </c>
      <c r="C2672" s="13">
        <v>45995.39275462963</v>
      </c>
      <c r="D2672" s="2" t="s">
        <v>1993</v>
      </c>
      <c r="E2672" s="2" t="s">
        <v>1994</v>
      </c>
      <c r="F2672" s="14" t="s">
        <v>4203</v>
      </c>
      <c r="G2672" s="14" t="s">
        <v>4204</v>
      </c>
      <c r="H2672" s="2" t="s">
        <v>24</v>
      </c>
      <c r="I2672" s="2" t="s">
        <v>3491</v>
      </c>
      <c r="J2672" s="2">
        <v>3.0</v>
      </c>
      <c r="K2672" s="23" t="s">
        <v>5416</v>
      </c>
      <c r="L2672" s="11">
        <v>0.0</v>
      </c>
    </row>
    <row r="2673" hidden="1">
      <c r="A2673" s="8" t="s">
        <v>2163</v>
      </c>
      <c r="B2673" s="8" t="s">
        <v>2163</v>
      </c>
      <c r="C2673" s="13">
        <v>45995.39275462963</v>
      </c>
      <c r="D2673" s="2" t="s">
        <v>1993</v>
      </c>
      <c r="E2673" s="2" t="s">
        <v>1994</v>
      </c>
      <c r="F2673" s="14" t="s">
        <v>3486</v>
      </c>
      <c r="G2673" s="14" t="s">
        <v>3487</v>
      </c>
      <c r="H2673" s="2" t="s">
        <v>24</v>
      </c>
      <c r="I2673" s="2" t="s">
        <v>3491</v>
      </c>
      <c r="J2673" s="2">
        <v>8.0</v>
      </c>
      <c r="K2673" s="23" t="s">
        <v>5417</v>
      </c>
      <c r="L2673" s="11">
        <v>0.0</v>
      </c>
    </row>
    <row r="2674" hidden="1">
      <c r="A2674" s="8" t="s">
        <v>2164</v>
      </c>
      <c r="B2674" s="8" t="s">
        <v>2164</v>
      </c>
      <c r="C2674" s="13">
        <v>45995.45649305556</v>
      </c>
      <c r="D2674" s="2" t="s">
        <v>1564</v>
      </c>
      <c r="E2674" s="2" t="s">
        <v>1565</v>
      </c>
      <c r="F2674" s="14" t="s">
        <v>4203</v>
      </c>
      <c r="G2674" s="14" t="s">
        <v>4204</v>
      </c>
      <c r="H2674" s="2" t="s">
        <v>16</v>
      </c>
      <c r="I2674" s="2" t="s">
        <v>3488</v>
      </c>
      <c r="J2674" s="2">
        <v>1.0</v>
      </c>
      <c r="K2674" s="23" t="s">
        <v>5410</v>
      </c>
      <c r="L2674" s="11">
        <v>80000.0</v>
      </c>
    </row>
    <row r="2675" hidden="1">
      <c r="A2675" s="8" t="s">
        <v>2165</v>
      </c>
      <c r="B2675" s="8" t="s">
        <v>2165</v>
      </c>
      <c r="C2675" s="13">
        <v>45995.48299768518</v>
      </c>
      <c r="D2675" s="2" t="s">
        <v>1564</v>
      </c>
      <c r="E2675" s="2" t="s">
        <v>1565</v>
      </c>
      <c r="F2675" s="14" t="s">
        <v>3486</v>
      </c>
      <c r="G2675" s="14" t="s">
        <v>3487</v>
      </c>
      <c r="H2675" s="2" t="s">
        <v>24</v>
      </c>
      <c r="I2675" s="2" t="s">
        <v>3491</v>
      </c>
      <c r="J2675" s="2">
        <v>1.0</v>
      </c>
      <c r="K2675" s="23" t="s">
        <v>5418</v>
      </c>
      <c r="L2675" s="11">
        <v>0.0</v>
      </c>
    </row>
    <row r="2676" hidden="1">
      <c r="A2676" s="8" t="s">
        <v>2166</v>
      </c>
      <c r="B2676" s="8" t="s">
        <v>2166</v>
      </c>
      <c r="C2676" s="13">
        <v>45995.55284722222</v>
      </c>
      <c r="D2676" s="2" t="s">
        <v>786</v>
      </c>
      <c r="E2676" s="2" t="s">
        <v>787</v>
      </c>
      <c r="F2676" s="14" t="s">
        <v>3486</v>
      </c>
      <c r="G2676" s="14" t="s">
        <v>3487</v>
      </c>
      <c r="H2676" s="2" t="s">
        <v>16</v>
      </c>
      <c r="I2676" s="2" t="s">
        <v>3488</v>
      </c>
      <c r="J2676" s="2">
        <v>3.0</v>
      </c>
      <c r="K2676" s="23" t="s">
        <v>5419</v>
      </c>
      <c r="L2676" s="11">
        <v>60000.0</v>
      </c>
    </row>
    <row r="2677" hidden="1">
      <c r="A2677" s="8" t="s">
        <v>2166</v>
      </c>
      <c r="B2677" s="8" t="s">
        <v>2166</v>
      </c>
      <c r="C2677" s="13">
        <v>45995.55284722222</v>
      </c>
      <c r="D2677" s="2" t="s">
        <v>786</v>
      </c>
      <c r="E2677" s="2" t="s">
        <v>787</v>
      </c>
      <c r="F2677" s="14" t="s">
        <v>3516</v>
      </c>
      <c r="G2677" s="14" t="s">
        <v>3517</v>
      </c>
      <c r="H2677" s="2" t="s">
        <v>16</v>
      </c>
      <c r="I2677" s="2" t="s">
        <v>3488</v>
      </c>
      <c r="J2677" s="2">
        <v>2.0</v>
      </c>
      <c r="K2677" s="23" t="s">
        <v>5420</v>
      </c>
      <c r="L2677" s="11">
        <v>170000.0</v>
      </c>
    </row>
    <row r="2678" hidden="1">
      <c r="A2678" s="8" t="s">
        <v>2167</v>
      </c>
      <c r="B2678" s="8" t="s">
        <v>2167</v>
      </c>
      <c r="C2678" s="13">
        <v>45995.64371527778</v>
      </c>
      <c r="D2678" s="2" t="s">
        <v>786</v>
      </c>
      <c r="E2678" s="2" t="s">
        <v>787</v>
      </c>
      <c r="F2678" s="14" t="s">
        <v>3486</v>
      </c>
      <c r="G2678" s="14" t="s">
        <v>3487</v>
      </c>
      <c r="H2678" s="2" t="s">
        <v>24</v>
      </c>
      <c r="I2678" s="2" t="s">
        <v>3491</v>
      </c>
      <c r="J2678" s="2">
        <v>5.0</v>
      </c>
      <c r="K2678" s="23" t="s">
        <v>5421</v>
      </c>
      <c r="L2678" s="11">
        <v>0.0</v>
      </c>
    </row>
    <row r="2679" hidden="1">
      <c r="A2679" s="8" t="s">
        <v>2167</v>
      </c>
      <c r="B2679" s="8" t="s">
        <v>2167</v>
      </c>
      <c r="C2679" s="13">
        <v>45995.64371527778</v>
      </c>
      <c r="D2679" s="2" t="s">
        <v>786</v>
      </c>
      <c r="E2679" s="2" t="s">
        <v>787</v>
      </c>
      <c r="F2679" s="14" t="s">
        <v>3516</v>
      </c>
      <c r="G2679" s="14" t="s">
        <v>3517</v>
      </c>
      <c r="H2679" s="2" t="s">
        <v>24</v>
      </c>
      <c r="I2679" s="2" t="s">
        <v>3491</v>
      </c>
      <c r="J2679" s="2">
        <v>3.0</v>
      </c>
      <c r="K2679" s="23" t="s">
        <v>5422</v>
      </c>
      <c r="L2679" s="11">
        <v>0.0</v>
      </c>
    </row>
    <row r="2680" hidden="1">
      <c r="A2680" s="8" t="s">
        <v>2168</v>
      </c>
      <c r="B2680" s="8" t="s">
        <v>2168</v>
      </c>
      <c r="C2680" s="13">
        <v>45995.64519675926</v>
      </c>
      <c r="D2680" s="2" t="s">
        <v>1618</v>
      </c>
      <c r="E2680" s="2" t="s">
        <v>1619</v>
      </c>
      <c r="F2680" s="14" t="s">
        <v>3516</v>
      </c>
      <c r="G2680" s="14" t="s">
        <v>3517</v>
      </c>
      <c r="H2680" s="2" t="s">
        <v>24</v>
      </c>
      <c r="I2680" s="2" t="s">
        <v>3491</v>
      </c>
      <c r="J2680" s="2">
        <v>3.0</v>
      </c>
      <c r="K2680" s="23" t="s">
        <v>5423</v>
      </c>
      <c r="L2680" s="11">
        <v>0.0</v>
      </c>
    </row>
    <row r="2681" hidden="1">
      <c r="A2681" s="8" t="s">
        <v>2169</v>
      </c>
      <c r="B2681" s="8" t="s">
        <v>2169</v>
      </c>
      <c r="C2681" s="13">
        <v>45995.64611111111</v>
      </c>
      <c r="D2681" s="2" t="s">
        <v>786</v>
      </c>
      <c r="E2681" s="2" t="s">
        <v>787</v>
      </c>
      <c r="F2681" s="14" t="s">
        <v>3486</v>
      </c>
      <c r="G2681" s="14" t="s">
        <v>3487</v>
      </c>
      <c r="H2681" s="2" t="s">
        <v>24</v>
      </c>
      <c r="I2681" s="2" t="s">
        <v>3491</v>
      </c>
      <c r="J2681" s="2">
        <v>3.0</v>
      </c>
      <c r="K2681" s="23" t="s">
        <v>5424</v>
      </c>
      <c r="L2681" s="11">
        <v>0.0</v>
      </c>
    </row>
    <row r="2682" hidden="1">
      <c r="A2682" s="8" t="s">
        <v>2169</v>
      </c>
      <c r="B2682" s="8" t="s">
        <v>2169</v>
      </c>
      <c r="C2682" s="13">
        <v>45995.64611111111</v>
      </c>
      <c r="D2682" s="2" t="s">
        <v>786</v>
      </c>
      <c r="E2682" s="2" t="s">
        <v>787</v>
      </c>
      <c r="F2682" s="14" t="s">
        <v>3516</v>
      </c>
      <c r="G2682" s="14" t="s">
        <v>3517</v>
      </c>
      <c r="H2682" s="2" t="s">
        <v>24</v>
      </c>
      <c r="I2682" s="2" t="s">
        <v>3491</v>
      </c>
      <c r="J2682" s="2">
        <v>1.0</v>
      </c>
      <c r="K2682" s="23" t="s">
        <v>5344</v>
      </c>
      <c r="L2682" s="11">
        <v>0.0</v>
      </c>
    </row>
    <row r="2683" hidden="1">
      <c r="A2683" s="8" t="s">
        <v>2170</v>
      </c>
      <c r="B2683" s="8" t="s">
        <v>2170</v>
      </c>
      <c r="C2683" s="13">
        <v>45996.359502314815</v>
      </c>
      <c r="D2683" s="2" t="s">
        <v>2131</v>
      </c>
      <c r="E2683" s="2" t="s">
        <v>2171</v>
      </c>
      <c r="F2683" s="14" t="s">
        <v>4203</v>
      </c>
      <c r="G2683" s="14" t="s">
        <v>4204</v>
      </c>
      <c r="H2683" s="2" t="s">
        <v>16</v>
      </c>
      <c r="I2683" s="2" t="s">
        <v>3488</v>
      </c>
      <c r="J2683" s="2">
        <v>3.0</v>
      </c>
      <c r="K2683" s="23" t="s">
        <v>5425</v>
      </c>
      <c r="L2683" s="11">
        <v>60000.0</v>
      </c>
    </row>
    <row r="2684" hidden="1">
      <c r="A2684" s="8" t="s">
        <v>2170</v>
      </c>
      <c r="B2684" s="8" t="s">
        <v>2170</v>
      </c>
      <c r="C2684" s="13">
        <v>45996.359502314815</v>
      </c>
      <c r="D2684" s="2" t="s">
        <v>2131</v>
      </c>
      <c r="E2684" s="2" t="s">
        <v>2171</v>
      </c>
      <c r="F2684" s="14" t="s">
        <v>3486</v>
      </c>
      <c r="G2684" s="14" t="s">
        <v>3487</v>
      </c>
      <c r="H2684" s="2" t="s">
        <v>16</v>
      </c>
      <c r="I2684" s="2" t="s">
        <v>3488</v>
      </c>
      <c r="J2684" s="2">
        <v>17.0</v>
      </c>
      <c r="K2684" s="23" t="s">
        <v>5426</v>
      </c>
      <c r="L2684" s="11">
        <v>60000.0</v>
      </c>
    </row>
    <row r="2685" hidden="1">
      <c r="A2685" s="8" t="s">
        <v>2173</v>
      </c>
      <c r="B2685" s="8" t="s">
        <v>2173</v>
      </c>
      <c r="C2685" s="13">
        <v>45996.401238425926</v>
      </c>
      <c r="D2685" s="2" t="s">
        <v>1756</v>
      </c>
      <c r="E2685" s="2" t="s">
        <v>1757</v>
      </c>
      <c r="F2685" s="14" t="s">
        <v>4203</v>
      </c>
      <c r="G2685" s="14" t="s">
        <v>4204</v>
      </c>
      <c r="H2685" s="2" t="s">
        <v>16</v>
      </c>
      <c r="I2685" s="2" t="s">
        <v>3488</v>
      </c>
      <c r="J2685" s="2">
        <v>4.0</v>
      </c>
      <c r="K2685" s="23" t="s">
        <v>5427</v>
      </c>
      <c r="L2685" s="11">
        <v>65000.0</v>
      </c>
    </row>
    <row r="2686" hidden="1">
      <c r="A2686" s="8" t="s">
        <v>2174</v>
      </c>
      <c r="B2686" s="8" t="s">
        <v>2174</v>
      </c>
      <c r="C2686" s="13">
        <v>45996.44328703704</v>
      </c>
      <c r="D2686" s="2" t="s">
        <v>786</v>
      </c>
      <c r="E2686" s="2" t="s">
        <v>787</v>
      </c>
      <c r="F2686" s="14" t="s">
        <v>3516</v>
      </c>
      <c r="G2686" s="14" t="s">
        <v>3517</v>
      </c>
      <c r="H2686" s="2" t="s">
        <v>16</v>
      </c>
      <c r="I2686" s="2" t="s">
        <v>3488</v>
      </c>
      <c r="J2686" s="2">
        <v>2.0</v>
      </c>
      <c r="K2686" s="23" t="s">
        <v>5428</v>
      </c>
      <c r="L2686" s="11">
        <v>170000.0</v>
      </c>
    </row>
    <row r="2687" hidden="1">
      <c r="A2687" s="8" t="s">
        <v>2174</v>
      </c>
      <c r="B2687" s="8" t="s">
        <v>2174</v>
      </c>
      <c r="C2687" s="13">
        <v>45996.44328703704</v>
      </c>
      <c r="D2687" s="2" t="s">
        <v>786</v>
      </c>
      <c r="E2687" s="2" t="s">
        <v>787</v>
      </c>
      <c r="F2687" s="14" t="s">
        <v>3486</v>
      </c>
      <c r="G2687" s="14" t="s">
        <v>3487</v>
      </c>
      <c r="H2687" s="2" t="s">
        <v>16</v>
      </c>
      <c r="I2687" s="2" t="s">
        <v>3488</v>
      </c>
      <c r="J2687" s="2">
        <v>6.0</v>
      </c>
      <c r="K2687" s="23" t="s">
        <v>5429</v>
      </c>
      <c r="L2687" s="11">
        <v>60000.0</v>
      </c>
    </row>
    <row r="2688" hidden="1">
      <c r="A2688" s="8" t="s">
        <v>2175</v>
      </c>
      <c r="B2688" s="8" t="s">
        <v>2175</v>
      </c>
      <c r="C2688" s="13">
        <v>45996.612129629626</v>
      </c>
      <c r="D2688" s="2" t="s">
        <v>786</v>
      </c>
      <c r="E2688" s="2" t="s">
        <v>787</v>
      </c>
      <c r="F2688" s="14" t="s">
        <v>3486</v>
      </c>
      <c r="G2688" s="14" t="s">
        <v>3487</v>
      </c>
      <c r="H2688" s="2" t="s">
        <v>24</v>
      </c>
      <c r="I2688" s="2" t="s">
        <v>3491</v>
      </c>
      <c r="J2688" s="2">
        <v>4.0</v>
      </c>
      <c r="K2688" s="23" t="s">
        <v>5430</v>
      </c>
      <c r="L2688" s="11">
        <v>0.0</v>
      </c>
    </row>
    <row r="2689" hidden="1">
      <c r="A2689" s="8" t="s">
        <v>2175</v>
      </c>
      <c r="B2689" s="8" t="s">
        <v>2175</v>
      </c>
      <c r="C2689" s="13">
        <v>45996.612129629626</v>
      </c>
      <c r="D2689" s="2" t="s">
        <v>786</v>
      </c>
      <c r="E2689" s="2" t="s">
        <v>787</v>
      </c>
      <c r="F2689" s="14" t="s">
        <v>3516</v>
      </c>
      <c r="G2689" s="14" t="s">
        <v>3517</v>
      </c>
      <c r="H2689" s="2" t="s">
        <v>24</v>
      </c>
      <c r="I2689" s="2" t="s">
        <v>3491</v>
      </c>
      <c r="J2689" s="2">
        <v>1.0</v>
      </c>
      <c r="K2689" s="23" t="s">
        <v>5383</v>
      </c>
      <c r="L2689" s="11">
        <v>0.0</v>
      </c>
    </row>
    <row r="2690" hidden="1">
      <c r="A2690" s="8" t="s">
        <v>2176</v>
      </c>
      <c r="B2690" s="8" t="s">
        <v>2176</v>
      </c>
      <c r="C2690" s="13">
        <v>45996.614756944444</v>
      </c>
      <c r="D2690" s="2" t="s">
        <v>326</v>
      </c>
      <c r="E2690" s="2" t="s">
        <v>327</v>
      </c>
      <c r="F2690" s="14" t="s">
        <v>3486</v>
      </c>
      <c r="G2690" s="14" t="s">
        <v>3487</v>
      </c>
      <c r="H2690" s="2" t="s">
        <v>16</v>
      </c>
      <c r="I2690" s="2" t="s">
        <v>3488</v>
      </c>
      <c r="J2690" s="2">
        <v>10.0</v>
      </c>
      <c r="K2690" s="23" t="s">
        <v>5431</v>
      </c>
      <c r="L2690" s="11">
        <v>45000.0</v>
      </c>
    </row>
    <row r="2691" hidden="1">
      <c r="A2691" s="8" t="s">
        <v>2177</v>
      </c>
      <c r="B2691" s="8" t="s">
        <v>2177</v>
      </c>
      <c r="C2691" s="13">
        <v>45996.619525462964</v>
      </c>
      <c r="D2691" s="2" t="s">
        <v>1756</v>
      </c>
      <c r="E2691" s="2" t="s">
        <v>1757</v>
      </c>
      <c r="F2691" s="14" t="s">
        <v>4203</v>
      </c>
      <c r="G2691" s="14" t="s">
        <v>4204</v>
      </c>
      <c r="H2691" s="2" t="s">
        <v>24</v>
      </c>
      <c r="I2691" s="2" t="s">
        <v>3491</v>
      </c>
      <c r="J2691" s="2">
        <v>4.0</v>
      </c>
      <c r="K2691" s="23" t="s">
        <v>5432</v>
      </c>
      <c r="L2691" s="11">
        <v>0.0</v>
      </c>
    </row>
    <row r="2692" hidden="1">
      <c r="A2692" s="8" t="s">
        <v>2178</v>
      </c>
      <c r="B2692" s="8" t="s">
        <v>2178</v>
      </c>
      <c r="C2692" s="13">
        <v>45996.69857638889</v>
      </c>
      <c r="D2692" s="2" t="s">
        <v>326</v>
      </c>
      <c r="E2692" s="2" t="s">
        <v>327</v>
      </c>
      <c r="F2692" s="14" t="s">
        <v>3486</v>
      </c>
      <c r="G2692" s="14" t="s">
        <v>3487</v>
      </c>
      <c r="H2692" s="2" t="s">
        <v>24</v>
      </c>
      <c r="I2692" s="2" t="s">
        <v>3491</v>
      </c>
      <c r="J2692" s="2">
        <v>7.0</v>
      </c>
      <c r="K2692" s="23" t="s">
        <v>5433</v>
      </c>
      <c r="L2692" s="11">
        <v>0.0</v>
      </c>
    </row>
    <row r="2693" hidden="1">
      <c r="A2693" s="8" t="s">
        <v>2179</v>
      </c>
      <c r="B2693" s="8" t="s">
        <v>2179</v>
      </c>
      <c r="C2693" s="13">
        <v>45997.371724537035</v>
      </c>
      <c r="D2693" s="2" t="s">
        <v>1476</v>
      </c>
      <c r="E2693" s="2" t="s">
        <v>1477</v>
      </c>
      <c r="F2693" s="14" t="s">
        <v>3493</v>
      </c>
      <c r="G2693" s="14" t="s">
        <v>3494</v>
      </c>
      <c r="H2693" s="2" t="s">
        <v>16</v>
      </c>
      <c r="I2693" s="2" t="s">
        <v>3488</v>
      </c>
      <c r="J2693" s="2">
        <v>2.0</v>
      </c>
      <c r="K2693" s="23" t="s">
        <v>4670</v>
      </c>
      <c r="L2693" s="11">
        <v>215000.0</v>
      </c>
    </row>
    <row r="2694" hidden="1">
      <c r="A2694" s="8" t="s">
        <v>2180</v>
      </c>
      <c r="B2694" s="8" t="s">
        <v>2180</v>
      </c>
      <c r="C2694" s="13">
        <v>45997.51346064815</v>
      </c>
      <c r="D2694" s="2" t="s">
        <v>2131</v>
      </c>
      <c r="E2694" s="2" t="s">
        <v>2132</v>
      </c>
      <c r="F2694" s="14" t="s">
        <v>3486</v>
      </c>
      <c r="G2694" s="14" t="s">
        <v>3487</v>
      </c>
      <c r="H2694" s="2" t="s">
        <v>24</v>
      </c>
      <c r="I2694" s="2" t="s">
        <v>3491</v>
      </c>
      <c r="J2694" s="2">
        <v>10.0</v>
      </c>
      <c r="K2694" s="23" t="s">
        <v>5434</v>
      </c>
      <c r="L2694" s="11">
        <v>0.0</v>
      </c>
    </row>
    <row r="2695" hidden="1">
      <c r="A2695" s="8" t="s">
        <v>2180</v>
      </c>
      <c r="B2695" s="8" t="s">
        <v>2180</v>
      </c>
      <c r="C2695" s="13">
        <v>45997.51346064815</v>
      </c>
      <c r="D2695" s="2" t="s">
        <v>2131</v>
      </c>
      <c r="E2695" s="2" t="s">
        <v>2132</v>
      </c>
      <c r="F2695" s="14" t="s">
        <v>4203</v>
      </c>
      <c r="G2695" s="14" t="s">
        <v>4204</v>
      </c>
      <c r="H2695" s="2" t="s">
        <v>24</v>
      </c>
      <c r="I2695" s="2" t="s">
        <v>3491</v>
      </c>
      <c r="J2695" s="2">
        <v>3.0</v>
      </c>
      <c r="K2695" s="23" t="s">
        <v>5435</v>
      </c>
      <c r="L2695" s="11">
        <v>0.0</v>
      </c>
    </row>
    <row r="2696" hidden="1">
      <c r="A2696" s="8" t="s">
        <v>2181</v>
      </c>
      <c r="B2696" s="8" t="s">
        <v>2181</v>
      </c>
      <c r="C2696" s="13">
        <v>45997.51527777778</v>
      </c>
      <c r="D2696" s="2" t="s">
        <v>109</v>
      </c>
      <c r="E2696" s="2" t="s">
        <v>110</v>
      </c>
      <c r="F2696" s="14" t="s">
        <v>3522</v>
      </c>
      <c r="G2696" s="14" t="s">
        <v>3523</v>
      </c>
      <c r="H2696" s="2" t="s">
        <v>24</v>
      </c>
      <c r="I2696" s="2" t="s">
        <v>3491</v>
      </c>
      <c r="J2696" s="2">
        <v>2.0</v>
      </c>
      <c r="K2696" s="23" t="s">
        <v>5436</v>
      </c>
      <c r="L2696" s="11">
        <v>0.0</v>
      </c>
    </row>
    <row r="2697" hidden="1">
      <c r="A2697" s="8" t="s">
        <v>2181</v>
      </c>
      <c r="B2697" s="8" t="s">
        <v>2181</v>
      </c>
      <c r="C2697" s="13">
        <v>45997.51527777778</v>
      </c>
      <c r="D2697" s="2" t="s">
        <v>109</v>
      </c>
      <c r="E2697" s="2" t="s">
        <v>110</v>
      </c>
      <c r="F2697" s="14" t="s">
        <v>3486</v>
      </c>
      <c r="G2697" s="14" t="s">
        <v>3487</v>
      </c>
      <c r="H2697" s="2" t="s">
        <v>24</v>
      </c>
      <c r="I2697" s="2" t="s">
        <v>3491</v>
      </c>
      <c r="J2697" s="2">
        <v>2.0</v>
      </c>
      <c r="K2697" s="23" t="s">
        <v>5437</v>
      </c>
      <c r="L2697" s="11">
        <v>0.0</v>
      </c>
    </row>
    <row r="2698" hidden="1">
      <c r="A2698" s="8" t="s">
        <v>2182</v>
      </c>
      <c r="B2698" s="8" t="s">
        <v>2182</v>
      </c>
      <c r="C2698" s="13">
        <v>45997.515914351854</v>
      </c>
      <c r="D2698" s="2" t="s">
        <v>320</v>
      </c>
      <c r="E2698" s="2" t="s">
        <v>321</v>
      </c>
      <c r="F2698" s="14" t="s">
        <v>3486</v>
      </c>
      <c r="G2698" s="14" t="s">
        <v>3487</v>
      </c>
      <c r="H2698" s="2" t="s">
        <v>24</v>
      </c>
      <c r="I2698" s="2" t="s">
        <v>3491</v>
      </c>
      <c r="J2698" s="2">
        <v>1.0</v>
      </c>
      <c r="K2698" s="23" t="s">
        <v>5438</v>
      </c>
      <c r="L2698" s="11">
        <v>0.0</v>
      </c>
    </row>
    <row r="2699" hidden="1">
      <c r="A2699" s="8" t="s">
        <v>2182</v>
      </c>
      <c r="B2699" s="8" t="s">
        <v>2182</v>
      </c>
      <c r="C2699" s="13">
        <v>45997.515914351854</v>
      </c>
      <c r="D2699" s="2" t="s">
        <v>320</v>
      </c>
      <c r="E2699" s="2" t="s">
        <v>321</v>
      </c>
      <c r="F2699" s="14" t="s">
        <v>3516</v>
      </c>
      <c r="G2699" s="14" t="s">
        <v>3517</v>
      </c>
      <c r="H2699" s="2" t="s">
        <v>24</v>
      </c>
      <c r="I2699" s="2" t="s">
        <v>3491</v>
      </c>
      <c r="J2699" s="2">
        <v>2.0</v>
      </c>
      <c r="K2699" s="23" t="s">
        <v>5439</v>
      </c>
      <c r="L2699" s="11">
        <v>0.0</v>
      </c>
    </row>
    <row r="2700" hidden="1">
      <c r="A2700" s="8" t="s">
        <v>2183</v>
      </c>
      <c r="B2700" s="8" t="s">
        <v>2183</v>
      </c>
      <c r="C2700" s="13">
        <v>45997.611342592594</v>
      </c>
      <c r="D2700" s="2" t="s">
        <v>2081</v>
      </c>
      <c r="E2700" s="2" t="s">
        <v>2082</v>
      </c>
      <c r="F2700" s="14" t="s">
        <v>3493</v>
      </c>
      <c r="G2700" s="14" t="s">
        <v>3494</v>
      </c>
      <c r="H2700" s="2" t="s">
        <v>24</v>
      </c>
      <c r="I2700" s="2" t="s">
        <v>3491</v>
      </c>
      <c r="J2700" s="2">
        <v>1.0</v>
      </c>
      <c r="K2700" s="23" t="s">
        <v>4688</v>
      </c>
      <c r="L2700" s="11">
        <v>0.0</v>
      </c>
    </row>
    <row r="2701" hidden="1">
      <c r="A2701" s="8" t="s">
        <v>2184</v>
      </c>
      <c r="B2701" s="8" t="s">
        <v>2184</v>
      </c>
      <c r="C2701" s="13">
        <v>45997.61230324074</v>
      </c>
      <c r="D2701" s="2" t="s">
        <v>1975</v>
      </c>
      <c r="E2701" s="2" t="s">
        <v>1976</v>
      </c>
      <c r="F2701" s="14" t="s">
        <v>3486</v>
      </c>
      <c r="G2701" s="14" t="s">
        <v>3487</v>
      </c>
      <c r="H2701" s="2" t="s">
        <v>24</v>
      </c>
      <c r="I2701" s="2" t="s">
        <v>3491</v>
      </c>
      <c r="J2701" s="2">
        <v>1.0</v>
      </c>
      <c r="K2701" s="23" t="s">
        <v>5440</v>
      </c>
      <c r="L2701" s="11">
        <v>0.0</v>
      </c>
    </row>
    <row r="2702" hidden="1">
      <c r="A2702" s="8" t="s">
        <v>2185</v>
      </c>
      <c r="B2702" s="8" t="s">
        <v>2185</v>
      </c>
      <c r="C2702" s="13">
        <v>45997.613078703704</v>
      </c>
      <c r="D2702" s="2" t="s">
        <v>1203</v>
      </c>
      <c r="E2702" s="2" t="s">
        <v>1204</v>
      </c>
      <c r="F2702" s="14" t="s">
        <v>3516</v>
      </c>
      <c r="G2702" s="14" t="s">
        <v>3517</v>
      </c>
      <c r="H2702" s="2" t="s">
        <v>24</v>
      </c>
      <c r="I2702" s="2" t="s">
        <v>3491</v>
      </c>
      <c r="J2702" s="2">
        <v>1.0</v>
      </c>
      <c r="K2702" s="23" t="s">
        <v>5441</v>
      </c>
      <c r="L2702" s="11">
        <v>0.0</v>
      </c>
    </row>
    <row r="2703" hidden="1">
      <c r="A2703" s="8" t="s">
        <v>2186</v>
      </c>
      <c r="B2703" s="8" t="s">
        <v>2186</v>
      </c>
      <c r="C2703" s="13">
        <v>45997.61377314815</v>
      </c>
      <c r="D2703" s="2" t="s">
        <v>786</v>
      </c>
      <c r="E2703" s="2" t="s">
        <v>787</v>
      </c>
      <c r="F2703" s="14" t="s">
        <v>3516</v>
      </c>
      <c r="G2703" s="14" t="s">
        <v>3517</v>
      </c>
      <c r="H2703" s="2" t="s">
        <v>24</v>
      </c>
      <c r="I2703" s="2" t="s">
        <v>3491</v>
      </c>
      <c r="J2703" s="2">
        <v>1.0</v>
      </c>
      <c r="K2703" s="23" t="s">
        <v>4700</v>
      </c>
      <c r="L2703" s="11">
        <v>0.0</v>
      </c>
    </row>
    <row r="2704" hidden="1">
      <c r="A2704" s="8" t="s">
        <v>2186</v>
      </c>
      <c r="B2704" s="8" t="s">
        <v>2186</v>
      </c>
      <c r="C2704" s="13">
        <v>45997.61377314815</v>
      </c>
      <c r="D2704" s="2" t="s">
        <v>786</v>
      </c>
      <c r="E2704" s="2" t="s">
        <v>787</v>
      </c>
      <c r="F2704" s="14" t="s">
        <v>3486</v>
      </c>
      <c r="G2704" s="14" t="s">
        <v>3487</v>
      </c>
      <c r="H2704" s="2" t="s">
        <v>24</v>
      </c>
      <c r="I2704" s="2" t="s">
        <v>3491</v>
      </c>
      <c r="J2704" s="2">
        <v>3.0</v>
      </c>
      <c r="K2704" s="23" t="s">
        <v>5442</v>
      </c>
      <c r="L2704" s="11">
        <v>0.0</v>
      </c>
    </row>
    <row r="2705" hidden="1">
      <c r="A2705" s="8" t="s">
        <v>2186</v>
      </c>
      <c r="B2705" s="8" t="s">
        <v>2186</v>
      </c>
      <c r="C2705" s="13">
        <v>45997.61377314815</v>
      </c>
      <c r="D2705" s="2" t="s">
        <v>786</v>
      </c>
      <c r="E2705" s="2" t="s">
        <v>787</v>
      </c>
      <c r="F2705" s="14" t="s">
        <v>3506</v>
      </c>
      <c r="G2705" s="14" t="s">
        <v>3507</v>
      </c>
      <c r="H2705" s="2" t="s">
        <v>24</v>
      </c>
      <c r="I2705" s="2" t="s">
        <v>3491</v>
      </c>
      <c r="J2705" s="2">
        <v>4.0</v>
      </c>
      <c r="K2705" s="23" t="s">
        <v>5443</v>
      </c>
      <c r="L2705" s="11">
        <v>0.0</v>
      </c>
    </row>
    <row r="2706" hidden="1">
      <c r="A2706" s="8" t="s">
        <v>2187</v>
      </c>
      <c r="B2706" s="8" t="s">
        <v>2187</v>
      </c>
      <c r="C2706" s="13">
        <v>45999.35574074074</v>
      </c>
      <c r="D2706" s="2" t="s">
        <v>2005</v>
      </c>
      <c r="E2706" s="2" t="s">
        <v>2006</v>
      </c>
      <c r="F2706" s="14" t="s">
        <v>3486</v>
      </c>
      <c r="G2706" s="14" t="s">
        <v>3487</v>
      </c>
      <c r="H2706" s="2" t="s">
        <v>16</v>
      </c>
      <c r="I2706" s="2" t="s">
        <v>3488</v>
      </c>
      <c r="J2706" s="2">
        <v>2.0</v>
      </c>
      <c r="K2706" s="23" t="s">
        <v>5444</v>
      </c>
      <c r="L2706" s="11">
        <v>65000.0</v>
      </c>
    </row>
    <row r="2707" hidden="1">
      <c r="A2707" s="8" t="s">
        <v>2187</v>
      </c>
      <c r="B2707" s="8" t="s">
        <v>2187</v>
      </c>
      <c r="C2707" s="13">
        <v>45999.35574074074</v>
      </c>
      <c r="D2707" s="2" t="s">
        <v>2005</v>
      </c>
      <c r="E2707" s="2" t="s">
        <v>2006</v>
      </c>
      <c r="F2707" s="14" t="s">
        <v>4203</v>
      </c>
      <c r="G2707" s="14" t="s">
        <v>4204</v>
      </c>
      <c r="H2707" s="2" t="s">
        <v>16</v>
      </c>
      <c r="I2707" s="2" t="s">
        <v>3488</v>
      </c>
      <c r="J2707" s="2">
        <v>8.0</v>
      </c>
      <c r="K2707" s="23" t="s">
        <v>5445</v>
      </c>
      <c r="L2707" s="11">
        <v>60000.0</v>
      </c>
    </row>
    <row r="2708" hidden="1">
      <c r="A2708" s="8" t="s">
        <v>2187</v>
      </c>
      <c r="B2708" s="8" t="s">
        <v>2187</v>
      </c>
      <c r="C2708" s="13">
        <v>45999.35574074074</v>
      </c>
      <c r="D2708" s="2" t="s">
        <v>2005</v>
      </c>
      <c r="E2708" s="2" t="s">
        <v>2006</v>
      </c>
      <c r="F2708" s="14" t="s">
        <v>3493</v>
      </c>
      <c r="G2708" s="14" t="s">
        <v>3494</v>
      </c>
      <c r="H2708" s="2" t="s">
        <v>16</v>
      </c>
      <c r="I2708" s="2" t="s">
        <v>3488</v>
      </c>
      <c r="J2708" s="2">
        <v>1.0</v>
      </c>
      <c r="K2708" s="23" t="s">
        <v>4688</v>
      </c>
      <c r="L2708" s="11">
        <v>215000.0</v>
      </c>
    </row>
    <row r="2709" hidden="1">
      <c r="A2709" s="8" t="s">
        <v>2188</v>
      </c>
      <c r="B2709" s="8" t="s">
        <v>2188</v>
      </c>
      <c r="C2709" s="13">
        <v>45999.435069444444</v>
      </c>
      <c r="D2709" s="2" t="s">
        <v>2005</v>
      </c>
      <c r="E2709" s="2" t="s">
        <v>2006</v>
      </c>
      <c r="F2709" s="14" t="s">
        <v>4203</v>
      </c>
      <c r="G2709" s="14" t="s">
        <v>4204</v>
      </c>
      <c r="H2709" s="2" t="s">
        <v>24</v>
      </c>
      <c r="I2709" s="2" t="s">
        <v>3491</v>
      </c>
      <c r="J2709" s="2">
        <v>5.0</v>
      </c>
      <c r="K2709" s="23" t="s">
        <v>5446</v>
      </c>
      <c r="L2709" s="11">
        <v>0.0</v>
      </c>
    </row>
    <row r="2710" hidden="1">
      <c r="A2710" s="8" t="s">
        <v>2189</v>
      </c>
      <c r="B2710" s="8" t="s">
        <v>2189</v>
      </c>
      <c r="C2710" s="13">
        <v>45999.465729166666</v>
      </c>
      <c r="D2710" s="2" t="s">
        <v>786</v>
      </c>
      <c r="E2710" s="2" t="s">
        <v>787</v>
      </c>
      <c r="F2710" s="14" t="s">
        <v>3486</v>
      </c>
      <c r="G2710" s="14" t="s">
        <v>3487</v>
      </c>
      <c r="H2710" s="2" t="s">
        <v>16</v>
      </c>
      <c r="I2710" s="2" t="s">
        <v>3488</v>
      </c>
      <c r="J2710" s="2">
        <v>6.0</v>
      </c>
      <c r="K2710" s="23" t="s">
        <v>5447</v>
      </c>
      <c r="L2710" s="11">
        <v>60000.0</v>
      </c>
    </row>
    <row r="2711" hidden="1">
      <c r="A2711" s="8" t="s">
        <v>2189</v>
      </c>
      <c r="B2711" s="8" t="s">
        <v>2189</v>
      </c>
      <c r="C2711" s="13">
        <v>45999.465729166666</v>
      </c>
      <c r="D2711" s="2" t="s">
        <v>786</v>
      </c>
      <c r="E2711" s="2" t="s">
        <v>787</v>
      </c>
      <c r="F2711" s="14" t="s">
        <v>3516</v>
      </c>
      <c r="G2711" s="14" t="s">
        <v>3517</v>
      </c>
      <c r="H2711" s="2" t="s">
        <v>16</v>
      </c>
      <c r="I2711" s="2" t="s">
        <v>3488</v>
      </c>
      <c r="J2711" s="2">
        <v>2.0</v>
      </c>
      <c r="K2711" s="23" t="s">
        <v>5448</v>
      </c>
      <c r="L2711" s="11">
        <v>180000.0</v>
      </c>
    </row>
    <row r="2712" hidden="1">
      <c r="A2712" s="8" t="s">
        <v>2189</v>
      </c>
      <c r="B2712" s="8" t="s">
        <v>2189</v>
      </c>
      <c r="C2712" s="13">
        <v>45999.465729166666</v>
      </c>
      <c r="D2712" s="2" t="s">
        <v>786</v>
      </c>
      <c r="E2712" s="2" t="s">
        <v>787</v>
      </c>
      <c r="F2712" s="14" t="s">
        <v>3506</v>
      </c>
      <c r="G2712" s="14" t="s">
        <v>3507</v>
      </c>
      <c r="H2712" s="2" t="s">
        <v>16</v>
      </c>
      <c r="I2712" s="2" t="s">
        <v>3488</v>
      </c>
      <c r="J2712" s="2">
        <v>4.0</v>
      </c>
      <c r="K2712" s="23" t="s">
        <v>5443</v>
      </c>
      <c r="L2712" s="11">
        <v>55000.0</v>
      </c>
    </row>
    <row r="2713" hidden="1">
      <c r="A2713" s="8" t="s">
        <v>2190</v>
      </c>
      <c r="B2713" s="8" t="s">
        <v>2190</v>
      </c>
      <c r="C2713" s="13">
        <v>45999.46729166667</v>
      </c>
      <c r="D2713" s="2" t="s">
        <v>1873</v>
      </c>
      <c r="E2713" s="2" t="s">
        <v>1874</v>
      </c>
      <c r="F2713" s="14" t="s">
        <v>3486</v>
      </c>
      <c r="G2713" s="14" t="s">
        <v>3487</v>
      </c>
      <c r="H2713" s="2" t="s">
        <v>16</v>
      </c>
      <c r="I2713" s="2" t="s">
        <v>3488</v>
      </c>
      <c r="J2713" s="2">
        <v>2.0</v>
      </c>
      <c r="K2713" s="23" t="s">
        <v>5449</v>
      </c>
      <c r="L2713" s="11">
        <v>70000.0</v>
      </c>
    </row>
    <row r="2714" hidden="1">
      <c r="A2714" s="8" t="s">
        <v>2191</v>
      </c>
      <c r="B2714" s="8" t="s">
        <v>2191</v>
      </c>
      <c r="C2714" s="13">
        <v>45999.46765046296</v>
      </c>
      <c r="D2714" s="2" t="s">
        <v>1705</v>
      </c>
      <c r="E2714" s="2" t="s">
        <v>1706</v>
      </c>
      <c r="F2714" s="14" t="s">
        <v>3486</v>
      </c>
      <c r="G2714" s="14" t="s">
        <v>3487</v>
      </c>
      <c r="H2714" s="2" t="s">
        <v>16</v>
      </c>
      <c r="I2714" s="2" t="s">
        <v>3488</v>
      </c>
      <c r="J2714" s="2">
        <v>2.0</v>
      </c>
      <c r="K2714" s="23" t="s">
        <v>5450</v>
      </c>
      <c r="L2714" s="11">
        <v>65000.0</v>
      </c>
    </row>
    <row r="2715" hidden="1">
      <c r="A2715" s="8" t="s">
        <v>2192</v>
      </c>
      <c r="B2715" s="8" t="s">
        <v>2192</v>
      </c>
      <c r="C2715" s="13">
        <v>45999.46821759259</v>
      </c>
      <c r="D2715" s="2" t="s">
        <v>943</v>
      </c>
      <c r="E2715" s="2" t="s">
        <v>944</v>
      </c>
      <c r="F2715" s="14" t="s">
        <v>4203</v>
      </c>
      <c r="G2715" s="14" t="s">
        <v>4204</v>
      </c>
      <c r="H2715" s="2" t="s">
        <v>16</v>
      </c>
      <c r="I2715" s="2" t="s">
        <v>3488</v>
      </c>
      <c r="J2715" s="2">
        <v>4.0</v>
      </c>
      <c r="K2715" s="23" t="s">
        <v>5451</v>
      </c>
      <c r="L2715" s="11">
        <v>55000.0</v>
      </c>
    </row>
    <row r="2716" hidden="1">
      <c r="A2716" s="8" t="s">
        <v>2193</v>
      </c>
      <c r="B2716" s="8" t="s">
        <v>2193</v>
      </c>
      <c r="C2716" s="13">
        <v>45999.46865740741</v>
      </c>
      <c r="D2716" s="2" t="s">
        <v>1993</v>
      </c>
      <c r="E2716" s="2" t="s">
        <v>1994</v>
      </c>
      <c r="F2716" s="14" t="s">
        <v>3486</v>
      </c>
      <c r="G2716" s="14" t="s">
        <v>3487</v>
      </c>
      <c r="H2716" s="2" t="s">
        <v>16</v>
      </c>
      <c r="I2716" s="2" t="s">
        <v>3488</v>
      </c>
      <c r="J2716" s="2">
        <v>5.0</v>
      </c>
      <c r="K2716" s="23" t="s">
        <v>5452</v>
      </c>
      <c r="L2716" s="11">
        <v>65000.0</v>
      </c>
    </row>
    <row r="2717" hidden="1">
      <c r="A2717" s="8" t="s">
        <v>2193</v>
      </c>
      <c r="B2717" s="8" t="s">
        <v>2193</v>
      </c>
      <c r="C2717" s="13">
        <v>45999.46865740741</v>
      </c>
      <c r="D2717" s="2" t="s">
        <v>1993</v>
      </c>
      <c r="E2717" s="2" t="s">
        <v>1994</v>
      </c>
      <c r="F2717" s="14" t="s">
        <v>3493</v>
      </c>
      <c r="G2717" s="14" t="s">
        <v>3494</v>
      </c>
      <c r="H2717" s="2" t="s">
        <v>16</v>
      </c>
      <c r="I2717" s="2" t="s">
        <v>3488</v>
      </c>
      <c r="J2717" s="2">
        <v>1.0</v>
      </c>
      <c r="K2717" s="23" t="s">
        <v>4688</v>
      </c>
      <c r="L2717" s="11">
        <v>200000.0</v>
      </c>
    </row>
    <row r="2718" hidden="1">
      <c r="A2718" s="8" t="s">
        <v>2194</v>
      </c>
      <c r="B2718" s="8" t="s">
        <v>2194</v>
      </c>
      <c r="C2718" s="13">
        <v>45999.469618055555</v>
      </c>
      <c r="D2718" s="2" t="s">
        <v>1228</v>
      </c>
      <c r="E2718" s="2" t="s">
        <v>1229</v>
      </c>
      <c r="F2718" s="14" t="s">
        <v>3486</v>
      </c>
      <c r="G2718" s="14" t="s">
        <v>3487</v>
      </c>
      <c r="H2718" s="2" t="s">
        <v>16</v>
      </c>
      <c r="I2718" s="2" t="s">
        <v>3488</v>
      </c>
      <c r="J2718" s="2">
        <v>9.0</v>
      </c>
      <c r="K2718" s="23" t="s">
        <v>5453</v>
      </c>
      <c r="L2718" s="11">
        <v>55000.0</v>
      </c>
    </row>
    <row r="2719" hidden="1">
      <c r="A2719" s="8" t="s">
        <v>2195</v>
      </c>
      <c r="B2719" s="8" t="s">
        <v>2195</v>
      </c>
      <c r="C2719" s="13">
        <v>45999.615902777776</v>
      </c>
      <c r="D2719" s="2" t="s">
        <v>2196</v>
      </c>
      <c r="E2719" s="2" t="s">
        <v>2197</v>
      </c>
      <c r="F2719" s="14" t="s">
        <v>3506</v>
      </c>
      <c r="G2719" s="14" t="s">
        <v>3507</v>
      </c>
      <c r="H2719" s="2" t="s">
        <v>16</v>
      </c>
      <c r="I2719" s="2" t="s">
        <v>3488</v>
      </c>
      <c r="J2719" s="2">
        <v>3.0</v>
      </c>
      <c r="K2719" s="12"/>
      <c r="L2719" s="11">
        <v>60000.0</v>
      </c>
    </row>
    <row r="2720" hidden="1">
      <c r="A2720" s="8" t="s">
        <v>2195</v>
      </c>
      <c r="B2720" s="8" t="s">
        <v>2195</v>
      </c>
      <c r="C2720" s="13">
        <v>45999.615902777776</v>
      </c>
      <c r="D2720" s="2" t="s">
        <v>2196</v>
      </c>
      <c r="E2720" s="2" t="s">
        <v>2197</v>
      </c>
      <c r="F2720" s="14" t="s">
        <v>3910</v>
      </c>
      <c r="G2720" s="14" t="s">
        <v>3911</v>
      </c>
      <c r="H2720" s="2" t="s">
        <v>16</v>
      </c>
      <c r="I2720" s="2" t="s">
        <v>3488</v>
      </c>
      <c r="J2720" s="2">
        <v>1.0</v>
      </c>
      <c r="K2720" s="12"/>
      <c r="L2720" s="11">
        <v>45000.0</v>
      </c>
    </row>
    <row r="2721" hidden="1">
      <c r="A2721" s="8" t="s">
        <v>2199</v>
      </c>
      <c r="B2721" s="8" t="s">
        <v>2199</v>
      </c>
      <c r="C2721" s="13">
        <v>45999.62225694444</v>
      </c>
      <c r="D2721" s="2" t="s">
        <v>1705</v>
      </c>
      <c r="E2721" s="2" t="s">
        <v>1706</v>
      </c>
      <c r="F2721" s="14" t="s">
        <v>4203</v>
      </c>
      <c r="G2721" s="14" t="s">
        <v>4204</v>
      </c>
      <c r="H2721" s="2" t="s">
        <v>24</v>
      </c>
      <c r="I2721" s="2" t="s">
        <v>3491</v>
      </c>
      <c r="J2721" s="2">
        <v>1.0</v>
      </c>
      <c r="K2721" s="23" t="s">
        <v>4664</v>
      </c>
      <c r="L2721" s="11">
        <v>0.0</v>
      </c>
    </row>
    <row r="2722" hidden="1">
      <c r="A2722" s="8" t="s">
        <v>2200</v>
      </c>
      <c r="B2722" s="8" t="s">
        <v>2200</v>
      </c>
      <c r="C2722" s="13">
        <v>45999.622569444444</v>
      </c>
      <c r="D2722" s="2" t="s">
        <v>786</v>
      </c>
      <c r="E2722" s="2" t="s">
        <v>787</v>
      </c>
      <c r="F2722" s="14" t="s">
        <v>3486</v>
      </c>
      <c r="G2722" s="14" t="s">
        <v>3487</v>
      </c>
      <c r="H2722" s="2" t="s">
        <v>24</v>
      </c>
      <c r="I2722" s="2" t="s">
        <v>3491</v>
      </c>
      <c r="J2722" s="2">
        <v>3.0</v>
      </c>
      <c r="K2722" s="23" t="s">
        <v>5454</v>
      </c>
      <c r="L2722" s="11">
        <v>0.0</v>
      </c>
    </row>
    <row r="2723" hidden="1">
      <c r="A2723" s="8" t="s">
        <v>2200</v>
      </c>
      <c r="B2723" s="8" t="s">
        <v>2200</v>
      </c>
      <c r="C2723" s="13">
        <v>45999.622569444444</v>
      </c>
      <c r="D2723" s="2" t="s">
        <v>786</v>
      </c>
      <c r="E2723" s="2" t="s">
        <v>787</v>
      </c>
      <c r="F2723" s="14" t="s">
        <v>3516</v>
      </c>
      <c r="G2723" s="14" t="s">
        <v>3517</v>
      </c>
      <c r="H2723" s="2" t="s">
        <v>24</v>
      </c>
      <c r="I2723" s="2" t="s">
        <v>3491</v>
      </c>
      <c r="J2723" s="2">
        <v>2.0</v>
      </c>
      <c r="K2723" s="23" t="s">
        <v>5455</v>
      </c>
      <c r="L2723" s="11">
        <v>0.0</v>
      </c>
    </row>
    <row r="2724" hidden="1">
      <c r="A2724" s="8" t="s">
        <v>2201</v>
      </c>
      <c r="B2724" s="8" t="s">
        <v>2201</v>
      </c>
      <c r="C2724" s="13">
        <v>45999.681608796294</v>
      </c>
      <c r="D2724" s="2" t="s">
        <v>1228</v>
      </c>
      <c r="E2724" s="2" t="s">
        <v>1229</v>
      </c>
      <c r="F2724" s="14" t="s">
        <v>3486</v>
      </c>
      <c r="G2724" s="14" t="s">
        <v>3487</v>
      </c>
      <c r="H2724" s="2" t="s">
        <v>24</v>
      </c>
      <c r="I2724" s="2" t="s">
        <v>3491</v>
      </c>
      <c r="J2724" s="2">
        <v>9.0</v>
      </c>
      <c r="K2724" s="23" t="s">
        <v>5456</v>
      </c>
      <c r="L2724" s="11">
        <v>0.0</v>
      </c>
    </row>
    <row r="2725" hidden="1">
      <c r="A2725" s="8" t="s">
        <v>2202</v>
      </c>
      <c r="B2725" s="8" t="s">
        <v>2202</v>
      </c>
      <c r="C2725" s="13">
        <v>46000.354467592595</v>
      </c>
      <c r="D2725" s="2" t="s">
        <v>943</v>
      </c>
      <c r="E2725" s="2" t="s">
        <v>944</v>
      </c>
      <c r="F2725" s="14" t="s">
        <v>3506</v>
      </c>
      <c r="G2725" s="14" t="s">
        <v>3507</v>
      </c>
      <c r="H2725" s="2" t="s">
        <v>24</v>
      </c>
      <c r="I2725" s="2" t="s">
        <v>3491</v>
      </c>
      <c r="J2725" s="2">
        <v>1.0</v>
      </c>
      <c r="K2725" s="23" t="s">
        <v>4688</v>
      </c>
      <c r="L2725" s="11">
        <v>0.0</v>
      </c>
    </row>
    <row r="2726" hidden="1">
      <c r="A2726" s="8" t="s">
        <v>2202</v>
      </c>
      <c r="B2726" s="8" t="s">
        <v>2202</v>
      </c>
      <c r="C2726" s="13">
        <v>46000.354467592595</v>
      </c>
      <c r="D2726" s="2" t="s">
        <v>943</v>
      </c>
      <c r="E2726" s="2" t="s">
        <v>944</v>
      </c>
      <c r="F2726" s="14" t="s">
        <v>3486</v>
      </c>
      <c r="G2726" s="14" t="s">
        <v>3487</v>
      </c>
      <c r="H2726" s="2" t="s">
        <v>24</v>
      </c>
      <c r="I2726" s="2" t="s">
        <v>3491</v>
      </c>
      <c r="J2726" s="2">
        <v>4.0</v>
      </c>
      <c r="K2726" s="23" t="s">
        <v>5457</v>
      </c>
      <c r="L2726" s="11">
        <v>0.0</v>
      </c>
    </row>
    <row r="2727" hidden="1">
      <c r="A2727" s="8" t="s">
        <v>2202</v>
      </c>
      <c r="B2727" s="8" t="s">
        <v>2202</v>
      </c>
      <c r="C2727" s="13">
        <v>46000.354467592595</v>
      </c>
      <c r="D2727" s="2" t="s">
        <v>943</v>
      </c>
      <c r="E2727" s="2" t="s">
        <v>944</v>
      </c>
      <c r="F2727" s="14" t="s">
        <v>4203</v>
      </c>
      <c r="G2727" s="14" t="s">
        <v>4204</v>
      </c>
      <c r="H2727" s="2" t="s">
        <v>24</v>
      </c>
      <c r="I2727" s="2" t="s">
        <v>3491</v>
      </c>
      <c r="J2727" s="2">
        <v>1.0</v>
      </c>
      <c r="K2727" s="23" t="s">
        <v>5095</v>
      </c>
      <c r="L2727" s="11">
        <v>0.0</v>
      </c>
    </row>
    <row r="2728" hidden="1">
      <c r="A2728" s="8" t="s">
        <v>2203</v>
      </c>
      <c r="B2728" s="8" t="s">
        <v>2203</v>
      </c>
      <c r="C2728" s="13">
        <v>46000.35868055555</v>
      </c>
      <c r="D2728" s="2" t="s">
        <v>1993</v>
      </c>
      <c r="E2728" s="2" t="s">
        <v>1994</v>
      </c>
      <c r="F2728" s="14" t="s">
        <v>4203</v>
      </c>
      <c r="G2728" s="14" t="s">
        <v>4204</v>
      </c>
      <c r="H2728" s="2" t="s">
        <v>24</v>
      </c>
      <c r="I2728" s="2" t="s">
        <v>3491</v>
      </c>
      <c r="J2728" s="2">
        <v>1.0</v>
      </c>
      <c r="K2728" s="23" t="s">
        <v>5458</v>
      </c>
      <c r="L2728" s="11">
        <v>0.0</v>
      </c>
    </row>
    <row r="2729" hidden="1">
      <c r="A2729" s="8" t="s">
        <v>2203</v>
      </c>
      <c r="B2729" s="8" t="s">
        <v>2203</v>
      </c>
      <c r="C2729" s="13">
        <v>46000.35868055555</v>
      </c>
      <c r="D2729" s="2" t="s">
        <v>1993</v>
      </c>
      <c r="E2729" s="2" t="s">
        <v>1994</v>
      </c>
      <c r="F2729" s="14" t="s">
        <v>3486</v>
      </c>
      <c r="G2729" s="14" t="s">
        <v>3487</v>
      </c>
      <c r="H2729" s="2" t="s">
        <v>24</v>
      </c>
      <c r="I2729" s="2" t="s">
        <v>3491</v>
      </c>
      <c r="J2729" s="2">
        <v>5.0</v>
      </c>
      <c r="K2729" s="23" t="s">
        <v>5459</v>
      </c>
      <c r="L2729" s="11">
        <v>0.0</v>
      </c>
    </row>
    <row r="2730" hidden="1">
      <c r="A2730" s="8" t="s">
        <v>2204</v>
      </c>
      <c r="B2730" s="8" t="s">
        <v>2204</v>
      </c>
      <c r="C2730" s="13">
        <v>45999.46960648148</v>
      </c>
      <c r="D2730" s="2" t="s">
        <v>2196</v>
      </c>
      <c r="E2730" s="2" t="s">
        <v>2197</v>
      </c>
      <c r="F2730" s="14" t="s">
        <v>3506</v>
      </c>
      <c r="G2730" s="14" t="s">
        <v>3507</v>
      </c>
      <c r="H2730" s="2" t="s">
        <v>24</v>
      </c>
      <c r="I2730" s="2" t="s">
        <v>3491</v>
      </c>
      <c r="J2730" s="2">
        <v>3.0</v>
      </c>
      <c r="K2730" s="23" t="s">
        <v>4704</v>
      </c>
      <c r="L2730" s="11">
        <v>0.0</v>
      </c>
    </row>
    <row r="2731" hidden="1">
      <c r="A2731" s="8" t="s">
        <v>2204</v>
      </c>
      <c r="B2731" s="8" t="s">
        <v>2204</v>
      </c>
      <c r="C2731" s="13">
        <v>45999.46960648148</v>
      </c>
      <c r="D2731" s="2" t="s">
        <v>2196</v>
      </c>
      <c r="E2731" s="2" t="s">
        <v>2197</v>
      </c>
      <c r="F2731" s="14" t="s">
        <v>3910</v>
      </c>
      <c r="G2731" s="14" t="s">
        <v>3911</v>
      </c>
      <c r="H2731" s="2" t="s">
        <v>24</v>
      </c>
      <c r="I2731" s="2" t="s">
        <v>3491</v>
      </c>
      <c r="J2731" s="2">
        <v>1.0</v>
      </c>
      <c r="K2731" s="23" t="s">
        <v>4688</v>
      </c>
      <c r="L2731" s="11">
        <v>0.0</v>
      </c>
    </row>
    <row r="2732" hidden="1">
      <c r="A2732" s="8" t="s">
        <v>2205</v>
      </c>
      <c r="B2732" s="8" t="s">
        <v>2205</v>
      </c>
      <c r="C2732" s="13">
        <v>46000.39481481481</v>
      </c>
      <c r="D2732" s="2" t="s">
        <v>169</v>
      </c>
      <c r="E2732" s="2" t="s">
        <v>170</v>
      </c>
      <c r="F2732" s="14" t="s">
        <v>3486</v>
      </c>
      <c r="G2732" s="14" t="s">
        <v>3487</v>
      </c>
      <c r="H2732" s="2" t="s">
        <v>24</v>
      </c>
      <c r="I2732" s="2" t="s">
        <v>3491</v>
      </c>
      <c r="J2732" s="2">
        <v>4.0</v>
      </c>
      <c r="K2732" s="23" t="s">
        <v>5460</v>
      </c>
      <c r="L2732" s="11">
        <v>0.0</v>
      </c>
      <c r="N2732" s="2" t="s">
        <v>5461</v>
      </c>
    </row>
    <row r="2733" hidden="1">
      <c r="A2733" s="8" t="s">
        <v>2205</v>
      </c>
      <c r="B2733" s="8" t="s">
        <v>2205</v>
      </c>
      <c r="C2733" s="13">
        <v>46000.39481481481</v>
      </c>
      <c r="D2733" s="2" t="s">
        <v>169</v>
      </c>
      <c r="E2733" s="2" t="s">
        <v>170</v>
      </c>
      <c r="F2733" s="14" t="s">
        <v>3585</v>
      </c>
      <c r="G2733" s="14" t="s">
        <v>3586</v>
      </c>
      <c r="H2733" s="2" t="s">
        <v>24</v>
      </c>
      <c r="I2733" s="2" t="s">
        <v>3491</v>
      </c>
      <c r="J2733" s="2">
        <v>5.0</v>
      </c>
      <c r="K2733" s="23" t="s">
        <v>5462</v>
      </c>
      <c r="L2733" s="11">
        <v>0.0</v>
      </c>
    </row>
    <row r="2734" hidden="1">
      <c r="A2734" s="8" t="s">
        <v>2205</v>
      </c>
      <c r="B2734" s="8" t="s">
        <v>2205</v>
      </c>
      <c r="C2734" s="13">
        <v>46000.39481481481</v>
      </c>
      <c r="D2734" s="2" t="s">
        <v>169</v>
      </c>
      <c r="E2734" s="2" t="s">
        <v>170</v>
      </c>
      <c r="F2734" s="14" t="s">
        <v>3493</v>
      </c>
      <c r="G2734" s="14" t="s">
        <v>3494</v>
      </c>
      <c r="H2734" s="2" t="s">
        <v>24</v>
      </c>
      <c r="I2734" s="2" t="s">
        <v>3491</v>
      </c>
      <c r="J2734" s="2">
        <v>2.0</v>
      </c>
      <c r="K2734" s="23" t="s">
        <v>4670</v>
      </c>
      <c r="L2734" s="11">
        <v>0.0</v>
      </c>
    </row>
    <row r="2735" hidden="1">
      <c r="A2735" s="8" t="s">
        <v>2206</v>
      </c>
      <c r="B2735" s="8" t="s">
        <v>2206</v>
      </c>
      <c r="C2735" s="13">
        <v>46000.409317129626</v>
      </c>
      <c r="D2735" s="2" t="s">
        <v>885</v>
      </c>
      <c r="E2735" s="2" t="s">
        <v>886</v>
      </c>
      <c r="F2735" s="14" t="s">
        <v>3522</v>
      </c>
      <c r="G2735" s="14" t="s">
        <v>3523</v>
      </c>
      <c r="H2735" s="2" t="s">
        <v>16</v>
      </c>
      <c r="I2735" s="2" t="s">
        <v>3488</v>
      </c>
      <c r="J2735" s="2">
        <v>2.0</v>
      </c>
      <c r="K2735" s="23" t="s">
        <v>5463</v>
      </c>
      <c r="L2735" s="11">
        <v>210000.0</v>
      </c>
    </row>
    <row r="2736" hidden="1">
      <c r="A2736" s="8" t="s">
        <v>2207</v>
      </c>
      <c r="B2736" s="8" t="s">
        <v>2207</v>
      </c>
      <c r="C2736" s="13">
        <v>46000.40974537037</v>
      </c>
      <c r="D2736" s="2" t="s">
        <v>109</v>
      </c>
      <c r="E2736" s="2" t="s">
        <v>110</v>
      </c>
      <c r="F2736" s="14" t="s">
        <v>3522</v>
      </c>
      <c r="G2736" s="14" t="s">
        <v>3523</v>
      </c>
      <c r="H2736" s="2" t="s">
        <v>16</v>
      </c>
      <c r="I2736" s="2" t="s">
        <v>3488</v>
      </c>
      <c r="J2736" s="2">
        <v>3.0</v>
      </c>
      <c r="K2736" s="23" t="s">
        <v>5464</v>
      </c>
      <c r="L2736" s="11">
        <v>215000.0</v>
      </c>
    </row>
    <row r="2737">
      <c r="A2737" s="8" t="s">
        <v>2208</v>
      </c>
      <c r="B2737" s="8" t="s">
        <v>2208</v>
      </c>
      <c r="C2737" s="13">
        <v>46000.458391203705</v>
      </c>
      <c r="D2737" s="2" t="s">
        <v>45</v>
      </c>
      <c r="E2737" s="2" t="s">
        <v>46</v>
      </c>
      <c r="F2737" s="14" t="s">
        <v>4203</v>
      </c>
      <c r="G2737" s="14" t="s">
        <v>4204</v>
      </c>
      <c r="H2737" s="2" t="s">
        <v>16</v>
      </c>
      <c r="I2737" s="2" t="s">
        <v>3488</v>
      </c>
      <c r="J2737" s="2">
        <v>5.0</v>
      </c>
      <c r="K2737" s="23" t="s">
        <v>5465</v>
      </c>
      <c r="L2737" s="11">
        <v>60000.0</v>
      </c>
    </row>
    <row r="2738">
      <c r="A2738" s="8" t="s">
        <v>2208</v>
      </c>
      <c r="B2738" s="8" t="s">
        <v>2208</v>
      </c>
      <c r="C2738" s="13">
        <v>46000.458391203705</v>
      </c>
      <c r="D2738" s="2" t="s">
        <v>45</v>
      </c>
      <c r="E2738" s="2" t="s">
        <v>46</v>
      </c>
      <c r="F2738" s="14" t="s">
        <v>3522</v>
      </c>
      <c r="G2738" s="14" t="s">
        <v>3523</v>
      </c>
      <c r="H2738" s="2" t="s">
        <v>16</v>
      </c>
      <c r="I2738" s="2" t="s">
        <v>3488</v>
      </c>
      <c r="J2738" s="2">
        <v>5.0</v>
      </c>
      <c r="K2738" s="23" t="s">
        <v>5466</v>
      </c>
      <c r="L2738" s="11">
        <v>200000.0</v>
      </c>
    </row>
    <row r="2739" hidden="1">
      <c r="A2739" s="1"/>
      <c r="B2739" s="1"/>
      <c r="C2739" s="13"/>
      <c r="D2739" s="2"/>
      <c r="E2739" s="2"/>
      <c r="F2739" s="14"/>
      <c r="G2739" s="14"/>
      <c r="H2739" s="2"/>
      <c r="I2739" s="2"/>
      <c r="J2739" s="2"/>
      <c r="K2739" s="12"/>
      <c r="L2739" s="11"/>
    </row>
    <row r="2740" hidden="1">
      <c r="A2740" s="8" t="s">
        <v>2210</v>
      </c>
      <c r="B2740" s="8" t="s">
        <v>2210</v>
      </c>
      <c r="C2740" s="13">
        <v>46000.53853009259</v>
      </c>
      <c r="D2740" s="2" t="s">
        <v>1618</v>
      </c>
      <c r="E2740" s="2" t="s">
        <v>1619</v>
      </c>
      <c r="F2740" s="14" t="s">
        <v>3516</v>
      </c>
      <c r="G2740" s="14" t="s">
        <v>3517</v>
      </c>
      <c r="H2740" s="2" t="s">
        <v>16</v>
      </c>
      <c r="I2740" s="2" t="s">
        <v>3488</v>
      </c>
      <c r="J2740" s="2">
        <v>5.0</v>
      </c>
      <c r="K2740" s="23" t="s">
        <v>5467</v>
      </c>
      <c r="L2740" s="11">
        <v>190000.0</v>
      </c>
    </row>
    <row r="2741" hidden="1">
      <c r="A2741" s="8" t="s">
        <v>2211</v>
      </c>
      <c r="B2741" s="8" t="s">
        <v>2211</v>
      </c>
      <c r="C2741" s="13">
        <v>46000.54605324074</v>
      </c>
      <c r="D2741" s="2" t="s">
        <v>1311</v>
      </c>
      <c r="E2741" s="2" t="s">
        <v>1010</v>
      </c>
      <c r="F2741" s="14" t="s">
        <v>3585</v>
      </c>
      <c r="G2741" s="14" t="s">
        <v>3586</v>
      </c>
      <c r="H2741" s="2" t="s">
        <v>16</v>
      </c>
      <c r="I2741" s="2" t="s">
        <v>3488</v>
      </c>
      <c r="J2741" s="2">
        <v>1.0</v>
      </c>
      <c r="K2741" s="23" t="s">
        <v>5468</v>
      </c>
      <c r="L2741" s="11">
        <v>430000.0</v>
      </c>
      <c r="N2741" s="2" t="s">
        <v>5469</v>
      </c>
    </row>
    <row r="2742" hidden="1">
      <c r="A2742" s="8" t="s">
        <v>2212</v>
      </c>
      <c r="B2742" s="8" t="s">
        <v>2212</v>
      </c>
      <c r="C2742" s="13">
        <v>46000.56899305555</v>
      </c>
      <c r="D2742" s="2" t="s">
        <v>786</v>
      </c>
      <c r="E2742" s="2" t="s">
        <v>787</v>
      </c>
      <c r="F2742" s="14" t="s">
        <v>3486</v>
      </c>
      <c r="G2742" s="14" t="s">
        <v>3487</v>
      </c>
      <c r="H2742" s="2" t="s">
        <v>24</v>
      </c>
      <c r="I2742" s="2" t="s">
        <v>3491</v>
      </c>
      <c r="J2742" s="2">
        <v>1.0</v>
      </c>
      <c r="K2742" s="23" t="s">
        <v>5470</v>
      </c>
      <c r="L2742" s="11">
        <v>0.0</v>
      </c>
    </row>
    <row r="2743" hidden="1">
      <c r="A2743" s="8" t="s">
        <v>2212</v>
      </c>
      <c r="B2743" s="8" t="s">
        <v>2212</v>
      </c>
      <c r="C2743" s="13">
        <v>46000.56899305555</v>
      </c>
      <c r="D2743" s="2" t="s">
        <v>786</v>
      </c>
      <c r="E2743" s="2" t="s">
        <v>787</v>
      </c>
      <c r="F2743" s="14" t="s">
        <v>3516</v>
      </c>
      <c r="G2743" s="14" t="s">
        <v>3517</v>
      </c>
      <c r="H2743" s="2" t="s">
        <v>24</v>
      </c>
      <c r="I2743" s="2" t="s">
        <v>3491</v>
      </c>
      <c r="J2743" s="2">
        <v>1.0</v>
      </c>
      <c r="K2743" s="23" t="s">
        <v>5471</v>
      </c>
      <c r="L2743" s="11">
        <v>0.0</v>
      </c>
    </row>
    <row r="2744" hidden="1">
      <c r="A2744" s="8" t="s">
        <v>2213</v>
      </c>
      <c r="B2744" s="8" t="s">
        <v>2213</v>
      </c>
      <c r="C2744" s="13">
        <v>46000.61530092593</v>
      </c>
      <c r="D2744" s="2" t="s">
        <v>1618</v>
      </c>
      <c r="E2744" s="2" t="s">
        <v>1619</v>
      </c>
      <c r="F2744" s="14" t="s">
        <v>3516</v>
      </c>
      <c r="G2744" s="14" t="s">
        <v>3517</v>
      </c>
      <c r="H2744" s="2" t="s">
        <v>24</v>
      </c>
      <c r="I2744" s="2" t="s">
        <v>3491</v>
      </c>
      <c r="J2744" s="2">
        <v>5.0</v>
      </c>
      <c r="K2744" s="23" t="s">
        <v>5472</v>
      </c>
      <c r="L2744" s="11">
        <v>0.0</v>
      </c>
    </row>
    <row r="2745" hidden="1">
      <c r="A2745" s="8" t="s">
        <v>2214</v>
      </c>
      <c r="B2745" s="8" t="s">
        <v>2214</v>
      </c>
      <c r="C2745" s="13">
        <v>46001.34027777778</v>
      </c>
      <c r="D2745" s="2" t="s">
        <v>2131</v>
      </c>
      <c r="E2745" s="2" t="s">
        <v>2171</v>
      </c>
      <c r="F2745" s="14" t="s">
        <v>3486</v>
      </c>
      <c r="G2745" s="14" t="s">
        <v>3487</v>
      </c>
      <c r="H2745" s="2" t="s">
        <v>16</v>
      </c>
      <c r="I2745" s="2" t="s">
        <v>3488</v>
      </c>
      <c r="J2745" s="2">
        <v>20.0</v>
      </c>
      <c r="K2745" s="23" t="s">
        <v>5473</v>
      </c>
      <c r="L2745" s="11">
        <v>60000.0</v>
      </c>
    </row>
    <row r="2746" hidden="1">
      <c r="A2746" s="8" t="s">
        <v>2209</v>
      </c>
      <c r="B2746" s="8" t="s">
        <v>2209</v>
      </c>
      <c r="C2746" s="13">
        <v>46000.463530092595</v>
      </c>
      <c r="D2746" s="2" t="s">
        <v>326</v>
      </c>
      <c r="E2746" s="2" t="s">
        <v>327</v>
      </c>
      <c r="F2746" s="14" t="s">
        <v>3486</v>
      </c>
      <c r="G2746" s="14" t="s">
        <v>3487</v>
      </c>
      <c r="H2746" s="2" t="s">
        <v>16</v>
      </c>
      <c r="I2746" s="2" t="s">
        <v>3488</v>
      </c>
      <c r="J2746" s="2">
        <v>8.0</v>
      </c>
      <c r="K2746" s="23" t="s">
        <v>5474</v>
      </c>
      <c r="L2746" s="11">
        <v>45000.0</v>
      </c>
    </row>
    <row r="2747" hidden="1">
      <c r="A2747" s="8" t="s">
        <v>2209</v>
      </c>
      <c r="B2747" s="8" t="s">
        <v>2209</v>
      </c>
      <c r="C2747" s="13">
        <v>46000.463530092595</v>
      </c>
      <c r="D2747" s="2" t="s">
        <v>326</v>
      </c>
      <c r="E2747" s="2" t="s">
        <v>327</v>
      </c>
      <c r="F2747" s="14" t="s">
        <v>4203</v>
      </c>
      <c r="G2747" s="14" t="s">
        <v>4204</v>
      </c>
      <c r="H2747" s="2" t="s">
        <v>16</v>
      </c>
      <c r="I2747" s="2" t="s">
        <v>3488</v>
      </c>
      <c r="J2747" s="2">
        <v>2.0</v>
      </c>
      <c r="K2747" s="23" t="s">
        <v>5475</v>
      </c>
      <c r="L2747" s="11">
        <v>45000.0</v>
      </c>
    </row>
    <row r="2748">
      <c r="A2748" s="8" t="s">
        <v>2215</v>
      </c>
      <c r="B2748" s="8" t="s">
        <v>2215</v>
      </c>
      <c r="C2748" s="13">
        <v>46000.70586805556</v>
      </c>
      <c r="D2748" s="2" t="s">
        <v>45</v>
      </c>
      <c r="E2748" s="2" t="s">
        <v>46</v>
      </c>
      <c r="F2748" s="14" t="s">
        <v>3486</v>
      </c>
      <c r="G2748" s="14" t="s">
        <v>3487</v>
      </c>
      <c r="H2748" s="2" t="s">
        <v>24</v>
      </c>
      <c r="I2748" s="2" t="s">
        <v>3491</v>
      </c>
      <c r="J2748" s="2">
        <v>7.0</v>
      </c>
      <c r="K2748" s="23" t="s">
        <v>5476</v>
      </c>
      <c r="L2748" s="11">
        <v>0.0</v>
      </c>
    </row>
    <row r="2749">
      <c r="A2749" s="8" t="s">
        <v>2215</v>
      </c>
      <c r="B2749" s="8" t="s">
        <v>2215</v>
      </c>
      <c r="C2749" s="13">
        <v>46000.70586805556</v>
      </c>
      <c r="D2749" s="2" t="s">
        <v>45</v>
      </c>
      <c r="E2749" s="2" t="s">
        <v>46</v>
      </c>
      <c r="F2749" s="14" t="s">
        <v>3522</v>
      </c>
      <c r="G2749" s="14" t="s">
        <v>3523</v>
      </c>
      <c r="H2749" s="2" t="s">
        <v>24</v>
      </c>
      <c r="I2749" s="2" t="s">
        <v>3491</v>
      </c>
      <c r="J2749" s="2">
        <v>25.0</v>
      </c>
      <c r="K2749" s="23" t="s">
        <v>5477</v>
      </c>
      <c r="L2749" s="11">
        <v>0.0</v>
      </c>
    </row>
    <row r="2750" hidden="1">
      <c r="A2750" s="8" t="s">
        <v>2214</v>
      </c>
      <c r="B2750" s="8" t="s">
        <v>2214</v>
      </c>
      <c r="C2750" s="13">
        <v>46001.34027777778</v>
      </c>
      <c r="D2750" s="2" t="s">
        <v>2131</v>
      </c>
      <c r="E2750" s="2" t="s">
        <v>2171</v>
      </c>
      <c r="F2750" s="14" t="s">
        <v>3493</v>
      </c>
      <c r="G2750" s="14" t="s">
        <v>3494</v>
      </c>
      <c r="H2750" s="2" t="s">
        <v>16</v>
      </c>
      <c r="I2750" s="2" t="s">
        <v>3488</v>
      </c>
      <c r="J2750" s="2">
        <v>3.0</v>
      </c>
      <c r="K2750" s="23" t="s">
        <v>4704</v>
      </c>
      <c r="L2750" s="11">
        <v>210000.0</v>
      </c>
    </row>
    <row r="2751" hidden="1">
      <c r="A2751" s="8" t="s">
        <v>2209</v>
      </c>
      <c r="B2751" s="8" t="s">
        <v>2209</v>
      </c>
      <c r="C2751" s="13">
        <v>46001.34027777778</v>
      </c>
      <c r="D2751" s="2" t="s">
        <v>326</v>
      </c>
      <c r="E2751" s="2" t="s">
        <v>327</v>
      </c>
      <c r="F2751" s="14" t="s">
        <v>3522</v>
      </c>
      <c r="G2751" s="14" t="s">
        <v>3523</v>
      </c>
      <c r="H2751" s="2" t="s">
        <v>16</v>
      </c>
      <c r="I2751" s="2" t="s">
        <v>3488</v>
      </c>
      <c r="J2751" s="2">
        <v>1.0</v>
      </c>
      <c r="K2751" s="23" t="s">
        <v>4339</v>
      </c>
      <c r="L2751" s="11">
        <v>200000.0</v>
      </c>
    </row>
    <row r="2752" hidden="1">
      <c r="A2752" s="8" t="s">
        <v>2216</v>
      </c>
      <c r="B2752" s="8" t="s">
        <v>2216</v>
      </c>
      <c r="C2752" s="13">
        <v>46001.46277777778</v>
      </c>
      <c r="D2752" s="2" t="s">
        <v>2217</v>
      </c>
      <c r="E2752" s="2" t="s">
        <v>2218</v>
      </c>
      <c r="F2752" s="14" t="s">
        <v>3516</v>
      </c>
      <c r="G2752" s="14" t="s">
        <v>3517</v>
      </c>
      <c r="H2752" s="2" t="s">
        <v>16</v>
      </c>
      <c r="I2752" s="2" t="s">
        <v>3488</v>
      </c>
      <c r="J2752" s="2">
        <v>8.0</v>
      </c>
      <c r="K2752" s="23" t="s">
        <v>5478</v>
      </c>
      <c r="L2752" s="11">
        <v>200000.0</v>
      </c>
    </row>
    <row r="2753" hidden="1">
      <c r="A2753" s="8" t="s">
        <v>2220</v>
      </c>
      <c r="B2753" s="8" t="s">
        <v>2220</v>
      </c>
      <c r="C2753" s="13">
        <v>46001.50571759259</v>
      </c>
      <c r="D2753" s="2" t="s">
        <v>326</v>
      </c>
      <c r="E2753" s="2" t="s">
        <v>327</v>
      </c>
      <c r="F2753" s="14" t="s">
        <v>3486</v>
      </c>
      <c r="G2753" s="14" t="s">
        <v>3487</v>
      </c>
      <c r="H2753" s="2" t="s">
        <v>24</v>
      </c>
      <c r="I2753" s="2" t="s">
        <v>3491</v>
      </c>
      <c r="J2753" s="2">
        <v>5.0</v>
      </c>
      <c r="K2753" s="23" t="s">
        <v>5479</v>
      </c>
      <c r="L2753" s="11">
        <v>0.0</v>
      </c>
    </row>
    <row r="2754" hidden="1">
      <c r="A2754" s="8" t="s">
        <v>2221</v>
      </c>
      <c r="B2754" s="8" t="s">
        <v>2221</v>
      </c>
      <c r="C2754" s="13">
        <v>46001.620208333334</v>
      </c>
      <c r="D2754" s="2" t="s">
        <v>2131</v>
      </c>
      <c r="E2754" s="2" t="s">
        <v>2132</v>
      </c>
      <c r="F2754" s="14" t="s">
        <v>3486</v>
      </c>
      <c r="G2754" s="14" t="s">
        <v>3487</v>
      </c>
      <c r="H2754" s="2" t="s">
        <v>24</v>
      </c>
      <c r="I2754" s="2" t="s">
        <v>3491</v>
      </c>
      <c r="J2754" s="2">
        <v>19.0</v>
      </c>
      <c r="K2754" s="23" t="s">
        <v>5480</v>
      </c>
      <c r="L2754" s="11">
        <v>0.0</v>
      </c>
    </row>
    <row r="2755" hidden="1">
      <c r="A2755" s="8" t="s">
        <v>2222</v>
      </c>
      <c r="B2755" s="8" t="s">
        <v>2222</v>
      </c>
      <c r="C2755" s="13">
        <v>46001.62689814815</v>
      </c>
      <c r="D2755" s="2" t="s">
        <v>1975</v>
      </c>
      <c r="E2755" s="2" t="s">
        <v>1976</v>
      </c>
      <c r="F2755" s="14" t="s">
        <v>3486</v>
      </c>
      <c r="G2755" s="14" t="s">
        <v>3487</v>
      </c>
      <c r="H2755" s="2" t="s">
        <v>16</v>
      </c>
      <c r="I2755" s="2" t="s">
        <v>3488</v>
      </c>
      <c r="J2755" s="2">
        <v>5.0</v>
      </c>
      <c r="K2755" s="23" t="s">
        <v>5481</v>
      </c>
      <c r="L2755" s="11">
        <v>60000.0</v>
      </c>
    </row>
    <row r="2756" hidden="1">
      <c r="A2756" s="8" t="s">
        <v>2223</v>
      </c>
      <c r="B2756" s="8" t="s">
        <v>2223</v>
      </c>
      <c r="C2756" s="13">
        <v>46001.627430555556</v>
      </c>
      <c r="D2756" s="2" t="s">
        <v>786</v>
      </c>
      <c r="E2756" s="2" t="s">
        <v>787</v>
      </c>
      <c r="F2756" s="14" t="s">
        <v>3486</v>
      </c>
      <c r="G2756" s="14" t="s">
        <v>3487</v>
      </c>
      <c r="H2756" s="2" t="s">
        <v>16</v>
      </c>
      <c r="I2756" s="2" t="s">
        <v>3488</v>
      </c>
      <c r="J2756" s="2">
        <v>4.0</v>
      </c>
      <c r="K2756" s="23" t="s">
        <v>5482</v>
      </c>
      <c r="L2756" s="11">
        <v>60000.0</v>
      </c>
    </row>
    <row r="2757" hidden="1">
      <c r="A2757" s="8" t="s">
        <v>2223</v>
      </c>
      <c r="B2757" s="8" t="s">
        <v>2223</v>
      </c>
      <c r="C2757" s="13">
        <v>46001.627430555556</v>
      </c>
      <c r="D2757" s="2" t="s">
        <v>786</v>
      </c>
      <c r="E2757" s="2" t="s">
        <v>787</v>
      </c>
      <c r="F2757" s="14" t="s">
        <v>3516</v>
      </c>
      <c r="G2757" s="14" t="s">
        <v>3517</v>
      </c>
      <c r="H2757" s="2" t="s">
        <v>16</v>
      </c>
      <c r="I2757" s="2" t="s">
        <v>3488</v>
      </c>
      <c r="J2757" s="2">
        <v>2.0</v>
      </c>
      <c r="K2757" s="23" t="s">
        <v>5483</v>
      </c>
      <c r="L2757" s="11">
        <v>180000.0</v>
      </c>
    </row>
    <row r="2758" hidden="1">
      <c r="A2758" s="8" t="s">
        <v>2224</v>
      </c>
      <c r="B2758" s="8" t="s">
        <v>2224</v>
      </c>
      <c r="C2758" s="13">
        <v>46001.63265046296</v>
      </c>
      <c r="D2758" s="2" t="s">
        <v>1904</v>
      </c>
      <c r="E2758" s="2" t="s">
        <v>1905</v>
      </c>
      <c r="F2758" s="14" t="s">
        <v>3486</v>
      </c>
      <c r="G2758" s="14" t="s">
        <v>3487</v>
      </c>
      <c r="H2758" s="2" t="s">
        <v>16</v>
      </c>
      <c r="I2758" s="2" t="s">
        <v>3488</v>
      </c>
      <c r="J2758" s="2">
        <v>5.0</v>
      </c>
      <c r="K2758" s="23" t="s">
        <v>5484</v>
      </c>
      <c r="L2758" s="11">
        <v>50000.0</v>
      </c>
    </row>
    <row r="2759" hidden="1">
      <c r="A2759" s="8" t="s">
        <v>2225</v>
      </c>
      <c r="B2759" s="8" t="s">
        <v>2225</v>
      </c>
      <c r="C2759" s="13">
        <v>46001.6346875</v>
      </c>
      <c r="D2759" s="2" t="s">
        <v>951</v>
      </c>
      <c r="E2759" s="2" t="s">
        <v>952</v>
      </c>
      <c r="F2759" s="14" t="s">
        <v>3486</v>
      </c>
      <c r="G2759" s="14" t="s">
        <v>3487</v>
      </c>
      <c r="H2759" s="2" t="s">
        <v>16</v>
      </c>
      <c r="I2759" s="2" t="s">
        <v>3488</v>
      </c>
      <c r="J2759" s="2">
        <v>4.0</v>
      </c>
      <c r="K2759" s="23" t="s">
        <v>5485</v>
      </c>
      <c r="L2759" s="11">
        <v>55000.0</v>
      </c>
    </row>
    <row r="2760" hidden="1">
      <c r="A2760" s="8" t="s">
        <v>2226</v>
      </c>
      <c r="B2760" s="8" t="s">
        <v>2226</v>
      </c>
      <c r="C2760" s="13">
        <v>46001.647986111115</v>
      </c>
      <c r="D2760" s="2" t="s">
        <v>2005</v>
      </c>
      <c r="E2760" s="2" t="s">
        <v>2006</v>
      </c>
      <c r="F2760" s="14" t="s">
        <v>3493</v>
      </c>
      <c r="G2760" s="14" t="s">
        <v>3494</v>
      </c>
      <c r="H2760" s="2" t="s">
        <v>16</v>
      </c>
      <c r="I2760" s="2" t="s">
        <v>3488</v>
      </c>
      <c r="J2760" s="2">
        <v>1.0</v>
      </c>
      <c r="K2760" s="23" t="s">
        <v>4688</v>
      </c>
      <c r="L2760" s="11">
        <v>215000.0</v>
      </c>
    </row>
    <row r="2761" hidden="1">
      <c r="A2761" s="8" t="s">
        <v>2227</v>
      </c>
      <c r="B2761" s="8" t="s">
        <v>2227</v>
      </c>
      <c r="C2761" s="13">
        <v>46002.36263888889</v>
      </c>
      <c r="D2761" s="2" t="s">
        <v>786</v>
      </c>
      <c r="E2761" s="2" t="s">
        <v>787</v>
      </c>
      <c r="F2761" s="14" t="s">
        <v>3486</v>
      </c>
      <c r="G2761" s="14" t="s">
        <v>3487</v>
      </c>
      <c r="H2761" s="2" t="s">
        <v>24</v>
      </c>
      <c r="I2761" s="2" t="s">
        <v>3491</v>
      </c>
      <c r="J2761" s="2">
        <v>4.0</v>
      </c>
      <c r="K2761" s="23" t="s">
        <v>5486</v>
      </c>
      <c r="L2761" s="11">
        <v>0.0</v>
      </c>
    </row>
    <row r="2762" hidden="1">
      <c r="A2762" s="8" t="s">
        <v>2227</v>
      </c>
      <c r="B2762" s="8" t="s">
        <v>2227</v>
      </c>
      <c r="C2762" s="13">
        <v>46002.36263888889</v>
      </c>
      <c r="D2762" s="2" t="s">
        <v>786</v>
      </c>
      <c r="E2762" s="2" t="s">
        <v>787</v>
      </c>
      <c r="F2762" s="14" t="s">
        <v>3516</v>
      </c>
      <c r="G2762" s="14" t="s">
        <v>3517</v>
      </c>
      <c r="H2762" s="2" t="s">
        <v>24</v>
      </c>
      <c r="I2762" s="2" t="s">
        <v>3491</v>
      </c>
      <c r="J2762" s="2">
        <v>1.0</v>
      </c>
      <c r="K2762" s="23" t="s">
        <v>4498</v>
      </c>
      <c r="L2762" s="11">
        <v>0.0</v>
      </c>
    </row>
    <row r="2763" hidden="1">
      <c r="A2763" s="8" t="s">
        <v>2228</v>
      </c>
      <c r="B2763" s="8" t="s">
        <v>2228</v>
      </c>
      <c r="C2763" s="13">
        <v>46002.363275462965</v>
      </c>
      <c r="D2763" s="2" t="s">
        <v>1975</v>
      </c>
      <c r="E2763" s="2" t="s">
        <v>1976</v>
      </c>
      <c r="F2763" s="14" t="s">
        <v>3486</v>
      </c>
      <c r="G2763" s="14" t="s">
        <v>3487</v>
      </c>
      <c r="H2763" s="2" t="s">
        <v>24</v>
      </c>
      <c r="I2763" s="2" t="s">
        <v>3491</v>
      </c>
      <c r="J2763" s="2">
        <v>3.0</v>
      </c>
      <c r="K2763" s="23" t="s">
        <v>5487</v>
      </c>
      <c r="L2763" s="11">
        <v>0.0</v>
      </c>
    </row>
    <row r="2764" hidden="1">
      <c r="A2764" s="8" t="s">
        <v>2229</v>
      </c>
      <c r="B2764" s="8" t="s">
        <v>2229</v>
      </c>
      <c r="C2764" s="13">
        <v>46002.368576388886</v>
      </c>
      <c r="D2764" s="2" t="s">
        <v>49</v>
      </c>
      <c r="E2764" s="2" t="s">
        <v>50</v>
      </c>
      <c r="F2764" s="14" t="s">
        <v>3486</v>
      </c>
      <c r="G2764" s="14" t="s">
        <v>3487</v>
      </c>
      <c r="H2764" s="2" t="s">
        <v>16</v>
      </c>
      <c r="I2764" s="2" t="s">
        <v>3488</v>
      </c>
      <c r="J2764" s="2">
        <v>5.0</v>
      </c>
      <c r="K2764" s="23" t="s">
        <v>5488</v>
      </c>
      <c r="L2764" s="11">
        <v>60000.0</v>
      </c>
    </row>
    <row r="2765" hidden="1">
      <c r="A2765" s="8" t="s">
        <v>2230</v>
      </c>
      <c r="B2765" s="8" t="s">
        <v>2230</v>
      </c>
      <c r="C2765" s="13">
        <v>46002.38863425926</v>
      </c>
      <c r="D2765" s="2" t="s">
        <v>131</v>
      </c>
      <c r="E2765" s="2" t="s">
        <v>132</v>
      </c>
      <c r="F2765" s="14" t="s">
        <v>4203</v>
      </c>
      <c r="G2765" s="14" t="s">
        <v>4204</v>
      </c>
      <c r="H2765" s="2" t="s">
        <v>16</v>
      </c>
      <c r="I2765" s="2" t="s">
        <v>3488</v>
      </c>
      <c r="J2765" s="2">
        <v>2.0</v>
      </c>
      <c r="K2765" s="23" t="s">
        <v>5489</v>
      </c>
      <c r="L2765" s="11">
        <v>60000.0</v>
      </c>
    </row>
    <row r="2766" hidden="1">
      <c r="A2766" s="8" t="s">
        <v>2230</v>
      </c>
      <c r="B2766" s="8" t="s">
        <v>2230</v>
      </c>
      <c r="C2766" s="13">
        <v>46002.38863425926</v>
      </c>
      <c r="D2766" s="2" t="s">
        <v>131</v>
      </c>
      <c r="E2766" s="2" t="s">
        <v>132</v>
      </c>
      <c r="F2766" s="14" t="s">
        <v>3486</v>
      </c>
      <c r="G2766" s="14" t="s">
        <v>3487</v>
      </c>
      <c r="H2766" s="2" t="s">
        <v>16</v>
      </c>
      <c r="I2766" s="2" t="s">
        <v>3488</v>
      </c>
      <c r="J2766" s="2">
        <v>4.0</v>
      </c>
      <c r="K2766" s="23" t="s">
        <v>5490</v>
      </c>
      <c r="L2766" s="11">
        <v>60000.0</v>
      </c>
    </row>
    <row r="2767" hidden="1">
      <c r="A2767" s="8" t="s">
        <v>2230</v>
      </c>
      <c r="B2767" s="8" t="s">
        <v>2230</v>
      </c>
      <c r="C2767" s="13">
        <v>46002.38863425926</v>
      </c>
      <c r="D2767" s="2" t="s">
        <v>131</v>
      </c>
      <c r="E2767" s="2" t="s">
        <v>132</v>
      </c>
      <c r="F2767" s="14" t="s">
        <v>3516</v>
      </c>
      <c r="G2767" s="14" t="s">
        <v>3517</v>
      </c>
      <c r="H2767" s="2" t="s">
        <v>16</v>
      </c>
      <c r="I2767" s="2" t="s">
        <v>3488</v>
      </c>
      <c r="J2767" s="2">
        <v>2.0</v>
      </c>
      <c r="K2767" s="23" t="s">
        <v>5491</v>
      </c>
      <c r="L2767" s="11">
        <v>180000.0</v>
      </c>
    </row>
    <row r="2768" hidden="1">
      <c r="A2768" s="8" t="s">
        <v>2231</v>
      </c>
      <c r="B2768" s="8" t="s">
        <v>2231</v>
      </c>
      <c r="C2768" s="13">
        <v>46002.47635416667</v>
      </c>
      <c r="D2768" s="2" t="s">
        <v>1963</v>
      </c>
      <c r="E2768" s="2" t="s">
        <v>1964</v>
      </c>
      <c r="F2768" s="14" t="s">
        <v>4203</v>
      </c>
      <c r="G2768" s="14" t="s">
        <v>4204</v>
      </c>
      <c r="H2768" s="2" t="s">
        <v>24</v>
      </c>
      <c r="I2768" s="2" t="s">
        <v>3491</v>
      </c>
      <c r="J2768" s="2">
        <v>2.0</v>
      </c>
      <c r="K2768" s="23" t="s">
        <v>5492</v>
      </c>
      <c r="L2768" s="11">
        <v>0.0</v>
      </c>
    </row>
    <row r="2769" hidden="1">
      <c r="A2769" s="8" t="s">
        <v>2232</v>
      </c>
      <c r="B2769" s="8" t="s">
        <v>2232</v>
      </c>
      <c r="C2769" s="13">
        <v>46002.47692129629</v>
      </c>
      <c r="D2769" s="2" t="s">
        <v>951</v>
      </c>
      <c r="E2769" s="2" t="s">
        <v>952</v>
      </c>
      <c r="F2769" s="14" t="s">
        <v>4203</v>
      </c>
      <c r="G2769" s="14" t="s">
        <v>4204</v>
      </c>
      <c r="H2769" s="2" t="s">
        <v>24</v>
      </c>
      <c r="I2769" s="2" t="s">
        <v>3491</v>
      </c>
      <c r="J2769" s="2">
        <v>4.0</v>
      </c>
      <c r="K2769" s="23" t="s">
        <v>5493</v>
      </c>
      <c r="L2769" s="11">
        <v>0.0</v>
      </c>
    </row>
    <row r="2770" hidden="1">
      <c r="A2770" s="8" t="s">
        <v>2232</v>
      </c>
      <c r="B2770" s="8" t="s">
        <v>2232</v>
      </c>
      <c r="C2770" s="13">
        <v>46002.47692129629</v>
      </c>
      <c r="D2770" s="2" t="s">
        <v>951</v>
      </c>
      <c r="E2770" s="2" t="s">
        <v>952</v>
      </c>
      <c r="F2770" s="14" t="s">
        <v>3516</v>
      </c>
      <c r="G2770" s="14" t="s">
        <v>3517</v>
      </c>
      <c r="H2770" s="2" t="s">
        <v>24</v>
      </c>
      <c r="I2770" s="2" t="s">
        <v>3491</v>
      </c>
      <c r="J2770" s="2">
        <v>2.0</v>
      </c>
      <c r="K2770" s="23" t="s">
        <v>5494</v>
      </c>
      <c r="L2770" s="11">
        <v>0.0</v>
      </c>
    </row>
    <row r="2771" hidden="1">
      <c r="A2771" s="8" t="s">
        <v>2233</v>
      </c>
      <c r="B2771" s="8" t="s">
        <v>2233</v>
      </c>
      <c r="C2771" s="13">
        <v>46002.47813657407</v>
      </c>
      <c r="D2771" s="2" t="s">
        <v>131</v>
      </c>
      <c r="E2771" s="2" t="s">
        <v>132</v>
      </c>
      <c r="F2771" s="14" t="s">
        <v>4203</v>
      </c>
      <c r="G2771" s="14" t="s">
        <v>4204</v>
      </c>
      <c r="H2771" s="2" t="s">
        <v>24</v>
      </c>
      <c r="I2771" s="2" t="s">
        <v>3491</v>
      </c>
      <c r="J2771" s="2">
        <v>1.0</v>
      </c>
      <c r="K2771" s="23" t="s">
        <v>3897</v>
      </c>
      <c r="L2771" s="11">
        <v>0.0</v>
      </c>
    </row>
    <row r="2772" hidden="1">
      <c r="A2772" s="8" t="s">
        <v>2233</v>
      </c>
      <c r="B2772" s="8" t="s">
        <v>2233</v>
      </c>
      <c r="C2772" s="13">
        <v>46002.47813657407</v>
      </c>
      <c r="D2772" s="2" t="s">
        <v>131</v>
      </c>
      <c r="E2772" s="2" t="s">
        <v>132</v>
      </c>
      <c r="F2772" s="14" t="s">
        <v>3516</v>
      </c>
      <c r="G2772" s="14" t="s">
        <v>3517</v>
      </c>
      <c r="H2772" s="2" t="s">
        <v>24</v>
      </c>
      <c r="I2772" s="2" t="s">
        <v>3491</v>
      </c>
      <c r="J2772" s="2">
        <v>2.0</v>
      </c>
      <c r="K2772" s="23" t="s">
        <v>5495</v>
      </c>
      <c r="L2772" s="11">
        <v>0.0</v>
      </c>
    </row>
    <row r="2773" hidden="1">
      <c r="A2773" s="8" t="s">
        <v>2234</v>
      </c>
      <c r="B2773" s="8" t="s">
        <v>2234</v>
      </c>
      <c r="C2773" s="13">
        <v>46002.47896990741</v>
      </c>
      <c r="D2773" s="2" t="s">
        <v>2005</v>
      </c>
      <c r="E2773" s="2" t="s">
        <v>2006</v>
      </c>
      <c r="F2773" s="14" t="s">
        <v>3493</v>
      </c>
      <c r="G2773" s="14" t="s">
        <v>3494</v>
      </c>
      <c r="H2773" s="2" t="s">
        <v>24</v>
      </c>
      <c r="I2773" s="2" t="s">
        <v>3491</v>
      </c>
      <c r="J2773" s="2">
        <v>1.0</v>
      </c>
      <c r="K2773" s="23" t="s">
        <v>4688</v>
      </c>
      <c r="L2773" s="11">
        <v>0.0</v>
      </c>
    </row>
    <row r="2774" hidden="1">
      <c r="A2774" s="8" t="s">
        <v>2234</v>
      </c>
      <c r="B2774" s="8" t="s">
        <v>2234</v>
      </c>
      <c r="C2774" s="13">
        <v>46002.47896990741</v>
      </c>
      <c r="D2774" s="2" t="s">
        <v>2005</v>
      </c>
      <c r="E2774" s="2" t="s">
        <v>2006</v>
      </c>
      <c r="F2774" s="14" t="s">
        <v>4203</v>
      </c>
      <c r="G2774" s="14" t="s">
        <v>4204</v>
      </c>
      <c r="H2774" s="2" t="s">
        <v>24</v>
      </c>
      <c r="I2774" s="2" t="s">
        <v>3491</v>
      </c>
      <c r="J2774" s="2">
        <v>7.0</v>
      </c>
      <c r="K2774" s="23" t="s">
        <v>5496</v>
      </c>
      <c r="L2774" s="11">
        <v>0.0</v>
      </c>
    </row>
    <row r="2775" hidden="1">
      <c r="A2775" s="8" t="s">
        <v>2234</v>
      </c>
      <c r="B2775" s="8" t="s">
        <v>2234</v>
      </c>
      <c r="C2775" s="13">
        <v>46002.47896990741</v>
      </c>
      <c r="D2775" s="2" t="s">
        <v>2005</v>
      </c>
      <c r="E2775" s="2" t="s">
        <v>2006</v>
      </c>
      <c r="F2775" s="14" t="s">
        <v>3486</v>
      </c>
      <c r="G2775" s="14" t="s">
        <v>3487</v>
      </c>
      <c r="H2775" s="2" t="s">
        <v>24</v>
      </c>
      <c r="I2775" s="2" t="s">
        <v>3491</v>
      </c>
      <c r="J2775" s="2">
        <v>1.0</v>
      </c>
      <c r="K2775" s="23" t="s">
        <v>5497</v>
      </c>
      <c r="L2775" s="11">
        <v>0.0</v>
      </c>
    </row>
    <row r="2776" hidden="1">
      <c r="A2776" s="8" t="s">
        <v>2235</v>
      </c>
      <c r="B2776" s="8" t="s">
        <v>2235</v>
      </c>
      <c r="C2776" s="13">
        <v>46002.482303240744</v>
      </c>
      <c r="D2776" s="2" t="s">
        <v>1904</v>
      </c>
      <c r="E2776" s="2" t="s">
        <v>1905</v>
      </c>
      <c r="F2776" s="14" t="s">
        <v>4203</v>
      </c>
      <c r="G2776" s="14" t="s">
        <v>4204</v>
      </c>
      <c r="H2776" s="2" t="s">
        <v>24</v>
      </c>
      <c r="I2776" s="2" t="s">
        <v>3491</v>
      </c>
      <c r="J2776" s="2">
        <v>1.0</v>
      </c>
      <c r="K2776" s="23" t="s">
        <v>5498</v>
      </c>
      <c r="L2776" s="11">
        <v>0.0</v>
      </c>
    </row>
    <row r="2777" hidden="1">
      <c r="A2777" s="8" t="s">
        <v>2236</v>
      </c>
      <c r="B2777" s="8" t="s">
        <v>2236</v>
      </c>
      <c r="C2777" s="13">
        <v>46002.48363425926</v>
      </c>
      <c r="D2777" s="2" t="s">
        <v>1993</v>
      </c>
      <c r="E2777" s="2" t="s">
        <v>1994</v>
      </c>
      <c r="F2777" s="14" t="s">
        <v>3493</v>
      </c>
      <c r="G2777" s="14" t="s">
        <v>3494</v>
      </c>
      <c r="H2777" s="2" t="s">
        <v>24</v>
      </c>
      <c r="I2777" s="2" t="s">
        <v>3491</v>
      </c>
      <c r="J2777" s="2">
        <v>1.0</v>
      </c>
      <c r="K2777" s="23" t="s">
        <v>4688</v>
      </c>
      <c r="L2777" s="11">
        <v>0.0</v>
      </c>
    </row>
    <row r="2778" hidden="1">
      <c r="A2778" s="8" t="s">
        <v>2237</v>
      </c>
      <c r="B2778" s="8" t="s">
        <v>2237</v>
      </c>
      <c r="C2778" s="13">
        <v>46002.67917824074</v>
      </c>
      <c r="D2778" s="2" t="s">
        <v>2131</v>
      </c>
      <c r="E2778" s="2" t="s">
        <v>2171</v>
      </c>
      <c r="F2778" s="14" t="s">
        <v>3486</v>
      </c>
      <c r="G2778" s="14" t="s">
        <v>3487</v>
      </c>
      <c r="H2778" s="2" t="s">
        <v>16</v>
      </c>
      <c r="I2778" s="2" t="s">
        <v>3488</v>
      </c>
      <c r="J2778" s="2">
        <v>7.0</v>
      </c>
      <c r="K2778" s="23" t="s">
        <v>5499</v>
      </c>
      <c r="L2778" s="11">
        <v>60000.0</v>
      </c>
    </row>
    <row r="2779" hidden="1">
      <c r="A2779" s="8" t="s">
        <v>2237</v>
      </c>
      <c r="B2779" s="8" t="s">
        <v>2237</v>
      </c>
      <c r="C2779" s="13">
        <v>46002.67917824074</v>
      </c>
      <c r="D2779" s="2" t="s">
        <v>2131</v>
      </c>
      <c r="E2779" s="2" t="s">
        <v>2171</v>
      </c>
      <c r="F2779" s="14" t="s">
        <v>4203</v>
      </c>
      <c r="G2779" s="14" t="s">
        <v>4204</v>
      </c>
      <c r="H2779" s="2" t="s">
        <v>16</v>
      </c>
      <c r="I2779" s="2" t="s">
        <v>3488</v>
      </c>
      <c r="J2779" s="2">
        <v>13.0</v>
      </c>
      <c r="K2779" s="23" t="s">
        <v>5500</v>
      </c>
      <c r="L2779" s="11">
        <v>60000.0</v>
      </c>
    </row>
    <row r="2780" hidden="1">
      <c r="A2780" s="8" t="s">
        <v>2238</v>
      </c>
      <c r="B2780" s="8" t="s">
        <v>2238</v>
      </c>
      <c r="C2780" s="13">
        <v>46002.689409722225</v>
      </c>
      <c r="D2780" s="2" t="s">
        <v>951</v>
      </c>
      <c r="E2780" s="2" t="s">
        <v>952</v>
      </c>
      <c r="F2780" s="14" t="s">
        <v>4203</v>
      </c>
      <c r="G2780" s="14" t="s">
        <v>4204</v>
      </c>
      <c r="H2780" s="2" t="s">
        <v>16</v>
      </c>
      <c r="I2780" s="2" t="s">
        <v>3488</v>
      </c>
      <c r="J2780" s="2">
        <v>2.0</v>
      </c>
      <c r="K2780" s="23" t="s">
        <v>5501</v>
      </c>
      <c r="L2780" s="11">
        <v>55000.0</v>
      </c>
    </row>
    <row r="2781" hidden="1">
      <c r="A2781" s="8" t="s">
        <v>2238</v>
      </c>
      <c r="B2781" s="8" t="s">
        <v>2238</v>
      </c>
      <c r="C2781" s="13">
        <v>46002.689409722225</v>
      </c>
      <c r="D2781" s="2" t="s">
        <v>951</v>
      </c>
      <c r="E2781" s="2" t="s">
        <v>952</v>
      </c>
      <c r="F2781" s="14" t="s">
        <v>3516</v>
      </c>
      <c r="G2781" s="14" t="s">
        <v>3517</v>
      </c>
      <c r="H2781" s="2" t="s">
        <v>16</v>
      </c>
      <c r="I2781" s="2" t="s">
        <v>3488</v>
      </c>
      <c r="J2781" s="2">
        <v>2.0</v>
      </c>
      <c r="K2781" s="23" t="s">
        <v>5502</v>
      </c>
      <c r="L2781" s="11">
        <v>175000.0</v>
      </c>
    </row>
    <row r="2782" hidden="1">
      <c r="A2782" s="8" t="s">
        <v>2239</v>
      </c>
      <c r="B2782" s="8" t="s">
        <v>2239</v>
      </c>
      <c r="C2782" s="13">
        <v>46003.3496875</v>
      </c>
      <c r="D2782" s="2" t="s">
        <v>951</v>
      </c>
      <c r="E2782" s="2" t="s">
        <v>952</v>
      </c>
      <c r="F2782" s="14" t="s">
        <v>3486</v>
      </c>
      <c r="G2782" s="14" t="s">
        <v>3487</v>
      </c>
      <c r="H2782" s="2" t="s">
        <v>24</v>
      </c>
      <c r="I2782" s="2" t="s">
        <v>3491</v>
      </c>
      <c r="J2782" s="2">
        <v>1.0</v>
      </c>
      <c r="K2782" s="23" t="s">
        <v>5503</v>
      </c>
      <c r="L2782" s="11">
        <v>0.0</v>
      </c>
    </row>
    <row r="2783" hidden="1">
      <c r="A2783" s="8" t="s">
        <v>2239</v>
      </c>
      <c r="B2783" s="8" t="s">
        <v>2239</v>
      </c>
      <c r="C2783" s="13">
        <v>46003.3496875</v>
      </c>
      <c r="D2783" s="2" t="s">
        <v>951</v>
      </c>
      <c r="E2783" s="2" t="s">
        <v>952</v>
      </c>
      <c r="F2783" s="14" t="s">
        <v>3516</v>
      </c>
      <c r="G2783" s="14" t="s">
        <v>3517</v>
      </c>
      <c r="H2783" s="2" t="s">
        <v>24</v>
      </c>
      <c r="I2783" s="2" t="s">
        <v>3491</v>
      </c>
      <c r="J2783" s="2">
        <v>1.0</v>
      </c>
      <c r="K2783" s="23" t="s">
        <v>4733</v>
      </c>
      <c r="L2783" s="11">
        <v>0.0</v>
      </c>
    </row>
    <row r="2784" hidden="1">
      <c r="A2784" s="8" t="s">
        <v>2240</v>
      </c>
      <c r="B2784" s="8" t="s">
        <v>2240</v>
      </c>
      <c r="C2784" s="13">
        <v>46003.35018518518</v>
      </c>
      <c r="D2784" s="2" t="s">
        <v>1084</v>
      </c>
      <c r="E2784" s="2" t="s">
        <v>1085</v>
      </c>
      <c r="F2784" s="14" t="s">
        <v>3516</v>
      </c>
      <c r="G2784" s="14" t="s">
        <v>3517</v>
      </c>
      <c r="H2784" s="2" t="s">
        <v>24</v>
      </c>
      <c r="I2784" s="2" t="s">
        <v>3491</v>
      </c>
      <c r="J2784" s="2">
        <v>1.0</v>
      </c>
      <c r="K2784" s="23" t="s">
        <v>5504</v>
      </c>
      <c r="L2784" s="11">
        <v>0.0</v>
      </c>
    </row>
    <row r="2785">
      <c r="A2785" s="8" t="s">
        <v>2241</v>
      </c>
      <c r="B2785" s="8" t="s">
        <v>2241</v>
      </c>
      <c r="C2785" s="13">
        <v>46003.36601851852</v>
      </c>
      <c r="D2785" s="2" t="s">
        <v>45</v>
      </c>
      <c r="E2785" s="2" t="s">
        <v>46</v>
      </c>
      <c r="F2785" s="14" t="s">
        <v>3522</v>
      </c>
      <c r="G2785" s="14" t="s">
        <v>3523</v>
      </c>
      <c r="H2785" s="2" t="s">
        <v>16</v>
      </c>
      <c r="I2785" s="2" t="s">
        <v>3488</v>
      </c>
      <c r="J2785" s="2">
        <v>15.0</v>
      </c>
      <c r="K2785" s="23" t="s">
        <v>5505</v>
      </c>
      <c r="L2785" s="11">
        <v>200000.0</v>
      </c>
    </row>
    <row r="2786" hidden="1">
      <c r="A2786" s="8" t="s">
        <v>2242</v>
      </c>
      <c r="B2786" s="8" t="s">
        <v>2242</v>
      </c>
      <c r="C2786" s="13">
        <v>46003.36959490741</v>
      </c>
      <c r="D2786" s="2" t="s">
        <v>943</v>
      </c>
      <c r="E2786" s="2" t="s">
        <v>944</v>
      </c>
      <c r="F2786" s="14" t="s">
        <v>3506</v>
      </c>
      <c r="G2786" s="14" t="s">
        <v>3507</v>
      </c>
      <c r="H2786" s="2" t="s">
        <v>16</v>
      </c>
      <c r="I2786" s="2" t="s">
        <v>3488</v>
      </c>
      <c r="J2786" s="2">
        <v>1.0</v>
      </c>
      <c r="K2786" s="23" t="s">
        <v>4688</v>
      </c>
      <c r="L2786" s="11">
        <v>50000.0</v>
      </c>
    </row>
    <row r="2787" hidden="1">
      <c r="A2787" s="8" t="s">
        <v>2243</v>
      </c>
      <c r="B2787" s="8" t="s">
        <v>2243</v>
      </c>
      <c r="C2787" s="13">
        <v>46003.5030787037</v>
      </c>
      <c r="D2787" s="2" t="s">
        <v>1228</v>
      </c>
      <c r="E2787" s="2" t="s">
        <v>1229</v>
      </c>
      <c r="F2787" s="14" t="s">
        <v>3486</v>
      </c>
      <c r="G2787" s="14" t="s">
        <v>3487</v>
      </c>
      <c r="H2787" s="2" t="s">
        <v>24</v>
      </c>
      <c r="I2787" s="2" t="s">
        <v>3491</v>
      </c>
      <c r="J2787" s="2">
        <v>1.0</v>
      </c>
      <c r="K2787" s="23" t="s">
        <v>4747</v>
      </c>
      <c r="L2787" s="11">
        <v>0.0</v>
      </c>
    </row>
    <row r="2788" hidden="1">
      <c r="A2788" s="8" t="s">
        <v>2243</v>
      </c>
      <c r="B2788" s="8" t="s">
        <v>2243</v>
      </c>
      <c r="C2788" s="13">
        <v>46003.5030787037</v>
      </c>
      <c r="D2788" s="2" t="s">
        <v>1228</v>
      </c>
      <c r="E2788" s="2" t="s">
        <v>1229</v>
      </c>
      <c r="F2788" s="14" t="s">
        <v>3493</v>
      </c>
      <c r="G2788" s="14" t="s">
        <v>3494</v>
      </c>
      <c r="H2788" s="2" t="s">
        <v>24</v>
      </c>
      <c r="I2788" s="2" t="s">
        <v>3491</v>
      </c>
      <c r="J2788" s="2">
        <v>1.0</v>
      </c>
      <c r="K2788" s="23" t="s">
        <v>4688</v>
      </c>
      <c r="L2788" s="11">
        <v>0.0</v>
      </c>
    </row>
    <row r="2789" hidden="1">
      <c r="A2789" s="8" t="s">
        <v>2244</v>
      </c>
      <c r="B2789" s="8" t="s">
        <v>2244</v>
      </c>
      <c r="C2789" s="13">
        <v>46003.5471875</v>
      </c>
      <c r="D2789" s="2" t="s">
        <v>786</v>
      </c>
      <c r="E2789" s="2" t="s">
        <v>787</v>
      </c>
      <c r="F2789" s="14" t="s">
        <v>3516</v>
      </c>
      <c r="G2789" s="14" t="s">
        <v>3517</v>
      </c>
      <c r="H2789" s="2" t="s">
        <v>16</v>
      </c>
      <c r="I2789" s="2" t="s">
        <v>3488</v>
      </c>
      <c r="J2789" s="2">
        <v>2.0</v>
      </c>
      <c r="K2789" s="23" t="s">
        <v>5506</v>
      </c>
      <c r="L2789" s="11">
        <v>180000.0</v>
      </c>
    </row>
    <row r="2790" hidden="1">
      <c r="A2790" s="8" t="s">
        <v>2244</v>
      </c>
      <c r="B2790" s="8" t="s">
        <v>2244</v>
      </c>
      <c r="C2790" s="13">
        <v>46003.5471875</v>
      </c>
      <c r="D2790" s="2" t="s">
        <v>786</v>
      </c>
      <c r="E2790" s="2" t="s">
        <v>787</v>
      </c>
      <c r="F2790" s="14" t="s">
        <v>3486</v>
      </c>
      <c r="G2790" s="14" t="s">
        <v>3487</v>
      </c>
      <c r="H2790" s="2" t="s">
        <v>16</v>
      </c>
      <c r="I2790" s="2" t="s">
        <v>3488</v>
      </c>
      <c r="J2790" s="2">
        <v>6.0</v>
      </c>
      <c r="K2790" s="23" t="s">
        <v>5507</v>
      </c>
      <c r="L2790" s="11">
        <v>60000.0</v>
      </c>
    </row>
    <row r="2791" hidden="1">
      <c r="A2791" s="8" t="s">
        <v>2245</v>
      </c>
      <c r="B2791" s="8" t="s">
        <v>2245</v>
      </c>
      <c r="C2791" s="13">
        <v>46003.55142361111</v>
      </c>
      <c r="D2791" s="2" t="s">
        <v>2131</v>
      </c>
      <c r="E2791" s="2" t="s">
        <v>2171</v>
      </c>
      <c r="F2791" s="14" t="s">
        <v>3486</v>
      </c>
      <c r="G2791" s="14" t="s">
        <v>3487</v>
      </c>
      <c r="H2791" s="2" t="s">
        <v>24</v>
      </c>
      <c r="I2791" s="2" t="s">
        <v>3491</v>
      </c>
      <c r="J2791" s="2">
        <v>20.0</v>
      </c>
      <c r="K2791" s="23" t="s">
        <v>5508</v>
      </c>
      <c r="L2791" s="11">
        <v>0.0</v>
      </c>
    </row>
    <row r="2792" hidden="1">
      <c r="A2792" s="8" t="s">
        <v>2245</v>
      </c>
      <c r="B2792" s="8" t="s">
        <v>2245</v>
      </c>
      <c r="C2792" s="13">
        <v>46003.55142361111</v>
      </c>
      <c r="D2792" s="2" t="s">
        <v>2131</v>
      </c>
      <c r="E2792" s="2" t="s">
        <v>2171</v>
      </c>
      <c r="F2792" s="14" t="s">
        <v>3493</v>
      </c>
      <c r="G2792" s="14" t="s">
        <v>3494</v>
      </c>
      <c r="H2792" s="2" t="s">
        <v>24</v>
      </c>
      <c r="I2792" s="2" t="s">
        <v>3491</v>
      </c>
      <c r="J2792" s="2">
        <v>2.0</v>
      </c>
      <c r="K2792" s="23" t="s">
        <v>4670</v>
      </c>
      <c r="L2792" s="11">
        <v>0.0</v>
      </c>
    </row>
    <row r="2793" hidden="1">
      <c r="A2793" s="8" t="s">
        <v>2246</v>
      </c>
      <c r="B2793" s="8" t="s">
        <v>2246</v>
      </c>
      <c r="C2793" s="13">
        <v>46003.66237268518</v>
      </c>
      <c r="D2793" s="2" t="s">
        <v>2131</v>
      </c>
      <c r="E2793" s="2" t="s">
        <v>2171</v>
      </c>
      <c r="F2793" s="14" t="s">
        <v>3486</v>
      </c>
      <c r="G2793" s="14" t="s">
        <v>3487</v>
      </c>
      <c r="H2793" s="2" t="s">
        <v>16</v>
      </c>
      <c r="I2793" s="2" t="s">
        <v>3488</v>
      </c>
      <c r="J2793" s="2">
        <v>10.0</v>
      </c>
      <c r="K2793" s="23" t="s">
        <v>5509</v>
      </c>
      <c r="L2793" s="11">
        <v>60000.0</v>
      </c>
    </row>
    <row r="2794" hidden="1">
      <c r="A2794" s="8" t="s">
        <v>2247</v>
      </c>
      <c r="B2794" s="8" t="s">
        <v>2247</v>
      </c>
      <c r="C2794" s="13">
        <v>46003.66371527778</v>
      </c>
      <c r="D2794" s="2" t="s">
        <v>320</v>
      </c>
      <c r="E2794" s="2" t="s">
        <v>321</v>
      </c>
      <c r="F2794" s="14" t="s">
        <v>3585</v>
      </c>
      <c r="G2794" s="14" t="s">
        <v>3586</v>
      </c>
      <c r="H2794" s="2" t="s">
        <v>16</v>
      </c>
      <c r="I2794" s="2" t="s">
        <v>3488</v>
      </c>
      <c r="J2794" s="2">
        <v>1.0</v>
      </c>
      <c r="K2794" s="23" t="s">
        <v>3613</v>
      </c>
      <c r="L2794" s="11">
        <v>450000.0</v>
      </c>
    </row>
    <row r="2795" hidden="1">
      <c r="A2795" s="1"/>
      <c r="B2795" s="1"/>
      <c r="C2795" s="13"/>
      <c r="D2795" s="2"/>
      <c r="E2795" s="2"/>
      <c r="F2795" s="14"/>
      <c r="G2795" s="14"/>
      <c r="H2795" s="2"/>
      <c r="I2795" s="2"/>
      <c r="J2795" s="2"/>
      <c r="K2795" s="12"/>
      <c r="L2795" s="11"/>
    </row>
    <row r="2796" hidden="1">
      <c r="A2796" s="8" t="s">
        <v>2248</v>
      </c>
      <c r="B2796" s="8" t="s">
        <v>2248</v>
      </c>
      <c r="C2796" s="13">
        <v>46004.35697916667</v>
      </c>
      <c r="D2796" s="2" t="s">
        <v>1371</v>
      </c>
      <c r="E2796" s="2" t="s">
        <v>1372</v>
      </c>
      <c r="F2796" s="14" t="s">
        <v>3486</v>
      </c>
      <c r="G2796" s="14" t="s">
        <v>3487</v>
      </c>
      <c r="H2796" s="2" t="s">
        <v>16</v>
      </c>
      <c r="I2796" s="2" t="s">
        <v>3488</v>
      </c>
      <c r="J2796" s="2">
        <v>2.0</v>
      </c>
      <c r="K2796" s="23" t="s">
        <v>5510</v>
      </c>
      <c r="L2796" s="11">
        <v>60000.0</v>
      </c>
    </row>
    <row r="2797" hidden="1">
      <c r="A2797" s="8" t="s">
        <v>2249</v>
      </c>
      <c r="B2797" s="8" t="s">
        <v>2249</v>
      </c>
      <c r="C2797" s="13">
        <v>46004.365266203706</v>
      </c>
      <c r="D2797" s="2" t="s">
        <v>786</v>
      </c>
      <c r="E2797" s="2" t="s">
        <v>787</v>
      </c>
      <c r="F2797" s="14" t="s">
        <v>3516</v>
      </c>
      <c r="G2797" s="14" t="s">
        <v>3517</v>
      </c>
      <c r="H2797" s="2" t="s">
        <v>24</v>
      </c>
      <c r="I2797" s="2" t="s">
        <v>3491</v>
      </c>
      <c r="J2797" s="2">
        <v>3.0</v>
      </c>
      <c r="K2797" s="23" t="s">
        <v>5511</v>
      </c>
      <c r="L2797" s="11">
        <v>0.0</v>
      </c>
    </row>
    <row r="2798" hidden="1">
      <c r="A2798" s="8" t="s">
        <v>2249</v>
      </c>
      <c r="B2798" s="8" t="s">
        <v>2249</v>
      </c>
      <c r="C2798" s="13">
        <v>46004.365266203706</v>
      </c>
      <c r="D2798" s="2" t="s">
        <v>786</v>
      </c>
      <c r="E2798" s="2" t="s">
        <v>787</v>
      </c>
      <c r="F2798" s="14" t="s">
        <v>3486</v>
      </c>
      <c r="G2798" s="14" t="s">
        <v>3487</v>
      </c>
      <c r="H2798" s="2" t="s">
        <v>24</v>
      </c>
      <c r="I2798" s="2" t="s">
        <v>3491</v>
      </c>
      <c r="J2798" s="2">
        <v>7.0</v>
      </c>
      <c r="K2798" s="23" t="s">
        <v>5512</v>
      </c>
      <c r="L2798" s="11">
        <v>0.0</v>
      </c>
    </row>
    <row r="2799" hidden="1">
      <c r="A2799" s="8" t="s">
        <v>2250</v>
      </c>
      <c r="B2799" s="8" t="s">
        <v>2250</v>
      </c>
      <c r="C2799" s="13">
        <v>46004.438472222224</v>
      </c>
      <c r="D2799" s="2" t="s">
        <v>2081</v>
      </c>
      <c r="E2799" s="2" t="s">
        <v>2082</v>
      </c>
      <c r="F2799" s="14" t="s">
        <v>3486</v>
      </c>
      <c r="G2799" s="14" t="s">
        <v>3487</v>
      </c>
      <c r="H2799" s="2" t="s">
        <v>16</v>
      </c>
      <c r="I2799" s="2" t="s">
        <v>3488</v>
      </c>
      <c r="J2799" s="2">
        <v>3.0</v>
      </c>
      <c r="K2799" s="23" t="s">
        <v>5513</v>
      </c>
      <c r="L2799" s="11">
        <v>60000.0</v>
      </c>
    </row>
    <row r="2800" hidden="1">
      <c r="A2800" s="8" t="s">
        <v>2251</v>
      </c>
      <c r="B2800" s="8" t="s">
        <v>2251</v>
      </c>
      <c r="C2800" s="13">
        <v>46004.44587962963</v>
      </c>
      <c r="D2800" s="2" t="s">
        <v>786</v>
      </c>
      <c r="E2800" s="2" t="s">
        <v>787</v>
      </c>
      <c r="F2800" s="14" t="s">
        <v>3486</v>
      </c>
      <c r="G2800" s="14" t="s">
        <v>3487</v>
      </c>
      <c r="H2800" s="2" t="s">
        <v>16</v>
      </c>
      <c r="I2800" s="2" t="s">
        <v>3488</v>
      </c>
      <c r="J2800" s="2">
        <v>4.0</v>
      </c>
      <c r="K2800" s="23" t="s">
        <v>5514</v>
      </c>
      <c r="L2800" s="11">
        <v>60000.0</v>
      </c>
    </row>
    <row r="2801" hidden="1">
      <c r="A2801" s="8" t="s">
        <v>2251</v>
      </c>
      <c r="B2801" s="8" t="s">
        <v>2251</v>
      </c>
      <c r="C2801" s="13">
        <v>46004.44587962963</v>
      </c>
      <c r="D2801" s="2" t="s">
        <v>786</v>
      </c>
      <c r="E2801" s="2" t="s">
        <v>787</v>
      </c>
      <c r="F2801" s="14" t="s">
        <v>4203</v>
      </c>
      <c r="G2801" s="14" t="s">
        <v>4204</v>
      </c>
      <c r="H2801" s="2" t="s">
        <v>16</v>
      </c>
      <c r="I2801" s="2" t="s">
        <v>3488</v>
      </c>
      <c r="J2801" s="2">
        <v>4.0</v>
      </c>
      <c r="K2801" s="23" t="s">
        <v>5515</v>
      </c>
      <c r="L2801" s="11">
        <v>60000.0</v>
      </c>
    </row>
    <row r="2802" hidden="1">
      <c r="A2802" s="8" t="s">
        <v>2251</v>
      </c>
      <c r="B2802" s="8" t="s">
        <v>2251</v>
      </c>
      <c r="C2802" s="13">
        <v>46004.44587962963</v>
      </c>
      <c r="D2802" s="2" t="s">
        <v>786</v>
      </c>
      <c r="E2802" s="2" t="s">
        <v>787</v>
      </c>
      <c r="F2802" s="14" t="s">
        <v>3516</v>
      </c>
      <c r="G2802" s="14" t="s">
        <v>3517</v>
      </c>
      <c r="H2802" s="2" t="s">
        <v>16</v>
      </c>
      <c r="I2802" s="2" t="s">
        <v>3488</v>
      </c>
      <c r="J2802" s="2">
        <v>3.0</v>
      </c>
      <c r="K2802" s="23" t="s">
        <v>5516</v>
      </c>
      <c r="L2802" s="11">
        <v>180000.0</v>
      </c>
    </row>
    <row r="2803" hidden="1">
      <c r="A2803" s="8" t="s">
        <v>2252</v>
      </c>
      <c r="B2803" s="8" t="s">
        <v>2252</v>
      </c>
      <c r="C2803" s="13">
        <v>46004.44967592593</v>
      </c>
      <c r="D2803" s="2" t="s">
        <v>2131</v>
      </c>
      <c r="E2803" s="2" t="s">
        <v>2171</v>
      </c>
      <c r="F2803" s="14" t="s">
        <v>3486</v>
      </c>
      <c r="G2803" s="14" t="s">
        <v>3487</v>
      </c>
      <c r="H2803" s="2" t="s">
        <v>24</v>
      </c>
      <c r="I2803" s="2" t="s">
        <v>3491</v>
      </c>
      <c r="J2803" s="2">
        <v>4.0</v>
      </c>
      <c r="K2803" s="23" t="s">
        <v>5517</v>
      </c>
      <c r="L2803" s="11">
        <v>0.0</v>
      </c>
    </row>
    <row r="2804" hidden="1">
      <c r="A2804" s="8" t="s">
        <v>2252</v>
      </c>
      <c r="B2804" s="8" t="s">
        <v>2252</v>
      </c>
      <c r="C2804" s="13">
        <v>46004.44967592593</v>
      </c>
      <c r="D2804" s="2" t="s">
        <v>2131</v>
      </c>
      <c r="E2804" s="2" t="s">
        <v>2171</v>
      </c>
      <c r="F2804" s="14" t="s">
        <v>4203</v>
      </c>
      <c r="G2804" s="14" t="s">
        <v>4204</v>
      </c>
      <c r="H2804" s="2" t="s">
        <v>24</v>
      </c>
      <c r="I2804" s="2" t="s">
        <v>3491</v>
      </c>
      <c r="J2804" s="2">
        <v>5.0</v>
      </c>
      <c r="K2804" s="23" t="s">
        <v>5518</v>
      </c>
      <c r="L2804" s="11">
        <v>0.0</v>
      </c>
    </row>
    <row r="2805" hidden="1">
      <c r="A2805" s="8" t="s">
        <v>2253</v>
      </c>
      <c r="B2805" s="8" t="s">
        <v>2253</v>
      </c>
      <c r="C2805" s="13">
        <v>46004.45903935185</v>
      </c>
      <c r="D2805" s="2" t="s">
        <v>904</v>
      </c>
      <c r="E2805" s="2" t="s">
        <v>905</v>
      </c>
      <c r="F2805" s="14" t="s">
        <v>4203</v>
      </c>
      <c r="G2805" s="14" t="s">
        <v>4204</v>
      </c>
      <c r="H2805" s="2" t="s">
        <v>24</v>
      </c>
      <c r="I2805" s="2" t="s">
        <v>3491</v>
      </c>
      <c r="J2805" s="2">
        <v>1.0</v>
      </c>
      <c r="K2805" s="23" t="s">
        <v>5519</v>
      </c>
      <c r="L2805" s="11">
        <v>0.0</v>
      </c>
    </row>
    <row r="2806" hidden="1">
      <c r="A2806" s="8" t="s">
        <v>2254</v>
      </c>
      <c r="B2806" s="8" t="s">
        <v>2254</v>
      </c>
      <c r="C2806" s="13">
        <v>46004.45929398148</v>
      </c>
      <c r="D2806" s="2" t="s">
        <v>1371</v>
      </c>
      <c r="E2806" s="2" t="s">
        <v>1372</v>
      </c>
      <c r="F2806" s="14" t="s">
        <v>3486</v>
      </c>
      <c r="G2806" s="14" t="s">
        <v>3487</v>
      </c>
      <c r="H2806" s="2" t="s">
        <v>24</v>
      </c>
      <c r="I2806" s="2" t="s">
        <v>3491</v>
      </c>
      <c r="J2806" s="2">
        <v>2.0</v>
      </c>
      <c r="K2806" s="23" t="s">
        <v>5520</v>
      </c>
      <c r="L2806" s="11">
        <v>0.0</v>
      </c>
    </row>
    <row r="2807" hidden="1">
      <c r="A2807" s="8" t="s">
        <v>2255</v>
      </c>
      <c r="B2807" s="8" t="s">
        <v>2255</v>
      </c>
      <c r="C2807" s="13">
        <v>46004.460393518515</v>
      </c>
      <c r="D2807" s="2" t="s">
        <v>320</v>
      </c>
      <c r="E2807" s="2" t="s">
        <v>321</v>
      </c>
      <c r="F2807" s="14" t="s">
        <v>3585</v>
      </c>
      <c r="G2807" s="14" t="s">
        <v>3586</v>
      </c>
      <c r="H2807" s="2" t="s">
        <v>24</v>
      </c>
      <c r="I2807" s="2" t="s">
        <v>3491</v>
      </c>
      <c r="J2807" s="2">
        <v>1.0</v>
      </c>
      <c r="K2807" s="23" t="s">
        <v>3885</v>
      </c>
      <c r="L2807" s="11">
        <v>0.0</v>
      </c>
    </row>
    <row r="2808" hidden="1">
      <c r="A2808" s="8" t="s">
        <v>2256</v>
      </c>
      <c r="B2808" s="8" t="s">
        <v>2256</v>
      </c>
      <c r="C2808" s="13">
        <v>46004.49928240741</v>
      </c>
      <c r="D2808" s="2" t="s">
        <v>951</v>
      </c>
      <c r="E2808" s="2" t="s">
        <v>952</v>
      </c>
      <c r="F2808" s="14" t="s">
        <v>3516</v>
      </c>
      <c r="G2808" s="14" t="s">
        <v>3517</v>
      </c>
      <c r="H2808" s="2" t="s">
        <v>16</v>
      </c>
      <c r="I2808" s="2" t="s">
        <v>3488</v>
      </c>
      <c r="J2808" s="2">
        <v>1.0</v>
      </c>
      <c r="K2808" s="23" t="s">
        <v>4636</v>
      </c>
      <c r="L2808" s="11">
        <v>175000.0</v>
      </c>
    </row>
    <row r="2809" hidden="1">
      <c r="A2809" s="8" t="s">
        <v>2256</v>
      </c>
      <c r="B2809" s="8" t="s">
        <v>2256</v>
      </c>
      <c r="C2809" s="13">
        <v>46004.49928240741</v>
      </c>
      <c r="D2809" s="2" t="s">
        <v>951</v>
      </c>
      <c r="E2809" s="2" t="s">
        <v>952</v>
      </c>
      <c r="F2809" s="14" t="s">
        <v>3486</v>
      </c>
      <c r="G2809" s="14" t="s">
        <v>3487</v>
      </c>
      <c r="H2809" s="2" t="s">
        <v>16</v>
      </c>
      <c r="I2809" s="2" t="s">
        <v>3488</v>
      </c>
      <c r="J2809" s="2">
        <v>1.0</v>
      </c>
      <c r="K2809" s="23" t="s">
        <v>4747</v>
      </c>
      <c r="L2809" s="11">
        <v>55000.0</v>
      </c>
    </row>
    <row r="2810" hidden="1">
      <c r="A2810" s="8" t="s">
        <v>2257</v>
      </c>
      <c r="B2810" s="8" t="s">
        <v>2257</v>
      </c>
      <c r="C2810" s="13">
        <v>46004.60162037037</v>
      </c>
      <c r="D2810" s="2" t="s">
        <v>109</v>
      </c>
      <c r="E2810" s="2" t="s">
        <v>110</v>
      </c>
      <c r="F2810" s="14" t="s">
        <v>3486</v>
      </c>
      <c r="G2810" s="14" t="s">
        <v>3487</v>
      </c>
      <c r="H2810" s="2" t="s">
        <v>24</v>
      </c>
      <c r="I2810" s="2" t="s">
        <v>3491</v>
      </c>
      <c r="J2810" s="2">
        <v>2.0</v>
      </c>
      <c r="K2810" s="23" t="s">
        <v>5521</v>
      </c>
      <c r="L2810" s="11">
        <v>0.0</v>
      </c>
    </row>
    <row r="2811" hidden="1">
      <c r="A2811" s="8" t="s">
        <v>2258</v>
      </c>
      <c r="B2811" s="8" t="s">
        <v>2258</v>
      </c>
      <c r="C2811" s="13">
        <v>46006.37175925926</v>
      </c>
      <c r="D2811" s="2" t="s">
        <v>1776</v>
      </c>
      <c r="E2811" s="2" t="s">
        <v>1777</v>
      </c>
      <c r="F2811" s="14" t="s">
        <v>4203</v>
      </c>
      <c r="G2811" s="14" t="s">
        <v>4204</v>
      </c>
      <c r="H2811" s="2" t="s">
        <v>16</v>
      </c>
      <c r="I2811" s="2" t="s">
        <v>3488</v>
      </c>
      <c r="J2811" s="2">
        <v>1.0</v>
      </c>
      <c r="K2811" s="23" t="s">
        <v>5522</v>
      </c>
      <c r="L2811" s="11">
        <v>80000.0</v>
      </c>
    </row>
    <row r="2812" hidden="1">
      <c r="A2812" s="8" t="s">
        <v>2259</v>
      </c>
      <c r="B2812" s="8" t="s">
        <v>2259</v>
      </c>
      <c r="C2812" s="13">
        <v>46006.37328703704</v>
      </c>
      <c r="D2812" s="2" t="s">
        <v>326</v>
      </c>
      <c r="E2812" s="2" t="s">
        <v>327</v>
      </c>
      <c r="F2812" s="14" t="s">
        <v>3486</v>
      </c>
      <c r="G2812" s="14" t="s">
        <v>3487</v>
      </c>
      <c r="H2812" s="2" t="s">
        <v>16</v>
      </c>
      <c r="I2812" s="2" t="s">
        <v>3488</v>
      </c>
      <c r="J2812" s="2">
        <v>10.0</v>
      </c>
      <c r="K2812" s="23" t="s">
        <v>5523</v>
      </c>
      <c r="L2812" s="11">
        <v>45000.0</v>
      </c>
    </row>
    <row r="2813" hidden="1">
      <c r="A2813" s="8" t="s">
        <v>2260</v>
      </c>
      <c r="B2813" s="8" t="s">
        <v>2260</v>
      </c>
      <c r="C2813" s="13">
        <v>46006.3780787037</v>
      </c>
      <c r="D2813" s="2" t="s">
        <v>1889</v>
      </c>
      <c r="E2813" s="2" t="s">
        <v>1890</v>
      </c>
      <c r="F2813" s="14" t="s">
        <v>4203</v>
      </c>
      <c r="G2813" s="14" t="s">
        <v>4204</v>
      </c>
      <c r="H2813" s="2" t="s">
        <v>16</v>
      </c>
      <c r="I2813" s="2" t="s">
        <v>3488</v>
      </c>
      <c r="J2813" s="2">
        <v>3.0</v>
      </c>
      <c r="K2813" s="23" t="s">
        <v>5524</v>
      </c>
      <c r="L2813" s="11">
        <v>60000.0</v>
      </c>
    </row>
    <row r="2814" hidden="1">
      <c r="A2814" s="8" t="s">
        <v>2261</v>
      </c>
      <c r="B2814" s="8" t="s">
        <v>2261</v>
      </c>
      <c r="C2814" s="13">
        <v>46006.38159722222</v>
      </c>
      <c r="D2814" s="2" t="s">
        <v>2081</v>
      </c>
      <c r="E2814" s="2" t="s">
        <v>2082</v>
      </c>
      <c r="F2814" s="14" t="s">
        <v>4203</v>
      </c>
      <c r="G2814" s="14" t="s">
        <v>4204</v>
      </c>
      <c r="H2814" s="2" t="s">
        <v>24</v>
      </c>
      <c r="I2814" s="2" t="s">
        <v>3491</v>
      </c>
      <c r="J2814" s="2">
        <v>2.0</v>
      </c>
      <c r="K2814" s="23" t="s">
        <v>5525</v>
      </c>
      <c r="L2814" s="11">
        <v>0.0</v>
      </c>
    </row>
    <row r="2815" hidden="1">
      <c r="A2815" s="8" t="s">
        <v>2262</v>
      </c>
      <c r="B2815" s="8" t="s">
        <v>2262</v>
      </c>
      <c r="C2815" s="13">
        <v>46006.38233796296</v>
      </c>
      <c r="D2815" s="2" t="s">
        <v>786</v>
      </c>
      <c r="E2815" s="2" t="s">
        <v>787</v>
      </c>
      <c r="F2815" s="14" t="s">
        <v>3486</v>
      </c>
      <c r="G2815" s="14" t="s">
        <v>3487</v>
      </c>
      <c r="H2815" s="2" t="s">
        <v>24</v>
      </c>
      <c r="I2815" s="2" t="s">
        <v>3491</v>
      </c>
      <c r="J2815" s="2">
        <v>5.0</v>
      </c>
      <c r="K2815" s="23" t="s">
        <v>5526</v>
      </c>
      <c r="L2815" s="11">
        <v>0.0</v>
      </c>
    </row>
    <row r="2816" hidden="1">
      <c r="A2816" s="8" t="s">
        <v>2261</v>
      </c>
      <c r="B2816" s="8" t="s">
        <v>2261</v>
      </c>
      <c r="C2816" s="13">
        <v>46006.38159722222</v>
      </c>
      <c r="D2816" s="2" t="s">
        <v>2081</v>
      </c>
      <c r="E2816" s="2" t="s">
        <v>2082</v>
      </c>
      <c r="F2816" s="14" t="s">
        <v>3506</v>
      </c>
      <c r="G2816" s="14" t="s">
        <v>3507</v>
      </c>
      <c r="H2816" s="2" t="s">
        <v>24</v>
      </c>
      <c r="I2816" s="2" t="s">
        <v>3491</v>
      </c>
      <c r="J2816" s="2">
        <v>1.0</v>
      </c>
      <c r="K2816" s="23" t="s">
        <v>4688</v>
      </c>
      <c r="L2816" s="11">
        <v>0.0</v>
      </c>
    </row>
    <row r="2817" hidden="1">
      <c r="A2817" s="8" t="s">
        <v>2263</v>
      </c>
      <c r="B2817" s="8" t="s">
        <v>2263</v>
      </c>
      <c r="C2817" s="13">
        <v>46006.4200462963</v>
      </c>
      <c r="D2817" s="2" t="s">
        <v>1889</v>
      </c>
      <c r="E2817" s="2" t="s">
        <v>1890</v>
      </c>
      <c r="F2817" s="14" t="s">
        <v>4203</v>
      </c>
      <c r="G2817" s="14" t="s">
        <v>4204</v>
      </c>
      <c r="H2817" s="2" t="s">
        <v>24</v>
      </c>
      <c r="I2817" s="2" t="s">
        <v>3491</v>
      </c>
      <c r="J2817" s="2">
        <v>1.0</v>
      </c>
      <c r="K2817" s="23" t="s">
        <v>5338</v>
      </c>
      <c r="L2817" s="11">
        <v>0.0</v>
      </c>
    </row>
    <row r="2818" hidden="1">
      <c r="A2818" s="8" t="s">
        <v>2263</v>
      </c>
      <c r="B2818" s="8" t="s">
        <v>2263</v>
      </c>
      <c r="C2818" s="13">
        <v>46006.4200462963</v>
      </c>
      <c r="D2818" s="2" t="s">
        <v>1889</v>
      </c>
      <c r="E2818" s="2" t="s">
        <v>1890</v>
      </c>
      <c r="F2818" s="14" t="s">
        <v>3486</v>
      </c>
      <c r="G2818" s="14" t="s">
        <v>3487</v>
      </c>
      <c r="H2818" s="2" t="s">
        <v>24</v>
      </c>
      <c r="I2818" s="2" t="s">
        <v>3491</v>
      </c>
      <c r="J2818" s="2">
        <v>2.0</v>
      </c>
      <c r="K2818" s="23" t="s">
        <v>5527</v>
      </c>
      <c r="L2818" s="11">
        <v>0.0</v>
      </c>
    </row>
    <row r="2819" hidden="1">
      <c r="A2819" s="8" t="s">
        <v>2264</v>
      </c>
      <c r="B2819" s="8" t="s">
        <v>2264</v>
      </c>
      <c r="C2819" s="13">
        <v>46006.51866898148</v>
      </c>
      <c r="D2819" s="2" t="s">
        <v>1873</v>
      </c>
      <c r="E2819" s="2" t="s">
        <v>1874</v>
      </c>
      <c r="F2819" s="14" t="s">
        <v>3486</v>
      </c>
      <c r="G2819" s="14" t="s">
        <v>3487</v>
      </c>
      <c r="H2819" s="2" t="s">
        <v>16</v>
      </c>
      <c r="I2819" s="2" t="s">
        <v>3488</v>
      </c>
      <c r="J2819" s="2">
        <v>2.0</v>
      </c>
      <c r="K2819" s="23" t="s">
        <v>5528</v>
      </c>
      <c r="L2819" s="11">
        <v>70000.0</v>
      </c>
    </row>
    <row r="2820" hidden="1">
      <c r="A2820" s="8" t="s">
        <v>2265</v>
      </c>
      <c r="B2820" s="8" t="s">
        <v>2265</v>
      </c>
      <c r="C2820" s="13">
        <v>46006.521574074075</v>
      </c>
      <c r="D2820" s="2" t="s">
        <v>2266</v>
      </c>
      <c r="E2820" s="2" t="s">
        <v>2267</v>
      </c>
      <c r="F2820" s="14" t="s">
        <v>3486</v>
      </c>
      <c r="G2820" s="14" t="s">
        <v>3487</v>
      </c>
      <c r="H2820" s="2" t="s">
        <v>16</v>
      </c>
      <c r="I2820" s="2" t="s">
        <v>3488</v>
      </c>
      <c r="J2820" s="2">
        <v>2.0</v>
      </c>
      <c r="K2820" s="23" t="s">
        <v>5529</v>
      </c>
      <c r="L2820" s="11">
        <v>65000.0</v>
      </c>
    </row>
    <row r="2821" hidden="1">
      <c r="A2821" s="8" t="s">
        <v>2269</v>
      </c>
      <c r="B2821" s="8" t="s">
        <v>2269</v>
      </c>
      <c r="C2821" s="13">
        <v>46006.52193287037</v>
      </c>
      <c r="D2821" s="2" t="s">
        <v>2270</v>
      </c>
      <c r="E2821" s="2" t="s">
        <v>2271</v>
      </c>
      <c r="F2821" s="14" t="s">
        <v>3486</v>
      </c>
      <c r="G2821" s="14" t="s">
        <v>3487</v>
      </c>
      <c r="H2821" s="2" t="s">
        <v>16</v>
      </c>
      <c r="I2821" s="2" t="s">
        <v>3488</v>
      </c>
      <c r="J2821" s="2">
        <v>2.0</v>
      </c>
      <c r="K2821" s="23" t="s">
        <v>5530</v>
      </c>
      <c r="L2821" s="11">
        <v>75000.0</v>
      </c>
    </row>
    <row r="2822" hidden="1">
      <c r="A2822" s="8" t="s">
        <v>2273</v>
      </c>
      <c r="B2822" s="8" t="s">
        <v>2273</v>
      </c>
      <c r="C2822" s="13">
        <v>46006.53212962963</v>
      </c>
      <c r="D2822" s="2" t="s">
        <v>326</v>
      </c>
      <c r="E2822" s="2" t="s">
        <v>327</v>
      </c>
      <c r="F2822" s="14" t="s">
        <v>3486</v>
      </c>
      <c r="G2822" s="14" t="s">
        <v>3487</v>
      </c>
      <c r="H2822" s="2" t="s">
        <v>24</v>
      </c>
      <c r="I2822" s="2" t="s">
        <v>3491</v>
      </c>
      <c r="J2822" s="2">
        <v>11.0</v>
      </c>
      <c r="K2822" s="23" t="s">
        <v>5531</v>
      </c>
      <c r="L2822" s="11">
        <v>0.0</v>
      </c>
    </row>
    <row r="2823" hidden="1">
      <c r="A2823" s="8" t="s">
        <v>2273</v>
      </c>
      <c r="B2823" s="8" t="s">
        <v>2273</v>
      </c>
      <c r="C2823" s="13">
        <v>46006.53212962963</v>
      </c>
      <c r="D2823" s="2" t="s">
        <v>326</v>
      </c>
      <c r="E2823" s="2" t="s">
        <v>327</v>
      </c>
      <c r="F2823" s="14" t="s">
        <v>4203</v>
      </c>
      <c r="G2823" s="14" t="s">
        <v>4204</v>
      </c>
      <c r="H2823" s="2" t="s">
        <v>24</v>
      </c>
      <c r="I2823" s="2" t="s">
        <v>3491</v>
      </c>
      <c r="J2823" s="2">
        <v>2.0</v>
      </c>
      <c r="K2823" s="23" t="s">
        <v>5532</v>
      </c>
      <c r="L2823" s="11">
        <v>0.0</v>
      </c>
    </row>
    <row r="2824" hidden="1">
      <c r="A2824" s="8" t="s">
        <v>2274</v>
      </c>
      <c r="B2824" s="8" t="s">
        <v>2274</v>
      </c>
      <c r="C2824" s="13">
        <v>46006.53486111111</v>
      </c>
      <c r="D2824" s="2" t="s">
        <v>1776</v>
      </c>
      <c r="E2824" s="2" t="s">
        <v>1777</v>
      </c>
      <c r="F2824" s="14" t="s">
        <v>4203</v>
      </c>
      <c r="G2824" s="14" t="s">
        <v>4204</v>
      </c>
      <c r="H2824" s="2" t="s">
        <v>24</v>
      </c>
      <c r="I2824" s="2" t="s">
        <v>3491</v>
      </c>
      <c r="J2824" s="2">
        <v>1.0</v>
      </c>
      <c r="K2824" s="23" t="s">
        <v>4724</v>
      </c>
      <c r="L2824" s="11">
        <v>0.0</v>
      </c>
    </row>
    <row r="2825" hidden="1">
      <c r="A2825" s="8" t="s">
        <v>2275</v>
      </c>
      <c r="B2825" s="8" t="s">
        <v>2275</v>
      </c>
      <c r="C2825" s="13">
        <v>46006.53570601852</v>
      </c>
      <c r="D2825" s="2" t="s">
        <v>786</v>
      </c>
      <c r="E2825" s="2" t="s">
        <v>787</v>
      </c>
      <c r="F2825" s="14" t="s">
        <v>3516</v>
      </c>
      <c r="G2825" s="14" t="s">
        <v>3517</v>
      </c>
      <c r="H2825" s="2" t="s">
        <v>24</v>
      </c>
      <c r="I2825" s="2" t="s">
        <v>3491</v>
      </c>
      <c r="J2825" s="2">
        <v>2.0</v>
      </c>
      <c r="K2825" s="23" t="s">
        <v>5533</v>
      </c>
      <c r="L2825" s="11">
        <v>0.0</v>
      </c>
    </row>
    <row r="2826" hidden="1">
      <c r="A2826" s="8" t="s">
        <v>2276</v>
      </c>
      <c r="B2826" s="8" t="s">
        <v>2276</v>
      </c>
      <c r="C2826" s="13">
        <v>46006.57986111111</v>
      </c>
      <c r="D2826" s="2" t="s">
        <v>812</v>
      </c>
      <c r="E2826" s="2" t="s">
        <v>813</v>
      </c>
      <c r="F2826" s="14" t="s">
        <v>3506</v>
      </c>
      <c r="G2826" s="14" t="s">
        <v>3507</v>
      </c>
      <c r="H2826" s="2" t="s">
        <v>16</v>
      </c>
      <c r="I2826" s="2" t="s">
        <v>3488</v>
      </c>
      <c r="J2826" s="2">
        <v>32.0</v>
      </c>
      <c r="K2826" s="12"/>
      <c r="L2826" s="11">
        <v>50000.0</v>
      </c>
    </row>
    <row r="2827" hidden="1">
      <c r="A2827" s="8" t="s">
        <v>2277</v>
      </c>
      <c r="B2827" s="8" t="s">
        <v>2277</v>
      </c>
      <c r="C2827" s="13">
        <v>46006.580046296294</v>
      </c>
      <c r="D2827" s="2" t="s">
        <v>812</v>
      </c>
      <c r="E2827" s="2" t="s">
        <v>813</v>
      </c>
      <c r="F2827" s="14" t="s">
        <v>3506</v>
      </c>
      <c r="G2827" s="14" t="s">
        <v>3507</v>
      </c>
      <c r="H2827" s="2" t="s">
        <v>159</v>
      </c>
      <c r="I2827" s="2" t="s">
        <v>3619</v>
      </c>
      <c r="J2827" s="2">
        <v>1.0</v>
      </c>
      <c r="K2827" s="12"/>
      <c r="L2827" s="11">
        <v>0.0</v>
      </c>
    </row>
    <row r="2828" hidden="1">
      <c r="A2828" s="8" t="s">
        <v>2278</v>
      </c>
      <c r="B2828" s="8" t="s">
        <v>2278</v>
      </c>
      <c r="C2828" s="13">
        <v>46006.610451388886</v>
      </c>
      <c r="D2828" s="2" t="s">
        <v>812</v>
      </c>
      <c r="E2828" s="2" t="s">
        <v>813</v>
      </c>
      <c r="F2828" s="14" t="s">
        <v>3506</v>
      </c>
      <c r="G2828" s="14" t="s">
        <v>3507</v>
      </c>
      <c r="H2828" s="2" t="s">
        <v>24</v>
      </c>
      <c r="I2828" s="2" t="s">
        <v>3491</v>
      </c>
      <c r="J2828" s="2">
        <v>33.0</v>
      </c>
      <c r="K2828" s="12"/>
      <c r="L2828" s="11">
        <v>0.0</v>
      </c>
    </row>
    <row r="2829" hidden="1">
      <c r="A2829" s="8" t="s">
        <v>2279</v>
      </c>
      <c r="B2829" s="8" t="s">
        <v>2279</v>
      </c>
      <c r="C2829" s="13">
        <v>46006.69016203703</v>
      </c>
      <c r="D2829" s="2" t="s">
        <v>786</v>
      </c>
      <c r="E2829" s="2" t="s">
        <v>787</v>
      </c>
      <c r="F2829" s="14" t="s">
        <v>3486</v>
      </c>
      <c r="G2829" s="14" t="s">
        <v>3487</v>
      </c>
      <c r="H2829" s="2" t="s">
        <v>16</v>
      </c>
      <c r="I2829" s="2" t="s">
        <v>3488</v>
      </c>
      <c r="J2829" s="2">
        <v>6.0</v>
      </c>
      <c r="K2829" s="23" t="s">
        <v>5534</v>
      </c>
      <c r="L2829" s="11">
        <v>60000.0</v>
      </c>
    </row>
    <row r="2830" hidden="1">
      <c r="A2830" s="8" t="s">
        <v>2280</v>
      </c>
      <c r="B2830" s="8" t="s">
        <v>2280</v>
      </c>
      <c r="C2830" s="13">
        <v>46007.35030092593</v>
      </c>
      <c r="D2830" s="2" t="s">
        <v>2005</v>
      </c>
      <c r="E2830" s="2" t="s">
        <v>2006</v>
      </c>
      <c r="F2830" s="14" t="s">
        <v>4203</v>
      </c>
      <c r="G2830" s="14" t="s">
        <v>4204</v>
      </c>
      <c r="H2830" s="2" t="s">
        <v>16</v>
      </c>
      <c r="I2830" s="2" t="s">
        <v>3488</v>
      </c>
      <c r="J2830" s="2">
        <v>3.0</v>
      </c>
      <c r="K2830" s="23" t="s">
        <v>5535</v>
      </c>
      <c r="L2830" s="11">
        <v>60000.0</v>
      </c>
    </row>
    <row r="2831" hidden="1">
      <c r="A2831" s="8" t="s">
        <v>2280</v>
      </c>
      <c r="B2831" s="8" t="s">
        <v>2280</v>
      </c>
      <c r="C2831" s="13">
        <v>46007.35030092593</v>
      </c>
      <c r="D2831" s="2" t="s">
        <v>2005</v>
      </c>
      <c r="E2831" s="2" t="s">
        <v>2006</v>
      </c>
      <c r="F2831" s="14" t="s">
        <v>3486</v>
      </c>
      <c r="G2831" s="14" t="s">
        <v>3487</v>
      </c>
      <c r="H2831" s="2" t="s">
        <v>16</v>
      </c>
      <c r="I2831" s="2" t="s">
        <v>3488</v>
      </c>
      <c r="J2831" s="2">
        <v>5.0</v>
      </c>
      <c r="K2831" s="23" t="s">
        <v>5536</v>
      </c>
      <c r="L2831" s="11">
        <v>65000.0</v>
      </c>
    </row>
    <row r="2832" hidden="1">
      <c r="A2832" s="8" t="s">
        <v>2280</v>
      </c>
      <c r="B2832" s="8" t="s">
        <v>2280</v>
      </c>
      <c r="C2832" s="13">
        <v>46007.35030092593</v>
      </c>
      <c r="D2832" s="2" t="s">
        <v>2005</v>
      </c>
      <c r="E2832" s="2" t="s">
        <v>2006</v>
      </c>
      <c r="F2832" s="14" t="s">
        <v>3493</v>
      </c>
      <c r="G2832" s="14" t="s">
        <v>3494</v>
      </c>
      <c r="H2832" s="2" t="s">
        <v>16</v>
      </c>
      <c r="I2832" s="2" t="s">
        <v>3488</v>
      </c>
      <c r="J2832" s="2">
        <v>2.0</v>
      </c>
      <c r="K2832" s="23" t="s">
        <v>4670</v>
      </c>
      <c r="L2832" s="11">
        <v>215000.0</v>
      </c>
    </row>
    <row r="2833" hidden="1">
      <c r="A2833" s="8" t="s">
        <v>2281</v>
      </c>
      <c r="B2833" s="8" t="s">
        <v>2281</v>
      </c>
      <c r="C2833" s="13">
        <v>46007.3566087963</v>
      </c>
      <c r="D2833" s="2" t="s">
        <v>1838</v>
      </c>
      <c r="E2833" s="2" t="s">
        <v>1839</v>
      </c>
      <c r="F2833" s="14" t="s">
        <v>3486</v>
      </c>
      <c r="G2833" s="14" t="s">
        <v>3487</v>
      </c>
      <c r="H2833" s="2" t="s">
        <v>16</v>
      </c>
      <c r="I2833" s="2" t="s">
        <v>3488</v>
      </c>
      <c r="J2833" s="2">
        <v>1.0</v>
      </c>
      <c r="K2833" s="23" t="s">
        <v>4724</v>
      </c>
      <c r="L2833" s="11">
        <v>80000.0</v>
      </c>
    </row>
    <row r="2834" hidden="1">
      <c r="A2834" s="8" t="s">
        <v>2282</v>
      </c>
      <c r="B2834" s="8" t="s">
        <v>2282</v>
      </c>
      <c r="C2834" s="13">
        <v>46007.35724537037</v>
      </c>
      <c r="D2834" s="2" t="s">
        <v>2131</v>
      </c>
      <c r="E2834" s="2" t="s">
        <v>2171</v>
      </c>
      <c r="F2834" s="14" t="s">
        <v>4203</v>
      </c>
      <c r="G2834" s="14" t="s">
        <v>4204</v>
      </c>
      <c r="H2834" s="2" t="s">
        <v>24</v>
      </c>
      <c r="I2834" s="2" t="s">
        <v>3491</v>
      </c>
      <c r="J2834" s="2">
        <v>5.0</v>
      </c>
      <c r="K2834" s="23" t="s">
        <v>5537</v>
      </c>
      <c r="L2834" s="11">
        <v>0.0</v>
      </c>
    </row>
    <row r="2835" hidden="1">
      <c r="A2835" s="8" t="s">
        <v>2282</v>
      </c>
      <c r="B2835" s="8" t="s">
        <v>2282</v>
      </c>
      <c r="C2835" s="13">
        <v>46007.35724537037</v>
      </c>
      <c r="D2835" s="2" t="s">
        <v>2131</v>
      </c>
      <c r="E2835" s="2" t="s">
        <v>2171</v>
      </c>
      <c r="F2835" s="14" t="s">
        <v>3486</v>
      </c>
      <c r="G2835" s="14" t="s">
        <v>3487</v>
      </c>
      <c r="H2835" s="2" t="s">
        <v>24</v>
      </c>
      <c r="I2835" s="2" t="s">
        <v>3491</v>
      </c>
      <c r="J2835" s="2">
        <v>7.0</v>
      </c>
      <c r="K2835" s="23" t="s">
        <v>5538</v>
      </c>
      <c r="L2835" s="11">
        <v>0.0</v>
      </c>
    </row>
    <row r="2836" hidden="1">
      <c r="A2836" s="8" t="s">
        <v>2282</v>
      </c>
      <c r="B2836" s="8" t="s">
        <v>2282</v>
      </c>
      <c r="C2836" s="13">
        <v>46007.35724537037</v>
      </c>
      <c r="D2836" s="2" t="s">
        <v>2131</v>
      </c>
      <c r="E2836" s="2" t="s">
        <v>2171</v>
      </c>
      <c r="F2836" s="14" t="s">
        <v>3493</v>
      </c>
      <c r="G2836" s="14" t="s">
        <v>3494</v>
      </c>
      <c r="H2836" s="2" t="s">
        <v>24</v>
      </c>
      <c r="I2836" s="2" t="s">
        <v>3491</v>
      </c>
      <c r="J2836" s="2">
        <v>1.0</v>
      </c>
      <c r="K2836" s="23" t="s">
        <v>4688</v>
      </c>
      <c r="L2836" s="11">
        <v>0.0</v>
      </c>
    </row>
    <row r="2837" hidden="1">
      <c r="A2837" s="8" t="s">
        <v>2283</v>
      </c>
      <c r="B2837" s="8" t="s">
        <v>2283</v>
      </c>
      <c r="C2837" s="13">
        <v>46007.36577546296</v>
      </c>
      <c r="D2837" s="2" t="s">
        <v>679</v>
      </c>
      <c r="E2837" s="2" t="s">
        <v>680</v>
      </c>
      <c r="F2837" s="14" t="s">
        <v>3486</v>
      </c>
      <c r="G2837" s="14" t="s">
        <v>3487</v>
      </c>
      <c r="H2837" s="2" t="s">
        <v>24</v>
      </c>
      <c r="I2837" s="2" t="s">
        <v>3491</v>
      </c>
      <c r="J2837" s="2">
        <v>2.0</v>
      </c>
      <c r="K2837" s="23" t="s">
        <v>5539</v>
      </c>
      <c r="L2837" s="11">
        <v>0.0</v>
      </c>
    </row>
    <row r="2838" hidden="1">
      <c r="A2838" s="8" t="s">
        <v>2284</v>
      </c>
      <c r="B2838" s="8" t="s">
        <v>2284</v>
      </c>
      <c r="C2838" s="13">
        <v>46007.42722222222</v>
      </c>
      <c r="D2838" s="2" t="s">
        <v>2005</v>
      </c>
      <c r="E2838" s="2" t="s">
        <v>2006</v>
      </c>
      <c r="F2838" s="14" t="s">
        <v>3486</v>
      </c>
      <c r="G2838" s="14" t="s">
        <v>3487</v>
      </c>
      <c r="H2838" s="2" t="s">
        <v>24</v>
      </c>
      <c r="I2838" s="2" t="s">
        <v>3491</v>
      </c>
      <c r="J2838" s="2">
        <v>1.0</v>
      </c>
      <c r="K2838" s="23" t="s">
        <v>4502</v>
      </c>
      <c r="L2838" s="11">
        <v>0.0</v>
      </c>
    </row>
    <row r="2839" hidden="1">
      <c r="A2839" s="8" t="s">
        <v>2284</v>
      </c>
      <c r="B2839" s="8" t="s">
        <v>2284</v>
      </c>
      <c r="C2839" s="13">
        <v>46007.42722222222</v>
      </c>
      <c r="D2839" s="2" t="s">
        <v>2005</v>
      </c>
      <c r="E2839" s="2" t="s">
        <v>2006</v>
      </c>
      <c r="F2839" s="14" t="s">
        <v>3493</v>
      </c>
      <c r="G2839" s="14" t="s">
        <v>3494</v>
      </c>
      <c r="H2839" s="2" t="s">
        <v>24</v>
      </c>
      <c r="I2839" s="2" t="s">
        <v>3491</v>
      </c>
      <c r="J2839" s="2">
        <v>2.0</v>
      </c>
      <c r="K2839" s="23" t="s">
        <v>4670</v>
      </c>
      <c r="L2839" s="11">
        <v>0.0</v>
      </c>
    </row>
    <row r="2840" hidden="1">
      <c r="A2840" s="8" t="s">
        <v>2284</v>
      </c>
      <c r="B2840" s="8" t="s">
        <v>2284</v>
      </c>
      <c r="C2840" s="13">
        <v>46007.42722222222</v>
      </c>
      <c r="D2840" s="2" t="s">
        <v>2005</v>
      </c>
      <c r="E2840" s="2" t="s">
        <v>2006</v>
      </c>
      <c r="F2840" s="14" t="s">
        <v>4203</v>
      </c>
      <c r="G2840" s="14" t="s">
        <v>4204</v>
      </c>
      <c r="H2840" s="2" t="s">
        <v>24</v>
      </c>
      <c r="I2840" s="2" t="s">
        <v>3491</v>
      </c>
      <c r="J2840" s="2">
        <v>5.0</v>
      </c>
      <c r="K2840" s="23" t="s">
        <v>5540</v>
      </c>
      <c r="L2840" s="11">
        <v>0.0</v>
      </c>
    </row>
    <row r="2841" hidden="1">
      <c r="A2841" s="8" t="s">
        <v>2285</v>
      </c>
      <c r="B2841" s="8" t="s">
        <v>2285</v>
      </c>
      <c r="C2841" s="13">
        <v>46007.62226851852</v>
      </c>
      <c r="D2841" s="2" t="s">
        <v>1084</v>
      </c>
      <c r="E2841" s="2" t="s">
        <v>1085</v>
      </c>
      <c r="F2841" s="14" t="s">
        <v>3486</v>
      </c>
      <c r="G2841" s="14" t="s">
        <v>3487</v>
      </c>
      <c r="H2841" s="2" t="s">
        <v>24</v>
      </c>
      <c r="I2841" s="2" t="s">
        <v>3491</v>
      </c>
      <c r="J2841" s="2">
        <v>2.0</v>
      </c>
      <c r="K2841" s="23" t="s">
        <v>5541</v>
      </c>
      <c r="L2841" s="11">
        <v>0.0</v>
      </c>
    </row>
    <row r="2842" hidden="1">
      <c r="A2842" s="8" t="s">
        <v>2286</v>
      </c>
      <c r="B2842" s="8" t="s">
        <v>2286</v>
      </c>
      <c r="C2842" s="13">
        <v>46007.622662037036</v>
      </c>
      <c r="D2842" s="2" t="s">
        <v>1993</v>
      </c>
      <c r="E2842" s="2" t="s">
        <v>1994</v>
      </c>
      <c r="F2842" s="14" t="s">
        <v>3486</v>
      </c>
      <c r="G2842" s="14" t="s">
        <v>3487</v>
      </c>
      <c r="H2842" s="2" t="s">
        <v>24</v>
      </c>
      <c r="I2842" s="2" t="s">
        <v>3491</v>
      </c>
      <c r="J2842" s="2">
        <v>4.0</v>
      </c>
      <c r="K2842" s="23" t="s">
        <v>5542</v>
      </c>
      <c r="L2842" s="11">
        <v>0.0</v>
      </c>
    </row>
    <row r="2843" hidden="1">
      <c r="A2843" s="8" t="s">
        <v>2287</v>
      </c>
      <c r="B2843" s="8" t="s">
        <v>2287</v>
      </c>
      <c r="C2843" s="13">
        <v>46007.62378472222</v>
      </c>
      <c r="D2843" s="2" t="s">
        <v>49</v>
      </c>
      <c r="E2843" s="2" t="s">
        <v>50</v>
      </c>
      <c r="F2843" s="14" t="s">
        <v>3486</v>
      </c>
      <c r="G2843" s="14" t="s">
        <v>3487</v>
      </c>
      <c r="H2843" s="2" t="s">
        <v>24</v>
      </c>
      <c r="I2843" s="2" t="s">
        <v>3491</v>
      </c>
      <c r="J2843" s="2">
        <v>2.0</v>
      </c>
      <c r="K2843" s="23" t="s">
        <v>5543</v>
      </c>
      <c r="L2843" s="11">
        <v>0.0</v>
      </c>
    </row>
    <row r="2844" hidden="1">
      <c r="A2844" s="8" t="s">
        <v>2288</v>
      </c>
      <c r="B2844" s="8" t="s">
        <v>2288</v>
      </c>
      <c r="C2844" s="13">
        <v>46007.62871527778</v>
      </c>
      <c r="D2844" s="2" t="s">
        <v>2131</v>
      </c>
      <c r="E2844" s="2" t="s">
        <v>2171</v>
      </c>
      <c r="F2844" s="14" t="s">
        <v>3493</v>
      </c>
      <c r="G2844" s="14" t="s">
        <v>3494</v>
      </c>
      <c r="H2844" s="2" t="s">
        <v>16</v>
      </c>
      <c r="I2844" s="2" t="s">
        <v>3488</v>
      </c>
      <c r="J2844" s="2">
        <v>1.0</v>
      </c>
      <c r="K2844" s="23" t="s">
        <v>4688</v>
      </c>
      <c r="L2844" s="11">
        <v>210000.0</v>
      </c>
    </row>
    <row r="2845" hidden="1">
      <c r="A2845" s="8" t="s">
        <v>2288</v>
      </c>
      <c r="B2845" s="8" t="s">
        <v>2288</v>
      </c>
      <c r="C2845" s="13">
        <v>46007.62871527778</v>
      </c>
      <c r="D2845" s="2" t="s">
        <v>2131</v>
      </c>
      <c r="E2845" s="2" t="s">
        <v>2171</v>
      </c>
      <c r="F2845" s="14" t="s">
        <v>3486</v>
      </c>
      <c r="G2845" s="14" t="s">
        <v>3487</v>
      </c>
      <c r="H2845" s="2" t="s">
        <v>16</v>
      </c>
      <c r="I2845" s="2" t="s">
        <v>3488</v>
      </c>
      <c r="J2845" s="2">
        <v>5.0</v>
      </c>
      <c r="K2845" s="23" t="s">
        <v>5544</v>
      </c>
      <c r="L2845" s="11">
        <v>60000.0</v>
      </c>
    </row>
    <row r="2846" hidden="1">
      <c r="A2846" s="8" t="s">
        <v>2288</v>
      </c>
      <c r="B2846" s="8" t="s">
        <v>2288</v>
      </c>
      <c r="C2846" s="13">
        <v>46007.62871527778</v>
      </c>
      <c r="D2846" s="2" t="s">
        <v>2131</v>
      </c>
      <c r="E2846" s="2" t="s">
        <v>2171</v>
      </c>
      <c r="F2846" s="14" t="s">
        <v>4203</v>
      </c>
      <c r="G2846" s="14" t="s">
        <v>4204</v>
      </c>
      <c r="H2846" s="2" t="s">
        <v>16</v>
      </c>
      <c r="I2846" s="2" t="s">
        <v>3488</v>
      </c>
      <c r="J2846" s="2">
        <v>10.0</v>
      </c>
      <c r="K2846" s="23" t="s">
        <v>5545</v>
      </c>
      <c r="L2846" s="11">
        <v>60000.0</v>
      </c>
    </row>
    <row r="2847" hidden="1">
      <c r="A2847" s="8" t="s">
        <v>2289</v>
      </c>
      <c r="B2847" s="8" t="s">
        <v>2289</v>
      </c>
      <c r="C2847" s="13">
        <v>46007.64796296296</v>
      </c>
      <c r="D2847" s="2" t="s">
        <v>786</v>
      </c>
      <c r="E2847" s="2" t="s">
        <v>787</v>
      </c>
      <c r="F2847" s="14" t="s">
        <v>3486</v>
      </c>
      <c r="G2847" s="14" t="s">
        <v>3487</v>
      </c>
      <c r="H2847" s="2" t="s">
        <v>16</v>
      </c>
      <c r="I2847" s="2" t="s">
        <v>3488</v>
      </c>
      <c r="J2847" s="2">
        <v>5.0</v>
      </c>
      <c r="K2847" s="23" t="s">
        <v>5546</v>
      </c>
      <c r="L2847" s="11">
        <v>60000.0</v>
      </c>
    </row>
    <row r="2848" hidden="1">
      <c r="A2848" s="8" t="s">
        <v>2290</v>
      </c>
      <c r="B2848" s="8" t="s">
        <v>2290</v>
      </c>
      <c r="C2848" s="13">
        <v>46007.64859953704</v>
      </c>
      <c r="D2848" s="2" t="s">
        <v>1993</v>
      </c>
      <c r="E2848" s="2" t="s">
        <v>1994</v>
      </c>
      <c r="F2848" s="14" t="s">
        <v>3486</v>
      </c>
      <c r="G2848" s="14" t="s">
        <v>3487</v>
      </c>
      <c r="H2848" s="2" t="s">
        <v>16</v>
      </c>
      <c r="I2848" s="2" t="s">
        <v>3488</v>
      </c>
      <c r="J2848" s="2">
        <v>5.0</v>
      </c>
      <c r="K2848" s="23" t="s">
        <v>5547</v>
      </c>
      <c r="L2848" s="11">
        <v>65000.0</v>
      </c>
    </row>
    <row r="2849" hidden="1">
      <c r="A2849" s="8" t="s">
        <v>2289</v>
      </c>
      <c r="B2849" s="8" t="s">
        <v>2289</v>
      </c>
      <c r="C2849" s="13">
        <v>46007.64796296296</v>
      </c>
      <c r="D2849" s="2" t="s">
        <v>786</v>
      </c>
      <c r="E2849" s="2" t="s">
        <v>787</v>
      </c>
      <c r="F2849" s="14" t="s">
        <v>3516</v>
      </c>
      <c r="G2849" s="14" t="s">
        <v>3517</v>
      </c>
      <c r="H2849" s="2" t="s">
        <v>16</v>
      </c>
      <c r="I2849" s="2" t="s">
        <v>3488</v>
      </c>
      <c r="J2849" s="2">
        <v>2.0</v>
      </c>
      <c r="K2849" s="23" t="s">
        <v>5548</v>
      </c>
      <c r="L2849" s="11">
        <v>180000.0</v>
      </c>
    </row>
    <row r="2850" hidden="1">
      <c r="A2850" s="8" t="s">
        <v>2291</v>
      </c>
      <c r="B2850" s="8" t="s">
        <v>2291</v>
      </c>
      <c r="C2850" s="13">
        <v>46007.66018518519</v>
      </c>
      <c r="D2850" s="2" t="s">
        <v>309</v>
      </c>
      <c r="E2850" s="2" t="s">
        <v>310</v>
      </c>
      <c r="F2850" s="14" t="s">
        <v>3516</v>
      </c>
      <c r="G2850" s="14" t="s">
        <v>3517</v>
      </c>
      <c r="H2850" s="2" t="s">
        <v>24</v>
      </c>
      <c r="I2850" s="2" t="s">
        <v>3491</v>
      </c>
      <c r="J2850" s="2">
        <v>2.0</v>
      </c>
      <c r="K2850" s="23" t="s">
        <v>5242</v>
      </c>
      <c r="L2850" s="11">
        <v>0.0</v>
      </c>
    </row>
    <row r="2851" hidden="1">
      <c r="A2851" s="8" t="s">
        <v>2291</v>
      </c>
      <c r="B2851" s="8" t="s">
        <v>2291</v>
      </c>
      <c r="C2851" s="13">
        <v>46007.66018518519</v>
      </c>
      <c r="D2851" s="2" t="s">
        <v>309</v>
      </c>
      <c r="E2851" s="2" t="s">
        <v>310</v>
      </c>
      <c r="F2851" s="14" t="s">
        <v>4045</v>
      </c>
      <c r="G2851" s="14" t="s">
        <v>4046</v>
      </c>
      <c r="H2851" s="2" t="s">
        <v>24</v>
      </c>
      <c r="I2851" s="2" t="s">
        <v>3491</v>
      </c>
      <c r="J2851" s="2">
        <v>1.0</v>
      </c>
      <c r="K2851" s="23" t="s">
        <v>4688</v>
      </c>
      <c r="L2851" s="11">
        <v>0.0</v>
      </c>
    </row>
    <row r="2852" hidden="1">
      <c r="A2852" s="8" t="s">
        <v>2291</v>
      </c>
      <c r="B2852" s="8" t="s">
        <v>2291</v>
      </c>
      <c r="C2852" s="13">
        <v>46007.66018518519</v>
      </c>
      <c r="D2852" s="2" t="s">
        <v>309</v>
      </c>
      <c r="E2852" s="2" t="s">
        <v>310</v>
      </c>
      <c r="F2852" s="14" t="s">
        <v>3506</v>
      </c>
      <c r="G2852" s="14" t="s">
        <v>3507</v>
      </c>
      <c r="H2852" s="2" t="s">
        <v>24</v>
      </c>
      <c r="I2852" s="2" t="s">
        <v>3491</v>
      </c>
      <c r="J2852" s="2">
        <v>13.0</v>
      </c>
      <c r="K2852" s="12"/>
      <c r="L2852" s="11">
        <v>0.0</v>
      </c>
    </row>
    <row r="2853" hidden="1">
      <c r="A2853" s="1"/>
      <c r="B2853" s="1"/>
      <c r="C2853" s="13"/>
      <c r="D2853" s="2"/>
      <c r="E2853" s="2"/>
      <c r="F2853" s="14"/>
      <c r="G2853" s="14"/>
      <c r="H2853" s="2"/>
      <c r="I2853" s="2"/>
      <c r="J2853" s="2"/>
      <c r="K2853" s="12"/>
      <c r="L2853" s="11"/>
    </row>
    <row r="2854" hidden="1">
      <c r="A2854" s="8" t="s">
        <v>2292</v>
      </c>
      <c r="B2854" s="8" t="s">
        <v>2292</v>
      </c>
      <c r="C2854" s="13">
        <v>46007.66123842593</v>
      </c>
      <c r="D2854" s="2" t="s">
        <v>1228</v>
      </c>
      <c r="E2854" s="2" t="s">
        <v>1229</v>
      </c>
      <c r="F2854" s="14" t="s">
        <v>3486</v>
      </c>
      <c r="G2854" s="14" t="s">
        <v>3487</v>
      </c>
      <c r="H2854" s="2" t="s">
        <v>24</v>
      </c>
      <c r="I2854" s="2" t="s">
        <v>3491</v>
      </c>
      <c r="J2854" s="2">
        <v>4.0</v>
      </c>
      <c r="K2854" s="23" t="s">
        <v>5549</v>
      </c>
      <c r="L2854" s="11">
        <v>0.0</v>
      </c>
    </row>
    <row r="2855" hidden="1">
      <c r="A2855" s="8" t="s">
        <v>2293</v>
      </c>
      <c r="B2855" s="8" t="s">
        <v>2293</v>
      </c>
      <c r="C2855" s="13">
        <v>46008.356886574074</v>
      </c>
      <c r="D2855" s="2" t="s">
        <v>786</v>
      </c>
      <c r="E2855" s="2" t="s">
        <v>787</v>
      </c>
      <c r="F2855" s="14" t="s">
        <v>3486</v>
      </c>
      <c r="G2855" s="14" t="s">
        <v>3487</v>
      </c>
      <c r="H2855" s="2" t="s">
        <v>24</v>
      </c>
      <c r="I2855" s="2" t="s">
        <v>3491</v>
      </c>
      <c r="J2855" s="2">
        <v>5.0</v>
      </c>
      <c r="K2855" s="23" t="s">
        <v>5550</v>
      </c>
      <c r="L2855" s="11">
        <v>0.0</v>
      </c>
    </row>
    <row r="2856" hidden="1">
      <c r="A2856" s="8" t="s">
        <v>2293</v>
      </c>
      <c r="B2856" s="8" t="s">
        <v>2293</v>
      </c>
      <c r="C2856" s="13">
        <v>46008.356886574074</v>
      </c>
      <c r="D2856" s="2" t="s">
        <v>786</v>
      </c>
      <c r="E2856" s="2" t="s">
        <v>787</v>
      </c>
      <c r="F2856" s="14" t="s">
        <v>3516</v>
      </c>
      <c r="G2856" s="14" t="s">
        <v>3517</v>
      </c>
      <c r="H2856" s="2" t="s">
        <v>24</v>
      </c>
      <c r="I2856" s="2" t="s">
        <v>3491</v>
      </c>
      <c r="J2856" s="2">
        <v>1.0</v>
      </c>
      <c r="K2856" s="23" t="s">
        <v>4941</v>
      </c>
      <c r="L2856" s="11">
        <v>0.0</v>
      </c>
    </row>
    <row r="2857" hidden="1">
      <c r="A2857" s="8" t="s">
        <v>2294</v>
      </c>
      <c r="B2857" s="8" t="s">
        <v>2294</v>
      </c>
      <c r="C2857" s="13">
        <v>46008.35888888889</v>
      </c>
      <c r="D2857" s="2" t="s">
        <v>464</v>
      </c>
      <c r="E2857" s="2" t="s">
        <v>465</v>
      </c>
      <c r="F2857" s="14" t="s">
        <v>4203</v>
      </c>
      <c r="G2857" s="14" t="s">
        <v>4204</v>
      </c>
      <c r="H2857" s="2" t="s">
        <v>16</v>
      </c>
      <c r="I2857" s="2" t="s">
        <v>3488</v>
      </c>
      <c r="J2857" s="2">
        <v>2.0</v>
      </c>
      <c r="K2857" s="23" t="s">
        <v>5539</v>
      </c>
      <c r="L2857" s="11">
        <v>55000.0</v>
      </c>
    </row>
    <row r="2858" hidden="1">
      <c r="A2858" s="8" t="s">
        <v>2295</v>
      </c>
      <c r="B2858" s="8" t="s">
        <v>2295</v>
      </c>
      <c r="C2858" s="13">
        <v>46008.375555555554</v>
      </c>
      <c r="D2858" s="2" t="s">
        <v>309</v>
      </c>
      <c r="E2858" s="2" t="s">
        <v>310</v>
      </c>
      <c r="F2858" s="14" t="s">
        <v>3506</v>
      </c>
      <c r="G2858" s="14" t="s">
        <v>3507</v>
      </c>
      <c r="H2858" s="2" t="s">
        <v>16</v>
      </c>
      <c r="I2858" s="2" t="s">
        <v>3488</v>
      </c>
      <c r="J2858" s="2">
        <v>13.0</v>
      </c>
      <c r="K2858" s="23" t="s">
        <v>5551</v>
      </c>
      <c r="L2858" s="11">
        <v>55000.0</v>
      </c>
    </row>
    <row r="2859" hidden="1">
      <c r="A2859" s="8" t="s">
        <v>2295</v>
      </c>
      <c r="B2859" s="8" t="s">
        <v>2295</v>
      </c>
      <c r="C2859" s="13">
        <v>46008.375555555554</v>
      </c>
      <c r="D2859" s="2" t="s">
        <v>309</v>
      </c>
      <c r="E2859" s="2" t="s">
        <v>310</v>
      </c>
      <c r="F2859" s="14" t="s">
        <v>3516</v>
      </c>
      <c r="G2859" s="14" t="s">
        <v>3517</v>
      </c>
      <c r="H2859" s="2" t="s">
        <v>16</v>
      </c>
      <c r="I2859" s="2" t="s">
        <v>3488</v>
      </c>
      <c r="J2859" s="2">
        <v>1.0</v>
      </c>
      <c r="K2859" s="23" t="s">
        <v>4671</v>
      </c>
      <c r="L2859" s="11">
        <v>160000.0</v>
      </c>
      <c r="N2859" s="2" t="s">
        <v>5552</v>
      </c>
    </row>
    <row r="2860" hidden="1">
      <c r="A2860" s="8" t="s">
        <v>2296</v>
      </c>
      <c r="B2860" s="8" t="s">
        <v>2296</v>
      </c>
      <c r="C2860" s="13">
        <v>46008.416817129626</v>
      </c>
      <c r="D2860" s="2" t="s">
        <v>213</v>
      </c>
      <c r="E2860" s="2" t="s">
        <v>214</v>
      </c>
      <c r="F2860" s="14" t="s">
        <v>4203</v>
      </c>
      <c r="G2860" s="14" t="s">
        <v>4204</v>
      </c>
      <c r="H2860" s="2" t="s">
        <v>16</v>
      </c>
      <c r="I2860" s="2" t="s">
        <v>3488</v>
      </c>
      <c r="J2860" s="2">
        <v>3.0</v>
      </c>
      <c r="K2860" s="23" t="s">
        <v>5553</v>
      </c>
      <c r="L2860" s="11">
        <v>60000.0</v>
      </c>
      <c r="N2860" s="2" t="s">
        <v>5554</v>
      </c>
    </row>
    <row r="2861" hidden="1">
      <c r="A2861" s="8" t="s">
        <v>2296</v>
      </c>
      <c r="B2861" s="8" t="s">
        <v>2296</v>
      </c>
      <c r="C2861" s="13">
        <v>46008.416817129626</v>
      </c>
      <c r="D2861" s="2" t="s">
        <v>213</v>
      </c>
      <c r="E2861" s="2" t="s">
        <v>214</v>
      </c>
      <c r="F2861" s="14" t="s">
        <v>3486</v>
      </c>
      <c r="G2861" s="14" t="s">
        <v>3487</v>
      </c>
      <c r="H2861" s="2" t="s">
        <v>16</v>
      </c>
      <c r="I2861" s="2" t="s">
        <v>3488</v>
      </c>
      <c r="J2861" s="2">
        <v>7.0</v>
      </c>
      <c r="K2861" s="23" t="s">
        <v>5555</v>
      </c>
      <c r="L2861" s="11">
        <v>60000.0</v>
      </c>
    </row>
    <row r="2862" hidden="1">
      <c r="A2862" s="8" t="s">
        <v>2297</v>
      </c>
      <c r="B2862" s="8" t="s">
        <v>2297</v>
      </c>
      <c r="C2862" s="13">
        <v>46008.42153935185</v>
      </c>
      <c r="D2862" s="2" t="s">
        <v>464</v>
      </c>
      <c r="E2862" s="2" t="s">
        <v>465</v>
      </c>
      <c r="F2862" s="14" t="s">
        <v>4203</v>
      </c>
      <c r="G2862" s="14" t="s">
        <v>4204</v>
      </c>
      <c r="H2862" s="2" t="s">
        <v>24</v>
      </c>
      <c r="I2862" s="2" t="s">
        <v>3491</v>
      </c>
      <c r="J2862" s="2">
        <v>1.0</v>
      </c>
      <c r="K2862" s="23" t="s">
        <v>5556</v>
      </c>
      <c r="L2862" s="11">
        <v>0.0</v>
      </c>
    </row>
    <row r="2863" hidden="1">
      <c r="A2863" s="8" t="s">
        <v>2297</v>
      </c>
      <c r="B2863" s="8" t="s">
        <v>2297</v>
      </c>
      <c r="C2863" s="13">
        <v>46008.42153935185</v>
      </c>
      <c r="D2863" s="2" t="s">
        <v>464</v>
      </c>
      <c r="E2863" s="2" t="s">
        <v>465</v>
      </c>
      <c r="F2863" s="14" t="s">
        <v>3506</v>
      </c>
      <c r="G2863" s="14" t="s">
        <v>3507</v>
      </c>
      <c r="H2863" s="2" t="s">
        <v>24</v>
      </c>
      <c r="I2863" s="2" t="s">
        <v>3491</v>
      </c>
      <c r="J2863" s="2">
        <v>5.0</v>
      </c>
      <c r="K2863" s="23" t="s">
        <v>5557</v>
      </c>
      <c r="L2863" s="11">
        <v>0.0</v>
      </c>
    </row>
    <row r="2864" hidden="1">
      <c r="A2864" s="8" t="s">
        <v>2298</v>
      </c>
      <c r="B2864" s="8" t="s">
        <v>2298</v>
      </c>
      <c r="C2864" s="13">
        <v>46009.34777777778</v>
      </c>
      <c r="D2864" s="2" t="s">
        <v>1228</v>
      </c>
      <c r="E2864" s="2" t="s">
        <v>1229</v>
      </c>
      <c r="F2864" s="14" t="s">
        <v>3493</v>
      </c>
      <c r="G2864" s="14" t="s">
        <v>3494</v>
      </c>
      <c r="H2864" s="2" t="s">
        <v>16</v>
      </c>
      <c r="I2864" s="2" t="s">
        <v>3488</v>
      </c>
      <c r="J2864" s="2">
        <v>1.0</v>
      </c>
      <c r="K2864" s="23" t="s">
        <v>4688</v>
      </c>
      <c r="L2864" s="11">
        <v>210000.0</v>
      </c>
    </row>
    <row r="2865" hidden="1">
      <c r="A2865" s="8" t="s">
        <v>2298</v>
      </c>
      <c r="B2865" s="8" t="s">
        <v>2298</v>
      </c>
      <c r="C2865" s="13">
        <v>46009.34777777778</v>
      </c>
      <c r="D2865" s="2" t="s">
        <v>1228</v>
      </c>
      <c r="E2865" s="2" t="s">
        <v>1229</v>
      </c>
      <c r="F2865" s="14" t="s">
        <v>3486</v>
      </c>
      <c r="G2865" s="14" t="s">
        <v>3487</v>
      </c>
      <c r="H2865" s="2" t="s">
        <v>16</v>
      </c>
      <c r="I2865" s="2" t="s">
        <v>3488</v>
      </c>
      <c r="J2865" s="2">
        <v>5.0</v>
      </c>
      <c r="K2865" s="23" t="s">
        <v>5558</v>
      </c>
      <c r="L2865" s="11">
        <v>55000.0</v>
      </c>
    </row>
    <row r="2866" hidden="1">
      <c r="A2866" s="8" t="s">
        <v>2299</v>
      </c>
      <c r="B2866" s="8" t="s">
        <v>2299</v>
      </c>
      <c r="C2866" s="13">
        <v>46008.61765046296</v>
      </c>
      <c r="D2866" s="2" t="s">
        <v>55</v>
      </c>
      <c r="E2866" s="2" t="s">
        <v>56</v>
      </c>
      <c r="F2866" s="14" t="s">
        <v>3486</v>
      </c>
      <c r="G2866" s="14" t="s">
        <v>3487</v>
      </c>
      <c r="H2866" s="2" t="s">
        <v>16</v>
      </c>
      <c r="I2866" s="2" t="s">
        <v>3488</v>
      </c>
      <c r="J2866" s="2">
        <v>2.0</v>
      </c>
      <c r="K2866" s="23" t="s">
        <v>5559</v>
      </c>
      <c r="L2866" s="11">
        <v>60000.0</v>
      </c>
    </row>
    <row r="2867" hidden="1">
      <c r="A2867" s="8" t="s">
        <v>2299</v>
      </c>
      <c r="B2867" s="8" t="s">
        <v>2299</v>
      </c>
      <c r="C2867" s="13">
        <v>46008.61765046296</v>
      </c>
      <c r="D2867" s="2" t="s">
        <v>55</v>
      </c>
      <c r="E2867" s="2" t="s">
        <v>56</v>
      </c>
      <c r="F2867" s="14" t="s">
        <v>3516</v>
      </c>
      <c r="G2867" s="14" t="s">
        <v>3517</v>
      </c>
      <c r="H2867" s="2" t="s">
        <v>16</v>
      </c>
      <c r="I2867" s="2" t="s">
        <v>3488</v>
      </c>
      <c r="J2867" s="2">
        <v>2.0</v>
      </c>
      <c r="K2867" s="23" t="s">
        <v>5560</v>
      </c>
      <c r="L2867" s="11">
        <v>190000.0</v>
      </c>
    </row>
    <row r="2868" hidden="1">
      <c r="A2868" s="8" t="s">
        <v>2300</v>
      </c>
      <c r="B2868" s="8" t="s">
        <v>2300</v>
      </c>
      <c r="C2868" s="13">
        <v>46008.62008101852</v>
      </c>
      <c r="D2868" s="2" t="s">
        <v>213</v>
      </c>
      <c r="E2868" s="2" t="s">
        <v>214</v>
      </c>
      <c r="F2868" s="14" t="s">
        <v>3486</v>
      </c>
      <c r="G2868" s="14" t="s">
        <v>3487</v>
      </c>
      <c r="H2868" s="2" t="s">
        <v>24</v>
      </c>
      <c r="I2868" s="2" t="s">
        <v>3491</v>
      </c>
      <c r="J2868" s="2">
        <v>5.0</v>
      </c>
      <c r="K2868" s="23" t="s">
        <v>5561</v>
      </c>
      <c r="L2868" s="11">
        <v>0.0</v>
      </c>
    </row>
    <row r="2869" hidden="1">
      <c r="A2869" s="8" t="s">
        <v>2301</v>
      </c>
      <c r="B2869" s="8" t="s">
        <v>2301</v>
      </c>
      <c r="C2869" s="13">
        <v>46008.459710648145</v>
      </c>
      <c r="D2869" s="2" t="s">
        <v>2131</v>
      </c>
      <c r="E2869" s="2" t="s">
        <v>2132</v>
      </c>
      <c r="F2869" s="14" t="s">
        <v>4203</v>
      </c>
      <c r="G2869" s="14" t="s">
        <v>4204</v>
      </c>
      <c r="H2869" s="2" t="s">
        <v>24</v>
      </c>
      <c r="I2869" s="2" t="s">
        <v>3491</v>
      </c>
      <c r="J2869" s="2">
        <v>5.0</v>
      </c>
      <c r="K2869" s="23" t="s">
        <v>5562</v>
      </c>
      <c r="L2869" s="11">
        <v>0.0</v>
      </c>
    </row>
    <row r="2870" hidden="1">
      <c r="A2870" s="8" t="s">
        <v>2301</v>
      </c>
      <c r="B2870" s="8" t="s">
        <v>2301</v>
      </c>
      <c r="C2870" s="13">
        <v>46008.459710648145</v>
      </c>
      <c r="D2870" s="2" t="s">
        <v>2131</v>
      </c>
      <c r="E2870" s="2" t="s">
        <v>2132</v>
      </c>
      <c r="F2870" s="14" t="s">
        <v>3486</v>
      </c>
      <c r="G2870" s="14" t="s">
        <v>3487</v>
      </c>
      <c r="H2870" s="2" t="s">
        <v>24</v>
      </c>
      <c r="I2870" s="2" t="s">
        <v>3491</v>
      </c>
      <c r="J2870" s="2">
        <v>6.0</v>
      </c>
      <c r="K2870" s="23" t="s">
        <v>5563</v>
      </c>
      <c r="L2870" s="11">
        <v>0.0</v>
      </c>
    </row>
    <row r="2871" hidden="1">
      <c r="A2871" s="8" t="s">
        <v>2302</v>
      </c>
      <c r="B2871" s="8" t="s">
        <v>2302</v>
      </c>
      <c r="C2871" s="13">
        <v>46008.68491898148</v>
      </c>
      <c r="D2871" s="2" t="s">
        <v>1776</v>
      </c>
      <c r="E2871" s="2" t="s">
        <v>1777</v>
      </c>
      <c r="F2871" s="14" t="s">
        <v>4203</v>
      </c>
      <c r="G2871" s="14" t="s">
        <v>4204</v>
      </c>
      <c r="H2871" s="2" t="s">
        <v>16</v>
      </c>
      <c r="I2871" s="2" t="s">
        <v>3488</v>
      </c>
      <c r="J2871" s="2">
        <v>1.0</v>
      </c>
      <c r="K2871" s="23" t="s">
        <v>4724</v>
      </c>
      <c r="L2871" s="11">
        <v>80000.0</v>
      </c>
    </row>
    <row r="2872" hidden="1">
      <c r="A2872" s="8" t="s">
        <v>2303</v>
      </c>
      <c r="B2872" s="8" t="s">
        <v>2303</v>
      </c>
      <c r="C2872" s="13">
        <v>46009.34375</v>
      </c>
      <c r="D2872" s="2" t="s">
        <v>464</v>
      </c>
      <c r="E2872" s="2" t="s">
        <v>465</v>
      </c>
      <c r="F2872" s="14" t="s">
        <v>3506</v>
      </c>
      <c r="G2872" s="14" t="s">
        <v>3507</v>
      </c>
      <c r="H2872" s="2" t="s">
        <v>16</v>
      </c>
      <c r="I2872" s="2" t="s">
        <v>3488</v>
      </c>
      <c r="J2872" s="2">
        <v>5.0</v>
      </c>
      <c r="K2872" s="23" t="s">
        <v>5564</v>
      </c>
      <c r="L2872" s="11">
        <v>55000.0</v>
      </c>
    </row>
    <row r="2873" hidden="1">
      <c r="A2873" s="8" t="s">
        <v>2303</v>
      </c>
      <c r="B2873" s="8" t="s">
        <v>2303</v>
      </c>
      <c r="C2873" s="13">
        <v>46009.34375</v>
      </c>
      <c r="D2873" s="2" t="s">
        <v>464</v>
      </c>
      <c r="E2873" s="2" t="s">
        <v>465</v>
      </c>
      <c r="F2873" s="14" t="s">
        <v>5565</v>
      </c>
      <c r="G2873" s="14" t="s">
        <v>5566</v>
      </c>
      <c r="H2873" s="2" t="s">
        <v>16</v>
      </c>
      <c r="I2873" s="2" t="s">
        <v>3488</v>
      </c>
      <c r="J2873" s="2">
        <v>3.0</v>
      </c>
      <c r="K2873" s="12"/>
      <c r="L2873" s="11">
        <v>30000.0</v>
      </c>
    </row>
    <row r="2874" hidden="1">
      <c r="A2874" s="8" t="s">
        <v>2303</v>
      </c>
      <c r="B2874" s="8" t="s">
        <v>2303</v>
      </c>
      <c r="C2874" s="13">
        <v>46009.34375</v>
      </c>
      <c r="D2874" s="2" t="s">
        <v>464</v>
      </c>
      <c r="E2874" s="2" t="s">
        <v>465</v>
      </c>
      <c r="F2874" s="14" t="s">
        <v>5567</v>
      </c>
      <c r="G2874" s="14" t="s">
        <v>5568</v>
      </c>
      <c r="H2874" s="2" t="s">
        <v>16</v>
      </c>
      <c r="I2874" s="2" t="s">
        <v>3488</v>
      </c>
      <c r="J2874" s="2">
        <v>1.0</v>
      </c>
      <c r="K2874" s="12"/>
      <c r="L2874" s="11">
        <v>20000.0</v>
      </c>
    </row>
    <row r="2875" hidden="1">
      <c r="A2875" s="8" t="s">
        <v>2303</v>
      </c>
      <c r="B2875" s="8" t="s">
        <v>2303</v>
      </c>
      <c r="C2875" s="13">
        <v>46009.34375</v>
      </c>
      <c r="D2875" s="2" t="s">
        <v>464</v>
      </c>
      <c r="E2875" s="2" t="s">
        <v>465</v>
      </c>
      <c r="F2875" s="14" t="s">
        <v>5569</v>
      </c>
      <c r="G2875" s="14" t="s">
        <v>5570</v>
      </c>
      <c r="H2875" s="2" t="s">
        <v>16</v>
      </c>
      <c r="I2875" s="2" t="s">
        <v>3488</v>
      </c>
      <c r="J2875" s="2">
        <v>2.0</v>
      </c>
      <c r="K2875" s="12"/>
      <c r="L2875" s="11">
        <v>15000.0</v>
      </c>
    </row>
    <row r="2876" hidden="1">
      <c r="A2876" s="8" t="s">
        <v>2304</v>
      </c>
      <c r="B2876" s="8" t="s">
        <v>2304</v>
      </c>
      <c r="C2876" s="13">
        <v>46009.35177083333</v>
      </c>
      <c r="D2876" s="2" t="s">
        <v>309</v>
      </c>
      <c r="E2876" s="2" t="s">
        <v>310</v>
      </c>
      <c r="F2876" s="14" t="s">
        <v>4045</v>
      </c>
      <c r="G2876" s="14" t="s">
        <v>4046</v>
      </c>
      <c r="H2876" s="2" t="s">
        <v>16</v>
      </c>
      <c r="I2876" s="2" t="s">
        <v>3488</v>
      </c>
      <c r="J2876" s="2">
        <v>1.0</v>
      </c>
      <c r="K2876" s="23" t="s">
        <v>4688</v>
      </c>
      <c r="L2876" s="11">
        <v>160000.0</v>
      </c>
    </row>
    <row r="2877" hidden="1">
      <c r="A2877" s="8" t="s">
        <v>2305</v>
      </c>
      <c r="B2877" s="8" t="s">
        <v>2305</v>
      </c>
      <c r="C2877" s="13">
        <v>46009.360439814816</v>
      </c>
      <c r="D2877" s="2" t="s">
        <v>2131</v>
      </c>
      <c r="E2877" s="2" t="s">
        <v>2171</v>
      </c>
      <c r="F2877" s="14" t="s">
        <v>4203</v>
      </c>
      <c r="G2877" s="14" t="s">
        <v>4204</v>
      </c>
      <c r="H2877" s="2" t="s">
        <v>16</v>
      </c>
      <c r="I2877" s="2" t="s">
        <v>3488</v>
      </c>
      <c r="J2877" s="2">
        <v>5.0</v>
      </c>
      <c r="K2877" s="23" t="s">
        <v>5571</v>
      </c>
      <c r="L2877" s="11">
        <v>60000.0</v>
      </c>
    </row>
    <row r="2878" hidden="1">
      <c r="A2878" s="8" t="s">
        <v>2305</v>
      </c>
      <c r="B2878" s="8" t="s">
        <v>2305</v>
      </c>
      <c r="C2878" s="13">
        <v>46009.360439814816</v>
      </c>
      <c r="D2878" s="2" t="s">
        <v>2131</v>
      </c>
      <c r="E2878" s="2" t="s">
        <v>2171</v>
      </c>
      <c r="F2878" s="14" t="s">
        <v>3486</v>
      </c>
      <c r="G2878" s="14" t="s">
        <v>3487</v>
      </c>
      <c r="H2878" s="2" t="s">
        <v>16</v>
      </c>
      <c r="I2878" s="2" t="s">
        <v>3488</v>
      </c>
      <c r="J2878" s="2">
        <v>5.0</v>
      </c>
      <c r="K2878" s="23" t="s">
        <v>5572</v>
      </c>
      <c r="L2878" s="11">
        <v>60000.0</v>
      </c>
    </row>
    <row r="2879" hidden="1">
      <c r="A2879" s="8" t="s">
        <v>2306</v>
      </c>
      <c r="B2879" s="8" t="s">
        <v>2306</v>
      </c>
      <c r="C2879" s="13">
        <v>46009.371099537035</v>
      </c>
      <c r="D2879" s="2" t="s">
        <v>55</v>
      </c>
      <c r="E2879" s="2" t="s">
        <v>56</v>
      </c>
      <c r="F2879" s="14" t="s">
        <v>3486</v>
      </c>
      <c r="G2879" s="14" t="s">
        <v>3487</v>
      </c>
      <c r="H2879" s="2" t="s">
        <v>24</v>
      </c>
      <c r="I2879" s="2" t="s">
        <v>3491</v>
      </c>
      <c r="J2879" s="2">
        <v>1.0</v>
      </c>
      <c r="K2879" s="23" t="s">
        <v>3957</v>
      </c>
      <c r="L2879" s="11">
        <v>0.0</v>
      </c>
    </row>
    <row r="2880" hidden="1">
      <c r="A2880" s="8" t="s">
        <v>2306</v>
      </c>
      <c r="B2880" s="8" t="s">
        <v>2306</v>
      </c>
      <c r="C2880" s="13">
        <v>46009.371099537035</v>
      </c>
      <c r="D2880" s="2" t="s">
        <v>55</v>
      </c>
      <c r="E2880" s="2" t="s">
        <v>56</v>
      </c>
      <c r="F2880" s="14" t="s">
        <v>3516</v>
      </c>
      <c r="G2880" s="14" t="s">
        <v>3517</v>
      </c>
      <c r="H2880" s="2" t="s">
        <v>24</v>
      </c>
      <c r="I2880" s="2" t="s">
        <v>3491</v>
      </c>
      <c r="J2880" s="2">
        <v>1.0</v>
      </c>
      <c r="K2880" s="23" t="s">
        <v>4967</v>
      </c>
      <c r="L2880" s="11">
        <v>0.0</v>
      </c>
    </row>
    <row r="2881" hidden="1">
      <c r="A2881" s="8" t="s">
        <v>2307</v>
      </c>
      <c r="B2881" s="8" t="s">
        <v>2307</v>
      </c>
      <c r="C2881" s="13">
        <v>46009.37175925926</v>
      </c>
      <c r="D2881" s="2" t="s">
        <v>1776</v>
      </c>
      <c r="E2881" s="2" t="s">
        <v>1777</v>
      </c>
      <c r="F2881" s="14" t="s">
        <v>4203</v>
      </c>
      <c r="G2881" s="14" t="s">
        <v>4204</v>
      </c>
      <c r="H2881" s="2" t="s">
        <v>24</v>
      </c>
      <c r="I2881" s="2" t="s">
        <v>3491</v>
      </c>
      <c r="J2881" s="2">
        <v>1.0</v>
      </c>
      <c r="K2881" s="23" t="s">
        <v>5522</v>
      </c>
      <c r="L2881" s="11">
        <v>0.0</v>
      </c>
    </row>
    <row r="2882" hidden="1">
      <c r="A2882" s="8" t="s">
        <v>2308</v>
      </c>
      <c r="B2882" s="8" t="s">
        <v>2308</v>
      </c>
      <c r="C2882" s="13">
        <v>46009.47892361111</v>
      </c>
      <c r="D2882" s="2" t="s">
        <v>2131</v>
      </c>
      <c r="E2882" s="2" t="s">
        <v>2171</v>
      </c>
      <c r="F2882" s="14" t="s">
        <v>3493</v>
      </c>
      <c r="G2882" s="14" t="s">
        <v>3494</v>
      </c>
      <c r="H2882" s="2" t="s">
        <v>24</v>
      </c>
      <c r="I2882" s="2" t="s">
        <v>3491</v>
      </c>
      <c r="J2882" s="2">
        <v>2.0</v>
      </c>
      <c r="K2882" s="23" t="s">
        <v>4670</v>
      </c>
      <c r="L2882" s="11">
        <v>0.0</v>
      </c>
    </row>
    <row r="2883" hidden="1">
      <c r="A2883" s="8" t="s">
        <v>2308</v>
      </c>
      <c r="B2883" s="8" t="s">
        <v>2308</v>
      </c>
      <c r="C2883" s="13">
        <v>46009.47892361111</v>
      </c>
      <c r="D2883" s="2" t="s">
        <v>2131</v>
      </c>
      <c r="E2883" s="2" t="s">
        <v>2171</v>
      </c>
      <c r="F2883" s="14" t="s">
        <v>3486</v>
      </c>
      <c r="G2883" s="14" t="s">
        <v>3487</v>
      </c>
      <c r="H2883" s="2" t="s">
        <v>24</v>
      </c>
      <c r="I2883" s="2" t="s">
        <v>3491</v>
      </c>
      <c r="J2883" s="2">
        <v>3.0</v>
      </c>
      <c r="K2883" s="23" t="s">
        <v>5573</v>
      </c>
      <c r="L2883" s="11">
        <v>0.0</v>
      </c>
    </row>
    <row r="2884" hidden="1">
      <c r="A2884" s="8" t="s">
        <v>2308</v>
      </c>
      <c r="B2884" s="8" t="s">
        <v>2308</v>
      </c>
      <c r="C2884" s="13">
        <v>46009.47892361111</v>
      </c>
      <c r="D2884" s="2" t="s">
        <v>2131</v>
      </c>
      <c r="E2884" s="2" t="s">
        <v>2171</v>
      </c>
      <c r="F2884" s="14" t="s">
        <v>4203</v>
      </c>
      <c r="G2884" s="14" t="s">
        <v>4204</v>
      </c>
      <c r="H2884" s="2" t="s">
        <v>24</v>
      </c>
      <c r="I2884" s="2" t="s">
        <v>3491</v>
      </c>
      <c r="J2884" s="2">
        <v>2.0</v>
      </c>
      <c r="K2884" s="23" t="s">
        <v>5574</v>
      </c>
      <c r="L2884" s="11">
        <v>0.0</v>
      </c>
    </row>
    <row r="2885" hidden="1">
      <c r="A2885" s="8" t="s">
        <v>2309</v>
      </c>
      <c r="B2885" s="8" t="s">
        <v>2309</v>
      </c>
      <c r="C2885" s="13">
        <v>46009.48459490741</v>
      </c>
      <c r="D2885" s="2" t="s">
        <v>1756</v>
      </c>
      <c r="E2885" s="2" t="s">
        <v>1757</v>
      </c>
      <c r="F2885" s="14" t="s">
        <v>3486</v>
      </c>
      <c r="G2885" s="14" t="s">
        <v>3487</v>
      </c>
      <c r="H2885" s="2" t="s">
        <v>16</v>
      </c>
      <c r="I2885" s="2" t="s">
        <v>3488</v>
      </c>
      <c r="J2885" s="2">
        <v>4.0</v>
      </c>
      <c r="K2885" s="23" t="s">
        <v>5575</v>
      </c>
      <c r="L2885" s="11">
        <v>65000.0</v>
      </c>
    </row>
    <row r="2886" hidden="1">
      <c r="A2886" s="8" t="s">
        <v>2310</v>
      </c>
      <c r="B2886" s="8" t="s">
        <v>2310</v>
      </c>
      <c r="C2886" s="13">
        <v>46009.49364583333</v>
      </c>
      <c r="D2886" s="2" t="s">
        <v>464</v>
      </c>
      <c r="E2886" s="2" t="s">
        <v>465</v>
      </c>
      <c r="F2886" s="14" t="s">
        <v>4203</v>
      </c>
      <c r="G2886" s="14" t="s">
        <v>4204</v>
      </c>
      <c r="H2886" s="2" t="s">
        <v>24</v>
      </c>
      <c r="I2886" s="2" t="s">
        <v>3491</v>
      </c>
      <c r="J2886" s="2">
        <v>1.0</v>
      </c>
      <c r="K2886" s="23" t="s">
        <v>5576</v>
      </c>
      <c r="L2886" s="11">
        <v>0.0</v>
      </c>
    </row>
    <row r="2887" hidden="1">
      <c r="A2887" s="8" t="s">
        <v>2311</v>
      </c>
      <c r="B2887" s="8" t="s">
        <v>2311</v>
      </c>
      <c r="C2887" s="13">
        <v>46009.494363425925</v>
      </c>
      <c r="D2887" s="2" t="s">
        <v>679</v>
      </c>
      <c r="E2887" s="2" t="s">
        <v>680</v>
      </c>
      <c r="F2887" s="14" t="s">
        <v>3486</v>
      </c>
      <c r="G2887" s="14" t="s">
        <v>3487</v>
      </c>
      <c r="H2887" s="2" t="s">
        <v>24</v>
      </c>
      <c r="I2887" s="2" t="s">
        <v>3491</v>
      </c>
      <c r="J2887" s="2">
        <v>1.0</v>
      </c>
      <c r="K2887" s="23" t="s">
        <v>5577</v>
      </c>
      <c r="L2887" s="11">
        <v>0.0</v>
      </c>
    </row>
    <row r="2888" hidden="1">
      <c r="A2888" s="8" t="s">
        <v>2311</v>
      </c>
      <c r="B2888" s="8" t="s">
        <v>2311</v>
      </c>
      <c r="C2888" s="13">
        <v>46009.494363425925</v>
      </c>
      <c r="D2888" s="2" t="s">
        <v>679</v>
      </c>
      <c r="E2888" s="2" t="s">
        <v>680</v>
      </c>
      <c r="F2888" s="14" t="s">
        <v>3493</v>
      </c>
      <c r="G2888" s="14" t="s">
        <v>3494</v>
      </c>
      <c r="H2888" s="2" t="s">
        <v>24</v>
      </c>
      <c r="I2888" s="2" t="s">
        <v>3491</v>
      </c>
      <c r="J2888" s="2">
        <v>1.0</v>
      </c>
      <c r="K2888" s="23" t="s">
        <v>4688</v>
      </c>
      <c r="L2888" s="11">
        <v>0.0</v>
      </c>
    </row>
    <row r="2889" hidden="1">
      <c r="A2889" s="8" t="s">
        <v>2312</v>
      </c>
      <c r="B2889" s="8" t="s">
        <v>2312</v>
      </c>
      <c r="C2889" s="13">
        <v>46009.59060185185</v>
      </c>
      <c r="D2889" s="2" t="s">
        <v>786</v>
      </c>
      <c r="E2889" s="2" t="s">
        <v>787</v>
      </c>
      <c r="F2889" s="14" t="s">
        <v>3516</v>
      </c>
      <c r="G2889" s="14" t="s">
        <v>3517</v>
      </c>
      <c r="H2889" s="2" t="s">
        <v>16</v>
      </c>
      <c r="I2889" s="2" t="s">
        <v>3488</v>
      </c>
      <c r="J2889" s="2">
        <v>4.0</v>
      </c>
      <c r="K2889" s="23" t="s">
        <v>5578</v>
      </c>
      <c r="L2889" s="11">
        <v>180000.0</v>
      </c>
    </row>
    <row r="2890" hidden="1">
      <c r="A2890" s="8" t="s">
        <v>2313</v>
      </c>
      <c r="B2890" s="8" t="s">
        <v>2313</v>
      </c>
      <c r="C2890" s="13">
        <v>46009.591875</v>
      </c>
      <c r="D2890" s="2" t="s">
        <v>2081</v>
      </c>
      <c r="E2890" s="2" t="s">
        <v>2082</v>
      </c>
      <c r="F2890" s="14" t="s">
        <v>3506</v>
      </c>
      <c r="G2890" s="14" t="s">
        <v>3507</v>
      </c>
      <c r="H2890" s="2" t="s">
        <v>16</v>
      </c>
      <c r="I2890" s="2" t="s">
        <v>3488</v>
      </c>
      <c r="J2890" s="2">
        <v>1.0</v>
      </c>
      <c r="K2890" s="23" t="s">
        <v>4688</v>
      </c>
      <c r="L2890" s="11">
        <v>60000.0</v>
      </c>
    </row>
    <row r="2891" hidden="1">
      <c r="A2891" s="8" t="s">
        <v>2314</v>
      </c>
      <c r="B2891" s="8" t="s">
        <v>2314</v>
      </c>
      <c r="C2891" s="13">
        <v>46009.599583333336</v>
      </c>
      <c r="D2891" s="2" t="s">
        <v>1756</v>
      </c>
      <c r="E2891" s="2" t="s">
        <v>1757</v>
      </c>
      <c r="F2891" s="14" t="s">
        <v>4203</v>
      </c>
      <c r="G2891" s="14" t="s">
        <v>4204</v>
      </c>
      <c r="H2891" s="2" t="s">
        <v>24</v>
      </c>
      <c r="I2891" s="2" t="s">
        <v>3491</v>
      </c>
      <c r="J2891" s="2">
        <v>3.0</v>
      </c>
      <c r="K2891" s="23" t="s">
        <v>5579</v>
      </c>
      <c r="L2891" s="11">
        <v>0.0</v>
      </c>
    </row>
    <row r="2892" hidden="1">
      <c r="A2892" s="8" t="s">
        <v>2314</v>
      </c>
      <c r="B2892" s="8" t="s">
        <v>2314</v>
      </c>
      <c r="C2892" s="13">
        <v>46009.599583333336</v>
      </c>
      <c r="D2892" s="2" t="s">
        <v>1756</v>
      </c>
      <c r="E2892" s="2" t="s">
        <v>1757</v>
      </c>
      <c r="F2892" s="14" t="s">
        <v>3486</v>
      </c>
      <c r="G2892" s="14" t="s">
        <v>3487</v>
      </c>
      <c r="H2892" s="2" t="s">
        <v>24</v>
      </c>
      <c r="I2892" s="2" t="s">
        <v>3491</v>
      </c>
      <c r="J2892" s="2">
        <v>2.0</v>
      </c>
      <c r="K2892" s="23" t="s">
        <v>5580</v>
      </c>
      <c r="L2892" s="11">
        <v>0.0</v>
      </c>
    </row>
    <row r="2893" hidden="1">
      <c r="A2893" s="8" t="s">
        <v>2315</v>
      </c>
      <c r="B2893" s="8" t="s">
        <v>2315</v>
      </c>
      <c r="C2893" s="13">
        <v>46009.602372685185</v>
      </c>
      <c r="D2893" s="2" t="s">
        <v>786</v>
      </c>
      <c r="E2893" s="2" t="s">
        <v>787</v>
      </c>
      <c r="F2893" s="14" t="s">
        <v>3516</v>
      </c>
      <c r="G2893" s="14" t="s">
        <v>3517</v>
      </c>
      <c r="H2893" s="2" t="s">
        <v>24</v>
      </c>
      <c r="I2893" s="2" t="s">
        <v>3491</v>
      </c>
      <c r="J2893" s="2">
        <v>4.0</v>
      </c>
      <c r="K2893" s="23" t="s">
        <v>5581</v>
      </c>
      <c r="L2893" s="11">
        <v>0.0</v>
      </c>
    </row>
    <row r="2894" hidden="1">
      <c r="A2894" s="8" t="s">
        <v>2315</v>
      </c>
      <c r="B2894" s="8" t="s">
        <v>2315</v>
      </c>
      <c r="C2894" s="13">
        <v>46009.602372685185</v>
      </c>
      <c r="D2894" s="2" t="s">
        <v>786</v>
      </c>
      <c r="E2894" s="2" t="s">
        <v>787</v>
      </c>
      <c r="F2894" s="14" t="s">
        <v>3486</v>
      </c>
      <c r="G2894" s="14" t="s">
        <v>3487</v>
      </c>
      <c r="H2894" s="2" t="s">
        <v>24</v>
      </c>
      <c r="I2894" s="2" t="s">
        <v>3491</v>
      </c>
      <c r="J2894" s="2">
        <v>2.0</v>
      </c>
      <c r="K2894" s="23" t="s">
        <v>5582</v>
      </c>
      <c r="L2894" s="11">
        <v>0.0</v>
      </c>
    </row>
    <row r="2895" hidden="1">
      <c r="A2895" s="8" t="s">
        <v>2315</v>
      </c>
      <c r="B2895" s="8" t="s">
        <v>2315</v>
      </c>
      <c r="C2895" s="13">
        <v>46009.602372685185</v>
      </c>
      <c r="D2895" s="2" t="s">
        <v>786</v>
      </c>
      <c r="E2895" s="2" t="s">
        <v>787</v>
      </c>
      <c r="F2895" s="14" t="s">
        <v>4203</v>
      </c>
      <c r="G2895" s="14" t="s">
        <v>4204</v>
      </c>
      <c r="H2895" s="2" t="s">
        <v>24</v>
      </c>
      <c r="I2895" s="2" t="s">
        <v>3491</v>
      </c>
      <c r="J2895" s="2">
        <v>2.0</v>
      </c>
      <c r="K2895" s="23" t="s">
        <v>5583</v>
      </c>
      <c r="L2895" s="11">
        <v>0.0</v>
      </c>
    </row>
    <row r="2896" hidden="1">
      <c r="A2896" s="8" t="s">
        <v>2316</v>
      </c>
      <c r="B2896" s="8" t="s">
        <v>2316</v>
      </c>
      <c r="C2896" s="13">
        <v>46009.70923611111</v>
      </c>
      <c r="D2896" s="2" t="s">
        <v>951</v>
      </c>
      <c r="E2896" s="2" t="s">
        <v>952</v>
      </c>
      <c r="F2896" s="14" t="s">
        <v>3486</v>
      </c>
      <c r="G2896" s="14" t="s">
        <v>3487</v>
      </c>
      <c r="H2896" s="2" t="s">
        <v>16</v>
      </c>
      <c r="I2896" s="2" t="s">
        <v>3488</v>
      </c>
      <c r="J2896" s="2">
        <v>4.0</v>
      </c>
      <c r="K2896" s="23" t="s">
        <v>5584</v>
      </c>
      <c r="L2896" s="11">
        <v>55000.0</v>
      </c>
    </row>
    <row r="2897" hidden="1">
      <c r="A2897" s="8" t="s">
        <v>2317</v>
      </c>
      <c r="B2897" s="8" t="s">
        <v>2317</v>
      </c>
      <c r="C2897" s="13">
        <v>46010.3491087963</v>
      </c>
      <c r="D2897" s="2" t="s">
        <v>109</v>
      </c>
      <c r="E2897" s="2" t="s">
        <v>110</v>
      </c>
      <c r="F2897" s="14" t="s">
        <v>3486</v>
      </c>
      <c r="G2897" s="14" t="s">
        <v>3487</v>
      </c>
      <c r="H2897" s="2" t="s">
        <v>24</v>
      </c>
      <c r="I2897" s="2" t="s">
        <v>3491</v>
      </c>
      <c r="J2897" s="2">
        <v>1.0</v>
      </c>
      <c r="K2897" s="23" t="s">
        <v>4207</v>
      </c>
      <c r="L2897" s="11">
        <v>0.0</v>
      </c>
    </row>
    <row r="2898" hidden="1">
      <c r="A2898" s="8" t="s">
        <v>2318</v>
      </c>
      <c r="B2898" s="8" t="s">
        <v>2318</v>
      </c>
      <c r="C2898" s="13">
        <v>46010.35034722222</v>
      </c>
      <c r="D2898" s="2" t="s">
        <v>2081</v>
      </c>
      <c r="E2898" s="2" t="s">
        <v>2082</v>
      </c>
      <c r="F2898" s="14" t="s">
        <v>3506</v>
      </c>
      <c r="G2898" s="14" t="s">
        <v>3507</v>
      </c>
      <c r="H2898" s="2" t="s">
        <v>24</v>
      </c>
      <c r="I2898" s="2" t="s">
        <v>3491</v>
      </c>
      <c r="J2898" s="2">
        <v>2.0</v>
      </c>
      <c r="K2898" s="23" t="s">
        <v>4670</v>
      </c>
      <c r="L2898" s="11">
        <v>0.0</v>
      </c>
    </row>
    <row r="2899" hidden="1">
      <c r="A2899" s="8" t="s">
        <v>2319</v>
      </c>
      <c r="B2899" s="8" t="s">
        <v>2319</v>
      </c>
      <c r="C2899" s="13">
        <v>46010.35325231482</v>
      </c>
      <c r="D2899" s="2" t="s">
        <v>1776</v>
      </c>
      <c r="E2899" s="2" t="s">
        <v>1777</v>
      </c>
      <c r="F2899" s="14" t="s">
        <v>4203</v>
      </c>
      <c r="G2899" s="14" t="s">
        <v>4204</v>
      </c>
      <c r="H2899" s="2" t="s">
        <v>16</v>
      </c>
      <c r="I2899" s="2" t="s">
        <v>3488</v>
      </c>
      <c r="J2899" s="2">
        <v>1.0</v>
      </c>
      <c r="K2899" s="23" t="s">
        <v>5585</v>
      </c>
      <c r="L2899" s="11">
        <v>80000.0</v>
      </c>
    </row>
    <row r="2900" hidden="1">
      <c r="A2900" s="8" t="s">
        <v>2320</v>
      </c>
      <c r="B2900" s="8" t="s">
        <v>2320</v>
      </c>
      <c r="C2900" s="13">
        <v>46010.3596412037</v>
      </c>
      <c r="D2900" s="2" t="s">
        <v>951</v>
      </c>
      <c r="E2900" s="2" t="s">
        <v>952</v>
      </c>
      <c r="F2900" s="14" t="s">
        <v>3486</v>
      </c>
      <c r="G2900" s="14" t="s">
        <v>3487</v>
      </c>
      <c r="H2900" s="2" t="s">
        <v>24</v>
      </c>
      <c r="I2900" s="2" t="s">
        <v>3491</v>
      </c>
      <c r="J2900" s="2">
        <v>3.0</v>
      </c>
      <c r="K2900" s="23" t="s">
        <v>5586</v>
      </c>
      <c r="L2900" s="11">
        <v>0.0</v>
      </c>
    </row>
    <row r="2901" hidden="1">
      <c r="A2901" s="8" t="s">
        <v>2320</v>
      </c>
      <c r="B2901" s="8" t="s">
        <v>2320</v>
      </c>
      <c r="C2901" s="13">
        <v>46010.3596412037</v>
      </c>
      <c r="D2901" s="2" t="s">
        <v>951</v>
      </c>
      <c r="E2901" s="2" t="s">
        <v>952</v>
      </c>
      <c r="F2901" s="14" t="s">
        <v>3516</v>
      </c>
      <c r="G2901" s="14" t="s">
        <v>3517</v>
      </c>
      <c r="H2901" s="2" t="s">
        <v>24</v>
      </c>
      <c r="I2901" s="2" t="s">
        <v>3491</v>
      </c>
      <c r="J2901" s="2">
        <v>1.0</v>
      </c>
      <c r="K2901" s="23" t="s">
        <v>4948</v>
      </c>
      <c r="L2901" s="11">
        <v>0.0</v>
      </c>
    </row>
    <row r="2902" hidden="1">
      <c r="A2902" s="8" t="s">
        <v>2320</v>
      </c>
      <c r="B2902" s="8" t="s">
        <v>2320</v>
      </c>
      <c r="C2902" s="13">
        <v>46010.3596412037</v>
      </c>
      <c r="D2902" s="2" t="s">
        <v>951</v>
      </c>
      <c r="E2902" s="2" t="s">
        <v>952</v>
      </c>
      <c r="F2902" s="14" t="s">
        <v>4203</v>
      </c>
      <c r="G2902" s="14" t="s">
        <v>4204</v>
      </c>
      <c r="H2902" s="2" t="s">
        <v>24</v>
      </c>
      <c r="I2902" s="2" t="s">
        <v>3491</v>
      </c>
      <c r="J2902" s="2">
        <v>2.0</v>
      </c>
      <c r="K2902" s="23" t="s">
        <v>5501</v>
      </c>
      <c r="L2902" s="11">
        <v>0.0</v>
      </c>
    </row>
    <row r="2903" hidden="1">
      <c r="A2903" s="8" t="s">
        <v>2321</v>
      </c>
      <c r="B2903" s="8" t="s">
        <v>2321</v>
      </c>
      <c r="C2903" s="13">
        <v>46010.371770833335</v>
      </c>
      <c r="D2903" s="2" t="s">
        <v>1776</v>
      </c>
      <c r="E2903" s="2" t="s">
        <v>1777</v>
      </c>
      <c r="F2903" s="14" t="s">
        <v>4203</v>
      </c>
      <c r="G2903" s="14" t="s">
        <v>4204</v>
      </c>
      <c r="H2903" s="2" t="s">
        <v>24</v>
      </c>
      <c r="I2903" s="2" t="s">
        <v>3491</v>
      </c>
      <c r="J2903" s="2">
        <v>1.0</v>
      </c>
      <c r="K2903" s="23" t="s">
        <v>4724</v>
      </c>
      <c r="L2903" s="11">
        <v>0.0</v>
      </c>
    </row>
    <row r="2904" hidden="1">
      <c r="A2904" s="8" t="s">
        <v>2315</v>
      </c>
      <c r="B2904" s="8" t="s">
        <v>2315</v>
      </c>
      <c r="C2904" s="13">
        <v>46009.602372685185</v>
      </c>
      <c r="D2904" s="2" t="s">
        <v>786</v>
      </c>
      <c r="E2904" s="2" t="s">
        <v>787</v>
      </c>
      <c r="F2904" s="14" t="s">
        <v>3506</v>
      </c>
      <c r="G2904" s="14" t="s">
        <v>3507</v>
      </c>
      <c r="H2904" s="2" t="s">
        <v>24</v>
      </c>
      <c r="I2904" s="2" t="s">
        <v>3491</v>
      </c>
      <c r="J2904" s="2">
        <v>1.0</v>
      </c>
      <c r="K2904" s="23" t="s">
        <v>4688</v>
      </c>
      <c r="L2904" s="11">
        <v>0.0</v>
      </c>
    </row>
    <row r="2905" hidden="1">
      <c r="A2905" s="8" t="s">
        <v>2322</v>
      </c>
      <c r="B2905" s="8" t="s">
        <v>2322</v>
      </c>
      <c r="C2905" s="13">
        <v>46010.39685185185</v>
      </c>
      <c r="D2905" s="2" t="s">
        <v>1993</v>
      </c>
      <c r="E2905" s="2" t="s">
        <v>1994</v>
      </c>
      <c r="F2905" s="14" t="s">
        <v>3493</v>
      </c>
      <c r="G2905" s="14" t="s">
        <v>3494</v>
      </c>
      <c r="H2905" s="2" t="s">
        <v>16</v>
      </c>
      <c r="I2905" s="2" t="s">
        <v>3488</v>
      </c>
      <c r="J2905" s="2">
        <v>2.0</v>
      </c>
      <c r="K2905" s="23" t="s">
        <v>4670</v>
      </c>
      <c r="L2905" s="11">
        <v>200000.0</v>
      </c>
    </row>
    <row r="2906" hidden="1">
      <c r="A2906" s="8" t="s">
        <v>2322</v>
      </c>
      <c r="B2906" s="8" t="s">
        <v>2322</v>
      </c>
      <c r="C2906" s="13">
        <v>46010.39685185185</v>
      </c>
      <c r="D2906" s="2" t="s">
        <v>1993</v>
      </c>
      <c r="E2906" s="2" t="s">
        <v>1994</v>
      </c>
      <c r="F2906" s="14" t="s">
        <v>3516</v>
      </c>
      <c r="G2906" s="14" t="s">
        <v>3517</v>
      </c>
      <c r="H2906" s="2" t="s">
        <v>16</v>
      </c>
      <c r="I2906" s="2" t="s">
        <v>3488</v>
      </c>
      <c r="J2906" s="2">
        <v>2.0</v>
      </c>
      <c r="K2906" s="23" t="s">
        <v>5587</v>
      </c>
      <c r="L2906" s="11">
        <v>190000.0</v>
      </c>
    </row>
    <row r="2907" hidden="1">
      <c r="A2907" s="8" t="s">
        <v>2323</v>
      </c>
      <c r="B2907" s="8" t="s">
        <v>2323</v>
      </c>
      <c r="C2907" s="13">
        <v>46010.42025462963</v>
      </c>
      <c r="D2907" s="2" t="s">
        <v>131</v>
      </c>
      <c r="E2907" s="2" t="s">
        <v>132</v>
      </c>
      <c r="F2907" s="14" t="s">
        <v>3516</v>
      </c>
      <c r="G2907" s="14" t="s">
        <v>3517</v>
      </c>
      <c r="H2907" s="2" t="s">
        <v>16</v>
      </c>
      <c r="I2907" s="2" t="s">
        <v>3488</v>
      </c>
      <c r="J2907" s="2">
        <v>2.0</v>
      </c>
      <c r="K2907" s="23" t="s">
        <v>5588</v>
      </c>
      <c r="L2907" s="11">
        <v>180000.0</v>
      </c>
    </row>
    <row r="2908" hidden="1">
      <c r="A2908" s="8" t="s">
        <v>2324</v>
      </c>
      <c r="B2908" s="8" t="s">
        <v>2324</v>
      </c>
      <c r="C2908" s="13">
        <v>46010.43004629629</v>
      </c>
      <c r="D2908" s="2" t="s">
        <v>1564</v>
      </c>
      <c r="E2908" s="2" t="s">
        <v>1565</v>
      </c>
      <c r="F2908" s="14" t="s">
        <v>4203</v>
      </c>
      <c r="G2908" s="14" t="s">
        <v>4204</v>
      </c>
      <c r="H2908" s="2" t="s">
        <v>16</v>
      </c>
      <c r="I2908" s="2" t="s">
        <v>3488</v>
      </c>
      <c r="J2908" s="2">
        <v>1.0</v>
      </c>
      <c r="K2908" s="23" t="s">
        <v>5006</v>
      </c>
      <c r="L2908" s="11">
        <v>80000.0</v>
      </c>
    </row>
    <row r="2909" hidden="1">
      <c r="A2909" s="8" t="s">
        <v>2325</v>
      </c>
      <c r="B2909" s="8" t="s">
        <v>2325</v>
      </c>
      <c r="C2909" s="13">
        <v>46010.44795138889</v>
      </c>
      <c r="D2909" s="2" t="s">
        <v>1993</v>
      </c>
      <c r="E2909" s="2" t="s">
        <v>1994</v>
      </c>
      <c r="F2909" s="14" t="s">
        <v>3486</v>
      </c>
      <c r="G2909" s="14" t="s">
        <v>3487</v>
      </c>
      <c r="H2909" s="2" t="s">
        <v>24</v>
      </c>
      <c r="I2909" s="2" t="s">
        <v>3491</v>
      </c>
      <c r="J2909" s="2">
        <v>2.0</v>
      </c>
      <c r="K2909" s="23" t="s">
        <v>5589</v>
      </c>
      <c r="L2909" s="11">
        <v>0.0</v>
      </c>
    </row>
    <row r="2910" hidden="1">
      <c r="A2910" s="8" t="s">
        <v>2326</v>
      </c>
      <c r="B2910" s="8" t="s">
        <v>2326</v>
      </c>
      <c r="C2910" s="13">
        <v>46010.448541666665</v>
      </c>
      <c r="D2910" s="2" t="s">
        <v>131</v>
      </c>
      <c r="E2910" s="2" t="s">
        <v>132</v>
      </c>
      <c r="F2910" s="14" t="s">
        <v>3516</v>
      </c>
      <c r="G2910" s="14" t="s">
        <v>3517</v>
      </c>
      <c r="H2910" s="2" t="s">
        <v>24</v>
      </c>
      <c r="I2910" s="2" t="s">
        <v>3491</v>
      </c>
      <c r="J2910" s="2">
        <v>3.0</v>
      </c>
      <c r="K2910" s="23" t="s">
        <v>5590</v>
      </c>
      <c r="L2910" s="11">
        <v>0.0</v>
      </c>
    </row>
    <row r="2911" hidden="1">
      <c r="A2911" s="8" t="s">
        <v>2326</v>
      </c>
      <c r="B2911" s="8" t="s">
        <v>2326</v>
      </c>
      <c r="C2911" s="13">
        <v>46010.448541666665</v>
      </c>
      <c r="D2911" s="2" t="s">
        <v>131</v>
      </c>
      <c r="E2911" s="2" t="s">
        <v>132</v>
      </c>
      <c r="F2911" s="14" t="s">
        <v>3486</v>
      </c>
      <c r="G2911" s="14" t="s">
        <v>3487</v>
      </c>
      <c r="H2911" s="2" t="s">
        <v>24</v>
      </c>
      <c r="I2911" s="2" t="s">
        <v>3491</v>
      </c>
      <c r="J2911" s="2">
        <v>1.0</v>
      </c>
      <c r="K2911" s="23" t="s">
        <v>5345</v>
      </c>
      <c r="L2911" s="11">
        <v>0.0</v>
      </c>
    </row>
    <row r="2912" hidden="1">
      <c r="A2912" s="8" t="s">
        <v>2326</v>
      </c>
      <c r="B2912" s="8" t="s">
        <v>2326</v>
      </c>
      <c r="C2912" s="13">
        <v>46010.448541666665</v>
      </c>
      <c r="D2912" s="2" t="s">
        <v>131</v>
      </c>
      <c r="E2912" s="2" t="s">
        <v>132</v>
      </c>
      <c r="F2912" s="14" t="s">
        <v>4203</v>
      </c>
      <c r="G2912" s="14" t="s">
        <v>4204</v>
      </c>
      <c r="H2912" s="2" t="s">
        <v>24</v>
      </c>
      <c r="I2912" s="2" t="s">
        <v>3491</v>
      </c>
      <c r="J2912" s="2">
        <v>2.0</v>
      </c>
      <c r="K2912" s="23" t="s">
        <v>5591</v>
      </c>
      <c r="L2912" s="11">
        <v>0.0</v>
      </c>
    </row>
    <row r="2913" hidden="1">
      <c r="A2913" s="8" t="s">
        <v>2327</v>
      </c>
      <c r="B2913" s="8" t="s">
        <v>2327</v>
      </c>
      <c r="C2913" s="13">
        <v>46010.46107638889</v>
      </c>
      <c r="D2913" s="2" t="s">
        <v>1564</v>
      </c>
      <c r="E2913" s="2" t="s">
        <v>1565</v>
      </c>
      <c r="F2913" s="14" t="s">
        <v>4203</v>
      </c>
      <c r="G2913" s="14" t="s">
        <v>4204</v>
      </c>
      <c r="H2913" s="2" t="s">
        <v>24</v>
      </c>
      <c r="I2913" s="2" t="s">
        <v>3491</v>
      </c>
      <c r="J2913" s="2">
        <v>2.0</v>
      </c>
      <c r="K2913" s="23" t="s">
        <v>5592</v>
      </c>
      <c r="L2913" s="11">
        <v>0.0</v>
      </c>
    </row>
    <row r="2914" hidden="1">
      <c r="A2914" s="8" t="s">
        <v>2328</v>
      </c>
      <c r="B2914" s="8" t="s">
        <v>2328</v>
      </c>
      <c r="C2914" s="13">
        <v>46010.475798611114</v>
      </c>
      <c r="D2914" s="2" t="s">
        <v>326</v>
      </c>
      <c r="E2914" s="2" t="s">
        <v>327</v>
      </c>
      <c r="F2914" s="14" t="s">
        <v>3486</v>
      </c>
      <c r="G2914" s="14" t="s">
        <v>3487</v>
      </c>
      <c r="H2914" s="2" t="s">
        <v>16</v>
      </c>
      <c r="I2914" s="2" t="s">
        <v>3488</v>
      </c>
      <c r="J2914" s="2">
        <v>10.0</v>
      </c>
      <c r="K2914" s="23" t="s">
        <v>5593</v>
      </c>
      <c r="L2914" s="11">
        <v>45000.0</v>
      </c>
    </row>
    <row r="2915" hidden="1">
      <c r="A2915" s="8" t="s">
        <v>2329</v>
      </c>
      <c r="B2915" s="8" t="s">
        <v>2329</v>
      </c>
      <c r="C2915" s="13">
        <v>46010.5390162037</v>
      </c>
      <c r="D2915" s="2" t="s">
        <v>2081</v>
      </c>
      <c r="E2915" s="2" t="s">
        <v>2082</v>
      </c>
      <c r="F2915" s="14" t="s">
        <v>3506</v>
      </c>
      <c r="G2915" s="14" t="s">
        <v>3507</v>
      </c>
      <c r="H2915" s="2" t="s">
        <v>16</v>
      </c>
      <c r="I2915" s="2" t="s">
        <v>3488</v>
      </c>
      <c r="J2915" s="2">
        <v>2.0</v>
      </c>
      <c r="K2915" s="23" t="s">
        <v>5594</v>
      </c>
      <c r="L2915" s="11">
        <v>55000.0</v>
      </c>
    </row>
    <row r="2916" hidden="1">
      <c r="A2916" s="8" t="s">
        <v>2329</v>
      </c>
      <c r="B2916" s="8" t="s">
        <v>2329</v>
      </c>
      <c r="C2916" s="13">
        <v>46010.5390162037</v>
      </c>
      <c r="D2916" s="2" t="s">
        <v>2081</v>
      </c>
      <c r="E2916" s="2" t="s">
        <v>2082</v>
      </c>
      <c r="F2916" s="14" t="s">
        <v>5565</v>
      </c>
      <c r="G2916" s="14" t="s">
        <v>5566</v>
      </c>
      <c r="H2916" s="2" t="s">
        <v>16</v>
      </c>
      <c r="I2916" s="2" t="s">
        <v>3488</v>
      </c>
      <c r="J2916" s="2">
        <v>2.0</v>
      </c>
      <c r="K2916" s="12"/>
      <c r="L2916" s="11">
        <v>30000.0</v>
      </c>
    </row>
    <row r="2917" hidden="1">
      <c r="A2917" s="8" t="s">
        <v>2330</v>
      </c>
      <c r="B2917" s="8" t="s">
        <v>2330</v>
      </c>
      <c r="C2917" s="13">
        <v>46010.55498842592</v>
      </c>
      <c r="D2917" s="2" t="s">
        <v>786</v>
      </c>
      <c r="E2917" s="2" t="s">
        <v>787</v>
      </c>
      <c r="F2917" s="14" t="s">
        <v>3506</v>
      </c>
      <c r="G2917" s="14" t="s">
        <v>3507</v>
      </c>
      <c r="H2917" s="2" t="s">
        <v>16</v>
      </c>
      <c r="I2917" s="2" t="s">
        <v>3488</v>
      </c>
      <c r="J2917" s="2">
        <v>1.0</v>
      </c>
      <c r="K2917" s="23" t="s">
        <v>4688</v>
      </c>
      <c r="L2917" s="11">
        <v>55000.0</v>
      </c>
    </row>
    <row r="2918" hidden="1">
      <c r="A2918" s="8" t="s">
        <v>2330</v>
      </c>
      <c r="B2918" s="8" t="s">
        <v>2330</v>
      </c>
      <c r="C2918" s="13">
        <v>46010.55498842592</v>
      </c>
      <c r="D2918" s="2" t="s">
        <v>786</v>
      </c>
      <c r="E2918" s="2" t="s">
        <v>787</v>
      </c>
      <c r="F2918" s="14" t="s">
        <v>3486</v>
      </c>
      <c r="G2918" s="14" t="s">
        <v>3487</v>
      </c>
      <c r="H2918" s="2" t="s">
        <v>16</v>
      </c>
      <c r="I2918" s="2" t="s">
        <v>3488</v>
      </c>
      <c r="J2918" s="2">
        <v>2.0</v>
      </c>
      <c r="K2918" s="23" t="s">
        <v>5595</v>
      </c>
      <c r="L2918" s="11">
        <v>60000.0</v>
      </c>
    </row>
    <row r="2919" hidden="1">
      <c r="A2919" s="8" t="s">
        <v>2330</v>
      </c>
      <c r="B2919" s="8" t="s">
        <v>2330</v>
      </c>
      <c r="C2919" s="13">
        <v>46010.55498842592</v>
      </c>
      <c r="D2919" s="2" t="s">
        <v>786</v>
      </c>
      <c r="E2919" s="2" t="s">
        <v>787</v>
      </c>
      <c r="F2919" s="14" t="s">
        <v>4203</v>
      </c>
      <c r="G2919" s="14" t="s">
        <v>4204</v>
      </c>
      <c r="H2919" s="2" t="s">
        <v>16</v>
      </c>
      <c r="I2919" s="2" t="s">
        <v>3488</v>
      </c>
      <c r="J2919" s="2">
        <v>4.0</v>
      </c>
      <c r="K2919" s="23" t="s">
        <v>5596</v>
      </c>
      <c r="L2919" s="11">
        <v>60000.0</v>
      </c>
    </row>
    <row r="2920" hidden="1">
      <c r="A2920" s="8" t="s">
        <v>2331</v>
      </c>
      <c r="B2920" s="8" t="s">
        <v>2331</v>
      </c>
      <c r="C2920" s="13">
        <v>46010.65149305556</v>
      </c>
      <c r="D2920" s="2" t="s">
        <v>326</v>
      </c>
      <c r="E2920" s="2" t="s">
        <v>327</v>
      </c>
      <c r="F2920" s="14" t="s">
        <v>3486</v>
      </c>
      <c r="G2920" s="14" t="s">
        <v>3487</v>
      </c>
      <c r="H2920" s="2" t="s">
        <v>24</v>
      </c>
      <c r="I2920" s="2" t="s">
        <v>3491</v>
      </c>
      <c r="J2920" s="2">
        <v>9.0</v>
      </c>
      <c r="K2920" s="23" t="s">
        <v>5597</v>
      </c>
      <c r="L2920" s="11">
        <v>0.0</v>
      </c>
    </row>
    <row r="2921" hidden="1">
      <c r="A2921" s="8" t="s">
        <v>2332</v>
      </c>
      <c r="B2921" s="8" t="s">
        <v>2332</v>
      </c>
      <c r="C2921" s="13">
        <v>46011.38644675926</v>
      </c>
      <c r="D2921" s="2" t="s">
        <v>786</v>
      </c>
      <c r="E2921" s="2" t="s">
        <v>787</v>
      </c>
      <c r="F2921" s="14" t="s">
        <v>3516</v>
      </c>
      <c r="G2921" s="14" t="s">
        <v>3517</v>
      </c>
      <c r="H2921" s="2" t="s">
        <v>24</v>
      </c>
      <c r="I2921" s="2" t="s">
        <v>3491</v>
      </c>
      <c r="J2921" s="2">
        <v>1.0</v>
      </c>
      <c r="K2921" s="23" t="s">
        <v>5598</v>
      </c>
      <c r="L2921" s="11">
        <v>0.0</v>
      </c>
    </row>
    <row r="2922" hidden="1">
      <c r="A2922" s="8" t="s">
        <v>2332</v>
      </c>
      <c r="B2922" s="8" t="s">
        <v>2332</v>
      </c>
      <c r="C2922" s="13">
        <v>46011.38644675926</v>
      </c>
      <c r="D2922" s="2" t="s">
        <v>786</v>
      </c>
      <c r="E2922" s="2" t="s">
        <v>787</v>
      </c>
      <c r="F2922" s="14" t="s">
        <v>3486</v>
      </c>
      <c r="G2922" s="14" t="s">
        <v>3487</v>
      </c>
      <c r="H2922" s="2" t="s">
        <v>24</v>
      </c>
      <c r="I2922" s="2" t="s">
        <v>3491</v>
      </c>
      <c r="J2922" s="2">
        <v>5.0</v>
      </c>
      <c r="K2922" s="23" t="s">
        <v>5599</v>
      </c>
      <c r="L2922" s="11">
        <v>0.0</v>
      </c>
    </row>
    <row r="2923" hidden="1">
      <c r="A2923" s="8" t="s">
        <v>2333</v>
      </c>
      <c r="B2923" s="8" t="s">
        <v>2333</v>
      </c>
      <c r="C2923" s="13">
        <v>46011.503217592595</v>
      </c>
      <c r="D2923" s="2" t="s">
        <v>2005</v>
      </c>
      <c r="E2923" s="2" t="s">
        <v>2006</v>
      </c>
      <c r="F2923" s="14" t="s">
        <v>3493</v>
      </c>
      <c r="G2923" s="14" t="s">
        <v>3494</v>
      </c>
      <c r="H2923" s="2" t="s">
        <v>24</v>
      </c>
      <c r="I2923" s="2" t="s">
        <v>3491</v>
      </c>
      <c r="J2923" s="2">
        <v>2.0</v>
      </c>
      <c r="K2923" s="23" t="s">
        <v>4670</v>
      </c>
      <c r="L2923" s="11">
        <v>0.0</v>
      </c>
    </row>
    <row r="2924" hidden="1">
      <c r="A2924" s="8" t="s">
        <v>2333</v>
      </c>
      <c r="B2924" s="8" t="s">
        <v>2333</v>
      </c>
      <c r="C2924" s="13">
        <v>46011.503217592595</v>
      </c>
      <c r="D2924" s="2" t="s">
        <v>2005</v>
      </c>
      <c r="E2924" s="2" t="s">
        <v>2006</v>
      </c>
      <c r="F2924" s="14" t="s">
        <v>3486</v>
      </c>
      <c r="G2924" s="14" t="s">
        <v>3487</v>
      </c>
      <c r="H2924" s="2" t="s">
        <v>24</v>
      </c>
      <c r="I2924" s="2" t="s">
        <v>3491</v>
      </c>
      <c r="J2924" s="2">
        <v>4.0</v>
      </c>
      <c r="K2924" s="23" t="s">
        <v>5600</v>
      </c>
      <c r="L2924" s="11">
        <v>0.0</v>
      </c>
    </row>
    <row r="2925" hidden="1">
      <c r="A2925" s="8" t="s">
        <v>2333</v>
      </c>
      <c r="B2925" s="8" t="s">
        <v>2333</v>
      </c>
      <c r="C2925" s="13">
        <v>46011.503217592595</v>
      </c>
      <c r="D2925" s="2" t="s">
        <v>2005</v>
      </c>
      <c r="E2925" s="2" t="s">
        <v>2006</v>
      </c>
      <c r="F2925" s="14" t="s">
        <v>4203</v>
      </c>
      <c r="G2925" s="14" t="s">
        <v>4204</v>
      </c>
      <c r="H2925" s="2" t="s">
        <v>24</v>
      </c>
      <c r="I2925" s="2" t="s">
        <v>3491</v>
      </c>
      <c r="J2925" s="2">
        <v>3.0</v>
      </c>
      <c r="K2925" s="23" t="s">
        <v>5601</v>
      </c>
      <c r="L2925" s="11">
        <v>0.0</v>
      </c>
    </row>
    <row r="2926" hidden="1">
      <c r="A2926" s="8" t="s">
        <v>2334</v>
      </c>
      <c r="B2926" s="8" t="s">
        <v>2334</v>
      </c>
      <c r="C2926" s="13">
        <v>46011.50630787037</v>
      </c>
      <c r="D2926" s="2" t="s">
        <v>1904</v>
      </c>
      <c r="E2926" s="2" t="s">
        <v>1905</v>
      </c>
      <c r="F2926" s="14" t="s">
        <v>3486</v>
      </c>
      <c r="G2926" s="14" t="s">
        <v>3487</v>
      </c>
      <c r="H2926" s="2" t="s">
        <v>24</v>
      </c>
      <c r="I2926" s="2" t="s">
        <v>3491</v>
      </c>
      <c r="J2926" s="2">
        <v>4.0</v>
      </c>
      <c r="K2926" s="23" t="s">
        <v>5602</v>
      </c>
      <c r="L2926" s="11">
        <v>0.0</v>
      </c>
    </row>
    <row r="2927" hidden="1">
      <c r="A2927" s="8" t="s">
        <v>2335</v>
      </c>
      <c r="B2927" s="8" t="s">
        <v>2335</v>
      </c>
      <c r="C2927" s="13">
        <v>46012.443460648145</v>
      </c>
      <c r="D2927" s="2" t="s">
        <v>2005</v>
      </c>
      <c r="E2927" s="2" t="s">
        <v>2006</v>
      </c>
      <c r="F2927" s="14" t="s">
        <v>3486</v>
      </c>
      <c r="G2927" s="14" t="s">
        <v>3487</v>
      </c>
      <c r="H2927" s="2" t="s">
        <v>16</v>
      </c>
      <c r="I2927" s="2" t="s">
        <v>3488</v>
      </c>
      <c r="J2927" s="2">
        <v>10.0</v>
      </c>
      <c r="K2927" s="23" t="s">
        <v>5603</v>
      </c>
      <c r="L2927" s="11">
        <v>65000.0</v>
      </c>
    </row>
    <row r="2928" hidden="1">
      <c r="A2928" s="8" t="s">
        <v>2335</v>
      </c>
      <c r="B2928" s="8" t="s">
        <v>2335</v>
      </c>
      <c r="C2928" s="13">
        <v>46012.443460648145</v>
      </c>
      <c r="D2928" s="2" t="s">
        <v>2005</v>
      </c>
      <c r="E2928" s="2" t="s">
        <v>2006</v>
      </c>
      <c r="F2928" s="14" t="s">
        <v>3493</v>
      </c>
      <c r="G2928" s="14" t="s">
        <v>3494</v>
      </c>
      <c r="H2928" s="2" t="s">
        <v>16</v>
      </c>
      <c r="I2928" s="2" t="s">
        <v>3488</v>
      </c>
      <c r="J2928" s="2">
        <v>2.0</v>
      </c>
      <c r="K2928" s="23" t="s">
        <v>4670</v>
      </c>
      <c r="L2928" s="11">
        <v>215000.0</v>
      </c>
    </row>
    <row r="2929" hidden="1">
      <c r="A2929" s="8" t="s">
        <v>2336</v>
      </c>
      <c r="B2929" s="8" t="s">
        <v>2336</v>
      </c>
      <c r="C2929" s="13">
        <v>46013.353784722225</v>
      </c>
      <c r="D2929" s="2" t="s">
        <v>1776</v>
      </c>
      <c r="E2929" s="2" t="s">
        <v>1777</v>
      </c>
      <c r="F2929" s="14" t="s">
        <v>4203</v>
      </c>
      <c r="G2929" s="14" t="s">
        <v>4204</v>
      </c>
      <c r="H2929" s="2" t="s">
        <v>16</v>
      </c>
      <c r="I2929" s="2" t="s">
        <v>3488</v>
      </c>
      <c r="J2929" s="2">
        <v>1.0</v>
      </c>
      <c r="K2929" s="23" t="s">
        <v>5577</v>
      </c>
      <c r="L2929" s="11">
        <v>80000.0</v>
      </c>
    </row>
    <row r="2930" hidden="1">
      <c r="A2930" s="8" t="s">
        <v>2337</v>
      </c>
      <c r="B2930" s="8" t="s">
        <v>2337</v>
      </c>
      <c r="C2930" s="13">
        <v>46013.358819444446</v>
      </c>
      <c r="D2930" s="2" t="s">
        <v>109</v>
      </c>
      <c r="E2930" s="2" t="s">
        <v>110</v>
      </c>
      <c r="F2930" s="14" t="s">
        <v>3486</v>
      </c>
      <c r="G2930" s="14" t="s">
        <v>3487</v>
      </c>
      <c r="H2930" s="2" t="s">
        <v>16</v>
      </c>
      <c r="I2930" s="2" t="s">
        <v>3488</v>
      </c>
      <c r="J2930" s="2">
        <v>2.0</v>
      </c>
      <c r="K2930" s="23" t="s">
        <v>5604</v>
      </c>
      <c r="L2930" s="11">
        <v>60000.0</v>
      </c>
    </row>
    <row r="2931" hidden="1">
      <c r="A2931" s="8" t="s">
        <v>2337</v>
      </c>
      <c r="B2931" s="8" t="s">
        <v>2337</v>
      </c>
      <c r="C2931" s="13">
        <v>46013.358819444446</v>
      </c>
      <c r="D2931" s="2" t="s">
        <v>109</v>
      </c>
      <c r="E2931" s="2" t="s">
        <v>110</v>
      </c>
      <c r="F2931" s="14" t="s">
        <v>4203</v>
      </c>
      <c r="G2931" s="14" t="s">
        <v>4204</v>
      </c>
      <c r="H2931" s="2" t="s">
        <v>16</v>
      </c>
      <c r="I2931" s="2" t="s">
        <v>3488</v>
      </c>
      <c r="J2931" s="2">
        <v>1.0</v>
      </c>
      <c r="K2931" s="23" t="s">
        <v>5605</v>
      </c>
      <c r="L2931" s="11">
        <v>65000.0</v>
      </c>
    </row>
    <row r="2932" hidden="1">
      <c r="A2932" s="8" t="s">
        <v>2338</v>
      </c>
      <c r="B2932" s="8" t="s">
        <v>2338</v>
      </c>
      <c r="C2932" s="13">
        <v>46013.35986111111</v>
      </c>
      <c r="D2932" s="2" t="s">
        <v>1613</v>
      </c>
      <c r="E2932" s="2" t="s">
        <v>1614</v>
      </c>
      <c r="F2932" s="14" t="s">
        <v>4203</v>
      </c>
      <c r="G2932" s="14" t="s">
        <v>4204</v>
      </c>
      <c r="H2932" s="2" t="s">
        <v>16</v>
      </c>
      <c r="I2932" s="2" t="s">
        <v>3488</v>
      </c>
      <c r="J2932" s="2">
        <v>2.0</v>
      </c>
      <c r="K2932" s="23" t="s">
        <v>5606</v>
      </c>
      <c r="L2932" s="11">
        <v>65000.0</v>
      </c>
    </row>
    <row r="2933" hidden="1">
      <c r="A2933" s="8" t="s">
        <v>2339</v>
      </c>
      <c r="B2933" s="8" t="s">
        <v>2339</v>
      </c>
      <c r="C2933" s="13">
        <v>46013.36678240741</v>
      </c>
      <c r="D2933" s="2" t="s">
        <v>2270</v>
      </c>
      <c r="E2933" s="2" t="s">
        <v>2271</v>
      </c>
      <c r="F2933" s="14" t="s">
        <v>4203</v>
      </c>
      <c r="G2933" s="14" t="s">
        <v>4204</v>
      </c>
      <c r="H2933" s="2" t="s">
        <v>16</v>
      </c>
      <c r="I2933" s="2" t="s">
        <v>3488</v>
      </c>
      <c r="J2933" s="2">
        <v>1.0</v>
      </c>
      <c r="K2933" s="23" t="s">
        <v>5408</v>
      </c>
      <c r="L2933" s="11">
        <v>75000.0</v>
      </c>
    </row>
    <row r="2934" hidden="1">
      <c r="A2934" s="8" t="s">
        <v>2340</v>
      </c>
      <c r="B2934" s="8" t="s">
        <v>2340</v>
      </c>
      <c r="C2934" s="13">
        <v>46013.436631944445</v>
      </c>
      <c r="D2934" s="2" t="s">
        <v>1975</v>
      </c>
      <c r="E2934" s="2" t="s">
        <v>1976</v>
      </c>
      <c r="F2934" s="14" t="s">
        <v>4203</v>
      </c>
      <c r="G2934" s="14" t="s">
        <v>4204</v>
      </c>
      <c r="H2934" s="2" t="s">
        <v>16</v>
      </c>
      <c r="I2934" s="2" t="s">
        <v>3488</v>
      </c>
      <c r="J2934" s="2">
        <v>5.0</v>
      </c>
      <c r="K2934" s="23" t="s">
        <v>5607</v>
      </c>
      <c r="L2934" s="11">
        <v>60000.0</v>
      </c>
    </row>
    <row r="2935" hidden="1">
      <c r="A2935" s="8" t="s">
        <v>2341</v>
      </c>
      <c r="B2935" s="8" t="s">
        <v>2341</v>
      </c>
      <c r="C2935" s="13">
        <v>46013.438576388886</v>
      </c>
      <c r="D2935" s="2" t="s">
        <v>786</v>
      </c>
      <c r="E2935" s="2" t="s">
        <v>787</v>
      </c>
      <c r="F2935" s="14" t="s">
        <v>3486</v>
      </c>
      <c r="G2935" s="14" t="s">
        <v>3487</v>
      </c>
      <c r="H2935" s="2" t="s">
        <v>16</v>
      </c>
      <c r="I2935" s="2" t="s">
        <v>3488</v>
      </c>
      <c r="J2935" s="2">
        <v>8.0</v>
      </c>
      <c r="K2935" s="23" t="s">
        <v>5608</v>
      </c>
      <c r="L2935" s="11">
        <v>60000.0</v>
      </c>
    </row>
    <row r="2936" hidden="1">
      <c r="A2936" s="8" t="s">
        <v>2342</v>
      </c>
      <c r="B2936" s="8" t="s">
        <v>2342</v>
      </c>
      <c r="C2936" s="13">
        <v>46013.448541666665</v>
      </c>
      <c r="D2936" s="2" t="s">
        <v>1613</v>
      </c>
      <c r="E2936" s="2" t="s">
        <v>1614</v>
      </c>
      <c r="F2936" s="14" t="s">
        <v>4203</v>
      </c>
      <c r="G2936" s="14" t="s">
        <v>4204</v>
      </c>
      <c r="H2936" s="2" t="s">
        <v>24</v>
      </c>
      <c r="I2936" s="2" t="s">
        <v>3491</v>
      </c>
      <c r="J2936" s="2">
        <v>2.0</v>
      </c>
      <c r="K2936" s="23" t="s">
        <v>5202</v>
      </c>
      <c r="L2936" s="11">
        <v>0.0</v>
      </c>
    </row>
    <row r="2937" hidden="1">
      <c r="A2937" s="8" t="s">
        <v>2343</v>
      </c>
      <c r="B2937" s="8" t="s">
        <v>2343</v>
      </c>
      <c r="C2937" s="13">
        <v>46013.449108796296</v>
      </c>
      <c r="D2937" s="2" t="s">
        <v>1993</v>
      </c>
      <c r="E2937" s="2" t="s">
        <v>1994</v>
      </c>
      <c r="F2937" s="14" t="s">
        <v>3486</v>
      </c>
      <c r="G2937" s="14" t="s">
        <v>3487</v>
      </c>
      <c r="H2937" s="2" t="s">
        <v>24</v>
      </c>
      <c r="I2937" s="2" t="s">
        <v>3491</v>
      </c>
      <c r="J2937" s="2">
        <v>3.0</v>
      </c>
      <c r="K2937" s="23" t="s">
        <v>5609</v>
      </c>
      <c r="L2937" s="11">
        <v>0.0</v>
      </c>
    </row>
    <row r="2938" hidden="1">
      <c r="A2938" s="8" t="s">
        <v>2344</v>
      </c>
      <c r="B2938" s="8" t="s">
        <v>2344</v>
      </c>
      <c r="C2938" s="13">
        <v>46013.44993055556</v>
      </c>
      <c r="D2938" s="2" t="s">
        <v>1776</v>
      </c>
      <c r="E2938" s="2" t="s">
        <v>1777</v>
      </c>
      <c r="F2938" s="14" t="s">
        <v>4203</v>
      </c>
      <c r="G2938" s="14" t="s">
        <v>4204</v>
      </c>
      <c r="H2938" s="2" t="s">
        <v>24</v>
      </c>
      <c r="I2938" s="2" t="s">
        <v>3491</v>
      </c>
      <c r="J2938" s="2">
        <v>1.0</v>
      </c>
      <c r="K2938" s="23" t="s">
        <v>5585</v>
      </c>
      <c r="L2938" s="11">
        <v>0.0</v>
      </c>
    </row>
    <row r="2939" hidden="1">
      <c r="A2939" s="8" t="s">
        <v>2345</v>
      </c>
      <c r="B2939" s="8" t="s">
        <v>2345</v>
      </c>
      <c r="C2939" s="13">
        <v>46013.45407407408</v>
      </c>
      <c r="D2939" s="2" t="s">
        <v>1873</v>
      </c>
      <c r="E2939" s="2" t="s">
        <v>1874</v>
      </c>
      <c r="F2939" s="14" t="s">
        <v>4203</v>
      </c>
      <c r="G2939" s="14" t="s">
        <v>4204</v>
      </c>
      <c r="H2939" s="2" t="s">
        <v>16</v>
      </c>
      <c r="I2939" s="2" t="s">
        <v>3488</v>
      </c>
      <c r="J2939" s="2">
        <v>4.0</v>
      </c>
      <c r="K2939" s="23" t="s">
        <v>5610</v>
      </c>
      <c r="L2939" s="11">
        <v>70000.0</v>
      </c>
    </row>
    <row r="2940" hidden="1">
      <c r="A2940" s="8" t="s">
        <v>2346</v>
      </c>
      <c r="B2940" s="8" t="s">
        <v>2346</v>
      </c>
      <c r="C2940" s="13">
        <v>46013.50665509259</v>
      </c>
      <c r="D2940" s="2" t="s">
        <v>885</v>
      </c>
      <c r="E2940" s="2" t="s">
        <v>886</v>
      </c>
      <c r="F2940" s="14" t="s">
        <v>3910</v>
      </c>
      <c r="G2940" s="14" t="s">
        <v>3911</v>
      </c>
      <c r="H2940" s="2" t="s">
        <v>16</v>
      </c>
      <c r="I2940" s="2" t="s">
        <v>3488</v>
      </c>
      <c r="J2940" s="2">
        <v>1.0</v>
      </c>
      <c r="K2940" s="23" t="s">
        <v>4688</v>
      </c>
      <c r="L2940" s="11">
        <v>50000.0</v>
      </c>
    </row>
    <row r="2941" hidden="1">
      <c r="A2941" s="8" t="s">
        <v>2347</v>
      </c>
      <c r="B2941" s="8" t="s">
        <v>2347</v>
      </c>
      <c r="C2941" s="13">
        <v>46013.521053240744</v>
      </c>
      <c r="D2941" s="2" t="s">
        <v>1183</v>
      </c>
      <c r="E2941" s="2" t="s">
        <v>1184</v>
      </c>
      <c r="F2941" s="14" t="s">
        <v>3486</v>
      </c>
      <c r="G2941" s="14" t="s">
        <v>3487</v>
      </c>
      <c r="H2941" s="2" t="s">
        <v>24</v>
      </c>
      <c r="I2941" s="2" t="s">
        <v>3491</v>
      </c>
      <c r="J2941" s="2">
        <v>4.0</v>
      </c>
      <c r="K2941" s="23" t="s">
        <v>5611</v>
      </c>
      <c r="L2941" s="11">
        <v>0.0</v>
      </c>
    </row>
    <row r="2942" hidden="1">
      <c r="A2942" s="8" t="s">
        <v>2347</v>
      </c>
      <c r="B2942" s="8" t="s">
        <v>2347</v>
      </c>
      <c r="C2942" s="13">
        <v>46013.521053240744</v>
      </c>
      <c r="D2942" s="2" t="s">
        <v>1183</v>
      </c>
      <c r="E2942" s="2" t="s">
        <v>1184</v>
      </c>
      <c r="F2942" s="14" t="s">
        <v>3910</v>
      </c>
      <c r="G2942" s="14" t="s">
        <v>3911</v>
      </c>
      <c r="H2942" s="2" t="s">
        <v>24</v>
      </c>
      <c r="I2942" s="2" t="s">
        <v>3491</v>
      </c>
      <c r="J2942" s="2">
        <v>1.0</v>
      </c>
      <c r="K2942" s="23" t="s">
        <v>4688</v>
      </c>
      <c r="L2942" s="11">
        <v>0.0</v>
      </c>
    </row>
    <row r="2943" hidden="1">
      <c r="A2943" s="8" t="s">
        <v>2346</v>
      </c>
      <c r="B2943" s="8" t="s">
        <v>2346</v>
      </c>
      <c r="C2943" s="13">
        <v>46013.50665509259</v>
      </c>
      <c r="D2943" s="2" t="s">
        <v>885</v>
      </c>
      <c r="E2943" s="2" t="s">
        <v>886</v>
      </c>
      <c r="F2943" s="14" t="s">
        <v>4203</v>
      </c>
      <c r="G2943" s="14" t="s">
        <v>4204</v>
      </c>
      <c r="H2943" s="2" t="s">
        <v>16</v>
      </c>
      <c r="I2943" s="2" t="s">
        <v>3488</v>
      </c>
      <c r="J2943" s="2">
        <v>3.0</v>
      </c>
      <c r="K2943" s="23" t="s">
        <v>5612</v>
      </c>
      <c r="L2943" s="11">
        <v>60000.0</v>
      </c>
    </row>
    <row r="2944" hidden="1">
      <c r="A2944" s="8" t="s">
        <v>2348</v>
      </c>
      <c r="B2944" s="8" t="s">
        <v>2348</v>
      </c>
      <c r="C2944" s="13">
        <v>46013.663298611114</v>
      </c>
      <c r="D2944" s="2" t="s">
        <v>2349</v>
      </c>
      <c r="E2944" s="2" t="s">
        <v>2350</v>
      </c>
      <c r="F2944" s="14" t="s">
        <v>3506</v>
      </c>
      <c r="G2944" s="14" t="s">
        <v>3507</v>
      </c>
      <c r="H2944" s="2" t="s">
        <v>16</v>
      </c>
      <c r="I2944" s="2" t="s">
        <v>3488</v>
      </c>
      <c r="J2944" s="2">
        <v>1.0</v>
      </c>
      <c r="K2944" s="23" t="s">
        <v>4688</v>
      </c>
      <c r="L2944" s="11">
        <v>50000.0</v>
      </c>
    </row>
    <row r="2945" hidden="1">
      <c r="A2945" s="8" t="s">
        <v>2352</v>
      </c>
      <c r="B2945" s="8" t="s">
        <v>2352</v>
      </c>
      <c r="C2945" s="13">
        <v>46013.67648148148</v>
      </c>
      <c r="D2945" s="2" t="s">
        <v>885</v>
      </c>
      <c r="E2945" s="2" t="s">
        <v>886</v>
      </c>
      <c r="F2945" s="14" t="s">
        <v>3522</v>
      </c>
      <c r="G2945" s="14" t="s">
        <v>3523</v>
      </c>
      <c r="H2945" s="2" t="s">
        <v>24</v>
      </c>
      <c r="I2945" s="2" t="s">
        <v>3491</v>
      </c>
      <c r="J2945" s="2">
        <v>2.0</v>
      </c>
      <c r="K2945" s="23" t="s">
        <v>5613</v>
      </c>
      <c r="L2945" s="11">
        <v>0.0</v>
      </c>
    </row>
    <row r="2946" hidden="1">
      <c r="A2946" s="8" t="s">
        <v>2352</v>
      </c>
      <c r="B2946" s="8" t="s">
        <v>2352</v>
      </c>
      <c r="C2946" s="13">
        <v>46013.67648148148</v>
      </c>
      <c r="D2946" s="2" t="s">
        <v>885</v>
      </c>
      <c r="E2946" s="2" t="s">
        <v>886</v>
      </c>
      <c r="F2946" s="14" t="s">
        <v>3486</v>
      </c>
      <c r="G2946" s="14" t="s">
        <v>3487</v>
      </c>
      <c r="H2946" s="2" t="s">
        <v>24</v>
      </c>
      <c r="I2946" s="2" t="s">
        <v>3491</v>
      </c>
      <c r="J2946" s="2">
        <v>1.0</v>
      </c>
      <c r="K2946" s="23" t="s">
        <v>4121</v>
      </c>
      <c r="L2946" s="11">
        <v>0.0</v>
      </c>
    </row>
    <row r="2947" hidden="1">
      <c r="A2947" s="8" t="s">
        <v>2353</v>
      </c>
      <c r="B2947" s="8" t="s">
        <v>2353</v>
      </c>
      <c r="C2947" s="13">
        <v>46013.71655092593</v>
      </c>
      <c r="D2947" s="2" t="s">
        <v>786</v>
      </c>
      <c r="E2947" s="2" t="s">
        <v>787</v>
      </c>
      <c r="F2947" s="14" t="s">
        <v>3516</v>
      </c>
      <c r="G2947" s="14" t="s">
        <v>3517</v>
      </c>
      <c r="H2947" s="2" t="s">
        <v>24</v>
      </c>
      <c r="I2947" s="2" t="s">
        <v>3491</v>
      </c>
      <c r="J2947" s="2">
        <v>3.0</v>
      </c>
      <c r="K2947" s="23" t="s">
        <v>5614</v>
      </c>
      <c r="L2947" s="11">
        <v>0.0</v>
      </c>
    </row>
    <row r="2948" hidden="1">
      <c r="A2948" s="8" t="s">
        <v>2353</v>
      </c>
      <c r="B2948" s="8" t="s">
        <v>2353</v>
      </c>
      <c r="C2948" s="13">
        <v>46013.71655092593</v>
      </c>
      <c r="D2948" s="2" t="s">
        <v>786</v>
      </c>
      <c r="E2948" s="2" t="s">
        <v>787</v>
      </c>
      <c r="F2948" s="14" t="s">
        <v>3486</v>
      </c>
      <c r="G2948" s="14" t="s">
        <v>3487</v>
      </c>
      <c r="H2948" s="2" t="s">
        <v>24</v>
      </c>
      <c r="I2948" s="2" t="s">
        <v>3491</v>
      </c>
      <c r="J2948" s="2">
        <v>5.0</v>
      </c>
      <c r="K2948" s="23" t="s">
        <v>5615</v>
      </c>
      <c r="L2948" s="11">
        <v>0.0</v>
      </c>
    </row>
    <row r="2949" hidden="1">
      <c r="A2949" s="8" t="s">
        <v>2353</v>
      </c>
      <c r="B2949" s="8" t="s">
        <v>2353</v>
      </c>
      <c r="C2949" s="13">
        <v>46013.71655092593</v>
      </c>
      <c r="D2949" s="2" t="s">
        <v>786</v>
      </c>
      <c r="E2949" s="2" t="s">
        <v>787</v>
      </c>
      <c r="F2949" s="14" t="s">
        <v>4203</v>
      </c>
      <c r="G2949" s="14" t="s">
        <v>4204</v>
      </c>
      <c r="H2949" s="2" t="s">
        <v>24</v>
      </c>
      <c r="I2949" s="2" t="s">
        <v>3491</v>
      </c>
      <c r="J2949" s="2">
        <v>2.0</v>
      </c>
      <c r="K2949" s="23" t="s">
        <v>5616</v>
      </c>
      <c r="L2949" s="11">
        <v>0.0</v>
      </c>
    </row>
    <row r="2950" hidden="1">
      <c r="A2950" s="8" t="s">
        <v>2354</v>
      </c>
      <c r="B2950" s="8" t="s">
        <v>2354</v>
      </c>
      <c r="C2950" s="13">
        <v>46013.7193287037</v>
      </c>
      <c r="D2950" s="2" t="s">
        <v>1975</v>
      </c>
      <c r="E2950" s="2" t="s">
        <v>1976</v>
      </c>
      <c r="F2950" s="14" t="s">
        <v>3486</v>
      </c>
      <c r="G2950" s="14" t="s">
        <v>3487</v>
      </c>
      <c r="H2950" s="2" t="s">
        <v>24</v>
      </c>
      <c r="I2950" s="2" t="s">
        <v>3491</v>
      </c>
      <c r="J2950" s="2">
        <v>3.0</v>
      </c>
      <c r="K2950" s="23" t="s">
        <v>5617</v>
      </c>
      <c r="L2950" s="11">
        <v>0.0</v>
      </c>
    </row>
    <row r="2951" hidden="1">
      <c r="A2951" s="8" t="s">
        <v>2355</v>
      </c>
      <c r="B2951" s="8" t="s">
        <v>2355</v>
      </c>
      <c r="C2951" s="13">
        <v>46013.720358796294</v>
      </c>
      <c r="D2951" s="2" t="s">
        <v>2270</v>
      </c>
      <c r="E2951" s="2" t="s">
        <v>2271</v>
      </c>
      <c r="F2951" s="14" t="s">
        <v>3486</v>
      </c>
      <c r="G2951" s="14" t="s">
        <v>3487</v>
      </c>
      <c r="H2951" s="2" t="s">
        <v>24</v>
      </c>
      <c r="I2951" s="2" t="s">
        <v>3491</v>
      </c>
      <c r="J2951" s="2">
        <v>1.0</v>
      </c>
      <c r="K2951" s="23" t="s">
        <v>5618</v>
      </c>
      <c r="L2951" s="11">
        <v>0.0</v>
      </c>
    </row>
    <row r="2952" hidden="1">
      <c r="A2952" s="8" t="s">
        <v>2356</v>
      </c>
      <c r="B2952" s="8" t="s">
        <v>2356</v>
      </c>
      <c r="C2952" s="13">
        <v>46014.34872685185</v>
      </c>
      <c r="D2952" s="2" t="s">
        <v>2131</v>
      </c>
      <c r="E2952" s="2" t="s">
        <v>2171</v>
      </c>
      <c r="F2952" s="14" t="s">
        <v>3493</v>
      </c>
      <c r="G2952" s="14" t="s">
        <v>3494</v>
      </c>
      <c r="H2952" s="2" t="s">
        <v>16</v>
      </c>
      <c r="I2952" s="2" t="s">
        <v>3488</v>
      </c>
      <c r="J2952" s="2">
        <v>2.0</v>
      </c>
      <c r="K2952" s="23" t="s">
        <v>4670</v>
      </c>
      <c r="L2952" s="11">
        <v>210000.0</v>
      </c>
    </row>
    <row r="2953" hidden="1">
      <c r="A2953" s="8" t="s">
        <v>2356</v>
      </c>
      <c r="B2953" s="8" t="s">
        <v>2356</v>
      </c>
      <c r="C2953" s="13">
        <v>46014.34872685185</v>
      </c>
      <c r="D2953" s="2" t="s">
        <v>2131</v>
      </c>
      <c r="E2953" s="2" t="s">
        <v>2171</v>
      </c>
      <c r="F2953" s="14" t="s">
        <v>3486</v>
      </c>
      <c r="G2953" s="14" t="s">
        <v>3487</v>
      </c>
      <c r="H2953" s="2" t="s">
        <v>16</v>
      </c>
      <c r="I2953" s="2" t="s">
        <v>3488</v>
      </c>
      <c r="J2953" s="2">
        <v>9.0</v>
      </c>
      <c r="K2953" s="23" t="s">
        <v>5619</v>
      </c>
      <c r="L2953" s="11">
        <v>60000.0</v>
      </c>
    </row>
    <row r="2954" hidden="1">
      <c r="A2954" s="8" t="s">
        <v>2356</v>
      </c>
      <c r="B2954" s="8" t="s">
        <v>2356</v>
      </c>
      <c r="C2954" s="13">
        <v>46014.34872685185</v>
      </c>
      <c r="D2954" s="2" t="s">
        <v>2131</v>
      </c>
      <c r="E2954" s="2" t="s">
        <v>2171</v>
      </c>
      <c r="F2954" s="14" t="s">
        <v>4203</v>
      </c>
      <c r="G2954" s="14" t="s">
        <v>4204</v>
      </c>
      <c r="H2954" s="2" t="s">
        <v>16</v>
      </c>
      <c r="I2954" s="2" t="s">
        <v>3488</v>
      </c>
      <c r="J2954" s="2">
        <v>11.0</v>
      </c>
      <c r="K2954" s="23" t="s">
        <v>5620</v>
      </c>
      <c r="L2954" s="11">
        <v>60000.0</v>
      </c>
    </row>
    <row r="2955" hidden="1">
      <c r="A2955" s="8" t="s">
        <v>2357</v>
      </c>
      <c r="B2955" s="8" t="s">
        <v>2357</v>
      </c>
      <c r="C2955" s="13">
        <v>46014.36880787037</v>
      </c>
      <c r="D2955" s="2" t="s">
        <v>1993</v>
      </c>
      <c r="E2955" s="2" t="s">
        <v>1994</v>
      </c>
      <c r="F2955" s="14" t="s">
        <v>3516</v>
      </c>
      <c r="G2955" s="14" t="s">
        <v>3517</v>
      </c>
      <c r="H2955" s="2" t="s">
        <v>16</v>
      </c>
      <c r="I2955" s="2" t="s">
        <v>3488</v>
      </c>
      <c r="J2955" s="2">
        <v>2.0</v>
      </c>
      <c r="K2955" s="23" t="s">
        <v>5621</v>
      </c>
      <c r="L2955" s="11">
        <v>190000.0</v>
      </c>
    </row>
    <row r="2956" hidden="1">
      <c r="A2956" s="8" t="s">
        <v>2357</v>
      </c>
      <c r="B2956" s="8" t="s">
        <v>2357</v>
      </c>
      <c r="C2956" s="13">
        <v>46014.36880787037</v>
      </c>
      <c r="D2956" s="2" t="s">
        <v>1993</v>
      </c>
      <c r="E2956" s="2" t="s">
        <v>1994</v>
      </c>
      <c r="F2956" s="14" t="s">
        <v>3486</v>
      </c>
      <c r="G2956" s="14" t="s">
        <v>3487</v>
      </c>
      <c r="H2956" s="2" t="s">
        <v>16</v>
      </c>
      <c r="I2956" s="2" t="s">
        <v>3488</v>
      </c>
      <c r="J2956" s="2">
        <v>3.0</v>
      </c>
      <c r="K2956" s="23" t="s">
        <v>5622</v>
      </c>
      <c r="L2956" s="11">
        <v>65000.0</v>
      </c>
    </row>
    <row r="2957" hidden="1">
      <c r="A2957" s="8" t="s">
        <v>2358</v>
      </c>
      <c r="B2957" s="8" t="s">
        <v>2358</v>
      </c>
      <c r="C2957" s="13">
        <v>46014.44019675926</v>
      </c>
      <c r="D2957" s="2" t="s">
        <v>885</v>
      </c>
      <c r="E2957" s="2" t="s">
        <v>886</v>
      </c>
      <c r="F2957" s="14" t="s">
        <v>3522</v>
      </c>
      <c r="G2957" s="14" t="s">
        <v>3523</v>
      </c>
      <c r="H2957" s="2" t="s">
        <v>16</v>
      </c>
      <c r="I2957" s="2" t="s">
        <v>3488</v>
      </c>
      <c r="J2957" s="2">
        <v>4.0</v>
      </c>
      <c r="K2957" s="23" t="s">
        <v>5623</v>
      </c>
      <c r="L2957" s="11">
        <v>210000.0</v>
      </c>
    </row>
    <row r="2958" hidden="1">
      <c r="A2958" s="8" t="s">
        <v>2359</v>
      </c>
      <c r="B2958" s="8" t="s">
        <v>2359</v>
      </c>
      <c r="C2958" s="13">
        <v>46014.50011574074</v>
      </c>
      <c r="D2958" s="2" t="s">
        <v>2005</v>
      </c>
      <c r="E2958" s="2" t="s">
        <v>2006</v>
      </c>
      <c r="F2958" s="14" t="s">
        <v>3486</v>
      </c>
      <c r="G2958" s="14" t="s">
        <v>3487</v>
      </c>
      <c r="H2958" s="2" t="s">
        <v>24</v>
      </c>
      <c r="I2958" s="2" t="s">
        <v>3491</v>
      </c>
      <c r="J2958" s="2">
        <v>3.0</v>
      </c>
      <c r="K2958" s="23" t="s">
        <v>5624</v>
      </c>
      <c r="L2958" s="11">
        <v>0.0</v>
      </c>
    </row>
    <row r="2959" hidden="1">
      <c r="A2959" s="8" t="s">
        <v>2360</v>
      </c>
      <c r="B2959" s="8" t="s">
        <v>2360</v>
      </c>
      <c r="C2959" s="13">
        <v>46014.50067129629</v>
      </c>
      <c r="D2959" s="2" t="s">
        <v>1993</v>
      </c>
      <c r="E2959" s="2" t="s">
        <v>1994</v>
      </c>
      <c r="F2959" s="14" t="s">
        <v>3486</v>
      </c>
      <c r="G2959" s="14" t="s">
        <v>3487</v>
      </c>
      <c r="H2959" s="2" t="s">
        <v>24</v>
      </c>
      <c r="I2959" s="2" t="s">
        <v>3491</v>
      </c>
      <c r="J2959" s="2">
        <v>2.0</v>
      </c>
      <c r="K2959" s="23" t="s">
        <v>5625</v>
      </c>
      <c r="L2959" s="11">
        <v>0.0</v>
      </c>
    </row>
    <row r="2960" hidden="1">
      <c r="A2960" s="8" t="s">
        <v>2360</v>
      </c>
      <c r="B2960" s="8" t="s">
        <v>2360</v>
      </c>
      <c r="C2960" s="13">
        <v>46014.50067129629</v>
      </c>
      <c r="D2960" s="2" t="s">
        <v>1993</v>
      </c>
      <c r="E2960" s="2" t="s">
        <v>1994</v>
      </c>
      <c r="F2960" s="14" t="s">
        <v>3493</v>
      </c>
      <c r="G2960" s="14" t="s">
        <v>3494</v>
      </c>
      <c r="H2960" s="2" t="s">
        <v>24</v>
      </c>
      <c r="I2960" s="2" t="s">
        <v>3491</v>
      </c>
      <c r="J2960" s="2">
        <v>2.0</v>
      </c>
      <c r="K2960" s="23" t="s">
        <v>4670</v>
      </c>
      <c r="L2960" s="11">
        <v>0.0</v>
      </c>
    </row>
    <row r="2961" hidden="1">
      <c r="A2961" s="8" t="s">
        <v>2361</v>
      </c>
      <c r="B2961" s="8" t="s">
        <v>2361</v>
      </c>
      <c r="C2961" s="13">
        <v>46014.50133101852</v>
      </c>
      <c r="D2961" s="2" t="s">
        <v>49</v>
      </c>
      <c r="E2961" s="2" t="s">
        <v>50</v>
      </c>
      <c r="F2961" s="14" t="s">
        <v>3486</v>
      </c>
      <c r="G2961" s="14" t="s">
        <v>3487</v>
      </c>
      <c r="H2961" s="2" t="s">
        <v>24</v>
      </c>
      <c r="I2961" s="2" t="s">
        <v>3491</v>
      </c>
      <c r="J2961" s="2">
        <v>3.0</v>
      </c>
      <c r="K2961" s="23" t="s">
        <v>5626</v>
      </c>
      <c r="L2961" s="11">
        <v>0.0</v>
      </c>
    </row>
    <row r="2962" hidden="1">
      <c r="A2962" s="8" t="s">
        <v>2362</v>
      </c>
      <c r="B2962" s="8" t="s">
        <v>2362</v>
      </c>
      <c r="C2962" s="13">
        <v>46014.523668981485</v>
      </c>
      <c r="D2962" s="2" t="s">
        <v>2131</v>
      </c>
      <c r="E2962" s="2" t="s">
        <v>2171</v>
      </c>
      <c r="F2962" s="14" t="s">
        <v>3486</v>
      </c>
      <c r="G2962" s="14" t="s">
        <v>3487</v>
      </c>
      <c r="H2962" s="2" t="s">
        <v>24</v>
      </c>
      <c r="I2962" s="2" t="s">
        <v>3491</v>
      </c>
      <c r="J2962" s="2">
        <v>7.0</v>
      </c>
      <c r="K2962" s="23" t="s">
        <v>5627</v>
      </c>
      <c r="L2962" s="11">
        <v>0.0</v>
      </c>
    </row>
    <row r="2963" hidden="1">
      <c r="A2963" s="8" t="s">
        <v>2362</v>
      </c>
      <c r="B2963" s="8" t="s">
        <v>2362</v>
      </c>
      <c r="C2963" s="13">
        <v>46014.523668981485</v>
      </c>
      <c r="D2963" s="2" t="s">
        <v>2131</v>
      </c>
      <c r="E2963" s="2" t="s">
        <v>2171</v>
      </c>
      <c r="F2963" s="14" t="s">
        <v>4203</v>
      </c>
      <c r="G2963" s="14" t="s">
        <v>4204</v>
      </c>
      <c r="H2963" s="2" t="s">
        <v>24</v>
      </c>
      <c r="I2963" s="2" t="s">
        <v>3491</v>
      </c>
      <c r="J2963" s="2">
        <v>12.0</v>
      </c>
      <c r="K2963" s="23" t="s">
        <v>5628</v>
      </c>
      <c r="L2963" s="11">
        <v>0.0</v>
      </c>
    </row>
    <row r="2964" hidden="1">
      <c r="A2964" s="8" t="s">
        <v>2362</v>
      </c>
      <c r="B2964" s="8" t="s">
        <v>2362</v>
      </c>
      <c r="C2964" s="13">
        <v>46014.523668981485</v>
      </c>
      <c r="D2964" s="2" t="s">
        <v>2131</v>
      </c>
      <c r="E2964" s="2" t="s">
        <v>2171</v>
      </c>
      <c r="F2964" s="14" t="s">
        <v>3493</v>
      </c>
      <c r="G2964" s="14" t="s">
        <v>3494</v>
      </c>
      <c r="H2964" s="2" t="s">
        <v>24</v>
      </c>
      <c r="I2964" s="2" t="s">
        <v>3491</v>
      </c>
      <c r="J2964" s="2">
        <v>1.0</v>
      </c>
      <c r="K2964" s="23" t="s">
        <v>4688</v>
      </c>
      <c r="L2964" s="11">
        <v>0.0</v>
      </c>
    </row>
    <row r="2965" hidden="1">
      <c r="A2965" s="8" t="s">
        <v>2363</v>
      </c>
      <c r="B2965" s="8" t="s">
        <v>2363</v>
      </c>
      <c r="C2965" s="13">
        <v>46014.56628472222</v>
      </c>
      <c r="D2965" s="2" t="s">
        <v>786</v>
      </c>
      <c r="E2965" s="2" t="s">
        <v>787</v>
      </c>
      <c r="F2965" s="14" t="s">
        <v>3516</v>
      </c>
      <c r="G2965" s="14" t="s">
        <v>3517</v>
      </c>
      <c r="H2965" s="2" t="s">
        <v>16</v>
      </c>
      <c r="I2965" s="2" t="s">
        <v>3488</v>
      </c>
      <c r="J2965" s="2">
        <v>2.0</v>
      </c>
      <c r="K2965" s="23" t="s">
        <v>5629</v>
      </c>
      <c r="L2965" s="11">
        <v>180000.0</v>
      </c>
    </row>
    <row r="2966" hidden="1">
      <c r="A2966" s="8" t="s">
        <v>2363</v>
      </c>
      <c r="B2966" s="8" t="s">
        <v>2363</v>
      </c>
      <c r="C2966" s="13">
        <v>46014.56628472222</v>
      </c>
      <c r="D2966" s="2" t="s">
        <v>786</v>
      </c>
      <c r="E2966" s="2" t="s">
        <v>787</v>
      </c>
      <c r="F2966" s="14" t="s">
        <v>3486</v>
      </c>
      <c r="G2966" s="14" t="s">
        <v>3487</v>
      </c>
      <c r="H2966" s="2" t="s">
        <v>16</v>
      </c>
      <c r="I2966" s="2" t="s">
        <v>3488</v>
      </c>
      <c r="J2966" s="2">
        <v>4.0</v>
      </c>
      <c r="K2966" s="23" t="s">
        <v>5630</v>
      </c>
      <c r="L2966" s="11">
        <v>60000.0</v>
      </c>
    </row>
    <row r="2967" hidden="1">
      <c r="A2967" s="8" t="s">
        <v>2364</v>
      </c>
      <c r="B2967" s="8" t="s">
        <v>2364</v>
      </c>
      <c r="C2967" s="13">
        <v>46015.35417824074</v>
      </c>
      <c r="D2967" s="2" t="s">
        <v>786</v>
      </c>
      <c r="E2967" s="2" t="s">
        <v>787</v>
      </c>
      <c r="F2967" s="14" t="s">
        <v>3486</v>
      </c>
      <c r="G2967" s="14" t="s">
        <v>3487</v>
      </c>
      <c r="H2967" s="2" t="s">
        <v>24</v>
      </c>
      <c r="I2967" s="2" t="s">
        <v>3491</v>
      </c>
      <c r="J2967" s="2">
        <v>3.0</v>
      </c>
      <c r="K2967" s="23" t="s">
        <v>5631</v>
      </c>
      <c r="L2967" s="11">
        <v>0.0</v>
      </c>
    </row>
    <row r="2968">
      <c r="A2968" s="8" t="s">
        <v>2365</v>
      </c>
      <c r="B2968" s="8" t="s">
        <v>2365</v>
      </c>
      <c r="C2968" s="13">
        <v>46015.36939814815</v>
      </c>
      <c r="D2968" s="2" t="s">
        <v>45</v>
      </c>
      <c r="E2968" s="2" t="s">
        <v>46</v>
      </c>
      <c r="F2968" s="14" t="s">
        <v>3516</v>
      </c>
      <c r="G2968" s="14" t="s">
        <v>3517</v>
      </c>
      <c r="H2968" s="2" t="s">
        <v>16</v>
      </c>
      <c r="I2968" s="2" t="s">
        <v>3488</v>
      </c>
      <c r="J2968" s="2">
        <v>4.0</v>
      </c>
      <c r="K2968" s="23" t="s">
        <v>5632</v>
      </c>
      <c r="L2968" s="11">
        <v>180000.0</v>
      </c>
    </row>
    <row r="2969">
      <c r="A2969" s="8" t="s">
        <v>2365</v>
      </c>
      <c r="B2969" s="8" t="s">
        <v>2365</v>
      </c>
      <c r="C2969" s="13">
        <v>46015.36939814815</v>
      </c>
      <c r="D2969" s="2" t="s">
        <v>45</v>
      </c>
      <c r="E2969" s="2" t="s">
        <v>46</v>
      </c>
      <c r="F2969" s="14" t="s">
        <v>3493</v>
      </c>
      <c r="G2969" s="14" t="s">
        <v>3494</v>
      </c>
      <c r="H2969" s="2" t="s">
        <v>16</v>
      </c>
      <c r="I2969" s="2" t="s">
        <v>3488</v>
      </c>
      <c r="J2969" s="2">
        <v>4.0</v>
      </c>
      <c r="K2969" s="23" t="s">
        <v>5443</v>
      </c>
      <c r="L2969" s="11">
        <v>210000.0</v>
      </c>
    </row>
    <row r="2970" hidden="1">
      <c r="A2970" s="8" t="s">
        <v>2366</v>
      </c>
      <c r="B2970" s="8" t="s">
        <v>2366</v>
      </c>
      <c r="C2970" s="13">
        <v>46015.39083333333</v>
      </c>
      <c r="D2970" s="2" t="s">
        <v>786</v>
      </c>
      <c r="E2970" s="2" t="s">
        <v>787</v>
      </c>
      <c r="F2970" s="14" t="s">
        <v>3516</v>
      </c>
      <c r="G2970" s="14" t="s">
        <v>3517</v>
      </c>
      <c r="H2970" s="2" t="s">
        <v>16</v>
      </c>
      <c r="I2970" s="2" t="s">
        <v>3488</v>
      </c>
      <c r="J2970" s="2">
        <v>2.0</v>
      </c>
      <c r="K2970" s="23" t="s">
        <v>5633</v>
      </c>
      <c r="L2970" s="11">
        <v>180000.0</v>
      </c>
    </row>
    <row r="2971" hidden="1">
      <c r="A2971" s="8" t="s">
        <v>2366</v>
      </c>
      <c r="B2971" s="8" t="s">
        <v>2366</v>
      </c>
      <c r="C2971" s="13">
        <v>46015.39083333333</v>
      </c>
      <c r="D2971" s="2" t="s">
        <v>786</v>
      </c>
      <c r="E2971" s="2" t="s">
        <v>787</v>
      </c>
      <c r="F2971" s="14" t="s">
        <v>3486</v>
      </c>
      <c r="G2971" s="14" t="s">
        <v>3487</v>
      </c>
      <c r="H2971" s="2" t="s">
        <v>16</v>
      </c>
      <c r="I2971" s="2" t="s">
        <v>3488</v>
      </c>
      <c r="J2971" s="2">
        <v>10.0</v>
      </c>
      <c r="K2971" s="23" t="s">
        <v>5634</v>
      </c>
      <c r="L2971" s="11">
        <v>60000.0</v>
      </c>
    </row>
    <row r="2972" hidden="1">
      <c r="A2972" s="8" t="s">
        <v>2367</v>
      </c>
      <c r="B2972" s="8" t="s">
        <v>2367</v>
      </c>
      <c r="C2972" s="13">
        <v>46015.42946759259</v>
      </c>
      <c r="D2972" s="2" t="s">
        <v>2081</v>
      </c>
      <c r="E2972" s="2" t="s">
        <v>2082</v>
      </c>
      <c r="F2972" s="14" t="s">
        <v>4203</v>
      </c>
      <c r="G2972" s="14" t="s">
        <v>4204</v>
      </c>
      <c r="H2972" s="2" t="s">
        <v>16</v>
      </c>
      <c r="I2972" s="2" t="s">
        <v>3488</v>
      </c>
      <c r="J2972" s="2">
        <v>2.0</v>
      </c>
      <c r="K2972" s="23" t="s">
        <v>5635</v>
      </c>
      <c r="L2972" s="11">
        <v>60000.0</v>
      </c>
    </row>
    <row r="2973" hidden="1">
      <c r="A2973" s="8" t="s">
        <v>2368</v>
      </c>
      <c r="B2973" s="8" t="s">
        <v>2368</v>
      </c>
      <c r="C2973" s="13">
        <v>46015.43262731482</v>
      </c>
      <c r="D2973" s="2" t="s">
        <v>213</v>
      </c>
      <c r="E2973" s="2" t="s">
        <v>214</v>
      </c>
      <c r="F2973" s="14" t="s">
        <v>4203</v>
      </c>
      <c r="G2973" s="14" t="s">
        <v>4204</v>
      </c>
      <c r="H2973" s="2" t="s">
        <v>16</v>
      </c>
      <c r="I2973" s="2" t="s">
        <v>3488</v>
      </c>
      <c r="J2973" s="2">
        <v>2.0</v>
      </c>
      <c r="K2973" s="23" t="s">
        <v>5636</v>
      </c>
      <c r="L2973" s="11">
        <v>60000.0</v>
      </c>
    </row>
    <row r="2974" hidden="1">
      <c r="A2974" s="8" t="s">
        <v>2368</v>
      </c>
      <c r="B2974" s="8" t="s">
        <v>2368</v>
      </c>
      <c r="C2974" s="13">
        <v>46015.43262731482</v>
      </c>
      <c r="D2974" s="2" t="s">
        <v>213</v>
      </c>
      <c r="E2974" s="2" t="s">
        <v>214</v>
      </c>
      <c r="F2974" s="14" t="s">
        <v>3486</v>
      </c>
      <c r="G2974" s="14" t="s">
        <v>3487</v>
      </c>
      <c r="H2974" s="2" t="s">
        <v>16</v>
      </c>
      <c r="I2974" s="2" t="s">
        <v>3488</v>
      </c>
      <c r="J2974" s="2">
        <v>8.0</v>
      </c>
      <c r="K2974" s="23" t="s">
        <v>5637</v>
      </c>
      <c r="L2974" s="11">
        <v>60000.0</v>
      </c>
    </row>
    <row r="2975" hidden="1">
      <c r="A2975" s="8" t="s">
        <v>2369</v>
      </c>
      <c r="B2975" s="8" t="s">
        <v>2369</v>
      </c>
      <c r="C2975" s="13">
        <v>46015.444236111114</v>
      </c>
      <c r="D2975" s="2" t="s">
        <v>2217</v>
      </c>
      <c r="E2975" s="2" t="s">
        <v>2218</v>
      </c>
      <c r="F2975" s="14" t="s">
        <v>3516</v>
      </c>
      <c r="G2975" s="14" t="s">
        <v>3517</v>
      </c>
      <c r="H2975" s="2" t="s">
        <v>24</v>
      </c>
      <c r="I2975" s="2" t="s">
        <v>3491</v>
      </c>
      <c r="J2975" s="2">
        <v>8.0</v>
      </c>
      <c r="K2975" s="23" t="s">
        <v>5638</v>
      </c>
      <c r="L2975" s="11">
        <v>0.0</v>
      </c>
    </row>
    <row r="2976">
      <c r="A2976" s="8" t="s">
        <v>2370</v>
      </c>
      <c r="B2976" s="8" t="s">
        <v>2370</v>
      </c>
      <c r="C2976" s="13">
        <v>46015.46444444444</v>
      </c>
      <c r="D2976" s="2" t="s">
        <v>45</v>
      </c>
      <c r="E2976" s="2" t="s">
        <v>46</v>
      </c>
      <c r="F2976" s="14" t="s">
        <v>3522</v>
      </c>
      <c r="G2976" s="14" t="s">
        <v>3523</v>
      </c>
      <c r="H2976" s="2" t="s">
        <v>24</v>
      </c>
      <c r="I2976" s="2" t="s">
        <v>3491</v>
      </c>
      <c r="J2976" s="2">
        <v>1.0</v>
      </c>
      <c r="K2976" s="23" t="s">
        <v>3671</v>
      </c>
      <c r="L2976" s="11">
        <v>0.0</v>
      </c>
    </row>
    <row r="2977">
      <c r="A2977" s="8" t="s">
        <v>2370</v>
      </c>
      <c r="B2977" s="8" t="s">
        <v>2370</v>
      </c>
      <c r="C2977" s="13">
        <v>46015.46444444444</v>
      </c>
      <c r="D2977" s="2" t="s">
        <v>45</v>
      </c>
      <c r="E2977" s="2" t="s">
        <v>46</v>
      </c>
      <c r="F2977" s="14" t="s">
        <v>3493</v>
      </c>
      <c r="G2977" s="14" t="s">
        <v>3494</v>
      </c>
      <c r="H2977" s="2" t="s">
        <v>24</v>
      </c>
      <c r="I2977" s="2" t="s">
        <v>3491</v>
      </c>
      <c r="J2977" s="2">
        <v>1.0</v>
      </c>
      <c r="K2977" s="23" t="s">
        <v>4688</v>
      </c>
      <c r="L2977" s="11">
        <v>0.0</v>
      </c>
    </row>
    <row r="2978" hidden="1">
      <c r="A2978" s="8" t="s">
        <v>2371</v>
      </c>
      <c r="B2978" s="8" t="s">
        <v>2371</v>
      </c>
      <c r="C2978" s="13">
        <v>46015.46538194444</v>
      </c>
      <c r="D2978" s="2" t="s">
        <v>326</v>
      </c>
      <c r="E2978" s="2" t="s">
        <v>327</v>
      </c>
      <c r="F2978" s="14" t="s">
        <v>3486</v>
      </c>
      <c r="G2978" s="14" t="s">
        <v>3487</v>
      </c>
      <c r="H2978" s="2" t="s">
        <v>24</v>
      </c>
      <c r="I2978" s="2" t="s">
        <v>3491</v>
      </c>
      <c r="J2978" s="2">
        <v>6.0</v>
      </c>
      <c r="K2978" s="23" t="s">
        <v>5639</v>
      </c>
      <c r="L2978" s="11">
        <v>0.0</v>
      </c>
    </row>
    <row r="2979" hidden="1">
      <c r="A2979" s="1"/>
      <c r="B2979" s="1"/>
      <c r="C2979" s="13"/>
      <c r="D2979" s="2"/>
      <c r="E2979" s="2"/>
      <c r="F2979" s="14"/>
      <c r="G2979" s="14"/>
      <c r="H2979" s="2"/>
      <c r="I2979" s="2"/>
      <c r="J2979" s="2"/>
      <c r="K2979" s="12"/>
      <c r="L2979" s="11"/>
    </row>
    <row r="2980" hidden="1">
      <c r="A2980" s="1"/>
      <c r="B2980" s="1"/>
      <c r="C2980" s="13"/>
      <c r="D2980" s="2"/>
      <c r="E2980" s="2"/>
      <c r="F2980" s="14"/>
      <c r="G2980" s="14"/>
      <c r="H2980" s="2"/>
      <c r="I2980" s="2"/>
      <c r="J2980" s="2"/>
      <c r="K2980" s="12"/>
      <c r="L2980" s="11"/>
    </row>
    <row r="2981" hidden="1">
      <c r="A2981" s="1"/>
      <c r="B2981" s="1"/>
      <c r="C2981" s="13"/>
      <c r="D2981" s="2"/>
      <c r="E2981" s="2"/>
      <c r="F2981" s="14"/>
      <c r="G2981" s="14"/>
      <c r="H2981" s="2"/>
      <c r="I2981" s="2"/>
      <c r="J2981" s="2"/>
      <c r="K2981" s="12"/>
      <c r="L2981" s="11"/>
    </row>
    <row r="2982" hidden="1">
      <c r="A2982" s="8" t="s">
        <v>2372</v>
      </c>
      <c r="B2982" s="8" t="s">
        <v>2372</v>
      </c>
      <c r="C2982" s="13">
        <v>46015.596284722225</v>
      </c>
      <c r="D2982" s="2" t="s">
        <v>786</v>
      </c>
      <c r="E2982" s="2" t="s">
        <v>787</v>
      </c>
      <c r="F2982" s="14" t="s">
        <v>3516</v>
      </c>
      <c r="G2982" s="14" t="s">
        <v>3517</v>
      </c>
      <c r="H2982" s="2" t="s">
        <v>24</v>
      </c>
      <c r="I2982" s="2" t="s">
        <v>3491</v>
      </c>
      <c r="J2982" s="2">
        <v>1.0</v>
      </c>
      <c r="K2982" s="23" t="s">
        <v>4667</v>
      </c>
      <c r="L2982" s="11">
        <v>0.0</v>
      </c>
    </row>
    <row r="2983" hidden="1">
      <c r="A2983" s="8" t="s">
        <v>2372</v>
      </c>
      <c r="B2983" s="8" t="s">
        <v>2372</v>
      </c>
      <c r="C2983" s="13">
        <v>46015.596284722225</v>
      </c>
      <c r="D2983" s="2" t="s">
        <v>786</v>
      </c>
      <c r="E2983" s="2" t="s">
        <v>787</v>
      </c>
      <c r="F2983" s="14" t="s">
        <v>3486</v>
      </c>
      <c r="G2983" s="14" t="s">
        <v>3487</v>
      </c>
      <c r="H2983" s="2" t="s">
        <v>24</v>
      </c>
      <c r="I2983" s="2" t="s">
        <v>3491</v>
      </c>
      <c r="J2983" s="2">
        <v>3.0</v>
      </c>
      <c r="K2983" s="23" t="s">
        <v>5640</v>
      </c>
      <c r="L2983" s="11">
        <v>0.0</v>
      </c>
    </row>
    <row r="2984" hidden="1">
      <c r="A2984" s="8" t="s">
        <v>2373</v>
      </c>
      <c r="B2984" s="8" t="s">
        <v>2373</v>
      </c>
      <c r="C2984" s="13">
        <v>46015.614074074074</v>
      </c>
      <c r="D2984" s="2" t="s">
        <v>2081</v>
      </c>
      <c r="E2984" s="2" t="s">
        <v>2082</v>
      </c>
      <c r="F2984" s="14" t="s">
        <v>3486</v>
      </c>
      <c r="G2984" s="14" t="s">
        <v>3487</v>
      </c>
      <c r="H2984" s="2" t="s">
        <v>24</v>
      </c>
      <c r="I2984" s="2" t="s">
        <v>3491</v>
      </c>
      <c r="J2984" s="2">
        <v>1.0</v>
      </c>
      <c r="K2984" s="23" t="s">
        <v>5641</v>
      </c>
      <c r="L2984" s="11">
        <v>0.0</v>
      </c>
    </row>
    <row r="2985" hidden="1">
      <c r="A2985" s="8" t="s">
        <v>2374</v>
      </c>
      <c r="B2985" s="8" t="s">
        <v>2374</v>
      </c>
      <c r="C2985" s="13">
        <v>46015.614652777775</v>
      </c>
      <c r="D2985" s="2" t="s">
        <v>213</v>
      </c>
      <c r="E2985" s="2" t="s">
        <v>214</v>
      </c>
      <c r="F2985" s="14" t="s">
        <v>3486</v>
      </c>
      <c r="G2985" s="14" t="s">
        <v>3487</v>
      </c>
      <c r="H2985" s="2" t="s">
        <v>24</v>
      </c>
      <c r="I2985" s="2" t="s">
        <v>3491</v>
      </c>
      <c r="J2985" s="2">
        <v>2.0</v>
      </c>
      <c r="K2985" s="23" t="s">
        <v>5642</v>
      </c>
      <c r="L2985" s="11">
        <v>0.0</v>
      </c>
    </row>
    <row r="2986" hidden="1">
      <c r="A2986" s="8" t="s">
        <v>2375</v>
      </c>
      <c r="B2986" s="8" t="s">
        <v>2375</v>
      </c>
      <c r="C2986" s="13">
        <v>46017.35700231481</v>
      </c>
      <c r="D2986" s="2" t="s">
        <v>2005</v>
      </c>
      <c r="E2986" s="2" t="s">
        <v>2006</v>
      </c>
      <c r="F2986" s="14" t="s">
        <v>4203</v>
      </c>
      <c r="G2986" s="14" t="s">
        <v>4204</v>
      </c>
      <c r="H2986" s="2" t="s">
        <v>16</v>
      </c>
      <c r="I2986" s="2" t="s">
        <v>3488</v>
      </c>
      <c r="J2986" s="2">
        <v>10.0</v>
      </c>
      <c r="K2986" s="23" t="s">
        <v>5643</v>
      </c>
      <c r="L2986" s="11">
        <v>60000.0</v>
      </c>
    </row>
    <row r="2987" hidden="1">
      <c r="A2987" s="8" t="s">
        <v>2375</v>
      </c>
      <c r="B2987" s="8" t="s">
        <v>2375</v>
      </c>
      <c r="C2987" s="13">
        <v>46017.35700231481</v>
      </c>
      <c r="D2987" s="2" t="s">
        <v>2005</v>
      </c>
      <c r="E2987" s="2" t="s">
        <v>2006</v>
      </c>
      <c r="F2987" s="14" t="s">
        <v>3493</v>
      </c>
      <c r="G2987" s="14" t="s">
        <v>3494</v>
      </c>
      <c r="H2987" s="2" t="s">
        <v>16</v>
      </c>
      <c r="I2987" s="2" t="s">
        <v>3488</v>
      </c>
      <c r="J2987" s="2">
        <v>2.0</v>
      </c>
      <c r="K2987" s="23" t="s">
        <v>4670</v>
      </c>
      <c r="L2987" s="11">
        <v>215000.0</v>
      </c>
    </row>
    <row r="2988" hidden="1">
      <c r="A2988" s="8" t="s">
        <v>2376</v>
      </c>
      <c r="B2988" s="8" t="s">
        <v>2376</v>
      </c>
      <c r="C2988" s="13">
        <v>46017.399664351855</v>
      </c>
      <c r="D2988" s="2" t="s">
        <v>1618</v>
      </c>
      <c r="E2988" s="2" t="s">
        <v>1619</v>
      </c>
      <c r="F2988" s="14" t="s">
        <v>3516</v>
      </c>
      <c r="G2988" s="14" t="s">
        <v>3517</v>
      </c>
      <c r="H2988" s="2" t="s">
        <v>16</v>
      </c>
      <c r="I2988" s="2" t="s">
        <v>3488</v>
      </c>
      <c r="J2988" s="2">
        <v>5.0</v>
      </c>
      <c r="K2988" s="23" t="s">
        <v>5644</v>
      </c>
      <c r="L2988" s="11">
        <v>190000.0</v>
      </c>
    </row>
    <row r="2989" hidden="1">
      <c r="A2989" s="8" t="s">
        <v>2377</v>
      </c>
      <c r="B2989" s="8" t="s">
        <v>2377</v>
      </c>
      <c r="C2989" s="13">
        <v>46017.41395833333</v>
      </c>
      <c r="D2989" s="2" t="s">
        <v>2005</v>
      </c>
      <c r="E2989" s="2" t="s">
        <v>2006</v>
      </c>
      <c r="F2989" s="14" t="s">
        <v>3486</v>
      </c>
      <c r="G2989" s="14" t="s">
        <v>3487</v>
      </c>
      <c r="H2989" s="2" t="s">
        <v>24</v>
      </c>
      <c r="I2989" s="2" t="s">
        <v>3491</v>
      </c>
      <c r="J2989" s="2">
        <v>5.0</v>
      </c>
      <c r="K2989" s="23" t="s">
        <v>5645</v>
      </c>
      <c r="L2989" s="11">
        <v>0.0</v>
      </c>
    </row>
    <row r="2990" hidden="1">
      <c r="A2990" s="8" t="s">
        <v>2378</v>
      </c>
      <c r="B2990" s="8" t="s">
        <v>2378</v>
      </c>
      <c r="C2990" s="13">
        <v>46017.44954861111</v>
      </c>
      <c r="D2990" s="2" t="s">
        <v>1993</v>
      </c>
      <c r="E2990" s="2" t="s">
        <v>1994</v>
      </c>
      <c r="F2990" s="14" t="s">
        <v>3516</v>
      </c>
      <c r="G2990" s="14" t="s">
        <v>3517</v>
      </c>
      <c r="H2990" s="2" t="s">
        <v>16</v>
      </c>
      <c r="I2990" s="2" t="s">
        <v>3488</v>
      </c>
      <c r="J2990" s="2">
        <v>1.0</v>
      </c>
      <c r="K2990" s="23" t="s">
        <v>4812</v>
      </c>
      <c r="L2990" s="11">
        <v>190000.0</v>
      </c>
    </row>
    <row r="2991" hidden="1">
      <c r="A2991" s="8" t="s">
        <v>2378</v>
      </c>
      <c r="B2991" s="8" t="s">
        <v>2378</v>
      </c>
      <c r="C2991" s="13">
        <v>46017.44954861111</v>
      </c>
      <c r="D2991" s="2" t="s">
        <v>1993</v>
      </c>
      <c r="E2991" s="2" t="s">
        <v>1994</v>
      </c>
      <c r="F2991" s="14" t="s">
        <v>4203</v>
      </c>
      <c r="G2991" s="14" t="s">
        <v>4204</v>
      </c>
      <c r="H2991" s="2" t="s">
        <v>16</v>
      </c>
      <c r="I2991" s="2" t="s">
        <v>3488</v>
      </c>
      <c r="J2991" s="2">
        <v>4.0</v>
      </c>
      <c r="K2991" s="23" t="s">
        <v>5646</v>
      </c>
      <c r="L2991" s="11">
        <v>65000.0</v>
      </c>
    </row>
    <row r="2992" hidden="1">
      <c r="A2992" s="8" t="s">
        <v>2379</v>
      </c>
      <c r="B2992" s="8" t="s">
        <v>2379</v>
      </c>
      <c r="C2992" s="13">
        <v>46017.48609953704</v>
      </c>
      <c r="D2992" s="2" t="s">
        <v>1756</v>
      </c>
      <c r="E2992" s="2" t="s">
        <v>1757</v>
      </c>
      <c r="F2992" s="14" t="s">
        <v>3486</v>
      </c>
      <c r="G2992" s="14" t="s">
        <v>3487</v>
      </c>
      <c r="H2992" s="2" t="s">
        <v>16</v>
      </c>
      <c r="I2992" s="2" t="s">
        <v>3488</v>
      </c>
      <c r="J2992" s="2">
        <v>4.0</v>
      </c>
      <c r="K2992" s="23" t="s">
        <v>5647</v>
      </c>
      <c r="L2992" s="11">
        <v>65000.0</v>
      </c>
    </row>
    <row r="2993" hidden="1">
      <c r="A2993" s="8" t="s">
        <v>2380</v>
      </c>
      <c r="B2993" s="8" t="s">
        <v>2380</v>
      </c>
      <c r="C2993" s="13">
        <v>46017.48708333333</v>
      </c>
      <c r="D2993" s="2" t="s">
        <v>1371</v>
      </c>
      <c r="E2993" s="2" t="s">
        <v>1372</v>
      </c>
      <c r="F2993" s="14" t="s">
        <v>3486</v>
      </c>
      <c r="G2993" s="14" t="s">
        <v>3487</v>
      </c>
      <c r="H2993" s="2" t="s">
        <v>16</v>
      </c>
      <c r="I2993" s="2" t="s">
        <v>3488</v>
      </c>
      <c r="J2993" s="2">
        <v>2.0</v>
      </c>
      <c r="K2993" s="23" t="s">
        <v>5648</v>
      </c>
      <c r="L2993" s="11">
        <v>60000.0</v>
      </c>
    </row>
    <row r="2994" hidden="1">
      <c r="A2994" s="8" t="s">
        <v>2381</v>
      </c>
      <c r="B2994" s="8" t="s">
        <v>2381</v>
      </c>
      <c r="C2994" s="13">
        <v>46017.4909375</v>
      </c>
      <c r="D2994" s="2" t="s">
        <v>1993</v>
      </c>
      <c r="E2994" s="2" t="s">
        <v>1994</v>
      </c>
      <c r="F2994" s="14" t="s">
        <v>3516</v>
      </c>
      <c r="G2994" s="14" t="s">
        <v>3517</v>
      </c>
      <c r="H2994" s="2" t="s">
        <v>24</v>
      </c>
      <c r="I2994" s="2" t="s">
        <v>3491</v>
      </c>
      <c r="J2994" s="2">
        <v>1.0</v>
      </c>
      <c r="K2994" s="23" t="s">
        <v>5649</v>
      </c>
      <c r="L2994" s="11">
        <v>0.0</v>
      </c>
    </row>
    <row r="2995" hidden="1">
      <c r="A2995" s="8" t="s">
        <v>2382</v>
      </c>
      <c r="B2995" s="8" t="s">
        <v>2382</v>
      </c>
      <c r="C2995" s="13">
        <v>46017.51697916666</v>
      </c>
      <c r="D2995" s="2" t="s">
        <v>951</v>
      </c>
      <c r="E2995" s="2" t="s">
        <v>952</v>
      </c>
      <c r="F2995" s="14" t="s">
        <v>3486</v>
      </c>
      <c r="G2995" s="14" t="s">
        <v>3487</v>
      </c>
      <c r="H2995" s="2" t="s">
        <v>24</v>
      </c>
      <c r="I2995" s="2" t="s">
        <v>3491</v>
      </c>
      <c r="J2995" s="2">
        <v>4.0</v>
      </c>
      <c r="K2995" s="23" t="s">
        <v>5650</v>
      </c>
      <c r="L2995" s="11">
        <v>0.0</v>
      </c>
    </row>
    <row r="2996" hidden="1">
      <c r="A2996" s="8" t="s">
        <v>2383</v>
      </c>
      <c r="B2996" s="8" t="s">
        <v>2383</v>
      </c>
      <c r="C2996" s="13">
        <v>46017.51810185185</v>
      </c>
      <c r="D2996" s="2" t="s">
        <v>1618</v>
      </c>
      <c r="E2996" s="2" t="s">
        <v>1619</v>
      </c>
      <c r="F2996" s="14" t="s">
        <v>3516</v>
      </c>
      <c r="G2996" s="14" t="s">
        <v>3517</v>
      </c>
      <c r="H2996" s="2" t="s">
        <v>24</v>
      </c>
      <c r="I2996" s="2" t="s">
        <v>3491</v>
      </c>
      <c r="J2996" s="2">
        <v>4.0</v>
      </c>
      <c r="K2996" s="23" t="s">
        <v>5651</v>
      </c>
      <c r="L2996" s="11">
        <v>0.0</v>
      </c>
    </row>
    <row r="2997" hidden="1">
      <c r="A2997" s="8" t="s">
        <v>2384</v>
      </c>
      <c r="B2997" s="8" t="s">
        <v>2384</v>
      </c>
      <c r="C2997" s="13">
        <v>46017.52071759259</v>
      </c>
      <c r="D2997" s="2" t="s">
        <v>786</v>
      </c>
      <c r="E2997" s="2" t="s">
        <v>787</v>
      </c>
      <c r="F2997" s="14" t="s">
        <v>3486</v>
      </c>
      <c r="G2997" s="14" t="s">
        <v>3487</v>
      </c>
      <c r="H2997" s="2" t="s">
        <v>16</v>
      </c>
      <c r="I2997" s="2" t="s">
        <v>3488</v>
      </c>
      <c r="J2997" s="2">
        <v>4.0</v>
      </c>
      <c r="K2997" s="23" t="s">
        <v>5652</v>
      </c>
      <c r="L2997" s="11">
        <v>60000.0</v>
      </c>
    </row>
    <row r="2998" hidden="1">
      <c r="A2998" s="8" t="s">
        <v>2385</v>
      </c>
      <c r="B2998" s="8" t="s">
        <v>2385</v>
      </c>
      <c r="C2998" s="13">
        <v>46017.521157407406</v>
      </c>
      <c r="D2998" s="2" t="s">
        <v>951</v>
      </c>
      <c r="E2998" s="2" t="s">
        <v>952</v>
      </c>
      <c r="F2998" s="14" t="s">
        <v>3516</v>
      </c>
      <c r="G2998" s="14" t="s">
        <v>3517</v>
      </c>
      <c r="H2998" s="2" t="s">
        <v>16</v>
      </c>
      <c r="I2998" s="2" t="s">
        <v>3488</v>
      </c>
      <c r="J2998" s="2">
        <v>1.0</v>
      </c>
      <c r="K2998" s="23" t="s">
        <v>5653</v>
      </c>
      <c r="L2998" s="11">
        <v>175000.0</v>
      </c>
    </row>
    <row r="2999" hidden="1">
      <c r="A2999" s="8" t="s">
        <v>2385</v>
      </c>
      <c r="B2999" s="8" t="s">
        <v>2385</v>
      </c>
      <c r="C2999" s="13">
        <v>46017.521157407406</v>
      </c>
      <c r="D2999" s="2" t="s">
        <v>951</v>
      </c>
      <c r="E2999" s="2" t="s">
        <v>952</v>
      </c>
      <c r="F2999" s="14" t="s">
        <v>3486</v>
      </c>
      <c r="G2999" s="14" t="s">
        <v>3487</v>
      </c>
      <c r="H2999" s="2" t="s">
        <v>16</v>
      </c>
      <c r="I2999" s="2" t="s">
        <v>3488</v>
      </c>
      <c r="J2999" s="2">
        <v>4.0</v>
      </c>
      <c r="K2999" s="23" t="s">
        <v>5654</v>
      </c>
      <c r="L2999" s="11">
        <v>55000.0</v>
      </c>
    </row>
    <row r="3000" hidden="1">
      <c r="A3000" s="8" t="s">
        <v>2386</v>
      </c>
      <c r="B3000" s="8" t="s">
        <v>2386</v>
      </c>
      <c r="C3000" s="13">
        <v>46017.64958333333</v>
      </c>
      <c r="D3000" s="2" t="s">
        <v>1756</v>
      </c>
      <c r="E3000" s="2" t="s">
        <v>1757</v>
      </c>
      <c r="F3000" s="14" t="s">
        <v>4203</v>
      </c>
      <c r="G3000" s="14" t="s">
        <v>4204</v>
      </c>
      <c r="H3000" s="2" t="s">
        <v>24</v>
      </c>
      <c r="I3000" s="2" t="s">
        <v>3491</v>
      </c>
      <c r="J3000" s="2">
        <v>2.0</v>
      </c>
      <c r="K3000" s="23" t="s">
        <v>5655</v>
      </c>
      <c r="L3000" s="11">
        <v>0.0</v>
      </c>
    </row>
    <row r="3001" hidden="1">
      <c r="A3001" s="8" t="s">
        <v>2386</v>
      </c>
      <c r="B3001" s="8" t="s">
        <v>2386</v>
      </c>
      <c r="C3001" s="13">
        <v>46017.64958333333</v>
      </c>
      <c r="D3001" s="2" t="s">
        <v>1756</v>
      </c>
      <c r="E3001" s="2" t="s">
        <v>1757</v>
      </c>
      <c r="F3001" s="14" t="s">
        <v>3486</v>
      </c>
      <c r="G3001" s="14" t="s">
        <v>3487</v>
      </c>
      <c r="H3001" s="2" t="s">
        <v>24</v>
      </c>
      <c r="I3001" s="2" t="s">
        <v>3491</v>
      </c>
      <c r="J3001" s="2">
        <v>1.0</v>
      </c>
      <c r="K3001" s="23" t="s">
        <v>5656</v>
      </c>
      <c r="L3001" s="11">
        <v>0.0</v>
      </c>
    </row>
    <row r="3002" hidden="1">
      <c r="A3002" s="8" t="s">
        <v>2387</v>
      </c>
      <c r="B3002" s="8" t="s">
        <v>2387</v>
      </c>
      <c r="C3002" s="13">
        <v>46017.650358796294</v>
      </c>
      <c r="D3002" s="2" t="s">
        <v>786</v>
      </c>
      <c r="E3002" s="2" t="s">
        <v>787</v>
      </c>
      <c r="F3002" s="14" t="s">
        <v>3516</v>
      </c>
      <c r="G3002" s="14" t="s">
        <v>3517</v>
      </c>
      <c r="H3002" s="2" t="s">
        <v>24</v>
      </c>
      <c r="I3002" s="2" t="s">
        <v>3491</v>
      </c>
      <c r="J3002" s="2">
        <v>1.0</v>
      </c>
      <c r="K3002" s="23" t="s">
        <v>4941</v>
      </c>
      <c r="L3002" s="11">
        <v>0.0</v>
      </c>
    </row>
    <row r="3003" hidden="1">
      <c r="A3003" s="8" t="s">
        <v>2387</v>
      </c>
      <c r="B3003" s="8" t="s">
        <v>2387</v>
      </c>
      <c r="C3003" s="13">
        <v>46017.650358796294</v>
      </c>
      <c r="D3003" s="2" t="s">
        <v>786</v>
      </c>
      <c r="E3003" s="2" t="s">
        <v>787</v>
      </c>
      <c r="F3003" s="14" t="s">
        <v>4203</v>
      </c>
      <c r="G3003" s="14" t="s">
        <v>4204</v>
      </c>
      <c r="H3003" s="2" t="s">
        <v>24</v>
      </c>
      <c r="I3003" s="2" t="s">
        <v>3491</v>
      </c>
      <c r="J3003" s="2">
        <v>4.0</v>
      </c>
      <c r="K3003" s="23" t="s">
        <v>5657</v>
      </c>
      <c r="L3003" s="11">
        <v>0.0</v>
      </c>
    </row>
    <row r="3004" hidden="1">
      <c r="A3004" s="8" t="s">
        <v>2387</v>
      </c>
      <c r="B3004" s="8" t="s">
        <v>2387</v>
      </c>
      <c r="C3004" s="13">
        <v>46017.650358796294</v>
      </c>
      <c r="D3004" s="2" t="s">
        <v>786</v>
      </c>
      <c r="E3004" s="2" t="s">
        <v>787</v>
      </c>
      <c r="F3004" s="14" t="s">
        <v>3486</v>
      </c>
      <c r="G3004" s="14" t="s">
        <v>3487</v>
      </c>
      <c r="H3004" s="2" t="s">
        <v>24</v>
      </c>
      <c r="I3004" s="2" t="s">
        <v>3491</v>
      </c>
      <c r="J3004" s="2">
        <v>5.0</v>
      </c>
      <c r="K3004" s="23" t="s">
        <v>5658</v>
      </c>
      <c r="L3004" s="11">
        <v>0.0</v>
      </c>
    </row>
    <row r="3005" hidden="1">
      <c r="A3005" s="8" t="s">
        <v>2388</v>
      </c>
      <c r="B3005" s="8" t="s">
        <v>2388</v>
      </c>
      <c r="C3005" s="13">
        <v>46018.34326388889</v>
      </c>
      <c r="D3005" s="2" t="s">
        <v>2131</v>
      </c>
      <c r="E3005" s="2" t="s">
        <v>2171</v>
      </c>
      <c r="F3005" s="14" t="s">
        <v>3486</v>
      </c>
      <c r="G3005" s="14" t="s">
        <v>3487</v>
      </c>
      <c r="H3005" s="2" t="s">
        <v>16</v>
      </c>
      <c r="I3005" s="2" t="s">
        <v>3488</v>
      </c>
      <c r="J3005" s="2">
        <v>15.0</v>
      </c>
      <c r="K3005" s="23" t="s">
        <v>5659</v>
      </c>
      <c r="L3005" s="11">
        <v>60000.0</v>
      </c>
    </row>
    <row r="3006" hidden="1">
      <c r="A3006" s="8" t="s">
        <v>2388</v>
      </c>
      <c r="B3006" s="8" t="s">
        <v>2388</v>
      </c>
      <c r="C3006" s="13">
        <v>46018.34326388889</v>
      </c>
      <c r="D3006" s="2" t="s">
        <v>2131</v>
      </c>
      <c r="E3006" s="2" t="s">
        <v>2171</v>
      </c>
      <c r="F3006" s="14" t="s">
        <v>3493</v>
      </c>
      <c r="G3006" s="14" t="s">
        <v>3494</v>
      </c>
      <c r="H3006" s="2" t="s">
        <v>16</v>
      </c>
      <c r="I3006" s="2" t="s">
        <v>3488</v>
      </c>
      <c r="J3006" s="2">
        <v>2.0</v>
      </c>
      <c r="K3006" s="23" t="s">
        <v>4670</v>
      </c>
      <c r="L3006" s="11">
        <v>210000.0</v>
      </c>
    </row>
    <row r="3007" hidden="1">
      <c r="A3007" s="8" t="s">
        <v>2389</v>
      </c>
      <c r="B3007" s="8" t="s">
        <v>2389</v>
      </c>
      <c r="C3007" s="13">
        <v>46018.42357638889</v>
      </c>
      <c r="D3007" s="2" t="s">
        <v>786</v>
      </c>
      <c r="E3007" s="2" t="s">
        <v>787</v>
      </c>
      <c r="F3007" s="14" t="s">
        <v>3516</v>
      </c>
      <c r="G3007" s="14" t="s">
        <v>3517</v>
      </c>
      <c r="H3007" s="2" t="s">
        <v>16</v>
      </c>
      <c r="I3007" s="2" t="s">
        <v>3488</v>
      </c>
      <c r="J3007" s="2">
        <v>4.0</v>
      </c>
      <c r="K3007" s="23" t="s">
        <v>5660</v>
      </c>
      <c r="L3007" s="11">
        <v>180000.0</v>
      </c>
    </row>
    <row r="3008" hidden="1">
      <c r="A3008" s="8" t="s">
        <v>2389</v>
      </c>
      <c r="B3008" s="8" t="s">
        <v>2389</v>
      </c>
      <c r="C3008" s="13">
        <v>46018.42357638889</v>
      </c>
      <c r="D3008" s="2" t="s">
        <v>786</v>
      </c>
      <c r="E3008" s="2" t="s">
        <v>787</v>
      </c>
      <c r="F3008" s="14" t="s">
        <v>3486</v>
      </c>
      <c r="G3008" s="14" t="s">
        <v>3487</v>
      </c>
      <c r="H3008" s="2" t="s">
        <v>16</v>
      </c>
      <c r="I3008" s="2" t="s">
        <v>3488</v>
      </c>
      <c r="J3008" s="2">
        <v>2.0</v>
      </c>
      <c r="K3008" s="23" t="s">
        <v>5661</v>
      </c>
      <c r="L3008" s="11">
        <v>60000.0</v>
      </c>
    </row>
    <row r="3009" hidden="1">
      <c r="A3009" s="8" t="s">
        <v>2390</v>
      </c>
      <c r="B3009" s="8" t="s">
        <v>2390</v>
      </c>
      <c r="C3009" s="13">
        <v>46018.523368055554</v>
      </c>
      <c r="D3009" s="2" t="s">
        <v>326</v>
      </c>
      <c r="E3009" s="2" t="s">
        <v>327</v>
      </c>
      <c r="F3009" s="14" t="s">
        <v>4203</v>
      </c>
      <c r="G3009" s="14" t="s">
        <v>4204</v>
      </c>
      <c r="H3009" s="2" t="s">
        <v>16</v>
      </c>
      <c r="I3009" s="2" t="s">
        <v>3488</v>
      </c>
      <c r="J3009" s="2">
        <v>5.0</v>
      </c>
      <c r="K3009" s="23" t="s">
        <v>5662</v>
      </c>
      <c r="L3009" s="11">
        <v>45000.0</v>
      </c>
    </row>
    <row r="3010" hidden="1">
      <c r="A3010" s="8" t="s">
        <v>2390</v>
      </c>
      <c r="B3010" s="8" t="s">
        <v>2390</v>
      </c>
      <c r="C3010" s="13">
        <v>46018.523368055554</v>
      </c>
      <c r="D3010" s="2" t="s">
        <v>326</v>
      </c>
      <c r="E3010" s="2" t="s">
        <v>327</v>
      </c>
      <c r="F3010" s="14" t="s">
        <v>3486</v>
      </c>
      <c r="G3010" s="14" t="s">
        <v>3487</v>
      </c>
      <c r="H3010" s="2" t="s">
        <v>16</v>
      </c>
      <c r="I3010" s="2" t="s">
        <v>3488</v>
      </c>
      <c r="J3010" s="2">
        <v>10.0</v>
      </c>
      <c r="K3010" s="23" t="s">
        <v>5663</v>
      </c>
      <c r="L3010" s="11">
        <v>45000.0</v>
      </c>
    </row>
    <row r="3011" hidden="1">
      <c r="A3011" s="8" t="s">
        <v>2391</v>
      </c>
      <c r="B3011" s="8" t="s">
        <v>2391</v>
      </c>
      <c r="C3011" s="13">
        <v>46018.52887731481</v>
      </c>
      <c r="D3011" s="2" t="s">
        <v>213</v>
      </c>
      <c r="E3011" s="2" t="s">
        <v>214</v>
      </c>
      <c r="F3011" s="14" t="s">
        <v>3486</v>
      </c>
      <c r="G3011" s="14" t="s">
        <v>3487</v>
      </c>
      <c r="H3011" s="2" t="s">
        <v>24</v>
      </c>
      <c r="I3011" s="2" t="s">
        <v>3491</v>
      </c>
      <c r="J3011" s="2">
        <v>5.0</v>
      </c>
      <c r="K3011" s="23" t="s">
        <v>5664</v>
      </c>
      <c r="L3011" s="11">
        <v>0.0</v>
      </c>
    </row>
    <row r="3012" hidden="1">
      <c r="A3012" s="8" t="s">
        <v>2391</v>
      </c>
      <c r="B3012" s="8" t="s">
        <v>2391</v>
      </c>
      <c r="C3012" s="13">
        <v>46018.52887731481</v>
      </c>
      <c r="D3012" s="2" t="s">
        <v>213</v>
      </c>
      <c r="E3012" s="2" t="s">
        <v>214</v>
      </c>
      <c r="F3012" s="14" t="s">
        <v>4203</v>
      </c>
      <c r="G3012" s="14" t="s">
        <v>4204</v>
      </c>
      <c r="H3012" s="2" t="s">
        <v>24</v>
      </c>
      <c r="I3012" s="2" t="s">
        <v>3491</v>
      </c>
      <c r="J3012" s="2">
        <v>3.0</v>
      </c>
      <c r="K3012" s="23" t="s">
        <v>5665</v>
      </c>
      <c r="L3012" s="11">
        <v>0.0</v>
      </c>
    </row>
    <row r="3013" hidden="1">
      <c r="A3013" s="8" t="s">
        <v>2392</v>
      </c>
      <c r="B3013" s="8" t="s">
        <v>2392</v>
      </c>
      <c r="C3013" s="13">
        <v>46018.530497685184</v>
      </c>
      <c r="D3013" s="2" t="s">
        <v>1228</v>
      </c>
      <c r="E3013" s="2" t="s">
        <v>1229</v>
      </c>
      <c r="F3013" s="14" t="s">
        <v>3486</v>
      </c>
      <c r="G3013" s="14" t="s">
        <v>3487</v>
      </c>
      <c r="H3013" s="2" t="s">
        <v>24</v>
      </c>
      <c r="I3013" s="2" t="s">
        <v>3491</v>
      </c>
      <c r="J3013" s="2">
        <v>8.0</v>
      </c>
      <c r="K3013" s="23" t="s">
        <v>5666</v>
      </c>
      <c r="L3013" s="11">
        <v>0.0</v>
      </c>
    </row>
    <row r="3014" hidden="1">
      <c r="A3014" s="8" t="s">
        <v>2393</v>
      </c>
      <c r="B3014" s="8" t="s">
        <v>2393</v>
      </c>
      <c r="C3014" s="13">
        <v>46018.53119212963</v>
      </c>
      <c r="D3014" s="2" t="s">
        <v>1776</v>
      </c>
      <c r="E3014" s="2" t="s">
        <v>1777</v>
      </c>
      <c r="F3014" s="14" t="s">
        <v>4203</v>
      </c>
      <c r="G3014" s="14" t="s">
        <v>4204</v>
      </c>
      <c r="H3014" s="2" t="s">
        <v>16</v>
      </c>
      <c r="I3014" s="2" t="s">
        <v>3488</v>
      </c>
      <c r="J3014" s="2">
        <v>1.0</v>
      </c>
      <c r="K3014" s="23" t="s">
        <v>5667</v>
      </c>
      <c r="L3014" s="11">
        <v>80000.0</v>
      </c>
    </row>
    <row r="3015" hidden="1">
      <c r="A3015" s="8" t="s">
        <v>2394</v>
      </c>
      <c r="B3015" s="8" t="s">
        <v>2394</v>
      </c>
      <c r="C3015" s="13">
        <v>46018.53159722222</v>
      </c>
      <c r="D3015" s="10" t="s">
        <v>1399</v>
      </c>
      <c r="E3015" s="2" t="s">
        <v>1400</v>
      </c>
      <c r="F3015" s="14" t="s">
        <v>3486</v>
      </c>
      <c r="G3015" s="14" t="s">
        <v>3487</v>
      </c>
      <c r="H3015" s="2" t="s">
        <v>24</v>
      </c>
      <c r="I3015" s="2" t="s">
        <v>3491</v>
      </c>
      <c r="J3015" s="2">
        <v>2.0</v>
      </c>
      <c r="K3015" s="23" t="s">
        <v>5668</v>
      </c>
      <c r="L3015" s="11">
        <v>0.0</v>
      </c>
    </row>
    <row r="3016" hidden="1">
      <c r="A3016" s="8" t="s">
        <v>2395</v>
      </c>
      <c r="B3016" s="8" t="s">
        <v>2395</v>
      </c>
      <c r="C3016" s="13">
        <v>46018.531909722224</v>
      </c>
      <c r="D3016" s="2" t="s">
        <v>2131</v>
      </c>
      <c r="E3016" s="2" t="s">
        <v>2171</v>
      </c>
      <c r="F3016" s="14" t="s">
        <v>3486</v>
      </c>
      <c r="G3016" s="14" t="s">
        <v>3487</v>
      </c>
      <c r="H3016" s="2" t="s">
        <v>24</v>
      </c>
      <c r="I3016" s="2" t="s">
        <v>3491</v>
      </c>
      <c r="J3016" s="2">
        <v>8.0</v>
      </c>
      <c r="K3016" s="23" t="s">
        <v>5669</v>
      </c>
      <c r="L3016" s="11">
        <v>0.0</v>
      </c>
    </row>
    <row r="3017" hidden="1">
      <c r="A3017" s="8" t="s">
        <v>2395</v>
      </c>
      <c r="B3017" s="8" t="s">
        <v>2395</v>
      </c>
      <c r="C3017" s="13">
        <v>46018.531909722224</v>
      </c>
      <c r="D3017" s="2" t="s">
        <v>2131</v>
      </c>
      <c r="E3017" s="2" t="s">
        <v>2171</v>
      </c>
      <c r="F3017" s="14" t="s">
        <v>4203</v>
      </c>
      <c r="G3017" s="14" t="s">
        <v>4204</v>
      </c>
      <c r="H3017" s="2" t="s">
        <v>24</v>
      </c>
      <c r="I3017" s="2" t="s">
        <v>3491</v>
      </c>
      <c r="J3017" s="2">
        <v>4.0</v>
      </c>
      <c r="K3017" s="23" t="s">
        <v>5670</v>
      </c>
      <c r="L3017" s="11">
        <v>0.0</v>
      </c>
    </row>
    <row r="3018" hidden="1">
      <c r="A3018" s="8" t="s">
        <v>2396</v>
      </c>
      <c r="B3018" s="8" t="s">
        <v>2396</v>
      </c>
      <c r="C3018" s="13">
        <v>46018.63214120371</v>
      </c>
      <c r="D3018" s="2" t="s">
        <v>786</v>
      </c>
      <c r="E3018" s="2" t="s">
        <v>787</v>
      </c>
      <c r="F3018" s="14" t="s">
        <v>3516</v>
      </c>
      <c r="G3018" s="14" t="s">
        <v>3517</v>
      </c>
      <c r="H3018" s="2" t="s">
        <v>24</v>
      </c>
      <c r="I3018" s="2" t="s">
        <v>3491</v>
      </c>
      <c r="J3018" s="2">
        <v>2.0</v>
      </c>
      <c r="K3018" s="23" t="s">
        <v>5671</v>
      </c>
      <c r="L3018" s="11">
        <v>0.0</v>
      </c>
    </row>
    <row r="3019" hidden="1">
      <c r="A3019" s="8" t="s">
        <v>2396</v>
      </c>
      <c r="B3019" s="8" t="s">
        <v>2396</v>
      </c>
      <c r="C3019" s="13">
        <v>46018.63214120371</v>
      </c>
      <c r="D3019" s="2" t="s">
        <v>786</v>
      </c>
      <c r="E3019" s="2" t="s">
        <v>787</v>
      </c>
      <c r="F3019" s="14" t="s">
        <v>3486</v>
      </c>
      <c r="G3019" s="14" t="s">
        <v>3487</v>
      </c>
      <c r="H3019" s="2" t="s">
        <v>24</v>
      </c>
      <c r="I3019" s="2" t="s">
        <v>3491</v>
      </c>
      <c r="J3019" s="2">
        <v>4.0</v>
      </c>
      <c r="K3019" s="23" t="s">
        <v>5672</v>
      </c>
      <c r="L3019" s="11">
        <v>0.0</v>
      </c>
    </row>
    <row r="3020" hidden="1">
      <c r="A3020" s="8" t="s">
        <v>2396</v>
      </c>
      <c r="B3020" s="8" t="s">
        <v>2396</v>
      </c>
      <c r="C3020" s="13">
        <v>46018.63214120371</v>
      </c>
      <c r="D3020" s="2" t="s">
        <v>786</v>
      </c>
      <c r="E3020" s="2" t="s">
        <v>787</v>
      </c>
      <c r="F3020" s="14" t="s">
        <v>4203</v>
      </c>
      <c r="G3020" s="14" t="s">
        <v>4204</v>
      </c>
      <c r="H3020" s="2" t="s">
        <v>24</v>
      </c>
      <c r="I3020" s="2" t="s">
        <v>3491</v>
      </c>
      <c r="J3020" s="2">
        <v>1.0</v>
      </c>
      <c r="K3020" s="23" t="s">
        <v>5673</v>
      </c>
      <c r="L3020" s="11">
        <v>0.0</v>
      </c>
    </row>
    <row r="3021" hidden="1">
      <c r="A3021" s="8" t="s">
        <v>2397</v>
      </c>
      <c r="B3021" s="8" t="s">
        <v>2397</v>
      </c>
      <c r="C3021" s="13">
        <v>46020.35666666667</v>
      </c>
      <c r="D3021" s="2" t="s">
        <v>1776</v>
      </c>
      <c r="E3021" s="2" t="s">
        <v>1777</v>
      </c>
      <c r="F3021" s="14" t="s">
        <v>4203</v>
      </c>
      <c r="G3021" s="14" t="s">
        <v>4204</v>
      </c>
      <c r="H3021" s="2" t="s">
        <v>16</v>
      </c>
      <c r="I3021" s="2" t="s">
        <v>3488</v>
      </c>
      <c r="J3021" s="2">
        <v>1.0</v>
      </c>
      <c r="K3021" s="23" t="s">
        <v>5556</v>
      </c>
      <c r="L3021" s="11">
        <v>80000.0</v>
      </c>
    </row>
    <row r="3022" hidden="1">
      <c r="A3022" s="8" t="s">
        <v>2398</v>
      </c>
      <c r="B3022" s="8" t="s">
        <v>2398</v>
      </c>
      <c r="C3022" s="13">
        <v>46020.35693287037</v>
      </c>
      <c r="D3022" s="2" t="s">
        <v>326</v>
      </c>
      <c r="E3022" s="2" t="s">
        <v>327</v>
      </c>
      <c r="F3022" s="14" t="s">
        <v>3486</v>
      </c>
      <c r="G3022" s="14" t="s">
        <v>3487</v>
      </c>
      <c r="H3022" s="2" t="s">
        <v>24</v>
      </c>
      <c r="I3022" s="2" t="s">
        <v>3491</v>
      </c>
      <c r="J3022" s="2">
        <v>11.0</v>
      </c>
      <c r="K3022" s="23" t="s">
        <v>5674</v>
      </c>
      <c r="L3022" s="11">
        <v>0.0</v>
      </c>
    </row>
    <row r="3023" hidden="1">
      <c r="A3023" s="8" t="s">
        <v>2399</v>
      </c>
      <c r="B3023" s="8" t="s">
        <v>2399</v>
      </c>
      <c r="C3023" s="13">
        <v>46020.37486111111</v>
      </c>
      <c r="D3023" s="2" t="s">
        <v>1873</v>
      </c>
      <c r="E3023" s="2" t="s">
        <v>1874</v>
      </c>
      <c r="F3023" s="14" t="s">
        <v>4203</v>
      </c>
      <c r="G3023" s="14" t="s">
        <v>4204</v>
      </c>
      <c r="H3023" s="2" t="s">
        <v>16</v>
      </c>
      <c r="I3023" s="2" t="s">
        <v>3488</v>
      </c>
      <c r="J3023" s="2">
        <v>2.0</v>
      </c>
      <c r="K3023" s="23" t="s">
        <v>5675</v>
      </c>
      <c r="L3023" s="11">
        <v>70000.0</v>
      </c>
    </row>
    <row r="3024" hidden="1">
      <c r="A3024" s="8" t="s">
        <v>2400</v>
      </c>
      <c r="B3024" s="8" t="s">
        <v>2400</v>
      </c>
      <c r="C3024" s="13">
        <v>46020.3984375</v>
      </c>
      <c r="D3024" s="2" t="s">
        <v>1084</v>
      </c>
      <c r="E3024" s="2" t="s">
        <v>1085</v>
      </c>
      <c r="F3024" s="14" t="s">
        <v>3486</v>
      </c>
      <c r="G3024" s="14" t="s">
        <v>3487</v>
      </c>
      <c r="H3024" s="2" t="s">
        <v>16</v>
      </c>
      <c r="I3024" s="2" t="s">
        <v>3488</v>
      </c>
      <c r="J3024" s="2">
        <v>5.0</v>
      </c>
      <c r="K3024" s="23" t="s">
        <v>5676</v>
      </c>
      <c r="L3024" s="11">
        <v>60000.0</v>
      </c>
    </row>
    <row r="3025" hidden="1">
      <c r="A3025" s="8" t="s">
        <v>2400</v>
      </c>
      <c r="B3025" s="8" t="s">
        <v>2400</v>
      </c>
      <c r="C3025" s="13">
        <v>46020.3984375</v>
      </c>
      <c r="D3025" s="2" t="s">
        <v>1084</v>
      </c>
      <c r="E3025" s="2" t="s">
        <v>1085</v>
      </c>
      <c r="F3025" s="14" t="s">
        <v>4203</v>
      </c>
      <c r="G3025" s="14" t="s">
        <v>4204</v>
      </c>
      <c r="H3025" s="2" t="s">
        <v>16</v>
      </c>
      <c r="I3025" s="2" t="s">
        <v>3488</v>
      </c>
      <c r="J3025" s="2">
        <v>5.0</v>
      </c>
      <c r="K3025" s="23" t="s">
        <v>5677</v>
      </c>
      <c r="L3025" s="11">
        <v>70000.0</v>
      </c>
    </row>
    <row r="3026" hidden="1">
      <c r="A3026" s="8" t="s">
        <v>2401</v>
      </c>
      <c r="B3026" s="8" t="s">
        <v>2401</v>
      </c>
      <c r="C3026" s="13">
        <v>46020.4862037037</v>
      </c>
      <c r="D3026" s="2" t="s">
        <v>1228</v>
      </c>
      <c r="E3026" s="2" t="s">
        <v>1229</v>
      </c>
      <c r="F3026" s="14" t="s">
        <v>3486</v>
      </c>
      <c r="G3026" s="14" t="s">
        <v>3487</v>
      </c>
      <c r="H3026" s="2" t="s">
        <v>16</v>
      </c>
      <c r="I3026" s="2" t="s">
        <v>3488</v>
      </c>
      <c r="J3026" s="2">
        <v>8.0</v>
      </c>
      <c r="K3026" s="23" t="s">
        <v>5678</v>
      </c>
      <c r="L3026" s="11">
        <v>55000.0</v>
      </c>
    </row>
    <row r="3027" hidden="1">
      <c r="A3027" s="8" t="s">
        <v>2402</v>
      </c>
      <c r="B3027" s="8" t="s">
        <v>2402</v>
      </c>
      <c r="C3027" s="13">
        <v>46020.48875</v>
      </c>
      <c r="D3027" s="2" t="s">
        <v>309</v>
      </c>
      <c r="E3027" s="2" t="s">
        <v>310</v>
      </c>
      <c r="F3027" s="14" t="s">
        <v>3493</v>
      </c>
      <c r="G3027" s="14" t="s">
        <v>3494</v>
      </c>
      <c r="H3027" s="2" t="s">
        <v>16</v>
      </c>
      <c r="I3027" s="2" t="s">
        <v>3488</v>
      </c>
      <c r="J3027" s="2">
        <v>4.0</v>
      </c>
      <c r="K3027" s="23" t="s">
        <v>5443</v>
      </c>
      <c r="L3027" s="11">
        <v>200000.0</v>
      </c>
    </row>
    <row r="3028" hidden="1">
      <c r="A3028" s="8" t="s">
        <v>2403</v>
      </c>
      <c r="B3028" s="8" t="s">
        <v>2403</v>
      </c>
      <c r="C3028" s="13">
        <v>46020.52375</v>
      </c>
      <c r="D3028" s="2" t="s">
        <v>2081</v>
      </c>
      <c r="E3028" s="2" t="s">
        <v>2082</v>
      </c>
      <c r="F3028" s="14" t="s">
        <v>3506</v>
      </c>
      <c r="G3028" s="14" t="s">
        <v>3507</v>
      </c>
      <c r="H3028" s="2" t="s">
        <v>16</v>
      </c>
      <c r="I3028" s="2" t="s">
        <v>3488</v>
      </c>
      <c r="J3028" s="2">
        <v>3.0</v>
      </c>
      <c r="K3028" s="23" t="s">
        <v>5679</v>
      </c>
      <c r="L3028" s="11">
        <v>55000.0</v>
      </c>
    </row>
    <row r="3029" hidden="1">
      <c r="A3029" s="8" t="s">
        <v>2404</v>
      </c>
      <c r="B3029" s="8" t="s">
        <v>2404</v>
      </c>
      <c r="C3029" s="13">
        <v>46020.52474537037</v>
      </c>
      <c r="D3029" s="2" t="s">
        <v>2081</v>
      </c>
      <c r="E3029" s="2" t="s">
        <v>2082</v>
      </c>
      <c r="F3029" s="14" t="s">
        <v>3506</v>
      </c>
      <c r="G3029" s="14" t="s">
        <v>3507</v>
      </c>
      <c r="H3029" s="2" t="s">
        <v>24</v>
      </c>
      <c r="I3029" s="2" t="s">
        <v>3491</v>
      </c>
      <c r="J3029" s="2">
        <v>3.0</v>
      </c>
      <c r="K3029" s="23" t="s">
        <v>5680</v>
      </c>
      <c r="L3029" s="11">
        <v>0.0</v>
      </c>
    </row>
    <row r="3030" hidden="1">
      <c r="A3030" s="8" t="s">
        <v>2405</v>
      </c>
      <c r="B3030" s="8" t="s">
        <v>2405</v>
      </c>
      <c r="C3030" s="13">
        <v>46020.525289351855</v>
      </c>
      <c r="D3030" s="2" t="s">
        <v>1084</v>
      </c>
      <c r="E3030" s="2" t="s">
        <v>1085</v>
      </c>
      <c r="F3030" s="14" t="s">
        <v>3486</v>
      </c>
      <c r="G3030" s="14" t="s">
        <v>3487</v>
      </c>
      <c r="H3030" s="2" t="s">
        <v>24</v>
      </c>
      <c r="I3030" s="2" t="s">
        <v>3491</v>
      </c>
      <c r="J3030" s="2">
        <v>2.0</v>
      </c>
      <c r="K3030" s="23" t="s">
        <v>5681</v>
      </c>
      <c r="L3030" s="11">
        <v>0.0</v>
      </c>
    </row>
    <row r="3031" hidden="1">
      <c r="A3031" s="8" t="s">
        <v>2406</v>
      </c>
      <c r="B3031" s="8" t="s">
        <v>2406</v>
      </c>
      <c r="C3031" s="13">
        <v>46020.61246527778</v>
      </c>
      <c r="D3031" s="2" t="s">
        <v>1873</v>
      </c>
      <c r="E3031" s="2" t="s">
        <v>1874</v>
      </c>
      <c r="F3031" s="14" t="s">
        <v>3486</v>
      </c>
      <c r="G3031" s="14" t="s">
        <v>3487</v>
      </c>
      <c r="H3031" s="2" t="s">
        <v>24</v>
      </c>
      <c r="I3031" s="2" t="s">
        <v>3491</v>
      </c>
      <c r="J3031" s="2">
        <v>2.0</v>
      </c>
      <c r="K3031" s="23" t="s">
        <v>5205</v>
      </c>
      <c r="L3031" s="11">
        <v>0.0</v>
      </c>
    </row>
    <row r="3032" hidden="1">
      <c r="A3032" s="8" t="s">
        <v>2406</v>
      </c>
      <c r="B3032" s="8" t="s">
        <v>2406</v>
      </c>
      <c r="C3032" s="13">
        <v>46020.61246527778</v>
      </c>
      <c r="D3032" s="2" t="s">
        <v>1873</v>
      </c>
      <c r="E3032" s="2" t="s">
        <v>1874</v>
      </c>
      <c r="F3032" s="14" t="s">
        <v>4203</v>
      </c>
      <c r="G3032" s="14" t="s">
        <v>4204</v>
      </c>
      <c r="H3032" s="2" t="s">
        <v>24</v>
      </c>
      <c r="I3032" s="2" t="s">
        <v>3491</v>
      </c>
      <c r="J3032" s="2">
        <v>1.0</v>
      </c>
      <c r="K3032" s="23" t="s">
        <v>5348</v>
      </c>
      <c r="L3032" s="11">
        <v>0.0</v>
      </c>
    </row>
    <row r="3033" hidden="1">
      <c r="A3033" s="8" t="s">
        <v>2407</v>
      </c>
      <c r="B3033" s="8" t="s">
        <v>2407</v>
      </c>
      <c r="C3033" s="13">
        <v>46020.613275462965</v>
      </c>
      <c r="D3033" s="2" t="s">
        <v>1975</v>
      </c>
      <c r="E3033" s="2" t="s">
        <v>1976</v>
      </c>
      <c r="F3033" s="14" t="s">
        <v>3486</v>
      </c>
      <c r="G3033" s="14" t="s">
        <v>3487</v>
      </c>
      <c r="H3033" s="2" t="s">
        <v>24</v>
      </c>
      <c r="I3033" s="2" t="s">
        <v>3491</v>
      </c>
      <c r="J3033" s="2">
        <v>1.0</v>
      </c>
      <c r="K3033" s="23" t="s">
        <v>4745</v>
      </c>
      <c r="L3033" s="11">
        <v>0.0</v>
      </c>
    </row>
    <row r="3034" hidden="1">
      <c r="A3034" s="8" t="s">
        <v>2408</v>
      </c>
      <c r="B3034" s="8" t="s">
        <v>2408</v>
      </c>
      <c r="C3034" s="13">
        <v>46020.61368055556</v>
      </c>
      <c r="D3034" s="2" t="s">
        <v>786</v>
      </c>
      <c r="E3034" s="2" t="s">
        <v>787</v>
      </c>
      <c r="F3034" s="14" t="s">
        <v>3486</v>
      </c>
      <c r="G3034" s="14" t="s">
        <v>3487</v>
      </c>
      <c r="H3034" s="2" t="s">
        <v>24</v>
      </c>
      <c r="I3034" s="2" t="s">
        <v>3491</v>
      </c>
      <c r="J3034" s="2">
        <v>2.0</v>
      </c>
      <c r="K3034" s="23" t="s">
        <v>5682</v>
      </c>
      <c r="L3034" s="11">
        <v>0.0</v>
      </c>
    </row>
    <row r="3035" hidden="1">
      <c r="A3035" s="8" t="s">
        <v>2409</v>
      </c>
      <c r="B3035" s="8" t="s">
        <v>2409</v>
      </c>
      <c r="C3035" s="13">
        <v>46020.687731481485</v>
      </c>
      <c r="D3035" s="2" t="s">
        <v>309</v>
      </c>
      <c r="E3035" s="2" t="s">
        <v>310</v>
      </c>
      <c r="F3035" s="14" t="s">
        <v>3506</v>
      </c>
      <c r="G3035" s="14" t="s">
        <v>3507</v>
      </c>
      <c r="H3035" s="2" t="s">
        <v>24</v>
      </c>
      <c r="I3035" s="2" t="s">
        <v>3491</v>
      </c>
      <c r="J3035" s="2">
        <v>12.0</v>
      </c>
      <c r="K3035" s="23" t="s">
        <v>5683</v>
      </c>
      <c r="L3035" s="11">
        <v>0.0</v>
      </c>
    </row>
    <row r="3036" hidden="1">
      <c r="A3036" s="8" t="s">
        <v>2409</v>
      </c>
      <c r="B3036" s="8" t="s">
        <v>2409</v>
      </c>
      <c r="C3036" s="13">
        <v>46020.687731481485</v>
      </c>
      <c r="D3036" s="2" t="s">
        <v>309</v>
      </c>
      <c r="E3036" s="2" t="s">
        <v>310</v>
      </c>
      <c r="F3036" s="14" t="s">
        <v>3493</v>
      </c>
      <c r="G3036" s="14" t="s">
        <v>3494</v>
      </c>
      <c r="H3036" s="2" t="s">
        <v>24</v>
      </c>
      <c r="I3036" s="2" t="s">
        <v>3491</v>
      </c>
      <c r="J3036" s="2">
        <v>4.0</v>
      </c>
      <c r="K3036" s="23" t="s">
        <v>5443</v>
      </c>
      <c r="L3036" s="11">
        <v>0.0</v>
      </c>
    </row>
    <row r="3037" hidden="1">
      <c r="A3037" s="8" t="s">
        <v>2410</v>
      </c>
      <c r="B3037" s="8" t="s">
        <v>2410</v>
      </c>
      <c r="C3037" s="13">
        <v>46021.35766203704</v>
      </c>
      <c r="D3037" s="2" t="s">
        <v>786</v>
      </c>
      <c r="E3037" s="2" t="s">
        <v>787</v>
      </c>
      <c r="F3037" s="14" t="s">
        <v>3516</v>
      </c>
      <c r="G3037" s="14" t="s">
        <v>3517</v>
      </c>
      <c r="H3037" s="2" t="s">
        <v>16</v>
      </c>
      <c r="I3037" s="2" t="s">
        <v>3488</v>
      </c>
      <c r="J3037" s="2">
        <v>2.0</v>
      </c>
      <c r="K3037" s="23" t="s">
        <v>5671</v>
      </c>
      <c r="L3037" s="11">
        <v>180000.0</v>
      </c>
    </row>
    <row r="3038" hidden="1">
      <c r="A3038" s="8" t="s">
        <v>2410</v>
      </c>
      <c r="B3038" s="8" t="s">
        <v>2410</v>
      </c>
      <c r="C3038" s="13">
        <v>46021.35766203704</v>
      </c>
      <c r="D3038" s="2" t="s">
        <v>786</v>
      </c>
      <c r="E3038" s="2" t="s">
        <v>787</v>
      </c>
      <c r="F3038" s="14" t="s">
        <v>3486</v>
      </c>
      <c r="G3038" s="14" t="s">
        <v>3487</v>
      </c>
      <c r="H3038" s="2" t="s">
        <v>16</v>
      </c>
      <c r="I3038" s="2" t="s">
        <v>3488</v>
      </c>
      <c r="J3038" s="2">
        <v>8.0</v>
      </c>
      <c r="K3038" s="23" t="s">
        <v>5684</v>
      </c>
      <c r="L3038" s="11">
        <v>60000.0</v>
      </c>
    </row>
    <row r="3039" hidden="1">
      <c r="A3039" s="8" t="s">
        <v>2411</v>
      </c>
      <c r="B3039" s="8" t="s">
        <v>2411</v>
      </c>
      <c r="C3039" s="13">
        <v>46021.37201388889</v>
      </c>
      <c r="D3039" s="2" t="s">
        <v>309</v>
      </c>
      <c r="E3039" s="2" t="s">
        <v>310</v>
      </c>
      <c r="F3039" s="14" t="s">
        <v>3506</v>
      </c>
      <c r="G3039" s="14" t="s">
        <v>3507</v>
      </c>
      <c r="H3039" s="2" t="s">
        <v>16</v>
      </c>
      <c r="I3039" s="2" t="s">
        <v>3488</v>
      </c>
      <c r="J3039" s="2">
        <v>12.0</v>
      </c>
      <c r="K3039" s="23" t="s">
        <v>5683</v>
      </c>
      <c r="L3039" s="11">
        <v>55000.0</v>
      </c>
    </row>
    <row r="3040" hidden="1">
      <c r="A3040" s="8" t="s">
        <v>2412</v>
      </c>
      <c r="B3040" s="8" t="s">
        <v>2412</v>
      </c>
      <c r="C3040" s="13">
        <v>46021.44636574074</v>
      </c>
      <c r="D3040" s="2" t="s">
        <v>2005</v>
      </c>
      <c r="E3040" s="2" t="s">
        <v>2006</v>
      </c>
      <c r="F3040" s="14" t="s">
        <v>3486</v>
      </c>
      <c r="G3040" s="14" t="s">
        <v>3487</v>
      </c>
      <c r="H3040" s="2" t="s">
        <v>24</v>
      </c>
      <c r="I3040" s="2" t="s">
        <v>3491</v>
      </c>
      <c r="J3040" s="2">
        <v>3.0</v>
      </c>
      <c r="K3040" s="23" t="s">
        <v>5685</v>
      </c>
      <c r="L3040" s="11">
        <v>0.0</v>
      </c>
    </row>
    <row r="3041" hidden="1">
      <c r="A3041" s="8" t="s">
        <v>2412</v>
      </c>
      <c r="B3041" s="8" t="s">
        <v>2412</v>
      </c>
      <c r="C3041" s="13">
        <v>46021.44636574074</v>
      </c>
      <c r="D3041" s="2" t="s">
        <v>2005</v>
      </c>
      <c r="E3041" s="2" t="s">
        <v>2006</v>
      </c>
      <c r="F3041" s="14" t="s">
        <v>4203</v>
      </c>
      <c r="G3041" s="14" t="s">
        <v>4204</v>
      </c>
      <c r="H3041" s="2" t="s">
        <v>24</v>
      </c>
      <c r="I3041" s="2" t="s">
        <v>3491</v>
      </c>
      <c r="J3041" s="2">
        <v>2.0</v>
      </c>
      <c r="K3041" s="23" t="s">
        <v>5686</v>
      </c>
      <c r="L3041" s="11">
        <v>0.0</v>
      </c>
    </row>
    <row r="3042" hidden="1">
      <c r="A3042" s="8" t="s">
        <v>2413</v>
      </c>
      <c r="B3042" s="8" t="s">
        <v>2413</v>
      </c>
      <c r="C3042" s="13">
        <v>46021.447118055556</v>
      </c>
      <c r="D3042" s="2" t="s">
        <v>934</v>
      </c>
      <c r="E3042" s="2" t="s">
        <v>935</v>
      </c>
      <c r="F3042" s="14" t="s">
        <v>3522</v>
      </c>
      <c r="G3042" s="14" t="s">
        <v>3523</v>
      </c>
      <c r="H3042" s="2" t="s">
        <v>24</v>
      </c>
      <c r="I3042" s="2" t="s">
        <v>3614</v>
      </c>
      <c r="J3042" s="2">
        <v>1.0</v>
      </c>
      <c r="K3042" s="23" t="s">
        <v>4416</v>
      </c>
      <c r="L3042" s="11">
        <v>0.0</v>
      </c>
    </row>
    <row r="3043" hidden="1">
      <c r="A3043" s="8" t="s">
        <v>2414</v>
      </c>
      <c r="B3043" s="8" t="s">
        <v>2414</v>
      </c>
      <c r="C3043" s="13">
        <v>46021.44741898148</v>
      </c>
      <c r="D3043" s="2" t="s">
        <v>1904</v>
      </c>
      <c r="E3043" s="2" t="s">
        <v>1905</v>
      </c>
      <c r="F3043" s="14" t="s">
        <v>4203</v>
      </c>
      <c r="G3043" s="14" t="s">
        <v>4204</v>
      </c>
      <c r="H3043" s="2" t="s">
        <v>24</v>
      </c>
      <c r="I3043" s="2" t="s">
        <v>3491</v>
      </c>
      <c r="J3043" s="2">
        <v>2.0</v>
      </c>
      <c r="K3043" s="23" t="s">
        <v>5687</v>
      </c>
      <c r="L3043" s="11">
        <v>0.0</v>
      </c>
    </row>
    <row r="3044" hidden="1">
      <c r="A3044" s="8" t="s">
        <v>2415</v>
      </c>
      <c r="B3044" s="8" t="s">
        <v>2415</v>
      </c>
      <c r="C3044" s="13">
        <v>46021.4478125</v>
      </c>
      <c r="D3044" s="2" t="s">
        <v>109</v>
      </c>
      <c r="E3044" s="2" t="s">
        <v>110</v>
      </c>
      <c r="F3044" s="14" t="s">
        <v>3486</v>
      </c>
      <c r="G3044" s="14" t="s">
        <v>3487</v>
      </c>
      <c r="H3044" s="2" t="s">
        <v>24</v>
      </c>
      <c r="I3044" s="2" t="s">
        <v>3491</v>
      </c>
      <c r="J3044" s="2">
        <v>3.0</v>
      </c>
      <c r="K3044" s="23" t="s">
        <v>5688</v>
      </c>
      <c r="L3044" s="11">
        <v>0.0</v>
      </c>
    </row>
    <row r="3045" hidden="1">
      <c r="A3045" s="8" t="s">
        <v>2415</v>
      </c>
      <c r="B3045" s="8" t="s">
        <v>2415</v>
      </c>
      <c r="C3045" s="13">
        <v>46021.4478125</v>
      </c>
      <c r="D3045" s="2" t="s">
        <v>109</v>
      </c>
      <c r="E3045" s="2" t="s">
        <v>110</v>
      </c>
      <c r="F3045" s="14" t="s">
        <v>3522</v>
      </c>
      <c r="G3045" s="14" t="s">
        <v>3523</v>
      </c>
      <c r="H3045" s="2" t="s">
        <v>24</v>
      </c>
      <c r="I3045" s="2" t="s">
        <v>3491</v>
      </c>
      <c r="J3045" s="2">
        <v>1.0</v>
      </c>
      <c r="K3045" s="23" t="s">
        <v>4561</v>
      </c>
      <c r="L3045" s="11">
        <v>0.0</v>
      </c>
    </row>
    <row r="3046" hidden="1">
      <c r="A3046" s="8" t="s">
        <v>2416</v>
      </c>
      <c r="B3046" s="8" t="s">
        <v>2416</v>
      </c>
      <c r="C3046" s="13">
        <v>46021.57952546296</v>
      </c>
      <c r="D3046" s="2" t="s">
        <v>786</v>
      </c>
      <c r="E3046" s="2" t="s">
        <v>787</v>
      </c>
      <c r="F3046" s="14" t="s">
        <v>3516</v>
      </c>
      <c r="G3046" s="14" t="s">
        <v>3517</v>
      </c>
      <c r="H3046" s="2" t="s">
        <v>24</v>
      </c>
      <c r="I3046" s="2" t="s">
        <v>3491</v>
      </c>
      <c r="J3046" s="2">
        <v>2.0</v>
      </c>
      <c r="K3046" s="23" t="s">
        <v>5689</v>
      </c>
      <c r="L3046" s="11">
        <v>0.0</v>
      </c>
    </row>
    <row r="3047" hidden="1">
      <c r="A3047" s="8" t="s">
        <v>2416</v>
      </c>
      <c r="B3047" s="8" t="s">
        <v>2416</v>
      </c>
      <c r="C3047" s="13">
        <v>46021.57952546296</v>
      </c>
      <c r="D3047" s="2" t="s">
        <v>786</v>
      </c>
      <c r="E3047" s="2" t="s">
        <v>787</v>
      </c>
      <c r="F3047" s="14" t="s">
        <v>3486</v>
      </c>
      <c r="G3047" s="14" t="s">
        <v>3487</v>
      </c>
      <c r="H3047" s="2" t="s">
        <v>24</v>
      </c>
      <c r="I3047" s="2" t="s">
        <v>3491</v>
      </c>
      <c r="J3047" s="2">
        <v>5.0</v>
      </c>
      <c r="K3047" s="23" t="s">
        <v>5690</v>
      </c>
      <c r="L3047" s="11">
        <v>0.0</v>
      </c>
    </row>
    <row r="3048" hidden="1">
      <c r="A3048" s="8" t="s">
        <v>2417</v>
      </c>
      <c r="B3048" s="8" t="s">
        <v>2417</v>
      </c>
      <c r="C3048" s="13">
        <v>46021.58038194444</v>
      </c>
      <c r="D3048" s="2" t="s">
        <v>951</v>
      </c>
      <c r="E3048" s="2" t="s">
        <v>952</v>
      </c>
      <c r="F3048" s="14" t="s">
        <v>3486</v>
      </c>
      <c r="G3048" s="14" t="s">
        <v>3487</v>
      </c>
      <c r="H3048" s="2" t="s">
        <v>16</v>
      </c>
      <c r="I3048" s="2" t="s">
        <v>3488</v>
      </c>
      <c r="J3048" s="2">
        <v>4.0</v>
      </c>
      <c r="K3048" s="23" t="s">
        <v>5691</v>
      </c>
      <c r="L3048" s="11">
        <v>55000.0</v>
      </c>
    </row>
    <row r="3049" hidden="1">
      <c r="A3049" s="8" t="s">
        <v>1864</v>
      </c>
      <c r="B3049" s="8" t="s">
        <v>1864</v>
      </c>
      <c r="C3049" s="13">
        <v>45965.70097222222</v>
      </c>
      <c r="D3049" s="2" t="s">
        <v>20</v>
      </c>
      <c r="E3049" s="2" t="s">
        <v>21</v>
      </c>
      <c r="F3049" s="14" t="s">
        <v>3493</v>
      </c>
      <c r="G3049" s="14" t="s">
        <v>3494</v>
      </c>
      <c r="H3049" s="2" t="s">
        <v>24</v>
      </c>
      <c r="I3049" s="2" t="s">
        <v>3491</v>
      </c>
      <c r="J3049" s="2">
        <v>1.0</v>
      </c>
      <c r="K3049" s="23" t="s">
        <v>4688</v>
      </c>
      <c r="L3049" s="11">
        <v>0.0</v>
      </c>
    </row>
    <row r="3050" hidden="1">
      <c r="A3050" s="8" t="s">
        <v>2418</v>
      </c>
      <c r="B3050" s="8" t="s">
        <v>2418</v>
      </c>
      <c r="C3050" s="13">
        <v>46021.61203703703</v>
      </c>
      <c r="D3050" s="2" t="s">
        <v>951</v>
      </c>
      <c r="E3050" s="2" t="s">
        <v>952</v>
      </c>
      <c r="F3050" s="14" t="s">
        <v>3486</v>
      </c>
      <c r="G3050" s="14" t="s">
        <v>3487</v>
      </c>
      <c r="H3050" s="2" t="s">
        <v>24</v>
      </c>
      <c r="I3050" s="2" t="s">
        <v>3491</v>
      </c>
      <c r="J3050" s="2">
        <v>4.0</v>
      </c>
      <c r="K3050" s="23" t="s">
        <v>5692</v>
      </c>
      <c r="L3050" s="11">
        <v>0.0</v>
      </c>
    </row>
    <row r="3051" hidden="1">
      <c r="A3051" s="8" t="s">
        <v>2382</v>
      </c>
      <c r="B3051" s="8" t="s">
        <v>2382</v>
      </c>
      <c r="C3051" s="13">
        <v>46017.51697916666</v>
      </c>
      <c r="D3051" s="2" t="s">
        <v>951</v>
      </c>
      <c r="E3051" s="2" t="s">
        <v>952</v>
      </c>
      <c r="F3051" s="14" t="s">
        <v>3516</v>
      </c>
      <c r="G3051" s="14" t="s">
        <v>3517</v>
      </c>
      <c r="H3051" s="2" t="s">
        <v>24</v>
      </c>
      <c r="I3051" s="2" t="s">
        <v>3491</v>
      </c>
      <c r="J3051" s="2">
        <v>1.0</v>
      </c>
      <c r="K3051" s="23" t="s">
        <v>4636</v>
      </c>
      <c r="L3051" s="11">
        <v>0.0</v>
      </c>
    </row>
    <row r="3052" hidden="1">
      <c r="A3052" s="8" t="s">
        <v>2419</v>
      </c>
      <c r="B3052" s="8" t="s">
        <v>2419</v>
      </c>
      <c r="C3052" s="13">
        <v>46022.35732638889</v>
      </c>
      <c r="D3052" s="2" t="s">
        <v>1889</v>
      </c>
      <c r="E3052" s="2" t="s">
        <v>1890</v>
      </c>
      <c r="F3052" s="14" t="s">
        <v>4203</v>
      </c>
      <c r="G3052" s="14" t="s">
        <v>4204</v>
      </c>
      <c r="H3052" s="2" t="s">
        <v>16</v>
      </c>
      <c r="I3052" s="2" t="s">
        <v>3488</v>
      </c>
      <c r="J3052" s="2">
        <v>2.0</v>
      </c>
      <c r="K3052" s="23" t="s">
        <v>5693</v>
      </c>
      <c r="L3052" s="11">
        <v>60000.0</v>
      </c>
    </row>
    <row r="3053" hidden="1">
      <c r="A3053" s="8" t="s">
        <v>2420</v>
      </c>
      <c r="B3053" s="8" t="s">
        <v>2420</v>
      </c>
      <c r="C3053" s="13">
        <v>46022.360243055555</v>
      </c>
      <c r="D3053" s="2" t="s">
        <v>786</v>
      </c>
      <c r="E3053" s="2" t="s">
        <v>787</v>
      </c>
      <c r="F3053" s="14" t="s">
        <v>3486</v>
      </c>
      <c r="G3053" s="14" t="s">
        <v>3487</v>
      </c>
      <c r="H3053" s="2" t="s">
        <v>16</v>
      </c>
      <c r="I3053" s="2" t="s">
        <v>3488</v>
      </c>
      <c r="J3053" s="2">
        <v>8.0</v>
      </c>
      <c r="K3053" s="23" t="s">
        <v>5694</v>
      </c>
      <c r="L3053" s="11">
        <v>60000.0</v>
      </c>
    </row>
    <row r="3054" hidden="1">
      <c r="A3054" s="8" t="s">
        <v>2421</v>
      </c>
      <c r="B3054" s="8" t="s">
        <v>2421</v>
      </c>
      <c r="C3054" s="13">
        <v>46022.403333333335</v>
      </c>
      <c r="D3054" s="2" t="s">
        <v>1889</v>
      </c>
      <c r="E3054" s="2" t="s">
        <v>1890</v>
      </c>
      <c r="F3054" s="14" t="s">
        <v>3486</v>
      </c>
      <c r="G3054" s="14" t="s">
        <v>3487</v>
      </c>
      <c r="H3054" s="2" t="s">
        <v>24</v>
      </c>
      <c r="I3054" s="2" t="s">
        <v>3491</v>
      </c>
      <c r="J3054" s="2">
        <v>1.0</v>
      </c>
      <c r="K3054" s="23" t="s">
        <v>5695</v>
      </c>
      <c r="L3054" s="11">
        <v>0.0</v>
      </c>
    </row>
    <row r="3055" hidden="1">
      <c r="A3055" s="8" t="s">
        <v>2422</v>
      </c>
      <c r="B3055" s="8" t="s">
        <v>2422</v>
      </c>
      <c r="C3055" s="13">
        <v>46024.37930555556</v>
      </c>
      <c r="D3055" s="2" t="s">
        <v>2131</v>
      </c>
      <c r="E3055" s="2" t="s">
        <v>2171</v>
      </c>
      <c r="F3055" s="14" t="s">
        <v>3493</v>
      </c>
      <c r="G3055" s="14" t="s">
        <v>3494</v>
      </c>
      <c r="H3055" s="2" t="s">
        <v>16</v>
      </c>
      <c r="I3055" s="2" t="s">
        <v>3488</v>
      </c>
      <c r="J3055" s="2">
        <v>2.0</v>
      </c>
      <c r="K3055" s="23" t="s">
        <v>4670</v>
      </c>
      <c r="L3055" s="11">
        <v>210000.0</v>
      </c>
    </row>
    <row r="3056" hidden="1">
      <c r="A3056" s="8" t="s">
        <v>2422</v>
      </c>
      <c r="B3056" s="8" t="s">
        <v>2422</v>
      </c>
      <c r="C3056" s="13">
        <v>46024.37930555556</v>
      </c>
      <c r="D3056" s="2" t="s">
        <v>2131</v>
      </c>
      <c r="E3056" s="2" t="s">
        <v>2171</v>
      </c>
      <c r="F3056" s="14" t="s">
        <v>3486</v>
      </c>
      <c r="G3056" s="14" t="s">
        <v>3487</v>
      </c>
      <c r="H3056" s="2" t="s">
        <v>16</v>
      </c>
      <c r="I3056" s="2" t="s">
        <v>3488</v>
      </c>
      <c r="J3056" s="2">
        <v>15.0</v>
      </c>
      <c r="K3056" s="23" t="s">
        <v>5696</v>
      </c>
      <c r="L3056" s="11">
        <v>60000.0</v>
      </c>
    </row>
    <row r="3057" hidden="1">
      <c r="A3057" s="8" t="s">
        <v>2423</v>
      </c>
      <c r="B3057" s="8" t="s">
        <v>2423</v>
      </c>
      <c r="C3057" s="13">
        <v>46024.42030092593</v>
      </c>
      <c r="D3057" s="2" t="s">
        <v>2266</v>
      </c>
      <c r="E3057" s="2" t="s">
        <v>2267</v>
      </c>
      <c r="F3057" s="14" t="s">
        <v>3486</v>
      </c>
      <c r="G3057" s="14" t="s">
        <v>3487</v>
      </c>
      <c r="H3057" s="2" t="s">
        <v>16</v>
      </c>
      <c r="I3057" s="2" t="s">
        <v>3488</v>
      </c>
      <c r="J3057" s="2">
        <v>1.0</v>
      </c>
      <c r="K3057" s="23" t="s">
        <v>4170</v>
      </c>
      <c r="L3057" s="11">
        <v>65000.0</v>
      </c>
    </row>
    <row r="3058" hidden="1">
      <c r="A3058" s="8" t="s">
        <v>2424</v>
      </c>
      <c r="B3058" s="8" t="s">
        <v>2424</v>
      </c>
      <c r="C3058" s="13">
        <v>46024.46295138889</v>
      </c>
      <c r="D3058" s="2" t="s">
        <v>1371</v>
      </c>
      <c r="E3058" s="2" t="s">
        <v>1372</v>
      </c>
      <c r="F3058" s="14" t="s">
        <v>3486</v>
      </c>
      <c r="G3058" s="14" t="s">
        <v>3487</v>
      </c>
      <c r="H3058" s="2" t="s">
        <v>16</v>
      </c>
      <c r="I3058" s="2" t="s">
        <v>3488</v>
      </c>
      <c r="J3058" s="2">
        <v>2.0</v>
      </c>
      <c r="K3058" s="23" t="s">
        <v>5697</v>
      </c>
      <c r="L3058" s="11">
        <v>60000.0</v>
      </c>
    </row>
    <row r="3059" hidden="1">
      <c r="A3059" s="8" t="s">
        <v>2425</v>
      </c>
      <c r="B3059" s="8" t="s">
        <v>2425</v>
      </c>
      <c r="C3059" s="13">
        <v>46024.53482638889</v>
      </c>
      <c r="D3059" s="2" t="s">
        <v>1993</v>
      </c>
      <c r="E3059" s="2" t="s">
        <v>1994</v>
      </c>
      <c r="F3059" s="14" t="s">
        <v>3486</v>
      </c>
      <c r="G3059" s="14" t="s">
        <v>3487</v>
      </c>
      <c r="H3059" s="2" t="s">
        <v>24</v>
      </c>
      <c r="I3059" s="2" t="s">
        <v>3491</v>
      </c>
      <c r="J3059" s="2">
        <v>1.0</v>
      </c>
      <c r="K3059" s="23" t="s">
        <v>5060</v>
      </c>
      <c r="L3059" s="11">
        <v>0.0</v>
      </c>
    </row>
    <row r="3060" hidden="1">
      <c r="A3060" s="8" t="s">
        <v>2426</v>
      </c>
      <c r="B3060" s="8" t="s">
        <v>2426</v>
      </c>
      <c r="C3060" s="13">
        <v>46024.535219907404</v>
      </c>
      <c r="D3060" s="2" t="s">
        <v>1371</v>
      </c>
      <c r="E3060" s="2" t="s">
        <v>1372</v>
      </c>
      <c r="F3060" s="14" t="s">
        <v>3486</v>
      </c>
      <c r="G3060" s="14" t="s">
        <v>3487</v>
      </c>
      <c r="H3060" s="2" t="s">
        <v>24</v>
      </c>
      <c r="I3060" s="2" t="s">
        <v>3491</v>
      </c>
      <c r="J3060" s="2">
        <v>2.0</v>
      </c>
      <c r="K3060" s="23" t="s">
        <v>5510</v>
      </c>
      <c r="L3060" s="11">
        <v>0.0</v>
      </c>
    </row>
    <row r="3061" hidden="1">
      <c r="A3061" s="8" t="s">
        <v>2427</v>
      </c>
      <c r="B3061" s="8" t="s">
        <v>2427</v>
      </c>
      <c r="C3061" s="13">
        <v>46024.53575231481</v>
      </c>
      <c r="D3061" s="2" t="s">
        <v>2266</v>
      </c>
      <c r="E3061" s="2" t="s">
        <v>2267</v>
      </c>
      <c r="F3061" s="14" t="s">
        <v>3486</v>
      </c>
      <c r="G3061" s="14" t="s">
        <v>3487</v>
      </c>
      <c r="H3061" s="2" t="s">
        <v>24</v>
      </c>
      <c r="I3061" s="2" t="s">
        <v>3491</v>
      </c>
      <c r="J3061" s="2">
        <v>1.0</v>
      </c>
      <c r="K3061" s="23" t="s">
        <v>5698</v>
      </c>
      <c r="L3061" s="11">
        <v>0.0</v>
      </c>
    </row>
    <row r="3062" hidden="1">
      <c r="A3062" s="8" t="s">
        <v>2428</v>
      </c>
      <c r="B3062" s="8" t="s">
        <v>2428</v>
      </c>
      <c r="C3062" s="13">
        <v>46024.53601851852</v>
      </c>
      <c r="D3062" s="2" t="s">
        <v>2131</v>
      </c>
      <c r="E3062" s="2" t="s">
        <v>2171</v>
      </c>
      <c r="F3062" s="14" t="s">
        <v>3493</v>
      </c>
      <c r="G3062" s="14" t="s">
        <v>3494</v>
      </c>
      <c r="H3062" s="2" t="s">
        <v>24</v>
      </c>
      <c r="I3062" s="2" t="s">
        <v>3491</v>
      </c>
      <c r="J3062" s="2">
        <v>2.0</v>
      </c>
      <c r="K3062" s="23" t="s">
        <v>4670</v>
      </c>
      <c r="L3062" s="11">
        <v>0.0</v>
      </c>
    </row>
    <row r="3063" hidden="1">
      <c r="A3063" s="8" t="s">
        <v>2428</v>
      </c>
      <c r="B3063" s="8" t="s">
        <v>2428</v>
      </c>
      <c r="C3063" s="13">
        <v>46024.53601851852</v>
      </c>
      <c r="D3063" s="2" t="s">
        <v>2131</v>
      </c>
      <c r="E3063" s="2" t="s">
        <v>2171</v>
      </c>
      <c r="F3063" s="14" t="s">
        <v>4203</v>
      </c>
      <c r="G3063" s="14" t="s">
        <v>4204</v>
      </c>
      <c r="H3063" s="2" t="s">
        <v>24</v>
      </c>
      <c r="I3063" s="2" t="s">
        <v>3491</v>
      </c>
      <c r="J3063" s="2">
        <v>6.0</v>
      </c>
      <c r="K3063" s="23" t="s">
        <v>5699</v>
      </c>
      <c r="L3063" s="11">
        <v>0.0</v>
      </c>
    </row>
    <row r="3064" hidden="1">
      <c r="A3064" s="8" t="s">
        <v>2428</v>
      </c>
      <c r="B3064" s="8" t="s">
        <v>2428</v>
      </c>
      <c r="C3064" s="13">
        <v>46024.53601851852</v>
      </c>
      <c r="D3064" s="2" t="s">
        <v>2131</v>
      </c>
      <c r="E3064" s="2" t="s">
        <v>2171</v>
      </c>
      <c r="F3064" s="14" t="s">
        <v>3486</v>
      </c>
      <c r="G3064" s="14" t="s">
        <v>3487</v>
      </c>
      <c r="H3064" s="2" t="s">
        <v>24</v>
      </c>
      <c r="I3064" s="2" t="s">
        <v>3491</v>
      </c>
      <c r="J3064" s="2">
        <v>18.0</v>
      </c>
      <c r="K3064" s="23" t="s">
        <v>5700</v>
      </c>
      <c r="L3064" s="11">
        <v>0.0</v>
      </c>
    </row>
    <row r="3065" hidden="1">
      <c r="A3065" s="8" t="s">
        <v>2429</v>
      </c>
      <c r="B3065" s="8" t="s">
        <v>2429</v>
      </c>
      <c r="C3065" s="13">
        <v>46024.65027777778</v>
      </c>
      <c r="D3065" s="2" t="s">
        <v>951</v>
      </c>
      <c r="E3065" s="2" t="s">
        <v>952</v>
      </c>
      <c r="F3065" s="14" t="s">
        <v>3486</v>
      </c>
      <c r="G3065" s="14" t="s">
        <v>3487</v>
      </c>
      <c r="H3065" s="2" t="s">
        <v>16</v>
      </c>
      <c r="I3065" s="2" t="s">
        <v>3488</v>
      </c>
      <c r="J3065" s="2">
        <v>4.0</v>
      </c>
      <c r="K3065" s="23" t="s">
        <v>5701</v>
      </c>
      <c r="L3065" s="11">
        <v>55000.0</v>
      </c>
    </row>
    <row r="3066" hidden="1">
      <c r="A3066" s="8" t="s">
        <v>2429</v>
      </c>
      <c r="B3066" s="8" t="s">
        <v>2429</v>
      </c>
      <c r="C3066" s="13">
        <v>46024.65027777778</v>
      </c>
      <c r="D3066" s="2" t="s">
        <v>951</v>
      </c>
      <c r="E3066" s="2" t="s">
        <v>952</v>
      </c>
      <c r="F3066" s="14" t="s">
        <v>3516</v>
      </c>
      <c r="G3066" s="14" t="s">
        <v>3517</v>
      </c>
      <c r="H3066" s="2" t="s">
        <v>16</v>
      </c>
      <c r="I3066" s="2" t="s">
        <v>3488</v>
      </c>
      <c r="J3066" s="2">
        <v>3.0</v>
      </c>
      <c r="K3066" s="23" t="s">
        <v>5702</v>
      </c>
      <c r="L3066" s="11">
        <v>175000.0</v>
      </c>
    </row>
    <row r="3067" hidden="1">
      <c r="A3067" s="8" t="s">
        <v>2430</v>
      </c>
      <c r="B3067" s="8" t="s">
        <v>2430</v>
      </c>
      <c r="C3067" s="13">
        <v>46025.35506944444</v>
      </c>
      <c r="D3067" s="2" t="s">
        <v>786</v>
      </c>
      <c r="E3067" s="2" t="s">
        <v>787</v>
      </c>
      <c r="F3067" s="14" t="s">
        <v>3486</v>
      </c>
      <c r="G3067" s="14" t="s">
        <v>3487</v>
      </c>
      <c r="H3067" s="2" t="s">
        <v>16</v>
      </c>
      <c r="I3067" s="2" t="s">
        <v>3488</v>
      </c>
      <c r="J3067" s="2">
        <v>6.0</v>
      </c>
      <c r="K3067" s="23" t="s">
        <v>5703</v>
      </c>
      <c r="L3067" s="11">
        <v>60000.0</v>
      </c>
    </row>
    <row r="3068" hidden="1">
      <c r="A3068" s="8" t="s">
        <v>2430</v>
      </c>
      <c r="B3068" s="8" t="s">
        <v>2430</v>
      </c>
      <c r="C3068" s="13">
        <v>46025.35506944444</v>
      </c>
      <c r="D3068" s="2" t="s">
        <v>786</v>
      </c>
      <c r="E3068" s="2" t="s">
        <v>787</v>
      </c>
      <c r="F3068" s="14" t="s">
        <v>3516</v>
      </c>
      <c r="G3068" s="14" t="s">
        <v>3517</v>
      </c>
      <c r="H3068" s="2" t="s">
        <v>16</v>
      </c>
      <c r="I3068" s="2" t="s">
        <v>3488</v>
      </c>
      <c r="J3068" s="2">
        <v>4.0</v>
      </c>
      <c r="K3068" s="23" t="s">
        <v>5704</v>
      </c>
      <c r="L3068" s="11">
        <v>180000.0</v>
      </c>
    </row>
    <row r="3069" hidden="1">
      <c r="A3069" s="8" t="s">
        <v>2431</v>
      </c>
      <c r="B3069" s="8" t="s">
        <v>2431</v>
      </c>
      <c r="C3069" s="13">
        <v>46025.35738425926</v>
      </c>
      <c r="D3069" s="2" t="s">
        <v>904</v>
      </c>
      <c r="E3069" s="2" t="s">
        <v>905</v>
      </c>
      <c r="F3069" s="14" t="s">
        <v>4203</v>
      </c>
      <c r="G3069" s="14" t="s">
        <v>4204</v>
      </c>
      <c r="H3069" s="2" t="s">
        <v>16</v>
      </c>
      <c r="I3069" s="2" t="s">
        <v>3488</v>
      </c>
      <c r="J3069" s="2">
        <v>3.0</v>
      </c>
      <c r="K3069" s="23" t="s">
        <v>5705</v>
      </c>
      <c r="L3069" s="11">
        <v>70000.0</v>
      </c>
    </row>
    <row r="3070" hidden="1">
      <c r="A3070" s="8" t="s">
        <v>2432</v>
      </c>
      <c r="B3070" s="8" t="s">
        <v>2432</v>
      </c>
      <c r="C3070" s="13">
        <v>46025.35787037037</v>
      </c>
      <c r="D3070" s="2" t="s">
        <v>1084</v>
      </c>
      <c r="E3070" s="2" t="s">
        <v>1085</v>
      </c>
      <c r="F3070" s="14" t="s">
        <v>3516</v>
      </c>
      <c r="G3070" s="14" t="s">
        <v>3517</v>
      </c>
      <c r="H3070" s="2" t="s">
        <v>16</v>
      </c>
      <c r="I3070" s="2" t="s">
        <v>3488</v>
      </c>
      <c r="J3070" s="2">
        <v>3.0</v>
      </c>
      <c r="K3070" s="23" t="s">
        <v>5706</v>
      </c>
      <c r="L3070" s="11">
        <v>210000.0</v>
      </c>
    </row>
    <row r="3071" hidden="1">
      <c r="A3071" s="8" t="s">
        <v>2433</v>
      </c>
      <c r="B3071" s="8" t="s">
        <v>2433</v>
      </c>
      <c r="C3071" s="13">
        <v>46025.51289351852</v>
      </c>
      <c r="D3071" s="2" t="s">
        <v>943</v>
      </c>
      <c r="E3071" s="2" t="s">
        <v>944</v>
      </c>
      <c r="F3071" s="14" t="s">
        <v>3486</v>
      </c>
      <c r="G3071" s="14" t="s">
        <v>3487</v>
      </c>
      <c r="H3071" s="2" t="s">
        <v>24</v>
      </c>
      <c r="I3071" s="2" t="s">
        <v>3491</v>
      </c>
      <c r="J3071" s="2">
        <v>2.0</v>
      </c>
      <c r="K3071" s="23" t="s">
        <v>5707</v>
      </c>
      <c r="L3071" s="11">
        <v>0.0</v>
      </c>
    </row>
    <row r="3072" hidden="1">
      <c r="A3072" s="8" t="s">
        <v>2434</v>
      </c>
      <c r="B3072" s="8" t="s">
        <v>2434</v>
      </c>
      <c r="C3072" s="13">
        <v>46025.514016203706</v>
      </c>
      <c r="D3072" s="2" t="s">
        <v>904</v>
      </c>
      <c r="E3072" s="2" t="s">
        <v>905</v>
      </c>
      <c r="F3072" s="14" t="s">
        <v>3486</v>
      </c>
      <c r="G3072" s="14" t="s">
        <v>3487</v>
      </c>
      <c r="H3072" s="2" t="s">
        <v>24</v>
      </c>
      <c r="I3072" s="2" t="s">
        <v>3491</v>
      </c>
      <c r="J3072" s="2">
        <v>1.0</v>
      </c>
      <c r="K3072" s="23" t="s">
        <v>5441</v>
      </c>
      <c r="L3072" s="11">
        <v>0.0</v>
      </c>
    </row>
    <row r="3073" hidden="1">
      <c r="A3073" s="8" t="s">
        <v>2435</v>
      </c>
      <c r="B3073" s="8" t="s">
        <v>2435</v>
      </c>
      <c r="C3073" s="13">
        <v>46025.51435185185</v>
      </c>
      <c r="D3073" s="2" t="s">
        <v>1084</v>
      </c>
      <c r="E3073" s="2" t="s">
        <v>1085</v>
      </c>
      <c r="F3073" s="14" t="s">
        <v>3486</v>
      </c>
      <c r="G3073" s="14" t="s">
        <v>3487</v>
      </c>
      <c r="H3073" s="2" t="s">
        <v>24</v>
      </c>
      <c r="I3073" s="2" t="s">
        <v>3491</v>
      </c>
      <c r="J3073" s="2">
        <v>1.0</v>
      </c>
      <c r="K3073" s="23" t="s">
        <v>3981</v>
      </c>
      <c r="L3073" s="11">
        <v>0.0</v>
      </c>
    </row>
    <row r="3074" hidden="1">
      <c r="A3074" s="8" t="s">
        <v>2435</v>
      </c>
      <c r="B3074" s="8" t="s">
        <v>2435</v>
      </c>
      <c r="C3074" s="13">
        <v>46025.51435185185</v>
      </c>
      <c r="D3074" s="2" t="s">
        <v>1084</v>
      </c>
      <c r="E3074" s="2" t="s">
        <v>1085</v>
      </c>
      <c r="F3074" s="14" t="s">
        <v>3516</v>
      </c>
      <c r="G3074" s="14" t="s">
        <v>3517</v>
      </c>
      <c r="H3074" s="2" t="s">
        <v>24</v>
      </c>
      <c r="I3074" s="2" t="s">
        <v>3491</v>
      </c>
      <c r="J3074" s="2">
        <v>1.0</v>
      </c>
      <c r="K3074" s="23" t="s">
        <v>4588</v>
      </c>
      <c r="L3074" s="11">
        <v>0.0</v>
      </c>
    </row>
    <row r="3075" hidden="1">
      <c r="A3075" s="8" t="s">
        <v>2436</v>
      </c>
      <c r="B3075" s="8" t="s">
        <v>2436</v>
      </c>
      <c r="C3075" s="13">
        <v>46025.542766203704</v>
      </c>
      <c r="D3075" s="2" t="s">
        <v>1889</v>
      </c>
      <c r="E3075" s="2" t="s">
        <v>1890</v>
      </c>
      <c r="F3075" s="14" t="s">
        <v>4203</v>
      </c>
      <c r="G3075" s="14" t="s">
        <v>4204</v>
      </c>
      <c r="H3075" s="2" t="s">
        <v>16</v>
      </c>
      <c r="I3075" s="2" t="s">
        <v>3488</v>
      </c>
      <c r="J3075" s="2">
        <v>1.0</v>
      </c>
      <c r="K3075" s="23" t="s">
        <v>5708</v>
      </c>
      <c r="L3075" s="11">
        <v>60000.0</v>
      </c>
    </row>
    <row r="3076" hidden="1">
      <c r="A3076" s="8" t="s">
        <v>2437</v>
      </c>
      <c r="B3076" s="8" t="s">
        <v>2437</v>
      </c>
      <c r="C3076" s="13">
        <v>46025.61131944445</v>
      </c>
      <c r="D3076" s="2" t="s">
        <v>1889</v>
      </c>
      <c r="E3076" s="2" t="s">
        <v>1890</v>
      </c>
      <c r="F3076" s="14" t="s">
        <v>4203</v>
      </c>
      <c r="G3076" s="14" t="s">
        <v>4204</v>
      </c>
      <c r="H3076" s="2" t="s">
        <v>24</v>
      </c>
      <c r="I3076" s="2" t="s">
        <v>3491</v>
      </c>
      <c r="J3076" s="2">
        <v>1.0</v>
      </c>
      <c r="K3076" s="23" t="s">
        <v>5709</v>
      </c>
      <c r="L3076" s="11">
        <v>0.0</v>
      </c>
    </row>
    <row r="3077" hidden="1">
      <c r="A3077" s="1"/>
      <c r="B3077" s="1"/>
      <c r="C3077" s="13"/>
      <c r="D3077" s="2"/>
      <c r="E3077" s="2"/>
      <c r="F3077" s="14"/>
      <c r="G3077" s="14"/>
      <c r="H3077" s="2"/>
      <c r="I3077" s="2"/>
      <c r="J3077" s="2"/>
      <c r="K3077" s="12"/>
      <c r="L3077" s="11"/>
    </row>
    <row r="3078" hidden="1">
      <c r="A3078" s="8" t="s">
        <v>2438</v>
      </c>
      <c r="B3078" s="8" t="s">
        <v>2438</v>
      </c>
      <c r="C3078" s="13">
        <v>46025.663402777776</v>
      </c>
      <c r="D3078" s="2" t="s">
        <v>786</v>
      </c>
      <c r="E3078" s="2" t="s">
        <v>787</v>
      </c>
      <c r="F3078" s="14" t="s">
        <v>3486</v>
      </c>
      <c r="G3078" s="14" t="s">
        <v>3487</v>
      </c>
      <c r="H3078" s="2" t="s">
        <v>24</v>
      </c>
      <c r="I3078" s="2" t="s">
        <v>3491</v>
      </c>
      <c r="J3078" s="2">
        <v>17.0</v>
      </c>
      <c r="K3078" s="23" t="s">
        <v>5710</v>
      </c>
      <c r="L3078" s="11">
        <v>0.0</v>
      </c>
    </row>
    <row r="3079" hidden="1">
      <c r="A3079" s="8" t="s">
        <v>2438</v>
      </c>
      <c r="B3079" s="8" t="s">
        <v>2438</v>
      </c>
      <c r="C3079" s="13">
        <v>46025.663402777776</v>
      </c>
      <c r="D3079" s="2" t="s">
        <v>786</v>
      </c>
      <c r="E3079" s="2" t="s">
        <v>787</v>
      </c>
      <c r="F3079" s="14" t="s">
        <v>3516</v>
      </c>
      <c r="G3079" s="14" t="s">
        <v>3517</v>
      </c>
      <c r="H3079" s="2" t="s">
        <v>24</v>
      </c>
      <c r="I3079" s="2" t="s">
        <v>3491</v>
      </c>
      <c r="J3079" s="2">
        <v>5.0</v>
      </c>
      <c r="K3079" s="23" t="s">
        <v>5711</v>
      </c>
      <c r="L3079" s="11">
        <v>0.0</v>
      </c>
    </row>
    <row r="3080" hidden="1">
      <c r="A3080" s="8" t="s">
        <v>2439</v>
      </c>
      <c r="B3080" s="8" t="s">
        <v>2439</v>
      </c>
      <c r="C3080" s="13">
        <v>46026.51981481481</v>
      </c>
      <c r="D3080" s="2" t="s">
        <v>13</v>
      </c>
      <c r="E3080" s="2" t="s">
        <v>14</v>
      </c>
      <c r="F3080" s="14" t="s">
        <v>3493</v>
      </c>
      <c r="G3080" s="14" t="s">
        <v>3494</v>
      </c>
      <c r="H3080" s="2" t="s">
        <v>16</v>
      </c>
      <c r="I3080" s="2" t="s">
        <v>3488</v>
      </c>
      <c r="J3080" s="2">
        <v>2.0</v>
      </c>
      <c r="K3080" s="23" t="s">
        <v>4670</v>
      </c>
      <c r="L3080" s="11">
        <v>215000.0</v>
      </c>
    </row>
    <row r="3081" hidden="1">
      <c r="A3081" s="1"/>
      <c r="B3081" s="1"/>
      <c r="C3081" s="13"/>
      <c r="D3081" s="2"/>
      <c r="E3081" s="2"/>
      <c r="F3081" s="14"/>
      <c r="G3081" s="14"/>
      <c r="H3081" s="2"/>
      <c r="I3081" s="2"/>
      <c r="J3081" s="2"/>
      <c r="K3081" s="12"/>
      <c r="L3081" s="11"/>
    </row>
    <row r="3082" hidden="1">
      <c r="A3082" s="8" t="s">
        <v>2439</v>
      </c>
      <c r="B3082" s="8" t="s">
        <v>2439</v>
      </c>
      <c r="C3082" s="13">
        <v>46026.51981481481</v>
      </c>
      <c r="D3082" s="2" t="s">
        <v>13</v>
      </c>
      <c r="E3082" s="2" t="s">
        <v>14</v>
      </c>
      <c r="F3082" s="14" t="s">
        <v>3486</v>
      </c>
      <c r="G3082" s="14" t="s">
        <v>3487</v>
      </c>
      <c r="H3082" s="2" t="s">
        <v>16</v>
      </c>
      <c r="I3082" s="2" t="s">
        <v>3488</v>
      </c>
      <c r="J3082" s="2">
        <v>15.0</v>
      </c>
      <c r="K3082" s="23" t="s">
        <v>5712</v>
      </c>
      <c r="L3082" s="11">
        <v>55000.0</v>
      </c>
    </row>
    <row r="3083" hidden="1">
      <c r="A3083" s="8" t="s">
        <v>2440</v>
      </c>
      <c r="B3083" s="8" t="s">
        <v>2440</v>
      </c>
      <c r="C3083" s="13">
        <v>46027.349641203706</v>
      </c>
      <c r="D3083" s="2" t="s">
        <v>1838</v>
      </c>
      <c r="E3083" s="2" t="s">
        <v>1839</v>
      </c>
      <c r="F3083" s="14" t="s">
        <v>4203</v>
      </c>
      <c r="G3083" s="14" t="s">
        <v>4204</v>
      </c>
      <c r="H3083" s="2" t="s">
        <v>16</v>
      </c>
      <c r="I3083" s="2" t="s">
        <v>3488</v>
      </c>
      <c r="J3083" s="2">
        <v>1.0</v>
      </c>
      <c r="K3083" s="23" t="s">
        <v>5458</v>
      </c>
      <c r="L3083" s="11">
        <v>80000.0</v>
      </c>
    </row>
    <row r="3084" hidden="1">
      <c r="A3084" s="8" t="s">
        <v>2441</v>
      </c>
      <c r="B3084" s="8" t="s">
        <v>2441</v>
      </c>
      <c r="C3084" s="13">
        <v>46027.35097222222</v>
      </c>
      <c r="D3084" s="2" t="s">
        <v>1573</v>
      </c>
      <c r="E3084" s="2" t="s">
        <v>2442</v>
      </c>
      <c r="F3084" s="14" t="s">
        <v>3910</v>
      </c>
      <c r="G3084" s="14" t="s">
        <v>3911</v>
      </c>
      <c r="H3084" s="2" t="s">
        <v>16</v>
      </c>
      <c r="I3084" s="2" t="s">
        <v>3488</v>
      </c>
      <c r="J3084" s="2">
        <v>1.0</v>
      </c>
      <c r="K3084" s="23" t="s">
        <v>4688</v>
      </c>
      <c r="L3084" s="11">
        <v>50000.0</v>
      </c>
    </row>
    <row r="3085" hidden="1">
      <c r="A3085" s="8" t="s">
        <v>2443</v>
      </c>
      <c r="B3085" s="8" t="s">
        <v>2443</v>
      </c>
      <c r="C3085" s="13">
        <v>46017.359456018516</v>
      </c>
      <c r="D3085" s="2" t="s">
        <v>1573</v>
      </c>
      <c r="E3085" s="2" t="s">
        <v>1574</v>
      </c>
      <c r="F3085" s="14" t="s">
        <v>3835</v>
      </c>
      <c r="G3085" s="14" t="s">
        <v>3836</v>
      </c>
      <c r="H3085" s="2" t="s">
        <v>16</v>
      </c>
      <c r="I3085" s="2" t="s">
        <v>3488</v>
      </c>
      <c r="J3085" s="2">
        <v>1.0</v>
      </c>
      <c r="K3085" s="23" t="s">
        <v>5713</v>
      </c>
      <c r="L3085" s="11">
        <v>50000.0</v>
      </c>
    </row>
    <row r="3086" hidden="1">
      <c r="A3086" s="8" t="s">
        <v>2444</v>
      </c>
      <c r="B3086" s="8" t="s">
        <v>2444</v>
      </c>
      <c r="C3086" s="13">
        <v>46027.36009259259</v>
      </c>
      <c r="D3086" s="2" t="s">
        <v>1573</v>
      </c>
      <c r="E3086" s="2" t="s">
        <v>2442</v>
      </c>
      <c r="F3086" s="14" t="s">
        <v>3835</v>
      </c>
      <c r="G3086" s="14" t="s">
        <v>3836</v>
      </c>
      <c r="H3086" s="2" t="s">
        <v>24</v>
      </c>
      <c r="I3086" s="2" t="s">
        <v>3491</v>
      </c>
      <c r="J3086" s="2">
        <v>1.0</v>
      </c>
      <c r="K3086" s="23" t="s">
        <v>5713</v>
      </c>
      <c r="L3086" s="11">
        <v>0.0</v>
      </c>
    </row>
    <row r="3087" hidden="1">
      <c r="A3087" s="8" t="s">
        <v>2445</v>
      </c>
      <c r="B3087" s="8" t="s">
        <v>2445</v>
      </c>
      <c r="C3087" s="13">
        <v>46017.36101851852</v>
      </c>
      <c r="D3087" s="2" t="s">
        <v>1573</v>
      </c>
      <c r="E3087" s="2" t="s">
        <v>2442</v>
      </c>
      <c r="F3087" s="14" t="s">
        <v>3835</v>
      </c>
      <c r="G3087" s="14" t="s">
        <v>3836</v>
      </c>
      <c r="H3087" s="2" t="s">
        <v>24</v>
      </c>
      <c r="I3087" s="2" t="s">
        <v>3491</v>
      </c>
      <c r="J3087" s="2">
        <v>1.0</v>
      </c>
      <c r="K3087" s="23" t="s">
        <v>4864</v>
      </c>
      <c r="L3087" s="11">
        <v>0.0</v>
      </c>
    </row>
    <row r="3088" hidden="1">
      <c r="A3088" s="8" t="s">
        <v>2446</v>
      </c>
      <c r="B3088" s="8" t="s">
        <v>2446</v>
      </c>
      <c r="C3088" s="13">
        <v>46027.36788194445</v>
      </c>
      <c r="D3088" s="2" t="s">
        <v>2005</v>
      </c>
      <c r="E3088" s="2" t="s">
        <v>2006</v>
      </c>
      <c r="F3088" s="14" t="s">
        <v>4203</v>
      </c>
      <c r="G3088" s="14" t="s">
        <v>4204</v>
      </c>
      <c r="H3088" s="2" t="s">
        <v>16</v>
      </c>
      <c r="I3088" s="2" t="s">
        <v>3488</v>
      </c>
      <c r="J3088" s="2">
        <v>2.0</v>
      </c>
      <c r="K3088" s="23" t="s">
        <v>5714</v>
      </c>
      <c r="L3088" s="11">
        <v>60000.0</v>
      </c>
    </row>
    <row r="3089" hidden="1">
      <c r="A3089" s="8" t="s">
        <v>2446</v>
      </c>
      <c r="B3089" s="8" t="s">
        <v>2446</v>
      </c>
      <c r="C3089" s="13">
        <v>46027.36788194445</v>
      </c>
      <c r="D3089" s="2" t="s">
        <v>2005</v>
      </c>
      <c r="E3089" s="2" t="s">
        <v>2006</v>
      </c>
      <c r="F3089" s="14" t="s">
        <v>3486</v>
      </c>
      <c r="G3089" s="14" t="s">
        <v>3487</v>
      </c>
      <c r="H3089" s="2" t="s">
        <v>16</v>
      </c>
      <c r="I3089" s="2" t="s">
        <v>3488</v>
      </c>
      <c r="J3089" s="2">
        <v>8.0</v>
      </c>
      <c r="K3089" s="23" t="s">
        <v>5715</v>
      </c>
      <c r="L3089" s="11">
        <v>65000.0</v>
      </c>
    </row>
    <row r="3090" hidden="1">
      <c r="A3090" s="8" t="s">
        <v>2447</v>
      </c>
      <c r="B3090" s="8" t="s">
        <v>2447</v>
      </c>
      <c r="C3090" s="13">
        <v>46027.37070601852</v>
      </c>
      <c r="D3090" s="2" t="s">
        <v>786</v>
      </c>
      <c r="E3090" s="2" t="s">
        <v>787</v>
      </c>
      <c r="F3090" s="14" t="s">
        <v>3486</v>
      </c>
      <c r="G3090" s="14" t="s">
        <v>3487</v>
      </c>
      <c r="H3090" s="2" t="s">
        <v>16</v>
      </c>
      <c r="I3090" s="2" t="s">
        <v>3488</v>
      </c>
      <c r="J3090" s="2">
        <v>10.0</v>
      </c>
      <c r="K3090" s="23" t="s">
        <v>5716</v>
      </c>
      <c r="L3090" s="11">
        <v>60000.0</v>
      </c>
    </row>
    <row r="3091" hidden="1">
      <c r="A3091" s="8" t="s">
        <v>2447</v>
      </c>
      <c r="B3091" s="8" t="s">
        <v>2447</v>
      </c>
      <c r="C3091" s="13">
        <v>46027.37070601852</v>
      </c>
      <c r="D3091" s="2" t="s">
        <v>786</v>
      </c>
      <c r="E3091" s="2" t="s">
        <v>787</v>
      </c>
      <c r="F3091" s="14" t="s">
        <v>3516</v>
      </c>
      <c r="G3091" s="14" t="s">
        <v>3517</v>
      </c>
      <c r="H3091" s="2" t="s">
        <v>16</v>
      </c>
      <c r="I3091" s="2" t="s">
        <v>3488</v>
      </c>
      <c r="J3091" s="2">
        <v>5.0</v>
      </c>
      <c r="K3091" s="23" t="s">
        <v>5717</v>
      </c>
      <c r="L3091" s="11">
        <v>180000.0</v>
      </c>
    </row>
    <row r="3092" hidden="1">
      <c r="A3092" s="8" t="s">
        <v>2448</v>
      </c>
      <c r="B3092" s="8" t="s">
        <v>2448</v>
      </c>
      <c r="C3092" s="13">
        <v>46027.376296296294</v>
      </c>
      <c r="D3092" s="2" t="s">
        <v>109</v>
      </c>
      <c r="E3092" s="2" t="s">
        <v>110</v>
      </c>
      <c r="F3092" s="14" t="s">
        <v>4203</v>
      </c>
      <c r="G3092" s="14" t="s">
        <v>4204</v>
      </c>
      <c r="H3092" s="2" t="s">
        <v>16</v>
      </c>
      <c r="I3092" s="2" t="s">
        <v>3488</v>
      </c>
      <c r="J3092" s="2">
        <v>1.0</v>
      </c>
      <c r="K3092" s="23" t="s">
        <v>5667</v>
      </c>
      <c r="L3092" s="11">
        <v>65000.0</v>
      </c>
    </row>
    <row r="3093" hidden="1">
      <c r="A3093" s="8" t="s">
        <v>2448</v>
      </c>
      <c r="B3093" s="8" t="s">
        <v>2448</v>
      </c>
      <c r="C3093" s="13">
        <v>46027.376296296294</v>
      </c>
      <c r="D3093" s="2" t="s">
        <v>109</v>
      </c>
      <c r="E3093" s="2" t="s">
        <v>110</v>
      </c>
      <c r="F3093" s="14" t="s">
        <v>3522</v>
      </c>
      <c r="G3093" s="14" t="s">
        <v>3523</v>
      </c>
      <c r="H3093" s="2" t="s">
        <v>16</v>
      </c>
      <c r="I3093" s="2" t="s">
        <v>3488</v>
      </c>
      <c r="J3093" s="2">
        <v>1.0</v>
      </c>
      <c r="K3093" s="23" t="s">
        <v>3632</v>
      </c>
      <c r="L3093" s="11">
        <v>215000.0</v>
      </c>
    </row>
    <row r="3094" hidden="1">
      <c r="A3094" s="8" t="s">
        <v>2449</v>
      </c>
      <c r="B3094" s="8" t="s">
        <v>2449</v>
      </c>
      <c r="C3094" s="13">
        <v>46027.61373842593</v>
      </c>
      <c r="D3094" s="2" t="s">
        <v>786</v>
      </c>
      <c r="E3094" s="2" t="s">
        <v>787</v>
      </c>
      <c r="F3094" s="14" t="s">
        <v>3486</v>
      </c>
      <c r="G3094" s="14" t="s">
        <v>3487</v>
      </c>
      <c r="H3094" s="2" t="s">
        <v>24</v>
      </c>
      <c r="I3094" s="2" t="s">
        <v>3491</v>
      </c>
      <c r="J3094" s="2">
        <v>4.0</v>
      </c>
      <c r="K3094" s="23" t="s">
        <v>5718</v>
      </c>
      <c r="L3094" s="11">
        <v>0.0</v>
      </c>
    </row>
    <row r="3095" hidden="1">
      <c r="A3095" s="8" t="s">
        <v>2449</v>
      </c>
      <c r="B3095" s="8" t="s">
        <v>2449</v>
      </c>
      <c r="C3095" s="13">
        <v>46027.61373842593</v>
      </c>
      <c r="D3095" s="2" t="s">
        <v>786</v>
      </c>
      <c r="E3095" s="2" t="s">
        <v>787</v>
      </c>
      <c r="F3095" s="14" t="s">
        <v>3516</v>
      </c>
      <c r="G3095" s="14" t="s">
        <v>3517</v>
      </c>
      <c r="H3095" s="2" t="s">
        <v>24</v>
      </c>
      <c r="I3095" s="2" t="s">
        <v>3491</v>
      </c>
      <c r="J3095" s="2">
        <v>2.0</v>
      </c>
      <c r="K3095" s="23" t="s">
        <v>5719</v>
      </c>
      <c r="L3095" s="11">
        <v>0.0</v>
      </c>
    </row>
    <row r="3096" hidden="1">
      <c r="A3096" s="8" t="s">
        <v>2450</v>
      </c>
      <c r="B3096" s="8" t="s">
        <v>2450</v>
      </c>
      <c r="C3096" s="13">
        <v>46027.61460648148</v>
      </c>
      <c r="D3096" s="2" t="s">
        <v>326</v>
      </c>
      <c r="E3096" s="2" t="s">
        <v>327</v>
      </c>
      <c r="F3096" s="14" t="s">
        <v>3486</v>
      </c>
      <c r="G3096" s="14" t="s">
        <v>3487</v>
      </c>
      <c r="H3096" s="2" t="s">
        <v>24</v>
      </c>
      <c r="I3096" s="2" t="s">
        <v>3491</v>
      </c>
      <c r="J3096" s="2">
        <v>3.0</v>
      </c>
      <c r="K3096" s="23" t="s">
        <v>5720</v>
      </c>
      <c r="L3096" s="11">
        <v>0.0</v>
      </c>
    </row>
    <row r="3097" hidden="1">
      <c r="A3097" s="8" t="s">
        <v>2451</v>
      </c>
      <c r="B3097" s="8" t="s">
        <v>2451</v>
      </c>
      <c r="C3097" s="13">
        <v>46027.61510416667</v>
      </c>
      <c r="D3097" s="2" t="s">
        <v>1993</v>
      </c>
      <c r="E3097" s="2" t="s">
        <v>1994</v>
      </c>
      <c r="F3097" s="14" t="s">
        <v>3486</v>
      </c>
      <c r="G3097" s="14" t="s">
        <v>3487</v>
      </c>
      <c r="H3097" s="2" t="s">
        <v>24</v>
      </c>
      <c r="I3097" s="2" t="s">
        <v>3491</v>
      </c>
      <c r="J3097" s="2">
        <v>2.0</v>
      </c>
      <c r="K3097" s="23" t="s">
        <v>5721</v>
      </c>
      <c r="L3097" s="11">
        <v>0.0</v>
      </c>
    </row>
    <row r="3098" hidden="1">
      <c r="A3098" s="8" t="s">
        <v>2452</v>
      </c>
      <c r="B3098" s="8" t="s">
        <v>2452</v>
      </c>
      <c r="C3098" s="13">
        <v>46027.61974537037</v>
      </c>
      <c r="D3098" s="2" t="s">
        <v>1745</v>
      </c>
      <c r="E3098" s="2" t="s">
        <v>1746</v>
      </c>
      <c r="F3098" s="14" t="s">
        <v>3486</v>
      </c>
      <c r="G3098" s="14" t="s">
        <v>3487</v>
      </c>
      <c r="H3098" s="2" t="s">
        <v>16</v>
      </c>
      <c r="I3098" s="2" t="s">
        <v>3488</v>
      </c>
      <c r="J3098" s="2">
        <v>4.0</v>
      </c>
      <c r="K3098" s="23" t="s">
        <v>5722</v>
      </c>
      <c r="L3098" s="11">
        <v>65000.0</v>
      </c>
    </row>
    <row r="3099" hidden="1">
      <c r="A3099" s="8" t="s">
        <v>2452</v>
      </c>
      <c r="B3099" s="8" t="s">
        <v>2452</v>
      </c>
      <c r="C3099" s="13">
        <v>46027.61974537037</v>
      </c>
      <c r="D3099" s="2" t="s">
        <v>1745</v>
      </c>
      <c r="E3099" s="2" t="s">
        <v>1746</v>
      </c>
      <c r="F3099" s="14" t="s">
        <v>3493</v>
      </c>
      <c r="G3099" s="14" t="s">
        <v>3494</v>
      </c>
      <c r="H3099" s="2" t="s">
        <v>16</v>
      </c>
      <c r="I3099" s="2" t="s">
        <v>3488</v>
      </c>
      <c r="J3099" s="2">
        <v>1.0</v>
      </c>
      <c r="K3099" s="23" t="s">
        <v>4688</v>
      </c>
      <c r="L3099" s="11">
        <v>215000.0</v>
      </c>
    </row>
    <row r="3100" hidden="1">
      <c r="A3100" s="8" t="s">
        <v>2453</v>
      </c>
      <c r="B3100" s="8" t="s">
        <v>2453</v>
      </c>
      <c r="C3100" s="13">
        <v>46027.628171296295</v>
      </c>
      <c r="D3100" s="2" t="s">
        <v>109</v>
      </c>
      <c r="E3100" s="2" t="s">
        <v>110</v>
      </c>
      <c r="F3100" s="14" t="s">
        <v>3486</v>
      </c>
      <c r="G3100" s="14" t="s">
        <v>3487</v>
      </c>
      <c r="H3100" s="2" t="s">
        <v>24</v>
      </c>
      <c r="I3100" s="2" t="s">
        <v>3491</v>
      </c>
      <c r="J3100" s="2">
        <v>1.0</v>
      </c>
      <c r="K3100" s="23" t="s">
        <v>4774</v>
      </c>
      <c r="L3100" s="11">
        <v>0.0</v>
      </c>
    </row>
    <row r="3101" hidden="1">
      <c r="A3101" s="8" t="s">
        <v>2453</v>
      </c>
      <c r="B3101" s="8" t="s">
        <v>2453</v>
      </c>
      <c r="C3101" s="13">
        <v>46027.628171296295</v>
      </c>
      <c r="D3101" s="2" t="s">
        <v>109</v>
      </c>
      <c r="E3101" s="2" t="s">
        <v>110</v>
      </c>
      <c r="F3101" s="14" t="s">
        <v>3516</v>
      </c>
      <c r="G3101" s="14" t="s">
        <v>3517</v>
      </c>
      <c r="H3101" s="2" t="s">
        <v>24</v>
      </c>
      <c r="I3101" s="2" t="s">
        <v>3491</v>
      </c>
      <c r="J3101" s="2">
        <v>1.0</v>
      </c>
      <c r="K3101" s="23" t="s">
        <v>4775</v>
      </c>
      <c r="L3101" s="11">
        <v>0.0</v>
      </c>
    </row>
    <row r="3102" hidden="1">
      <c r="A3102" s="8" t="s">
        <v>2454</v>
      </c>
      <c r="B3102" s="8" t="s">
        <v>2454</v>
      </c>
      <c r="C3102" s="13">
        <v>46027.62866898148</v>
      </c>
      <c r="D3102" s="2" t="s">
        <v>2005</v>
      </c>
      <c r="E3102" s="2" t="s">
        <v>2006</v>
      </c>
      <c r="F3102" s="14" t="s">
        <v>4203</v>
      </c>
      <c r="G3102" s="14" t="s">
        <v>4204</v>
      </c>
      <c r="H3102" s="2" t="s">
        <v>24</v>
      </c>
      <c r="I3102" s="2" t="s">
        <v>3491</v>
      </c>
      <c r="J3102" s="2">
        <v>3.0</v>
      </c>
      <c r="K3102" s="23" t="s">
        <v>5723</v>
      </c>
      <c r="L3102" s="11">
        <v>0.0</v>
      </c>
    </row>
    <row r="3103" hidden="1">
      <c r="A3103" s="8" t="s">
        <v>2454</v>
      </c>
      <c r="B3103" s="8" t="s">
        <v>2454</v>
      </c>
      <c r="C3103" s="13">
        <v>46027.62866898148</v>
      </c>
      <c r="D3103" s="2" t="s">
        <v>2005</v>
      </c>
      <c r="E3103" s="2" t="s">
        <v>2006</v>
      </c>
      <c r="F3103" s="14" t="s">
        <v>3486</v>
      </c>
      <c r="G3103" s="14" t="s">
        <v>3487</v>
      </c>
      <c r="H3103" s="2" t="s">
        <v>24</v>
      </c>
      <c r="I3103" s="2" t="s">
        <v>3491</v>
      </c>
      <c r="J3103" s="2">
        <v>1.0</v>
      </c>
      <c r="K3103" s="23" t="s">
        <v>5724</v>
      </c>
      <c r="L3103" s="11">
        <v>0.0</v>
      </c>
    </row>
    <row r="3104" hidden="1">
      <c r="A3104" s="8" t="s">
        <v>2454</v>
      </c>
      <c r="B3104" s="8" t="s">
        <v>2454</v>
      </c>
      <c r="C3104" s="13">
        <v>46027.62866898148</v>
      </c>
      <c r="D3104" s="2" t="s">
        <v>2005</v>
      </c>
      <c r="E3104" s="2" t="s">
        <v>2006</v>
      </c>
      <c r="F3104" s="14" t="s">
        <v>3493</v>
      </c>
      <c r="G3104" s="14" t="s">
        <v>3494</v>
      </c>
      <c r="H3104" s="2" t="s">
        <v>24</v>
      </c>
      <c r="I3104" s="2" t="s">
        <v>3491</v>
      </c>
      <c r="J3104" s="2">
        <v>1.0</v>
      </c>
      <c r="K3104" s="23" t="s">
        <v>4688</v>
      </c>
      <c r="L3104" s="11">
        <v>0.0</v>
      </c>
    </row>
    <row r="3105">
      <c r="A3105" s="8" t="s">
        <v>2455</v>
      </c>
      <c r="B3105" s="8" t="s">
        <v>2455</v>
      </c>
      <c r="C3105" s="13">
        <v>46027.646678240744</v>
      </c>
      <c r="D3105" s="2" t="s">
        <v>45</v>
      </c>
      <c r="E3105" s="2" t="s">
        <v>46</v>
      </c>
      <c r="F3105" s="14" t="s">
        <v>3486</v>
      </c>
      <c r="G3105" s="14" t="s">
        <v>3487</v>
      </c>
      <c r="H3105" s="2" t="s">
        <v>24</v>
      </c>
      <c r="I3105" s="2" t="s">
        <v>3491</v>
      </c>
      <c r="J3105" s="2">
        <v>4.0</v>
      </c>
      <c r="K3105" s="23" t="s">
        <v>5725</v>
      </c>
      <c r="L3105" s="11">
        <v>0.0</v>
      </c>
    </row>
    <row r="3106">
      <c r="A3106" s="8" t="s">
        <v>2455</v>
      </c>
      <c r="B3106" s="8" t="s">
        <v>2455</v>
      </c>
      <c r="C3106" s="13">
        <v>46027.646678240744</v>
      </c>
      <c r="D3106" s="2" t="s">
        <v>45</v>
      </c>
      <c r="E3106" s="2" t="s">
        <v>46</v>
      </c>
      <c r="F3106" s="14" t="s">
        <v>3522</v>
      </c>
      <c r="G3106" s="14" t="s">
        <v>3523</v>
      </c>
      <c r="H3106" s="2" t="s">
        <v>24</v>
      </c>
      <c r="I3106" s="2" t="s">
        <v>3491</v>
      </c>
      <c r="J3106" s="2">
        <v>5.0</v>
      </c>
      <c r="K3106" s="23" t="s">
        <v>5726</v>
      </c>
      <c r="L3106" s="11">
        <v>0.0</v>
      </c>
    </row>
    <row r="3107" hidden="1">
      <c r="A3107" s="8" t="s">
        <v>2456</v>
      </c>
      <c r="B3107" s="8" t="s">
        <v>2456</v>
      </c>
      <c r="C3107" s="13">
        <v>46027.65131944444</v>
      </c>
      <c r="D3107" s="2" t="s">
        <v>1838</v>
      </c>
      <c r="E3107" s="2" t="s">
        <v>1839</v>
      </c>
      <c r="F3107" s="14" t="s">
        <v>3486</v>
      </c>
      <c r="G3107" s="14" t="s">
        <v>3487</v>
      </c>
      <c r="H3107" s="2" t="s">
        <v>24</v>
      </c>
      <c r="I3107" s="2" t="s">
        <v>3491</v>
      </c>
      <c r="J3107" s="2">
        <v>2.0</v>
      </c>
      <c r="K3107" s="23" t="s">
        <v>5727</v>
      </c>
      <c r="L3107" s="11">
        <v>0.0</v>
      </c>
    </row>
    <row r="3108" hidden="1">
      <c r="A3108" s="8" t="s">
        <v>2457</v>
      </c>
      <c r="B3108" s="8" t="s">
        <v>2457</v>
      </c>
      <c r="C3108" s="13">
        <v>46027.67826388889</v>
      </c>
      <c r="D3108" s="2" t="s">
        <v>1745</v>
      </c>
      <c r="E3108" s="2" t="s">
        <v>1746</v>
      </c>
      <c r="F3108" s="14" t="s">
        <v>3486</v>
      </c>
      <c r="G3108" s="14" t="s">
        <v>3487</v>
      </c>
      <c r="H3108" s="2" t="s">
        <v>24</v>
      </c>
      <c r="I3108" s="2" t="s">
        <v>3491</v>
      </c>
      <c r="J3108" s="2">
        <v>2.0</v>
      </c>
      <c r="K3108" s="23" t="s">
        <v>5728</v>
      </c>
      <c r="L3108" s="11">
        <v>0.0</v>
      </c>
    </row>
    <row r="3109" hidden="1">
      <c r="A3109" s="8" t="s">
        <v>2458</v>
      </c>
      <c r="B3109" s="8" t="s">
        <v>2458</v>
      </c>
      <c r="C3109" s="13">
        <v>46028.38837962963</v>
      </c>
      <c r="D3109" s="2" t="s">
        <v>2459</v>
      </c>
      <c r="E3109" s="2" t="s">
        <v>2460</v>
      </c>
      <c r="F3109" s="14" t="s">
        <v>3835</v>
      </c>
      <c r="G3109" s="14" t="s">
        <v>3836</v>
      </c>
      <c r="H3109" s="2" t="s">
        <v>16</v>
      </c>
      <c r="I3109" s="2" t="s">
        <v>3488</v>
      </c>
      <c r="J3109" s="2">
        <v>1.0</v>
      </c>
      <c r="K3109" s="23" t="s">
        <v>5102</v>
      </c>
      <c r="L3109" s="11">
        <v>60000.0</v>
      </c>
    </row>
    <row r="3110" hidden="1">
      <c r="A3110" s="1"/>
      <c r="B3110" s="1"/>
      <c r="C3110" s="13"/>
      <c r="D3110" s="2"/>
      <c r="E3110" s="2"/>
      <c r="F3110" s="14"/>
      <c r="G3110" s="14"/>
      <c r="H3110" s="2"/>
      <c r="I3110" s="2"/>
      <c r="J3110" s="2"/>
      <c r="K3110" s="12"/>
      <c r="L3110" s="11"/>
    </row>
    <row r="3111" hidden="1">
      <c r="A3111" s="8" t="s">
        <v>2462</v>
      </c>
      <c r="B3111" s="8" t="s">
        <v>2462</v>
      </c>
      <c r="C3111" s="13">
        <v>46028.4153125</v>
      </c>
      <c r="D3111" s="2" t="s">
        <v>392</v>
      </c>
      <c r="E3111" s="2" t="s">
        <v>393</v>
      </c>
      <c r="F3111" s="14" t="s">
        <v>3506</v>
      </c>
      <c r="G3111" s="14" t="s">
        <v>3507</v>
      </c>
      <c r="H3111" s="2" t="s">
        <v>24</v>
      </c>
      <c r="I3111" s="2" t="s">
        <v>3491</v>
      </c>
      <c r="J3111" s="2">
        <v>5.0</v>
      </c>
      <c r="K3111" s="23" t="s">
        <v>4734</v>
      </c>
      <c r="L3111" s="11">
        <v>0.0</v>
      </c>
    </row>
    <row r="3112" hidden="1">
      <c r="A3112" s="8" t="s">
        <v>2463</v>
      </c>
      <c r="B3112" s="8" t="s">
        <v>2463</v>
      </c>
      <c r="C3112" s="13">
        <v>46028.45829861111</v>
      </c>
      <c r="D3112" s="2" t="s">
        <v>1705</v>
      </c>
      <c r="E3112" s="2" t="s">
        <v>1706</v>
      </c>
      <c r="F3112" s="14" t="s">
        <v>4203</v>
      </c>
      <c r="G3112" s="14" t="s">
        <v>4204</v>
      </c>
      <c r="H3112" s="2" t="s">
        <v>16</v>
      </c>
      <c r="I3112" s="2" t="s">
        <v>3488</v>
      </c>
      <c r="J3112" s="2">
        <v>2.0</v>
      </c>
      <c r="K3112" s="23" t="s">
        <v>5729</v>
      </c>
      <c r="L3112" s="11">
        <v>65000.0</v>
      </c>
    </row>
    <row r="3113" hidden="1">
      <c r="A3113" s="8" t="s">
        <v>2464</v>
      </c>
      <c r="B3113" s="8" t="s">
        <v>2464</v>
      </c>
      <c r="C3113" s="13">
        <v>46028.461805555555</v>
      </c>
      <c r="D3113" s="2" t="s">
        <v>392</v>
      </c>
      <c r="E3113" s="2" t="s">
        <v>393</v>
      </c>
      <c r="F3113" s="14" t="s">
        <v>3506</v>
      </c>
      <c r="G3113" s="14" t="s">
        <v>3507</v>
      </c>
      <c r="H3113" s="2" t="s">
        <v>16</v>
      </c>
      <c r="I3113" s="2" t="s">
        <v>3488</v>
      </c>
      <c r="J3113" s="2">
        <v>5.0</v>
      </c>
      <c r="K3113" s="23" t="s">
        <v>4734</v>
      </c>
      <c r="L3113" s="11">
        <v>50000.0</v>
      </c>
    </row>
    <row r="3114" hidden="1">
      <c r="A3114" s="8" t="s">
        <v>2465</v>
      </c>
      <c r="B3114" s="8" t="s">
        <v>2465</v>
      </c>
      <c r="C3114" s="13">
        <v>46028.5678125</v>
      </c>
      <c r="D3114" s="2" t="s">
        <v>2466</v>
      </c>
      <c r="E3114" s="2" t="s">
        <v>2467</v>
      </c>
      <c r="F3114" s="14" t="s">
        <v>3835</v>
      </c>
      <c r="G3114" s="14" t="s">
        <v>3836</v>
      </c>
      <c r="H3114" s="2" t="s">
        <v>16</v>
      </c>
      <c r="I3114" s="2" t="s">
        <v>3488</v>
      </c>
      <c r="J3114" s="2">
        <v>1.0</v>
      </c>
      <c r="K3114" s="23" t="s">
        <v>5730</v>
      </c>
      <c r="L3114" s="11">
        <v>60000.0</v>
      </c>
    </row>
    <row r="3115" hidden="1">
      <c r="A3115" s="8" t="s">
        <v>2469</v>
      </c>
      <c r="B3115" s="8" t="s">
        <v>2469</v>
      </c>
      <c r="C3115" s="13">
        <v>46028.59641203703</v>
      </c>
      <c r="D3115" s="2" t="s">
        <v>2131</v>
      </c>
      <c r="E3115" s="2" t="s">
        <v>2171</v>
      </c>
      <c r="F3115" s="14" t="s">
        <v>3493</v>
      </c>
      <c r="G3115" s="14" t="s">
        <v>3494</v>
      </c>
      <c r="H3115" s="2" t="s">
        <v>24</v>
      </c>
      <c r="I3115" s="2" t="s">
        <v>3491</v>
      </c>
      <c r="J3115" s="2">
        <v>2.0</v>
      </c>
      <c r="K3115" s="23" t="s">
        <v>4670</v>
      </c>
      <c r="L3115" s="11">
        <v>0.0</v>
      </c>
    </row>
    <row r="3116" hidden="1">
      <c r="A3116" s="8" t="s">
        <v>2469</v>
      </c>
      <c r="B3116" s="8" t="s">
        <v>2469</v>
      </c>
      <c r="C3116" s="13">
        <v>46028.59641203703</v>
      </c>
      <c r="D3116" s="2" t="s">
        <v>2131</v>
      </c>
      <c r="E3116" s="2" t="s">
        <v>2171</v>
      </c>
      <c r="F3116" s="14" t="s">
        <v>3486</v>
      </c>
      <c r="G3116" s="14" t="s">
        <v>3487</v>
      </c>
      <c r="H3116" s="2" t="s">
        <v>24</v>
      </c>
      <c r="I3116" s="2" t="s">
        <v>3491</v>
      </c>
      <c r="J3116" s="2">
        <v>8.0</v>
      </c>
      <c r="K3116" s="23" t="s">
        <v>5731</v>
      </c>
      <c r="L3116" s="11">
        <v>0.0</v>
      </c>
    </row>
    <row r="3117" hidden="1">
      <c r="A3117" s="8" t="s">
        <v>2470</v>
      </c>
      <c r="B3117" s="8" t="s">
        <v>2470</v>
      </c>
      <c r="C3117" s="13">
        <v>46028.59732638889</v>
      </c>
      <c r="D3117" s="2" t="s">
        <v>213</v>
      </c>
      <c r="E3117" s="2" t="s">
        <v>214</v>
      </c>
      <c r="F3117" s="14" t="s">
        <v>3486</v>
      </c>
      <c r="G3117" s="14" t="s">
        <v>3487</v>
      </c>
      <c r="H3117" s="2" t="s">
        <v>24</v>
      </c>
      <c r="I3117" s="2" t="s">
        <v>3491</v>
      </c>
      <c r="J3117" s="2">
        <v>4.0</v>
      </c>
      <c r="K3117" s="23" t="s">
        <v>5732</v>
      </c>
      <c r="L3117" s="11">
        <v>0.0</v>
      </c>
    </row>
    <row r="3118" hidden="1">
      <c r="A3118" s="8" t="s">
        <v>2471</v>
      </c>
      <c r="B3118" s="8" t="s">
        <v>2471</v>
      </c>
      <c r="C3118" s="13">
        <v>46028.598125</v>
      </c>
      <c r="D3118" s="2" t="s">
        <v>1228</v>
      </c>
      <c r="E3118" s="2" t="s">
        <v>1229</v>
      </c>
      <c r="F3118" s="14" t="s">
        <v>3486</v>
      </c>
      <c r="G3118" s="14" t="s">
        <v>3487</v>
      </c>
      <c r="H3118" s="2" t="s">
        <v>24</v>
      </c>
      <c r="I3118" s="2" t="s">
        <v>3491</v>
      </c>
      <c r="J3118" s="2">
        <v>6.0</v>
      </c>
      <c r="K3118" s="23" t="s">
        <v>5733</v>
      </c>
      <c r="L3118" s="11">
        <v>0.0</v>
      </c>
    </row>
    <row r="3119" hidden="1">
      <c r="A3119" s="8" t="s">
        <v>2472</v>
      </c>
      <c r="B3119" s="8" t="s">
        <v>2472</v>
      </c>
      <c r="C3119" s="13">
        <v>46028.602430555555</v>
      </c>
      <c r="D3119" s="2" t="s">
        <v>2459</v>
      </c>
      <c r="E3119" s="2" t="s">
        <v>2460</v>
      </c>
      <c r="F3119" s="14" t="s">
        <v>3910</v>
      </c>
      <c r="G3119" s="14" t="s">
        <v>3911</v>
      </c>
      <c r="H3119" s="2" t="s">
        <v>24</v>
      </c>
      <c r="I3119" s="2" t="s">
        <v>3491</v>
      </c>
      <c r="J3119" s="2">
        <v>1.0</v>
      </c>
      <c r="K3119" s="23" t="s">
        <v>4688</v>
      </c>
      <c r="L3119" s="11">
        <v>0.0</v>
      </c>
    </row>
    <row r="3120" hidden="1">
      <c r="A3120" s="8" t="s">
        <v>2473</v>
      </c>
      <c r="B3120" s="8" t="s">
        <v>2473</v>
      </c>
      <c r="C3120" s="13">
        <v>46029.373773148145</v>
      </c>
      <c r="D3120" s="2" t="s">
        <v>1963</v>
      </c>
      <c r="E3120" s="2" t="s">
        <v>1964</v>
      </c>
      <c r="F3120" s="14" t="s">
        <v>3486</v>
      </c>
      <c r="G3120" s="14" t="s">
        <v>3487</v>
      </c>
      <c r="H3120" s="2" t="s">
        <v>16</v>
      </c>
      <c r="I3120" s="2" t="s">
        <v>3488</v>
      </c>
      <c r="J3120" s="2">
        <v>2.0</v>
      </c>
      <c r="K3120" s="23" t="s">
        <v>5734</v>
      </c>
      <c r="L3120" s="11">
        <v>60000.0</v>
      </c>
    </row>
    <row r="3121" hidden="1">
      <c r="A3121" s="8" t="s">
        <v>2474</v>
      </c>
      <c r="B3121" s="8" t="s">
        <v>2474</v>
      </c>
      <c r="C3121" s="13">
        <v>46029.37482638889</v>
      </c>
      <c r="D3121" s="2" t="s">
        <v>786</v>
      </c>
      <c r="E3121" s="2" t="s">
        <v>787</v>
      </c>
      <c r="F3121" s="14" t="s">
        <v>3516</v>
      </c>
      <c r="G3121" s="14" t="s">
        <v>3517</v>
      </c>
      <c r="H3121" s="2" t="s">
        <v>16</v>
      </c>
      <c r="I3121" s="2" t="s">
        <v>3488</v>
      </c>
      <c r="J3121" s="2">
        <v>5.0</v>
      </c>
      <c r="K3121" s="23" t="s">
        <v>5735</v>
      </c>
      <c r="L3121" s="11">
        <v>180000.0</v>
      </c>
    </row>
    <row r="3122" hidden="1">
      <c r="A3122" s="8" t="s">
        <v>2474</v>
      </c>
      <c r="B3122" s="8" t="s">
        <v>2474</v>
      </c>
      <c r="C3122" s="13">
        <v>46029.37482638889</v>
      </c>
      <c r="D3122" s="2" t="s">
        <v>786</v>
      </c>
      <c r="E3122" s="2" t="s">
        <v>787</v>
      </c>
      <c r="F3122" s="14" t="s">
        <v>3486</v>
      </c>
      <c r="G3122" s="14" t="s">
        <v>3487</v>
      </c>
      <c r="H3122" s="2" t="s">
        <v>16</v>
      </c>
      <c r="I3122" s="2" t="s">
        <v>3488</v>
      </c>
      <c r="J3122" s="2">
        <v>5.0</v>
      </c>
      <c r="K3122" s="23" t="s">
        <v>5736</v>
      </c>
      <c r="L3122" s="11">
        <v>60000.0</v>
      </c>
    </row>
    <row r="3123" hidden="1">
      <c r="A3123" s="8" t="s">
        <v>2475</v>
      </c>
      <c r="B3123" s="8" t="s">
        <v>2475</v>
      </c>
      <c r="C3123" s="13">
        <v>46029.61452546297</v>
      </c>
      <c r="D3123" s="2" t="s">
        <v>885</v>
      </c>
      <c r="E3123" s="2" t="s">
        <v>886</v>
      </c>
      <c r="F3123" s="14" t="s">
        <v>3522</v>
      </c>
      <c r="G3123" s="14" t="s">
        <v>3523</v>
      </c>
      <c r="H3123" s="2" t="s">
        <v>16</v>
      </c>
      <c r="I3123" s="2" t="s">
        <v>3488</v>
      </c>
      <c r="J3123" s="2">
        <v>2.0</v>
      </c>
      <c r="K3123" s="23" t="s">
        <v>5737</v>
      </c>
      <c r="L3123" s="11">
        <v>210000.0</v>
      </c>
    </row>
    <row r="3124" hidden="1">
      <c r="A3124" s="8" t="s">
        <v>2476</v>
      </c>
      <c r="B3124" s="8" t="s">
        <v>2476</v>
      </c>
      <c r="C3124" s="13">
        <v>46030.34722222222</v>
      </c>
      <c r="D3124" s="2" t="s">
        <v>1873</v>
      </c>
      <c r="E3124" s="2" t="s">
        <v>1874</v>
      </c>
      <c r="F3124" s="14" t="s">
        <v>4203</v>
      </c>
      <c r="G3124" s="14" t="s">
        <v>4204</v>
      </c>
      <c r="H3124" s="2" t="s">
        <v>16</v>
      </c>
      <c r="I3124" s="2" t="s">
        <v>3488</v>
      </c>
      <c r="J3124" s="2">
        <v>5.0</v>
      </c>
      <c r="K3124" s="23" t="s">
        <v>5738</v>
      </c>
      <c r="L3124" s="11">
        <v>70000.0</v>
      </c>
    </row>
    <row r="3125" hidden="1">
      <c r="A3125" s="8" t="s">
        <v>2477</v>
      </c>
      <c r="B3125" s="8" t="s">
        <v>2477</v>
      </c>
      <c r="C3125" s="13">
        <v>46030.36450231481</v>
      </c>
      <c r="D3125" s="2" t="s">
        <v>1873</v>
      </c>
      <c r="E3125" s="2" t="s">
        <v>1874</v>
      </c>
      <c r="F3125" s="14" t="s">
        <v>3486</v>
      </c>
      <c r="G3125" s="14" t="s">
        <v>3487</v>
      </c>
      <c r="H3125" s="2" t="s">
        <v>24</v>
      </c>
      <c r="I3125" s="2" t="s">
        <v>3491</v>
      </c>
      <c r="J3125" s="2">
        <v>2.0</v>
      </c>
      <c r="K3125" s="23" t="s">
        <v>5449</v>
      </c>
      <c r="L3125" s="11">
        <v>0.0</v>
      </c>
    </row>
    <row r="3126" hidden="1">
      <c r="A3126" s="8" t="s">
        <v>2478</v>
      </c>
      <c r="B3126" s="8" t="s">
        <v>2478</v>
      </c>
      <c r="C3126" s="13">
        <v>46030.365439814814</v>
      </c>
      <c r="D3126" s="2" t="s">
        <v>885</v>
      </c>
      <c r="E3126" s="2" t="s">
        <v>886</v>
      </c>
      <c r="F3126" s="14" t="s">
        <v>3486</v>
      </c>
      <c r="G3126" s="14" t="s">
        <v>3487</v>
      </c>
      <c r="H3126" s="2" t="s">
        <v>24</v>
      </c>
      <c r="I3126" s="2" t="s">
        <v>3491</v>
      </c>
      <c r="J3126" s="2">
        <v>1.0</v>
      </c>
      <c r="K3126" s="23" t="s">
        <v>5739</v>
      </c>
      <c r="L3126" s="11">
        <v>0.0</v>
      </c>
    </row>
    <row r="3127" hidden="1">
      <c r="A3127" s="8" t="s">
        <v>2478</v>
      </c>
      <c r="B3127" s="8" t="s">
        <v>2478</v>
      </c>
      <c r="C3127" s="13">
        <v>46030.365439814814</v>
      </c>
      <c r="D3127" s="2" t="s">
        <v>885</v>
      </c>
      <c r="E3127" s="2" t="s">
        <v>886</v>
      </c>
      <c r="F3127" s="14" t="s">
        <v>3522</v>
      </c>
      <c r="G3127" s="14" t="s">
        <v>3523</v>
      </c>
      <c r="H3127" s="2" t="s">
        <v>24</v>
      </c>
      <c r="I3127" s="2" t="s">
        <v>3491</v>
      </c>
      <c r="J3127" s="2">
        <v>1.0</v>
      </c>
      <c r="K3127" s="23" t="s">
        <v>5740</v>
      </c>
      <c r="L3127" s="11">
        <v>0.0</v>
      </c>
    </row>
    <row r="3128" hidden="1">
      <c r="A3128" s="8" t="s">
        <v>2479</v>
      </c>
      <c r="B3128" s="8" t="s">
        <v>2479</v>
      </c>
      <c r="C3128" s="13">
        <v>46030.371296296296</v>
      </c>
      <c r="D3128" s="2" t="s">
        <v>1963</v>
      </c>
      <c r="E3128" s="2" t="s">
        <v>1964</v>
      </c>
      <c r="F3128" s="14" t="s">
        <v>4203</v>
      </c>
      <c r="G3128" s="14" t="s">
        <v>4204</v>
      </c>
      <c r="H3128" s="2" t="s">
        <v>24</v>
      </c>
      <c r="I3128" s="2" t="s">
        <v>3491</v>
      </c>
      <c r="J3128" s="2">
        <v>2.0</v>
      </c>
      <c r="K3128" s="23" t="s">
        <v>5741</v>
      </c>
      <c r="L3128" s="11">
        <v>0.0</v>
      </c>
    </row>
    <row r="3129" hidden="1">
      <c r="A3129" s="8" t="s">
        <v>2480</v>
      </c>
      <c r="B3129" s="8" t="s">
        <v>2480</v>
      </c>
      <c r="C3129" s="13">
        <v>46030.37184027778</v>
      </c>
      <c r="D3129" s="2" t="s">
        <v>786</v>
      </c>
      <c r="E3129" s="2" t="s">
        <v>787</v>
      </c>
      <c r="F3129" s="14" t="s">
        <v>3516</v>
      </c>
      <c r="G3129" s="14" t="s">
        <v>3517</v>
      </c>
      <c r="H3129" s="2" t="s">
        <v>24</v>
      </c>
      <c r="I3129" s="2" t="s">
        <v>3491</v>
      </c>
      <c r="J3129" s="2">
        <v>4.0</v>
      </c>
      <c r="K3129" s="23" t="s">
        <v>5742</v>
      </c>
      <c r="L3129" s="11">
        <v>0.0</v>
      </c>
    </row>
    <row r="3130" hidden="1">
      <c r="A3130" s="8" t="s">
        <v>2480</v>
      </c>
      <c r="B3130" s="8" t="s">
        <v>2480</v>
      </c>
      <c r="C3130" s="13">
        <v>46030.37184027778</v>
      </c>
      <c r="D3130" s="2" t="s">
        <v>786</v>
      </c>
      <c r="E3130" s="2" t="s">
        <v>787</v>
      </c>
      <c r="F3130" s="14" t="s">
        <v>3486</v>
      </c>
      <c r="G3130" s="14" t="s">
        <v>3487</v>
      </c>
      <c r="H3130" s="2" t="s">
        <v>24</v>
      </c>
      <c r="I3130" s="2" t="s">
        <v>3491</v>
      </c>
      <c r="J3130" s="2">
        <v>10.0</v>
      </c>
      <c r="K3130" s="23" t="s">
        <v>5743</v>
      </c>
      <c r="L3130" s="11">
        <v>0.0</v>
      </c>
    </row>
    <row r="3131" hidden="1">
      <c r="A3131" s="8" t="s">
        <v>2481</v>
      </c>
      <c r="B3131" s="8" t="s">
        <v>2481</v>
      </c>
      <c r="C3131" s="13">
        <v>46030.3728125</v>
      </c>
      <c r="D3131" s="2" t="s">
        <v>951</v>
      </c>
      <c r="E3131" s="2" t="s">
        <v>952</v>
      </c>
      <c r="F3131" s="14" t="s">
        <v>3516</v>
      </c>
      <c r="G3131" s="14" t="s">
        <v>3517</v>
      </c>
      <c r="H3131" s="2" t="s">
        <v>24</v>
      </c>
      <c r="I3131" s="2" t="s">
        <v>3491</v>
      </c>
      <c r="J3131" s="2">
        <v>3.0</v>
      </c>
      <c r="K3131" s="23" t="s">
        <v>5744</v>
      </c>
      <c r="L3131" s="11">
        <v>0.0</v>
      </c>
    </row>
    <row r="3132" hidden="1">
      <c r="A3132" s="8" t="s">
        <v>2481</v>
      </c>
      <c r="B3132" s="8" t="s">
        <v>2481</v>
      </c>
      <c r="C3132" s="13">
        <v>46030.3728125</v>
      </c>
      <c r="D3132" s="2" t="s">
        <v>951</v>
      </c>
      <c r="E3132" s="2" t="s">
        <v>952</v>
      </c>
      <c r="F3132" s="14" t="s">
        <v>3486</v>
      </c>
      <c r="G3132" s="14" t="s">
        <v>3487</v>
      </c>
      <c r="H3132" s="2" t="s">
        <v>24</v>
      </c>
      <c r="I3132" s="2" t="s">
        <v>3491</v>
      </c>
      <c r="J3132" s="2">
        <v>4.0</v>
      </c>
      <c r="K3132" s="23" t="s">
        <v>5745</v>
      </c>
      <c r="L3132" s="11">
        <v>0.0</v>
      </c>
    </row>
    <row r="3133" hidden="1">
      <c r="A3133" s="8" t="s">
        <v>2482</v>
      </c>
      <c r="B3133" s="8" t="s">
        <v>2482</v>
      </c>
      <c r="C3133" s="13">
        <v>46030.37414351852</v>
      </c>
      <c r="D3133" s="2" t="s">
        <v>1705</v>
      </c>
      <c r="E3133" s="2" t="s">
        <v>1706</v>
      </c>
      <c r="F3133" s="14" t="s">
        <v>3486</v>
      </c>
      <c r="G3133" s="14" t="s">
        <v>3487</v>
      </c>
      <c r="H3133" s="2" t="s">
        <v>24</v>
      </c>
      <c r="I3133" s="2" t="s">
        <v>3491</v>
      </c>
      <c r="J3133" s="2">
        <v>2.0</v>
      </c>
      <c r="K3133" s="23" t="s">
        <v>5746</v>
      </c>
      <c r="L3133" s="11">
        <v>0.0</v>
      </c>
    </row>
    <row r="3134" hidden="1">
      <c r="A3134" s="8" t="s">
        <v>2483</v>
      </c>
      <c r="B3134" s="8" t="s">
        <v>2483</v>
      </c>
      <c r="C3134" s="13">
        <v>46030.38122685185</v>
      </c>
      <c r="D3134" s="2" t="s">
        <v>786</v>
      </c>
      <c r="E3134" s="2" t="s">
        <v>787</v>
      </c>
      <c r="F3134" s="14" t="s">
        <v>3486</v>
      </c>
      <c r="G3134" s="14" t="s">
        <v>3487</v>
      </c>
      <c r="H3134" s="2" t="s">
        <v>16</v>
      </c>
      <c r="I3134" s="2" t="s">
        <v>3488</v>
      </c>
      <c r="J3134" s="2">
        <v>2.0</v>
      </c>
      <c r="K3134" s="23" t="s">
        <v>5747</v>
      </c>
      <c r="L3134" s="11">
        <v>60000.0</v>
      </c>
    </row>
    <row r="3135" hidden="1">
      <c r="A3135" s="8" t="s">
        <v>2483</v>
      </c>
      <c r="B3135" s="8" t="s">
        <v>2483</v>
      </c>
      <c r="C3135" s="13">
        <v>46030.38122685185</v>
      </c>
      <c r="D3135" s="2" t="s">
        <v>786</v>
      </c>
      <c r="E3135" s="2" t="s">
        <v>787</v>
      </c>
      <c r="F3135" s="14" t="s">
        <v>3516</v>
      </c>
      <c r="G3135" s="14" t="s">
        <v>3517</v>
      </c>
      <c r="H3135" s="2" t="s">
        <v>16</v>
      </c>
      <c r="I3135" s="2" t="s">
        <v>3488</v>
      </c>
      <c r="J3135" s="2">
        <v>3.0</v>
      </c>
      <c r="K3135" s="23" t="s">
        <v>5748</v>
      </c>
      <c r="L3135" s="11">
        <v>180000.0</v>
      </c>
    </row>
    <row r="3136" hidden="1">
      <c r="A3136" s="8" t="s">
        <v>2484</v>
      </c>
      <c r="B3136" s="8" t="s">
        <v>2484</v>
      </c>
      <c r="C3136" s="13">
        <v>46030.381875</v>
      </c>
      <c r="D3136" s="2" t="s">
        <v>1228</v>
      </c>
      <c r="E3136" s="2" t="s">
        <v>1229</v>
      </c>
      <c r="F3136" s="14" t="s">
        <v>3486</v>
      </c>
      <c r="G3136" s="14" t="s">
        <v>3487</v>
      </c>
      <c r="H3136" s="2" t="s">
        <v>16</v>
      </c>
      <c r="I3136" s="2" t="s">
        <v>3488</v>
      </c>
      <c r="J3136" s="2">
        <v>6.0</v>
      </c>
      <c r="K3136" s="23" t="s">
        <v>5749</v>
      </c>
      <c r="L3136" s="11">
        <v>55000.0</v>
      </c>
    </row>
    <row r="3137" hidden="1">
      <c r="A3137" s="8" t="s">
        <v>2485</v>
      </c>
      <c r="B3137" s="8" t="s">
        <v>2485</v>
      </c>
      <c r="C3137" s="13">
        <v>46030.50670138889</v>
      </c>
      <c r="D3137" s="2" t="s">
        <v>464</v>
      </c>
      <c r="E3137" s="2" t="s">
        <v>465</v>
      </c>
      <c r="F3137" s="14" t="s">
        <v>3493</v>
      </c>
      <c r="G3137" s="14" t="s">
        <v>3494</v>
      </c>
      <c r="H3137" s="2" t="s">
        <v>16</v>
      </c>
      <c r="I3137" s="2" t="s">
        <v>3488</v>
      </c>
      <c r="J3137" s="2">
        <v>1.0</v>
      </c>
      <c r="K3137" s="23" t="s">
        <v>4688</v>
      </c>
      <c r="L3137" s="11">
        <v>210000.0</v>
      </c>
    </row>
    <row r="3138" hidden="1">
      <c r="A3138" s="8" t="s">
        <v>2486</v>
      </c>
      <c r="B3138" s="8" t="s">
        <v>2486</v>
      </c>
      <c r="C3138" s="13">
        <v>46030.511770833335</v>
      </c>
      <c r="D3138" s="2" t="s">
        <v>1228</v>
      </c>
      <c r="E3138" s="2" t="s">
        <v>1229</v>
      </c>
      <c r="F3138" s="14" t="s">
        <v>3486</v>
      </c>
      <c r="G3138" s="14" t="s">
        <v>3487</v>
      </c>
      <c r="H3138" s="2" t="s">
        <v>24</v>
      </c>
      <c r="I3138" s="2" t="s">
        <v>3491</v>
      </c>
      <c r="J3138" s="2">
        <v>4.0</v>
      </c>
      <c r="K3138" s="23" t="s">
        <v>5750</v>
      </c>
      <c r="L3138" s="11">
        <v>0.0</v>
      </c>
    </row>
    <row r="3139" hidden="1">
      <c r="A3139" s="8" t="s">
        <v>1350</v>
      </c>
      <c r="B3139" s="8" t="s">
        <v>1350</v>
      </c>
      <c r="C3139" s="13">
        <v>45891.44976851852</v>
      </c>
      <c r="D3139" s="2" t="s">
        <v>464</v>
      </c>
      <c r="E3139" s="2" t="s">
        <v>465</v>
      </c>
      <c r="F3139" s="14" t="s">
        <v>3506</v>
      </c>
      <c r="G3139" s="14" t="s">
        <v>3507</v>
      </c>
      <c r="H3139" s="2" t="s">
        <v>24</v>
      </c>
      <c r="I3139" s="2" t="s">
        <v>3491</v>
      </c>
      <c r="J3139" s="2">
        <v>1.0</v>
      </c>
      <c r="K3139" s="23" t="s">
        <v>4724</v>
      </c>
      <c r="L3139" s="11">
        <v>0.0</v>
      </c>
    </row>
    <row r="3140" hidden="1">
      <c r="A3140" s="8" t="s">
        <v>2487</v>
      </c>
      <c r="B3140" s="8" t="s">
        <v>2487</v>
      </c>
      <c r="C3140" s="13">
        <v>46030.614270833335</v>
      </c>
      <c r="D3140" s="2" t="s">
        <v>1084</v>
      </c>
      <c r="E3140" s="2" t="s">
        <v>1085</v>
      </c>
      <c r="F3140" s="14" t="s">
        <v>3516</v>
      </c>
      <c r="G3140" s="14" t="s">
        <v>3517</v>
      </c>
      <c r="H3140" s="2" t="s">
        <v>24</v>
      </c>
      <c r="I3140" s="2" t="s">
        <v>3491</v>
      </c>
      <c r="J3140" s="2">
        <v>1.0</v>
      </c>
      <c r="K3140" s="23" t="s">
        <v>5751</v>
      </c>
      <c r="L3140" s="11">
        <v>0.0</v>
      </c>
      <c r="O3140" s="2" t="b">
        <v>0</v>
      </c>
    </row>
    <row r="3141" hidden="1">
      <c r="A3141" s="8" t="s">
        <v>2487</v>
      </c>
      <c r="B3141" s="8" t="s">
        <v>2487</v>
      </c>
      <c r="C3141" s="13">
        <v>46030.614270833335</v>
      </c>
      <c r="D3141" s="2" t="s">
        <v>1084</v>
      </c>
      <c r="E3141" s="2" t="s">
        <v>1085</v>
      </c>
      <c r="F3141" s="14" t="s">
        <v>3486</v>
      </c>
      <c r="G3141" s="14" t="s">
        <v>3487</v>
      </c>
      <c r="H3141" s="2" t="s">
        <v>24</v>
      </c>
      <c r="I3141" s="2" t="s">
        <v>3491</v>
      </c>
      <c r="J3141" s="2">
        <v>1.0</v>
      </c>
      <c r="K3141" s="23" t="s">
        <v>5231</v>
      </c>
      <c r="L3141" s="11">
        <v>0.0</v>
      </c>
      <c r="O3141" s="2" t="b">
        <v>0</v>
      </c>
    </row>
    <row r="3142" hidden="1">
      <c r="A3142" s="8" t="s">
        <v>2488</v>
      </c>
      <c r="B3142" s="8" t="s">
        <v>2488</v>
      </c>
      <c r="C3142" s="13">
        <v>46030.62101851852</v>
      </c>
      <c r="D3142" s="2" t="s">
        <v>786</v>
      </c>
      <c r="E3142" s="2" t="s">
        <v>787</v>
      </c>
      <c r="F3142" s="14" t="s">
        <v>3486</v>
      </c>
      <c r="G3142" s="14" t="s">
        <v>3487</v>
      </c>
      <c r="H3142" s="2" t="s">
        <v>24</v>
      </c>
      <c r="I3142" s="2" t="s">
        <v>3491</v>
      </c>
      <c r="J3142" s="2">
        <v>1.0</v>
      </c>
      <c r="K3142" s="23" t="s">
        <v>5752</v>
      </c>
      <c r="L3142" s="11">
        <v>0.0</v>
      </c>
      <c r="O3142" s="2" t="b">
        <v>0</v>
      </c>
    </row>
    <row r="3143" hidden="1">
      <c r="A3143" s="8" t="s">
        <v>2488</v>
      </c>
      <c r="B3143" s="8" t="s">
        <v>2488</v>
      </c>
      <c r="C3143" s="13">
        <v>46030.62101851852</v>
      </c>
      <c r="D3143" s="2" t="s">
        <v>786</v>
      </c>
      <c r="E3143" s="2" t="s">
        <v>787</v>
      </c>
      <c r="F3143" s="14" t="s">
        <v>3516</v>
      </c>
      <c r="G3143" s="14" t="s">
        <v>3517</v>
      </c>
      <c r="H3143" s="2" t="s">
        <v>24</v>
      </c>
      <c r="I3143" s="2" t="s">
        <v>3491</v>
      </c>
      <c r="J3143" s="2">
        <v>3.0</v>
      </c>
      <c r="K3143" s="23" t="s">
        <v>5753</v>
      </c>
      <c r="L3143" s="11">
        <v>0.0</v>
      </c>
      <c r="O3143" s="2" t="b">
        <v>0</v>
      </c>
    </row>
    <row r="3144" hidden="1">
      <c r="A3144" s="8" t="s">
        <v>2489</v>
      </c>
      <c r="B3144" s="8" t="s">
        <v>2489</v>
      </c>
      <c r="C3144" s="13">
        <v>46030.62163194444</v>
      </c>
      <c r="D3144" s="2" t="s">
        <v>464</v>
      </c>
      <c r="E3144" s="2" t="s">
        <v>465</v>
      </c>
      <c r="F3144" s="14" t="s">
        <v>4203</v>
      </c>
      <c r="G3144" s="14" t="s">
        <v>4204</v>
      </c>
      <c r="H3144" s="2" t="s">
        <v>24</v>
      </c>
      <c r="I3144" s="2" t="s">
        <v>3491</v>
      </c>
      <c r="J3144" s="2">
        <v>1.0</v>
      </c>
      <c r="K3144" s="23" t="s">
        <v>4361</v>
      </c>
      <c r="L3144" s="11">
        <v>0.0</v>
      </c>
      <c r="O3144" s="2" t="b">
        <v>0</v>
      </c>
    </row>
    <row r="3145" hidden="1">
      <c r="A3145" s="8" t="s">
        <v>2489</v>
      </c>
      <c r="B3145" s="8" t="s">
        <v>2489</v>
      </c>
      <c r="C3145" s="13">
        <v>46030.62163194444</v>
      </c>
      <c r="D3145" s="2" t="s">
        <v>464</v>
      </c>
      <c r="E3145" s="2" t="s">
        <v>465</v>
      </c>
      <c r="F3145" s="14" t="s">
        <v>4203</v>
      </c>
      <c r="G3145" s="14" t="s">
        <v>4204</v>
      </c>
      <c r="H3145" s="2" t="s">
        <v>24</v>
      </c>
      <c r="I3145" s="2" t="s">
        <v>3491</v>
      </c>
      <c r="J3145" s="2">
        <v>1.0</v>
      </c>
      <c r="K3145" s="23" t="s">
        <v>5754</v>
      </c>
      <c r="L3145" s="11">
        <v>0.0</v>
      </c>
      <c r="O3145" s="2" t="b">
        <v>1</v>
      </c>
    </row>
    <row r="3146" hidden="1">
      <c r="A3146" s="8" t="s">
        <v>2489</v>
      </c>
      <c r="B3146" s="8" t="s">
        <v>2489</v>
      </c>
      <c r="C3146" s="13">
        <v>46030.62163194444</v>
      </c>
      <c r="D3146" s="2" t="s">
        <v>464</v>
      </c>
      <c r="E3146" s="2" t="s">
        <v>465</v>
      </c>
      <c r="F3146" s="14" t="s">
        <v>3493</v>
      </c>
      <c r="G3146" s="14" t="s">
        <v>3494</v>
      </c>
      <c r="H3146" s="2" t="s">
        <v>24</v>
      </c>
      <c r="I3146" s="2" t="s">
        <v>3491</v>
      </c>
      <c r="J3146" s="2">
        <v>1.0</v>
      </c>
      <c r="K3146" s="12"/>
      <c r="L3146" s="11">
        <v>0.0</v>
      </c>
      <c r="O3146" s="2" t="b">
        <v>0</v>
      </c>
    </row>
    <row r="3147" hidden="1">
      <c r="A3147" s="8" t="s">
        <v>2490</v>
      </c>
      <c r="B3147" s="8" t="s">
        <v>2490</v>
      </c>
      <c r="C3147" s="13">
        <v>46031.349953703706</v>
      </c>
      <c r="D3147" s="2" t="s">
        <v>2131</v>
      </c>
      <c r="E3147" s="2" t="s">
        <v>2171</v>
      </c>
      <c r="F3147" s="14" t="s">
        <v>3493</v>
      </c>
      <c r="G3147" s="14" t="s">
        <v>3494</v>
      </c>
      <c r="H3147" s="2" t="s">
        <v>16</v>
      </c>
      <c r="I3147" s="2" t="s">
        <v>3488</v>
      </c>
      <c r="J3147" s="2">
        <v>1.0</v>
      </c>
      <c r="K3147" s="12"/>
      <c r="L3147" s="11">
        <v>210000.0</v>
      </c>
      <c r="O3147" s="2" t="b">
        <v>0</v>
      </c>
    </row>
    <row r="3148" hidden="1">
      <c r="A3148" s="8" t="s">
        <v>2490</v>
      </c>
      <c r="B3148" s="8" t="s">
        <v>2490</v>
      </c>
      <c r="C3148" s="13">
        <v>46031.349953703706</v>
      </c>
      <c r="D3148" s="2" t="s">
        <v>2131</v>
      </c>
      <c r="E3148" s="2" t="s">
        <v>2171</v>
      </c>
      <c r="F3148" s="14" t="s">
        <v>3486</v>
      </c>
      <c r="G3148" s="14" t="s">
        <v>3487</v>
      </c>
      <c r="H3148" s="2" t="s">
        <v>16</v>
      </c>
      <c r="I3148" s="2" t="s">
        <v>3488</v>
      </c>
      <c r="J3148" s="2">
        <v>15.0</v>
      </c>
      <c r="K3148" s="23" t="s">
        <v>5755</v>
      </c>
      <c r="L3148" s="11">
        <v>60000.0</v>
      </c>
      <c r="O3148" s="2" t="b">
        <v>0</v>
      </c>
    </row>
    <row r="3149" hidden="1">
      <c r="A3149" s="8" t="s">
        <v>2491</v>
      </c>
      <c r="B3149" s="8" t="s">
        <v>2491</v>
      </c>
      <c r="C3149" s="13">
        <v>46031.37774305556</v>
      </c>
      <c r="D3149" s="2" t="s">
        <v>1228</v>
      </c>
      <c r="E3149" s="2" t="s">
        <v>1229</v>
      </c>
      <c r="F3149" s="14" t="s">
        <v>3486</v>
      </c>
      <c r="G3149" s="14" t="s">
        <v>3487</v>
      </c>
      <c r="H3149" s="2" t="s">
        <v>16</v>
      </c>
      <c r="I3149" s="2" t="s">
        <v>3488</v>
      </c>
      <c r="J3149" s="2">
        <v>4.0</v>
      </c>
      <c r="K3149" s="23" t="s">
        <v>5756</v>
      </c>
      <c r="L3149" s="11">
        <v>55000.0</v>
      </c>
      <c r="O3149" s="2" t="b">
        <v>0</v>
      </c>
    </row>
    <row r="3150" hidden="1">
      <c r="A3150" s="8" t="s">
        <v>2492</v>
      </c>
      <c r="B3150" s="8" t="s">
        <v>2492</v>
      </c>
      <c r="C3150" s="13">
        <v>46031.47510416667</v>
      </c>
      <c r="D3150" s="2" t="s">
        <v>326</v>
      </c>
      <c r="E3150" s="2" t="s">
        <v>327</v>
      </c>
      <c r="F3150" s="14" t="s">
        <v>3486</v>
      </c>
      <c r="G3150" s="14" t="s">
        <v>3487</v>
      </c>
      <c r="H3150" s="2" t="s">
        <v>16</v>
      </c>
      <c r="I3150" s="2" t="s">
        <v>3488</v>
      </c>
      <c r="J3150" s="2">
        <v>10.0</v>
      </c>
      <c r="K3150" s="23" t="s">
        <v>5757</v>
      </c>
      <c r="L3150" s="11">
        <v>45000.0</v>
      </c>
      <c r="O3150" s="2" t="b">
        <v>0</v>
      </c>
    </row>
    <row r="3151" hidden="1">
      <c r="A3151" s="8" t="s">
        <v>2493</v>
      </c>
      <c r="B3151" s="8" t="s">
        <v>2493</v>
      </c>
      <c r="C3151" s="13">
        <v>46031.476331018515</v>
      </c>
      <c r="D3151" s="2" t="s">
        <v>786</v>
      </c>
      <c r="E3151" s="2" t="s">
        <v>787</v>
      </c>
      <c r="F3151" s="14" t="s">
        <v>3486</v>
      </c>
      <c r="G3151" s="14" t="s">
        <v>3487</v>
      </c>
      <c r="H3151" s="2" t="s">
        <v>16</v>
      </c>
      <c r="I3151" s="2" t="s">
        <v>3488</v>
      </c>
      <c r="J3151" s="2">
        <v>8.0</v>
      </c>
      <c r="K3151" s="23" t="s">
        <v>5758</v>
      </c>
      <c r="L3151" s="11">
        <v>60000.0</v>
      </c>
      <c r="O3151" s="2" t="b">
        <v>0</v>
      </c>
    </row>
    <row r="3152" hidden="1">
      <c r="A3152" s="8" t="s">
        <v>2494</v>
      </c>
      <c r="B3152" s="8" t="s">
        <v>2494</v>
      </c>
      <c r="C3152" s="13">
        <v>46031.54002314815</v>
      </c>
      <c r="D3152" s="2" t="s">
        <v>2131</v>
      </c>
      <c r="E3152" s="2" t="s">
        <v>2171</v>
      </c>
      <c r="F3152" s="14" t="s">
        <v>3486</v>
      </c>
      <c r="G3152" s="14" t="s">
        <v>3487</v>
      </c>
      <c r="H3152" s="2" t="s">
        <v>24</v>
      </c>
      <c r="I3152" s="2" t="s">
        <v>3491</v>
      </c>
      <c r="J3152" s="2">
        <v>7.0</v>
      </c>
      <c r="K3152" s="23" t="s">
        <v>5759</v>
      </c>
      <c r="L3152" s="11">
        <v>0.0</v>
      </c>
      <c r="O3152" s="2" t="b">
        <v>0</v>
      </c>
    </row>
    <row r="3153" hidden="1">
      <c r="A3153" s="8" t="s">
        <v>2494</v>
      </c>
      <c r="B3153" s="8" t="s">
        <v>2494</v>
      </c>
      <c r="C3153" s="13">
        <v>46031.54002314815</v>
      </c>
      <c r="D3153" s="2" t="s">
        <v>2131</v>
      </c>
      <c r="E3153" s="2" t="s">
        <v>2171</v>
      </c>
      <c r="F3153" s="14" t="s">
        <v>3493</v>
      </c>
      <c r="G3153" s="14" t="s">
        <v>3494</v>
      </c>
      <c r="H3153" s="2" t="s">
        <v>24</v>
      </c>
      <c r="I3153" s="2" t="s">
        <v>3491</v>
      </c>
      <c r="J3153" s="2">
        <v>1.0</v>
      </c>
      <c r="K3153" s="12"/>
      <c r="L3153" s="11">
        <v>0.0</v>
      </c>
      <c r="O3153" s="2" t="b">
        <v>0</v>
      </c>
    </row>
    <row r="3154" hidden="1">
      <c r="A3154" s="8" t="s">
        <v>2495</v>
      </c>
      <c r="B3154" s="8" t="s">
        <v>2495</v>
      </c>
      <c r="C3154" s="13">
        <v>46031.647511574076</v>
      </c>
      <c r="D3154" s="2" t="s">
        <v>786</v>
      </c>
      <c r="E3154" s="2" t="s">
        <v>787</v>
      </c>
      <c r="F3154" s="14" t="s">
        <v>3486</v>
      </c>
      <c r="G3154" s="14" t="s">
        <v>3487</v>
      </c>
      <c r="H3154" s="2" t="s">
        <v>24</v>
      </c>
      <c r="I3154" s="2" t="s">
        <v>3491</v>
      </c>
      <c r="J3154" s="2">
        <v>5.0</v>
      </c>
      <c r="K3154" s="23" t="s">
        <v>5760</v>
      </c>
      <c r="L3154" s="11">
        <v>0.0</v>
      </c>
      <c r="O3154" s="2" t="b">
        <v>0</v>
      </c>
    </row>
    <row r="3155" hidden="1">
      <c r="A3155" s="8" t="s">
        <v>2495</v>
      </c>
      <c r="B3155" s="8" t="s">
        <v>2495</v>
      </c>
      <c r="C3155" s="13">
        <v>46031.647511574076</v>
      </c>
      <c r="D3155" s="2" t="s">
        <v>786</v>
      </c>
      <c r="E3155" s="2" t="s">
        <v>787</v>
      </c>
      <c r="F3155" s="14" t="s">
        <v>3516</v>
      </c>
      <c r="G3155" s="14" t="s">
        <v>3517</v>
      </c>
      <c r="H3155" s="2" t="s">
        <v>24</v>
      </c>
      <c r="I3155" s="2" t="s">
        <v>3491</v>
      </c>
      <c r="J3155" s="2">
        <v>2.0</v>
      </c>
      <c r="K3155" s="23" t="s">
        <v>5761</v>
      </c>
      <c r="L3155" s="11">
        <v>0.0</v>
      </c>
      <c r="O3155" s="2" t="b">
        <v>0</v>
      </c>
    </row>
    <row r="3156" hidden="1">
      <c r="A3156" s="8" t="s">
        <v>2496</v>
      </c>
      <c r="B3156" s="8" t="s">
        <v>2496</v>
      </c>
      <c r="C3156" s="13">
        <v>46031.64826388889</v>
      </c>
      <c r="D3156" s="2" t="s">
        <v>326</v>
      </c>
      <c r="E3156" s="2" t="s">
        <v>327</v>
      </c>
      <c r="F3156" s="14" t="s">
        <v>3486</v>
      </c>
      <c r="G3156" s="14" t="s">
        <v>3487</v>
      </c>
      <c r="H3156" s="2" t="s">
        <v>24</v>
      </c>
      <c r="I3156" s="2" t="s">
        <v>3491</v>
      </c>
      <c r="J3156" s="2">
        <v>6.0</v>
      </c>
      <c r="K3156" s="23" t="s">
        <v>5762</v>
      </c>
      <c r="L3156" s="11">
        <v>0.0</v>
      </c>
      <c r="O3156" s="2" t="b">
        <v>0</v>
      </c>
    </row>
    <row r="3157" hidden="1">
      <c r="A3157" s="8" t="s">
        <v>2497</v>
      </c>
      <c r="B3157" s="8" t="s">
        <v>2497</v>
      </c>
      <c r="C3157" s="13">
        <v>46032.41643518519</v>
      </c>
      <c r="D3157" s="2" t="s">
        <v>1018</v>
      </c>
      <c r="E3157" s="2" t="s">
        <v>1019</v>
      </c>
      <c r="F3157" s="14" t="s">
        <v>3486</v>
      </c>
      <c r="G3157" s="14" t="s">
        <v>3487</v>
      </c>
      <c r="H3157" s="2" t="s">
        <v>16</v>
      </c>
      <c r="I3157" s="2" t="s">
        <v>3488</v>
      </c>
      <c r="J3157" s="2">
        <v>1.0</v>
      </c>
      <c r="K3157" s="23" t="s">
        <v>3738</v>
      </c>
      <c r="L3157" s="11">
        <v>60000.0</v>
      </c>
      <c r="O3157" s="2" t="b">
        <v>0</v>
      </c>
    </row>
    <row r="3158" hidden="1">
      <c r="A3158" s="8" t="s">
        <v>2498</v>
      </c>
      <c r="B3158" s="8" t="s">
        <v>2498</v>
      </c>
      <c r="C3158" s="13">
        <v>46032.49784722222</v>
      </c>
      <c r="D3158" s="2" t="s">
        <v>1018</v>
      </c>
      <c r="E3158" s="2" t="s">
        <v>1019</v>
      </c>
      <c r="F3158" s="14" t="s">
        <v>4203</v>
      </c>
      <c r="G3158" s="14" t="s">
        <v>4204</v>
      </c>
      <c r="H3158" s="2" t="s">
        <v>24</v>
      </c>
      <c r="I3158" s="2" t="s">
        <v>3491</v>
      </c>
      <c r="J3158" s="2">
        <v>1.0</v>
      </c>
      <c r="K3158" s="23" t="s">
        <v>4412</v>
      </c>
      <c r="L3158" s="11">
        <v>0.0</v>
      </c>
      <c r="O3158" s="2" t="b">
        <v>0</v>
      </c>
    </row>
    <row r="3159" hidden="1">
      <c r="A3159" s="8" t="s">
        <v>2499</v>
      </c>
      <c r="B3159" s="8" t="s">
        <v>2499</v>
      </c>
      <c r="C3159" s="13">
        <v>46032.498090277775</v>
      </c>
      <c r="D3159" s="2" t="s">
        <v>2005</v>
      </c>
      <c r="E3159" s="2" t="s">
        <v>2006</v>
      </c>
      <c r="F3159" s="14" t="s">
        <v>4203</v>
      </c>
      <c r="G3159" s="14" t="s">
        <v>4204</v>
      </c>
      <c r="H3159" s="2" t="s">
        <v>24</v>
      </c>
      <c r="I3159" s="2" t="s">
        <v>3491</v>
      </c>
      <c r="J3159" s="2">
        <v>5.0</v>
      </c>
      <c r="K3159" s="23" t="s">
        <v>5763</v>
      </c>
      <c r="L3159" s="11">
        <v>0.0</v>
      </c>
      <c r="O3159" s="2" t="b">
        <v>0</v>
      </c>
    </row>
    <row r="3160" hidden="1">
      <c r="A3160" s="8" t="s">
        <v>2499</v>
      </c>
      <c r="B3160" s="8" t="s">
        <v>2499</v>
      </c>
      <c r="C3160" s="13">
        <v>46032.498090277775</v>
      </c>
      <c r="D3160" s="2" t="s">
        <v>2005</v>
      </c>
      <c r="E3160" s="2" t="s">
        <v>2006</v>
      </c>
      <c r="F3160" s="14" t="s">
        <v>3486</v>
      </c>
      <c r="G3160" s="14" t="s">
        <v>3487</v>
      </c>
      <c r="H3160" s="2" t="s">
        <v>24</v>
      </c>
      <c r="I3160" s="2" t="s">
        <v>3491</v>
      </c>
      <c r="J3160" s="2">
        <v>4.0</v>
      </c>
      <c r="K3160" s="23" t="s">
        <v>5764</v>
      </c>
      <c r="L3160" s="11">
        <v>0.0</v>
      </c>
      <c r="O3160" s="2" t="b">
        <v>0</v>
      </c>
    </row>
    <row r="3161" hidden="1">
      <c r="A3161" s="8" t="s">
        <v>2499</v>
      </c>
      <c r="B3161" s="8" t="s">
        <v>2499</v>
      </c>
      <c r="C3161" s="13">
        <v>46032.498090277775</v>
      </c>
      <c r="D3161" s="2" t="s">
        <v>2005</v>
      </c>
      <c r="E3161" s="2" t="s">
        <v>2006</v>
      </c>
      <c r="F3161" s="14" t="s">
        <v>3493</v>
      </c>
      <c r="G3161" s="14" t="s">
        <v>3494</v>
      </c>
      <c r="H3161" s="2" t="s">
        <v>24</v>
      </c>
      <c r="I3161" s="2" t="s">
        <v>3491</v>
      </c>
      <c r="J3161" s="2">
        <v>1.0</v>
      </c>
      <c r="K3161" s="12"/>
      <c r="L3161" s="11">
        <v>0.0</v>
      </c>
      <c r="O3161" s="2" t="b">
        <v>0</v>
      </c>
    </row>
    <row r="3162" hidden="1">
      <c r="A3162" s="8" t="s">
        <v>2500</v>
      </c>
      <c r="B3162" s="8" t="s">
        <v>2500</v>
      </c>
      <c r="C3162" s="13">
        <v>46032.50361111111</v>
      </c>
      <c r="D3162" s="2" t="s">
        <v>885</v>
      </c>
      <c r="E3162" s="2" t="s">
        <v>886</v>
      </c>
      <c r="F3162" s="14" t="s">
        <v>5765</v>
      </c>
      <c r="G3162" s="14" t="s">
        <v>5766</v>
      </c>
      <c r="H3162" s="2" t="s">
        <v>16</v>
      </c>
      <c r="I3162" s="2" t="s">
        <v>3488</v>
      </c>
      <c r="J3162" s="2">
        <v>1.0</v>
      </c>
      <c r="K3162" s="23" t="s">
        <v>5767</v>
      </c>
      <c r="L3162" s="11">
        <v>70000.0</v>
      </c>
      <c r="O3162" s="2" t="b">
        <v>0</v>
      </c>
    </row>
    <row r="3163" hidden="1">
      <c r="A3163" s="8" t="s">
        <v>2501</v>
      </c>
      <c r="B3163" s="8" t="s">
        <v>2501</v>
      </c>
      <c r="C3163" s="13">
        <v>46034.35303240741</v>
      </c>
      <c r="D3163" s="2" t="s">
        <v>951</v>
      </c>
      <c r="E3163" s="2" t="s">
        <v>952</v>
      </c>
      <c r="F3163" s="14" t="s">
        <v>3486</v>
      </c>
      <c r="G3163" s="14" t="s">
        <v>3487</v>
      </c>
      <c r="H3163" s="2" t="s">
        <v>16</v>
      </c>
      <c r="I3163" s="2" t="s">
        <v>3488</v>
      </c>
      <c r="J3163" s="2">
        <v>4.0</v>
      </c>
      <c r="K3163" s="23" t="s">
        <v>5768</v>
      </c>
      <c r="L3163" s="11">
        <v>55000.0</v>
      </c>
      <c r="O3163" s="2" t="b">
        <v>0</v>
      </c>
    </row>
    <row r="3164" hidden="1">
      <c r="A3164" s="8" t="s">
        <v>2501</v>
      </c>
      <c r="B3164" s="8" t="s">
        <v>2501</v>
      </c>
      <c r="C3164" s="13">
        <v>46034.35303240741</v>
      </c>
      <c r="D3164" s="2" t="s">
        <v>951</v>
      </c>
      <c r="E3164" s="2" t="s">
        <v>952</v>
      </c>
      <c r="F3164" s="14" t="s">
        <v>3516</v>
      </c>
      <c r="G3164" s="14" t="s">
        <v>3517</v>
      </c>
      <c r="H3164" s="2" t="s">
        <v>16</v>
      </c>
      <c r="I3164" s="2" t="s">
        <v>3488</v>
      </c>
      <c r="J3164" s="2">
        <v>2.0</v>
      </c>
      <c r="K3164" s="23" t="s">
        <v>5769</v>
      </c>
      <c r="L3164" s="11">
        <v>175000.0</v>
      </c>
      <c r="O3164" s="2" t="b">
        <v>0</v>
      </c>
    </row>
    <row r="3165" hidden="1">
      <c r="A3165" s="1"/>
      <c r="B3165" s="1"/>
      <c r="C3165" s="13"/>
      <c r="D3165" s="2"/>
      <c r="E3165" s="2"/>
      <c r="F3165" s="14"/>
      <c r="G3165" s="14"/>
      <c r="H3165" s="2"/>
      <c r="I3165" s="2"/>
      <c r="J3165" s="2"/>
      <c r="K3165" s="12"/>
      <c r="L3165" s="11"/>
      <c r="O3165" s="2"/>
    </row>
    <row r="3166" hidden="1">
      <c r="A3166" s="8" t="s">
        <v>2502</v>
      </c>
      <c r="B3166" s="8" t="s">
        <v>2502</v>
      </c>
      <c r="C3166" s="13">
        <v>46033.361238425925</v>
      </c>
      <c r="D3166" s="2" t="s">
        <v>2503</v>
      </c>
      <c r="E3166" s="2" t="s">
        <v>2504</v>
      </c>
      <c r="F3166" s="14" t="s">
        <v>3486</v>
      </c>
      <c r="G3166" s="14" t="s">
        <v>3487</v>
      </c>
      <c r="H3166" s="2" t="s">
        <v>16</v>
      </c>
      <c r="I3166" s="2" t="s">
        <v>3488</v>
      </c>
      <c r="J3166" s="2">
        <v>1.0</v>
      </c>
      <c r="K3166" s="23" t="s">
        <v>4443</v>
      </c>
      <c r="L3166" s="11">
        <v>65000.0</v>
      </c>
      <c r="O3166" s="2" t="b">
        <v>0</v>
      </c>
    </row>
    <row r="3167" hidden="1">
      <c r="A3167" s="8" t="s">
        <v>2506</v>
      </c>
      <c r="B3167" s="8" t="s">
        <v>2506</v>
      </c>
      <c r="C3167" s="13">
        <v>46033.36267361111</v>
      </c>
      <c r="D3167" s="2" t="s">
        <v>2459</v>
      </c>
      <c r="E3167" s="2" t="s">
        <v>2460</v>
      </c>
      <c r="F3167" s="14" t="s">
        <v>3835</v>
      </c>
      <c r="G3167" s="14" t="s">
        <v>3836</v>
      </c>
      <c r="H3167" s="2" t="s">
        <v>16</v>
      </c>
      <c r="I3167" s="2" t="s">
        <v>3488</v>
      </c>
      <c r="J3167" s="2">
        <v>1.0</v>
      </c>
      <c r="K3167" s="23" t="s">
        <v>5770</v>
      </c>
      <c r="L3167" s="11">
        <v>60000.0</v>
      </c>
      <c r="O3167" s="2" t="b">
        <v>0</v>
      </c>
    </row>
    <row r="3168" hidden="1">
      <c r="A3168" s="8" t="s">
        <v>2507</v>
      </c>
      <c r="B3168" s="8" t="s">
        <v>2507</v>
      </c>
      <c r="C3168" s="13">
        <v>46034.36984953703</v>
      </c>
      <c r="D3168" s="2" t="s">
        <v>2459</v>
      </c>
      <c r="E3168" s="2" t="s">
        <v>2460</v>
      </c>
      <c r="F3168" s="14" t="s">
        <v>3835</v>
      </c>
      <c r="G3168" s="14" t="s">
        <v>3836</v>
      </c>
      <c r="H3168" s="2" t="s">
        <v>24</v>
      </c>
      <c r="I3168" s="2" t="s">
        <v>3491</v>
      </c>
      <c r="J3168" s="2">
        <v>1.0</v>
      </c>
      <c r="K3168" s="23" t="s">
        <v>5102</v>
      </c>
      <c r="L3168" s="11">
        <v>0.0</v>
      </c>
      <c r="O3168" s="2" t="b">
        <v>0</v>
      </c>
    </row>
    <row r="3169" hidden="1">
      <c r="A3169" s="8" t="s">
        <v>2508</v>
      </c>
      <c r="B3169" s="8" t="s">
        <v>2508</v>
      </c>
      <c r="C3169" s="13">
        <v>46034.39960648148</v>
      </c>
      <c r="D3169" s="2" t="s">
        <v>2005</v>
      </c>
      <c r="E3169" s="2" t="s">
        <v>2006</v>
      </c>
      <c r="F3169" s="14" t="s">
        <v>3493</v>
      </c>
      <c r="G3169" s="14" t="s">
        <v>3494</v>
      </c>
      <c r="H3169" s="2" t="s">
        <v>16</v>
      </c>
      <c r="I3169" s="2" t="s">
        <v>3488</v>
      </c>
      <c r="J3169" s="2">
        <v>2.0</v>
      </c>
      <c r="K3169" s="12" t="s">
        <v>5771</v>
      </c>
      <c r="L3169" s="11">
        <v>215000.0</v>
      </c>
      <c r="O3169" s="2" t="b">
        <v>0</v>
      </c>
    </row>
    <row r="3170" hidden="1">
      <c r="A3170" s="8" t="s">
        <v>2508</v>
      </c>
      <c r="B3170" s="8" t="s">
        <v>2508</v>
      </c>
      <c r="C3170" s="13">
        <v>46034.39960648148</v>
      </c>
      <c r="D3170" s="2" t="s">
        <v>2005</v>
      </c>
      <c r="E3170" s="2" t="s">
        <v>2006</v>
      </c>
      <c r="F3170" s="14" t="s">
        <v>3486</v>
      </c>
      <c r="G3170" s="14" t="s">
        <v>3487</v>
      </c>
      <c r="H3170" s="2" t="s">
        <v>16</v>
      </c>
      <c r="I3170" s="2" t="s">
        <v>3488</v>
      </c>
      <c r="J3170" s="2">
        <v>3.0</v>
      </c>
      <c r="K3170" s="23" t="s">
        <v>5772</v>
      </c>
      <c r="L3170" s="11">
        <v>65000.0</v>
      </c>
      <c r="O3170" s="2" t="b">
        <v>0</v>
      </c>
    </row>
    <row r="3171" hidden="1">
      <c r="A3171" s="8" t="s">
        <v>2508</v>
      </c>
      <c r="B3171" s="8" t="s">
        <v>2508</v>
      </c>
      <c r="C3171" s="13">
        <v>46034.39960648148</v>
      </c>
      <c r="D3171" s="2" t="s">
        <v>2005</v>
      </c>
      <c r="E3171" s="2" t="s">
        <v>2006</v>
      </c>
      <c r="F3171" s="14" t="s">
        <v>4203</v>
      </c>
      <c r="G3171" s="14" t="s">
        <v>4204</v>
      </c>
      <c r="H3171" s="2" t="s">
        <v>16</v>
      </c>
      <c r="I3171" s="2" t="s">
        <v>3488</v>
      </c>
      <c r="J3171" s="2">
        <v>7.0</v>
      </c>
      <c r="K3171" s="23" t="s">
        <v>5773</v>
      </c>
      <c r="L3171" s="11">
        <v>60000.0</v>
      </c>
      <c r="O3171" s="2" t="b">
        <v>0</v>
      </c>
    </row>
    <row r="3172" hidden="1">
      <c r="A3172" s="8" t="s">
        <v>2509</v>
      </c>
      <c r="B3172" s="8" t="s">
        <v>2509</v>
      </c>
      <c r="C3172" s="13">
        <v>46034.40186342593</v>
      </c>
      <c r="D3172" s="2" t="s">
        <v>2510</v>
      </c>
      <c r="E3172" s="2" t="s">
        <v>2511</v>
      </c>
      <c r="F3172" s="14" t="s">
        <v>3486</v>
      </c>
      <c r="G3172" s="14" t="s">
        <v>3487</v>
      </c>
      <c r="H3172" s="2" t="s">
        <v>16</v>
      </c>
      <c r="I3172" s="2" t="s">
        <v>3488</v>
      </c>
      <c r="J3172" s="2">
        <v>2.0</v>
      </c>
      <c r="K3172" s="23" t="s">
        <v>5774</v>
      </c>
      <c r="L3172" s="11">
        <v>65000.0</v>
      </c>
      <c r="O3172" s="2" t="b">
        <v>0</v>
      </c>
    </row>
    <row r="3173" hidden="1">
      <c r="A3173" s="8" t="s">
        <v>2513</v>
      </c>
      <c r="B3173" s="8" t="s">
        <v>2513</v>
      </c>
      <c r="C3173" s="13">
        <v>46034.41023148148</v>
      </c>
      <c r="D3173" s="2" t="s">
        <v>951</v>
      </c>
      <c r="E3173" s="2" t="s">
        <v>952</v>
      </c>
      <c r="F3173" s="14" t="s">
        <v>3516</v>
      </c>
      <c r="G3173" s="14" t="s">
        <v>3517</v>
      </c>
      <c r="H3173" s="2" t="s">
        <v>24</v>
      </c>
      <c r="I3173" s="2" t="s">
        <v>3491</v>
      </c>
      <c r="J3173" s="2">
        <v>1.0</v>
      </c>
      <c r="K3173" s="23" t="s">
        <v>4272</v>
      </c>
      <c r="L3173" s="11">
        <v>0.0</v>
      </c>
      <c r="O3173" s="2" t="b">
        <v>0</v>
      </c>
    </row>
    <row r="3174" hidden="1">
      <c r="A3174" s="8" t="s">
        <v>2513</v>
      </c>
      <c r="B3174" s="8" t="s">
        <v>2513</v>
      </c>
      <c r="C3174" s="13">
        <v>46034.41023148148</v>
      </c>
      <c r="D3174" s="2" t="s">
        <v>951</v>
      </c>
      <c r="E3174" s="2" t="s">
        <v>952</v>
      </c>
      <c r="F3174" s="14" t="s">
        <v>3486</v>
      </c>
      <c r="G3174" s="14" t="s">
        <v>3487</v>
      </c>
      <c r="H3174" s="2" t="s">
        <v>24</v>
      </c>
      <c r="I3174" s="2" t="s">
        <v>3491</v>
      </c>
      <c r="J3174" s="2">
        <v>4.0</v>
      </c>
      <c r="K3174" s="23" t="s">
        <v>5775</v>
      </c>
      <c r="L3174" s="11">
        <v>0.0</v>
      </c>
      <c r="O3174" s="2" t="b">
        <v>0</v>
      </c>
    </row>
    <row r="3175" hidden="1">
      <c r="A3175" s="8" t="s">
        <v>2514</v>
      </c>
      <c r="B3175" s="8" t="s">
        <v>2514</v>
      </c>
      <c r="C3175" s="13">
        <v>46034.42449074074</v>
      </c>
      <c r="D3175" s="2" t="s">
        <v>1975</v>
      </c>
      <c r="E3175" s="2" t="s">
        <v>1976</v>
      </c>
      <c r="F3175" s="14" t="s">
        <v>3486</v>
      </c>
      <c r="G3175" s="14" t="s">
        <v>3487</v>
      </c>
      <c r="H3175" s="2" t="s">
        <v>16</v>
      </c>
      <c r="I3175" s="2" t="s">
        <v>3488</v>
      </c>
      <c r="J3175" s="2">
        <v>3.0</v>
      </c>
      <c r="K3175" s="23" t="s">
        <v>5776</v>
      </c>
      <c r="L3175" s="11">
        <v>60000.0</v>
      </c>
      <c r="O3175" s="2" t="b">
        <v>0</v>
      </c>
    </row>
    <row r="3176" hidden="1">
      <c r="A3176" s="8" t="s">
        <v>2514</v>
      </c>
      <c r="B3176" s="8" t="s">
        <v>2514</v>
      </c>
      <c r="C3176" s="13">
        <v>46034.42449074074</v>
      </c>
      <c r="D3176" s="2" t="s">
        <v>1975</v>
      </c>
      <c r="E3176" s="2" t="s">
        <v>1976</v>
      </c>
      <c r="F3176" s="14" t="s">
        <v>4203</v>
      </c>
      <c r="G3176" s="14" t="s">
        <v>4204</v>
      </c>
      <c r="H3176" s="2" t="s">
        <v>16</v>
      </c>
      <c r="I3176" s="2" t="s">
        <v>3488</v>
      </c>
      <c r="J3176" s="2">
        <v>2.0</v>
      </c>
      <c r="K3176" s="23" t="s">
        <v>5777</v>
      </c>
      <c r="L3176" s="11">
        <v>60000.0</v>
      </c>
      <c r="O3176" s="2" t="b">
        <v>0</v>
      </c>
    </row>
    <row r="3177" hidden="1">
      <c r="A3177" s="8" t="s">
        <v>2515</v>
      </c>
      <c r="B3177" s="8" t="s">
        <v>2515</v>
      </c>
      <c r="C3177" s="13">
        <v>46034.43135416666</v>
      </c>
      <c r="D3177" s="2" t="s">
        <v>786</v>
      </c>
      <c r="E3177" s="2" t="s">
        <v>787</v>
      </c>
      <c r="F3177" s="14" t="s">
        <v>3516</v>
      </c>
      <c r="G3177" s="14" t="s">
        <v>3517</v>
      </c>
      <c r="H3177" s="2" t="s">
        <v>16</v>
      </c>
      <c r="I3177" s="2" t="s">
        <v>3488</v>
      </c>
      <c r="J3177" s="2">
        <v>5.0</v>
      </c>
      <c r="K3177" s="23" t="s">
        <v>5778</v>
      </c>
      <c r="L3177" s="11">
        <v>180000.0</v>
      </c>
      <c r="O3177" s="2" t="b">
        <v>0</v>
      </c>
    </row>
    <row r="3178" hidden="1">
      <c r="A3178" s="8" t="s">
        <v>2515</v>
      </c>
      <c r="B3178" s="8" t="s">
        <v>2515</v>
      </c>
      <c r="C3178" s="13">
        <v>46034.43135416666</v>
      </c>
      <c r="D3178" s="2" t="s">
        <v>786</v>
      </c>
      <c r="E3178" s="2" t="s">
        <v>787</v>
      </c>
      <c r="F3178" s="14" t="s">
        <v>3486</v>
      </c>
      <c r="G3178" s="14" t="s">
        <v>3487</v>
      </c>
      <c r="H3178" s="2" t="s">
        <v>16</v>
      </c>
      <c r="I3178" s="2" t="s">
        <v>3488</v>
      </c>
      <c r="J3178" s="2">
        <v>8.0</v>
      </c>
      <c r="K3178" s="23" t="s">
        <v>5779</v>
      </c>
      <c r="L3178" s="11">
        <v>60000.0</v>
      </c>
      <c r="O3178" s="2" t="b">
        <v>0</v>
      </c>
    </row>
    <row r="3179" hidden="1">
      <c r="A3179" s="8" t="s">
        <v>2516</v>
      </c>
      <c r="B3179" s="8" t="s">
        <v>2516</v>
      </c>
      <c r="C3179" s="13">
        <v>46034.52327546296</v>
      </c>
      <c r="D3179" s="2" t="s">
        <v>49</v>
      </c>
      <c r="E3179" s="2" t="s">
        <v>50</v>
      </c>
      <c r="F3179" s="14" t="s">
        <v>3486</v>
      </c>
      <c r="G3179" s="14" t="s">
        <v>3487</v>
      </c>
      <c r="H3179" s="2" t="s">
        <v>24</v>
      </c>
      <c r="I3179" s="2" t="s">
        <v>3491</v>
      </c>
      <c r="J3179" s="2">
        <v>2.0</v>
      </c>
      <c r="K3179" s="23" t="s">
        <v>5780</v>
      </c>
      <c r="L3179" s="11">
        <v>0.0</v>
      </c>
      <c r="O3179" s="2" t="b">
        <v>0</v>
      </c>
    </row>
    <row r="3180" hidden="1">
      <c r="A3180" s="8" t="s">
        <v>2517</v>
      </c>
      <c r="B3180" s="8" t="s">
        <v>2517</v>
      </c>
      <c r="C3180" s="13">
        <v>46034.52449074074</v>
      </c>
      <c r="D3180" s="2" t="s">
        <v>1993</v>
      </c>
      <c r="E3180" s="2" t="s">
        <v>1994</v>
      </c>
      <c r="F3180" s="14" t="s">
        <v>3516</v>
      </c>
      <c r="G3180" s="14" t="s">
        <v>3517</v>
      </c>
      <c r="H3180" s="2" t="s">
        <v>24</v>
      </c>
      <c r="I3180" s="2" t="s">
        <v>3491</v>
      </c>
      <c r="J3180" s="2">
        <v>1.0</v>
      </c>
      <c r="K3180" s="23" t="s">
        <v>5781</v>
      </c>
      <c r="L3180" s="11">
        <v>0.0</v>
      </c>
      <c r="O3180" s="2" t="b">
        <v>0</v>
      </c>
    </row>
    <row r="3181" hidden="1">
      <c r="A3181" s="8" t="s">
        <v>2517</v>
      </c>
      <c r="B3181" s="8" t="s">
        <v>2517</v>
      </c>
      <c r="C3181" s="13">
        <v>46034.52449074074</v>
      </c>
      <c r="D3181" s="2" t="s">
        <v>1993</v>
      </c>
      <c r="E3181" s="2" t="s">
        <v>1994</v>
      </c>
      <c r="F3181" s="14" t="s">
        <v>3486</v>
      </c>
      <c r="G3181" s="14" t="s">
        <v>3487</v>
      </c>
      <c r="H3181" s="2" t="s">
        <v>24</v>
      </c>
      <c r="I3181" s="2" t="s">
        <v>3491</v>
      </c>
      <c r="J3181" s="2">
        <v>2.0</v>
      </c>
      <c r="K3181" s="23" t="s">
        <v>5782</v>
      </c>
      <c r="L3181" s="11">
        <v>0.0</v>
      </c>
      <c r="O3181" s="2" t="b">
        <v>0</v>
      </c>
    </row>
    <row r="3182" hidden="1">
      <c r="A3182" s="8" t="s">
        <v>2517</v>
      </c>
      <c r="B3182" s="8" t="s">
        <v>2517</v>
      </c>
      <c r="C3182" s="13">
        <v>46034.52449074074</v>
      </c>
      <c r="D3182" s="2" t="s">
        <v>1993</v>
      </c>
      <c r="E3182" s="2" t="s">
        <v>1994</v>
      </c>
      <c r="F3182" s="14" t="s">
        <v>4203</v>
      </c>
      <c r="G3182" s="14" t="s">
        <v>4204</v>
      </c>
      <c r="H3182" s="2" t="s">
        <v>24</v>
      </c>
      <c r="I3182" s="2" t="s">
        <v>3491</v>
      </c>
      <c r="J3182" s="2">
        <v>1.0</v>
      </c>
      <c r="K3182" s="23" t="s">
        <v>5498</v>
      </c>
      <c r="L3182" s="11">
        <v>0.0</v>
      </c>
      <c r="O3182" s="2" t="b">
        <v>0</v>
      </c>
    </row>
    <row r="3183" hidden="1">
      <c r="A3183" s="8" t="s">
        <v>2518</v>
      </c>
      <c r="B3183" s="8" t="s">
        <v>2518</v>
      </c>
      <c r="C3183" s="13">
        <v>46034.527291666665</v>
      </c>
      <c r="D3183" s="2" t="s">
        <v>2005</v>
      </c>
      <c r="E3183" s="2" t="s">
        <v>2006</v>
      </c>
      <c r="F3183" s="14" t="s">
        <v>3493</v>
      </c>
      <c r="G3183" s="14" t="s">
        <v>3494</v>
      </c>
      <c r="H3183" s="2" t="s">
        <v>24</v>
      </c>
      <c r="I3183" s="2" t="s">
        <v>3491</v>
      </c>
      <c r="J3183" s="2">
        <v>1.0</v>
      </c>
      <c r="K3183" s="12" t="s">
        <v>5783</v>
      </c>
      <c r="L3183" s="11">
        <v>0.0</v>
      </c>
      <c r="O3183" s="2" t="b">
        <v>0</v>
      </c>
    </row>
    <row r="3184" hidden="1">
      <c r="A3184" s="8" t="s">
        <v>2518</v>
      </c>
      <c r="B3184" s="8" t="s">
        <v>2518</v>
      </c>
      <c r="C3184" s="13">
        <v>46034.527291666665</v>
      </c>
      <c r="D3184" s="2" t="s">
        <v>2005</v>
      </c>
      <c r="E3184" s="2" t="s">
        <v>2006</v>
      </c>
      <c r="F3184" s="14" t="s">
        <v>3486</v>
      </c>
      <c r="G3184" s="14" t="s">
        <v>3487</v>
      </c>
      <c r="H3184" s="2" t="s">
        <v>24</v>
      </c>
      <c r="I3184" s="2" t="s">
        <v>3491</v>
      </c>
      <c r="J3184" s="2">
        <v>2.0</v>
      </c>
      <c r="K3184" s="23" t="s">
        <v>5784</v>
      </c>
      <c r="L3184" s="11">
        <v>0.0</v>
      </c>
      <c r="O3184" s="2" t="b">
        <v>0</v>
      </c>
    </row>
    <row r="3185" hidden="1">
      <c r="A3185" s="8" t="s">
        <v>2518</v>
      </c>
      <c r="B3185" s="8" t="s">
        <v>2518</v>
      </c>
      <c r="C3185" s="13">
        <v>46034.527291666665</v>
      </c>
      <c r="D3185" s="2" t="s">
        <v>2005</v>
      </c>
      <c r="E3185" s="2" t="s">
        <v>2006</v>
      </c>
      <c r="F3185" s="14" t="s">
        <v>4203</v>
      </c>
      <c r="G3185" s="14" t="s">
        <v>4204</v>
      </c>
      <c r="H3185" s="2" t="s">
        <v>24</v>
      </c>
      <c r="I3185" s="2" t="s">
        <v>3491</v>
      </c>
      <c r="J3185" s="2">
        <v>1.0</v>
      </c>
      <c r="K3185" s="23" t="s">
        <v>5245</v>
      </c>
      <c r="L3185" s="11">
        <v>0.0</v>
      </c>
      <c r="O3185" s="2" t="b">
        <v>0</v>
      </c>
    </row>
    <row r="3186" hidden="1">
      <c r="A3186" s="8" t="s">
        <v>2517</v>
      </c>
      <c r="B3186" s="8" t="s">
        <v>2517</v>
      </c>
      <c r="C3186" s="13">
        <v>46034.52449074074</v>
      </c>
      <c r="D3186" s="2" t="s">
        <v>1993</v>
      </c>
      <c r="E3186" s="2" t="s">
        <v>1994</v>
      </c>
      <c r="F3186" s="14" t="s">
        <v>4203</v>
      </c>
      <c r="G3186" s="14" t="s">
        <v>4204</v>
      </c>
      <c r="H3186" s="2" t="s">
        <v>24</v>
      </c>
      <c r="I3186" s="2" t="s">
        <v>3491</v>
      </c>
      <c r="J3186" s="2">
        <v>1.0</v>
      </c>
      <c r="K3186" s="23" t="s">
        <v>5785</v>
      </c>
      <c r="L3186" s="11">
        <v>0.0</v>
      </c>
      <c r="O3186" s="2" t="b">
        <v>1</v>
      </c>
    </row>
    <row r="3187" hidden="1">
      <c r="A3187" s="8" t="s">
        <v>2517</v>
      </c>
      <c r="B3187" s="8" t="s">
        <v>2517</v>
      </c>
      <c r="C3187" s="13">
        <v>46034.52449074074</v>
      </c>
      <c r="D3187" s="2" t="s">
        <v>1993</v>
      </c>
      <c r="E3187" s="2" t="s">
        <v>1994</v>
      </c>
      <c r="F3187" s="14" t="s">
        <v>3516</v>
      </c>
      <c r="G3187" s="14" t="s">
        <v>3517</v>
      </c>
      <c r="H3187" s="2" t="s">
        <v>24</v>
      </c>
      <c r="I3187" s="2" t="s">
        <v>3614</v>
      </c>
      <c r="J3187" s="2">
        <v>1.0</v>
      </c>
      <c r="K3187" s="23" t="s">
        <v>4812</v>
      </c>
      <c r="L3187" s="11">
        <v>0.0</v>
      </c>
      <c r="O3187" s="2" t="b">
        <v>0</v>
      </c>
    </row>
    <row r="3188" hidden="1">
      <c r="A3188" s="8" t="s">
        <v>2519</v>
      </c>
      <c r="B3188" s="8" t="s">
        <v>2519</v>
      </c>
      <c r="C3188" s="13">
        <v>46034.56234953704</v>
      </c>
      <c r="D3188" s="2" t="s">
        <v>1993</v>
      </c>
      <c r="E3188" s="2" t="s">
        <v>1994</v>
      </c>
      <c r="F3188" s="14" t="s">
        <v>3486</v>
      </c>
      <c r="G3188" s="14" t="s">
        <v>3487</v>
      </c>
      <c r="H3188" s="2" t="s">
        <v>16</v>
      </c>
      <c r="I3188" s="2" t="s">
        <v>3488</v>
      </c>
      <c r="J3188" s="2">
        <v>8.0</v>
      </c>
      <c r="K3188" s="23" t="s">
        <v>5786</v>
      </c>
      <c r="L3188" s="11">
        <v>65000.0</v>
      </c>
      <c r="O3188" s="2" t="b">
        <v>0</v>
      </c>
    </row>
    <row r="3189" hidden="1">
      <c r="A3189" s="8" t="s">
        <v>2519</v>
      </c>
      <c r="B3189" s="8" t="s">
        <v>2519</v>
      </c>
      <c r="C3189" s="13">
        <v>46034.56234953704</v>
      </c>
      <c r="D3189" s="2" t="s">
        <v>1993</v>
      </c>
      <c r="E3189" s="2" t="s">
        <v>1994</v>
      </c>
      <c r="F3189" s="14" t="s">
        <v>3516</v>
      </c>
      <c r="G3189" s="14" t="s">
        <v>3517</v>
      </c>
      <c r="H3189" s="2" t="s">
        <v>16</v>
      </c>
      <c r="I3189" s="2" t="s">
        <v>3488</v>
      </c>
      <c r="J3189" s="2">
        <v>3.0</v>
      </c>
      <c r="K3189" s="23" t="s">
        <v>5787</v>
      </c>
      <c r="L3189" s="11">
        <v>190000.0</v>
      </c>
      <c r="O3189" s="2" t="b">
        <v>0</v>
      </c>
    </row>
    <row r="3190" hidden="1">
      <c r="A3190" s="8" t="s">
        <v>2520</v>
      </c>
      <c r="B3190" s="8" t="s">
        <v>2520</v>
      </c>
      <c r="C3190" s="13">
        <v>46034.56532407407</v>
      </c>
      <c r="D3190" s="2" t="s">
        <v>1993</v>
      </c>
      <c r="E3190" s="2" t="s">
        <v>1994</v>
      </c>
      <c r="F3190" s="14" t="s">
        <v>3516</v>
      </c>
      <c r="G3190" s="14" t="s">
        <v>3517</v>
      </c>
      <c r="H3190" s="2" t="s">
        <v>159</v>
      </c>
      <c r="I3190" s="2" t="s">
        <v>3619</v>
      </c>
      <c r="J3190" s="2">
        <v>1.0</v>
      </c>
      <c r="K3190" s="23" t="s">
        <v>5788</v>
      </c>
      <c r="L3190" s="11">
        <v>0.0</v>
      </c>
      <c r="O3190" s="2" t="b">
        <v>0</v>
      </c>
    </row>
    <row r="3191" hidden="1">
      <c r="A3191" s="8" t="s">
        <v>2521</v>
      </c>
      <c r="B3191" s="8" t="s">
        <v>2521</v>
      </c>
      <c r="C3191" s="13">
        <v>46034.566782407404</v>
      </c>
      <c r="D3191" s="2" t="s">
        <v>786</v>
      </c>
      <c r="E3191" s="2" t="s">
        <v>787</v>
      </c>
      <c r="F3191" s="14" t="s">
        <v>3486</v>
      </c>
      <c r="G3191" s="14" t="s">
        <v>3487</v>
      </c>
      <c r="H3191" s="2" t="s">
        <v>24</v>
      </c>
      <c r="I3191" s="2" t="s">
        <v>3491</v>
      </c>
      <c r="J3191" s="2">
        <v>6.0</v>
      </c>
      <c r="K3191" s="23" t="s">
        <v>5789</v>
      </c>
      <c r="L3191" s="11">
        <v>0.0</v>
      </c>
      <c r="O3191" s="2" t="b">
        <v>0</v>
      </c>
    </row>
    <row r="3192" hidden="1">
      <c r="A3192" s="8" t="s">
        <v>2522</v>
      </c>
      <c r="B3192" s="8" t="s">
        <v>2522</v>
      </c>
      <c r="C3192" s="13">
        <v>46035.36048611111</v>
      </c>
      <c r="D3192" s="2" t="s">
        <v>1618</v>
      </c>
      <c r="E3192" s="2" t="s">
        <v>1619</v>
      </c>
      <c r="F3192" s="14" t="s">
        <v>3516</v>
      </c>
      <c r="G3192" s="14" t="s">
        <v>3517</v>
      </c>
      <c r="H3192" s="2" t="s">
        <v>24</v>
      </c>
      <c r="I3192" s="2" t="s">
        <v>3491</v>
      </c>
      <c r="J3192" s="2">
        <v>5.0</v>
      </c>
      <c r="K3192" s="23" t="s">
        <v>5790</v>
      </c>
      <c r="L3192" s="11">
        <v>0.0</v>
      </c>
      <c r="O3192" s="2" t="b">
        <v>0</v>
      </c>
    </row>
    <row r="3193" hidden="1">
      <c r="A3193" s="8" t="s">
        <v>2523</v>
      </c>
      <c r="B3193" s="8" t="s">
        <v>2523</v>
      </c>
      <c r="C3193" s="13">
        <v>46035.361342592594</v>
      </c>
      <c r="D3193" s="2" t="s">
        <v>1613</v>
      </c>
      <c r="E3193" s="2" t="s">
        <v>1614</v>
      </c>
      <c r="F3193" s="14" t="s">
        <v>4203</v>
      </c>
      <c r="G3193" s="14" t="s">
        <v>4204</v>
      </c>
      <c r="H3193" s="2" t="s">
        <v>16</v>
      </c>
      <c r="I3193" s="2" t="s">
        <v>3488</v>
      </c>
      <c r="J3193" s="2">
        <v>2.0</v>
      </c>
      <c r="K3193" s="23" t="s">
        <v>5791</v>
      </c>
      <c r="L3193" s="11">
        <v>65000.0</v>
      </c>
      <c r="O3193" s="2" t="b">
        <v>0</v>
      </c>
    </row>
    <row r="3194" hidden="1">
      <c r="A3194" s="8" t="s">
        <v>2524</v>
      </c>
      <c r="B3194" s="8" t="s">
        <v>2524</v>
      </c>
      <c r="C3194" s="13">
        <v>46035.47922453703</v>
      </c>
      <c r="D3194" s="2" t="s">
        <v>464</v>
      </c>
      <c r="E3194" s="2" t="s">
        <v>465</v>
      </c>
      <c r="F3194" s="14" t="s">
        <v>4203</v>
      </c>
      <c r="G3194" s="14" t="s">
        <v>4204</v>
      </c>
      <c r="H3194" s="2" t="s">
        <v>16</v>
      </c>
      <c r="I3194" s="2" t="s">
        <v>3488</v>
      </c>
      <c r="J3194" s="2">
        <v>3.0</v>
      </c>
      <c r="K3194" s="23" t="s">
        <v>5792</v>
      </c>
      <c r="L3194" s="11">
        <v>55000.0</v>
      </c>
      <c r="O3194" s="2" t="b">
        <v>0</v>
      </c>
    </row>
    <row r="3195" hidden="1">
      <c r="A3195" s="8" t="s">
        <v>2525</v>
      </c>
      <c r="B3195" s="8" t="s">
        <v>2525</v>
      </c>
      <c r="C3195" s="13">
        <v>46035.59894675926</v>
      </c>
      <c r="D3195" s="2" t="s">
        <v>786</v>
      </c>
      <c r="E3195" s="2" t="s">
        <v>787</v>
      </c>
      <c r="F3195" s="14" t="s">
        <v>3516</v>
      </c>
      <c r="G3195" s="14" t="s">
        <v>3517</v>
      </c>
      <c r="H3195" s="2" t="s">
        <v>24</v>
      </c>
      <c r="I3195" s="2" t="s">
        <v>3491</v>
      </c>
      <c r="J3195" s="2">
        <v>4.0</v>
      </c>
      <c r="K3195" s="23" t="s">
        <v>5793</v>
      </c>
      <c r="L3195" s="11">
        <v>0.0</v>
      </c>
      <c r="O3195" s="2" t="b">
        <v>0</v>
      </c>
    </row>
    <row r="3196" hidden="1">
      <c r="A3196" s="8" t="s">
        <v>2525</v>
      </c>
      <c r="B3196" s="8" t="s">
        <v>2525</v>
      </c>
      <c r="C3196" s="13">
        <v>46035.59894675926</v>
      </c>
      <c r="D3196" s="2" t="s">
        <v>786</v>
      </c>
      <c r="E3196" s="2" t="s">
        <v>787</v>
      </c>
      <c r="F3196" s="14" t="s">
        <v>3486</v>
      </c>
      <c r="G3196" s="14" t="s">
        <v>3487</v>
      </c>
      <c r="H3196" s="2" t="s">
        <v>24</v>
      </c>
      <c r="I3196" s="2" t="s">
        <v>3491</v>
      </c>
      <c r="J3196" s="2">
        <v>8.0</v>
      </c>
      <c r="K3196" s="23" t="s">
        <v>5794</v>
      </c>
      <c r="L3196" s="11">
        <v>0.0</v>
      </c>
      <c r="O3196" s="2" t="b">
        <v>0</v>
      </c>
    </row>
    <row r="3197" hidden="1">
      <c r="A3197" s="8" t="s">
        <v>2526</v>
      </c>
      <c r="B3197" s="8" t="s">
        <v>2526</v>
      </c>
      <c r="C3197" s="13">
        <v>46035.60251157408</v>
      </c>
      <c r="D3197" s="2" t="s">
        <v>1613</v>
      </c>
      <c r="E3197" s="2" t="s">
        <v>1614</v>
      </c>
      <c r="F3197" s="14" t="s">
        <v>4203</v>
      </c>
      <c r="G3197" s="14" t="s">
        <v>4204</v>
      </c>
      <c r="H3197" s="2" t="s">
        <v>24</v>
      </c>
      <c r="I3197" s="2" t="s">
        <v>3491</v>
      </c>
      <c r="J3197" s="2">
        <v>2.0</v>
      </c>
      <c r="K3197" s="23" t="s">
        <v>5795</v>
      </c>
      <c r="L3197" s="11">
        <v>0.0</v>
      </c>
      <c r="O3197" s="2" t="b">
        <v>0</v>
      </c>
    </row>
    <row r="3198" hidden="1">
      <c r="A3198" s="8" t="s">
        <v>2527</v>
      </c>
      <c r="B3198" s="8" t="s">
        <v>2527</v>
      </c>
      <c r="C3198" s="13">
        <v>46035.60288194445</v>
      </c>
      <c r="D3198" s="2" t="s">
        <v>1592</v>
      </c>
      <c r="E3198" s="2" t="s">
        <v>1593</v>
      </c>
      <c r="F3198" s="14" t="s">
        <v>3486</v>
      </c>
      <c r="G3198" s="14" t="s">
        <v>3487</v>
      </c>
      <c r="H3198" s="2" t="s">
        <v>24</v>
      </c>
      <c r="I3198" s="2" t="s">
        <v>3491</v>
      </c>
      <c r="J3198" s="2">
        <v>4.0</v>
      </c>
      <c r="K3198" s="23" t="s">
        <v>5796</v>
      </c>
      <c r="L3198" s="11">
        <v>0.0</v>
      </c>
      <c r="O3198" s="2" t="b">
        <v>0</v>
      </c>
    </row>
    <row r="3199" hidden="1">
      <c r="A3199" s="8" t="s">
        <v>2527</v>
      </c>
      <c r="B3199" s="8" t="s">
        <v>2527</v>
      </c>
      <c r="C3199" s="13">
        <v>46035.60288194445</v>
      </c>
      <c r="D3199" s="2" t="s">
        <v>1592</v>
      </c>
      <c r="E3199" s="2" t="s">
        <v>1593</v>
      </c>
      <c r="F3199" s="14" t="s">
        <v>3486</v>
      </c>
      <c r="G3199" s="14" t="s">
        <v>3487</v>
      </c>
      <c r="H3199" s="2" t="s">
        <v>24</v>
      </c>
      <c r="I3199" s="2" t="s">
        <v>3491</v>
      </c>
      <c r="J3199" s="2">
        <v>2.0</v>
      </c>
      <c r="K3199" s="23" t="s">
        <v>5797</v>
      </c>
      <c r="L3199" s="11">
        <v>0.0</v>
      </c>
      <c r="O3199" s="2" t="b">
        <v>1</v>
      </c>
    </row>
    <row r="3200" hidden="1">
      <c r="A3200" s="8" t="s">
        <v>2528</v>
      </c>
      <c r="B3200" s="8" t="s">
        <v>2528</v>
      </c>
      <c r="C3200" s="13">
        <v>46035.644537037035</v>
      </c>
      <c r="D3200" s="2" t="s">
        <v>464</v>
      </c>
      <c r="E3200" s="2" t="s">
        <v>465</v>
      </c>
      <c r="F3200" s="14" t="s">
        <v>4203</v>
      </c>
      <c r="G3200" s="14" t="s">
        <v>4204</v>
      </c>
      <c r="H3200" s="2" t="s">
        <v>24</v>
      </c>
      <c r="I3200" s="2" t="s">
        <v>3491</v>
      </c>
      <c r="J3200" s="2">
        <v>1.0</v>
      </c>
      <c r="K3200" s="23" t="s">
        <v>4180</v>
      </c>
      <c r="L3200" s="11">
        <v>0.0</v>
      </c>
      <c r="O3200" s="2" t="b">
        <v>0</v>
      </c>
    </row>
    <row r="3201" hidden="1">
      <c r="A3201" s="8" t="s">
        <v>2528</v>
      </c>
      <c r="B3201" s="8" t="s">
        <v>2528</v>
      </c>
      <c r="C3201" s="13">
        <v>46035.644537037035</v>
      </c>
      <c r="D3201" s="2" t="s">
        <v>464</v>
      </c>
      <c r="E3201" s="2" t="s">
        <v>465</v>
      </c>
      <c r="F3201" s="14" t="s">
        <v>3506</v>
      </c>
      <c r="G3201" s="14" t="s">
        <v>3507</v>
      </c>
      <c r="H3201" s="2" t="s">
        <v>24</v>
      </c>
      <c r="I3201" s="2" t="s">
        <v>3491</v>
      </c>
      <c r="J3201" s="2">
        <v>2.0</v>
      </c>
      <c r="K3201" s="12"/>
      <c r="L3201" s="11">
        <v>0.0</v>
      </c>
      <c r="O3201" s="2" t="b">
        <v>0</v>
      </c>
    </row>
    <row r="3202" hidden="1">
      <c r="A3202" s="8" t="s">
        <v>2529</v>
      </c>
      <c r="B3202" s="8" t="s">
        <v>2529</v>
      </c>
      <c r="C3202" s="13">
        <v>46035.64659722222</v>
      </c>
      <c r="D3202" s="2" t="s">
        <v>326</v>
      </c>
      <c r="E3202" s="2" t="s">
        <v>327</v>
      </c>
      <c r="F3202" s="14" t="s">
        <v>3486</v>
      </c>
      <c r="G3202" s="14" t="s">
        <v>3487</v>
      </c>
      <c r="H3202" s="2" t="s">
        <v>24</v>
      </c>
      <c r="I3202" s="2" t="s">
        <v>3491</v>
      </c>
      <c r="J3202" s="2">
        <v>4.0</v>
      </c>
      <c r="K3202" s="23" t="s">
        <v>5798</v>
      </c>
      <c r="L3202" s="11">
        <v>0.0</v>
      </c>
      <c r="O3202" s="2" t="b">
        <v>0</v>
      </c>
    </row>
    <row r="3203" hidden="1">
      <c r="A3203" s="8" t="s">
        <v>2529</v>
      </c>
      <c r="B3203" s="8" t="s">
        <v>2529</v>
      </c>
      <c r="C3203" s="13">
        <v>46035.64659722222</v>
      </c>
      <c r="D3203" s="2" t="s">
        <v>326</v>
      </c>
      <c r="E3203" s="2" t="s">
        <v>327</v>
      </c>
      <c r="F3203" s="14" t="s">
        <v>4203</v>
      </c>
      <c r="G3203" s="14" t="s">
        <v>4204</v>
      </c>
      <c r="H3203" s="2" t="s">
        <v>24</v>
      </c>
      <c r="I3203" s="2" t="s">
        <v>3491</v>
      </c>
      <c r="J3203" s="2">
        <v>1.0</v>
      </c>
      <c r="K3203" s="23" t="s">
        <v>5799</v>
      </c>
      <c r="L3203" s="11">
        <v>0.0</v>
      </c>
      <c r="O3203" s="2" t="b">
        <v>0</v>
      </c>
    </row>
    <row r="3204" hidden="1">
      <c r="A3204" s="8" t="s">
        <v>2530</v>
      </c>
      <c r="B3204" s="8" t="s">
        <v>2530</v>
      </c>
      <c r="C3204" s="13">
        <v>46035.77027777778</v>
      </c>
      <c r="D3204" s="2" t="s">
        <v>1573</v>
      </c>
      <c r="E3204" s="2" t="s">
        <v>1574</v>
      </c>
      <c r="F3204" s="14" t="s">
        <v>3486</v>
      </c>
      <c r="G3204" s="14" t="s">
        <v>3487</v>
      </c>
      <c r="H3204" s="2" t="s">
        <v>16</v>
      </c>
      <c r="I3204" s="2" t="s">
        <v>3488</v>
      </c>
      <c r="J3204" s="2">
        <v>1.0</v>
      </c>
      <c r="K3204" s="23" t="s">
        <v>5800</v>
      </c>
      <c r="L3204" s="11">
        <v>80000.0</v>
      </c>
      <c r="O3204" s="2" t="b">
        <v>0</v>
      </c>
    </row>
    <row r="3205" hidden="1">
      <c r="A3205" s="8" t="s">
        <v>2531</v>
      </c>
      <c r="B3205" s="8" t="s">
        <v>2531</v>
      </c>
      <c r="C3205" s="13">
        <v>46035.80097222222</v>
      </c>
      <c r="D3205" s="2" t="s">
        <v>2459</v>
      </c>
      <c r="E3205" s="2" t="s">
        <v>2460</v>
      </c>
      <c r="F3205" s="14" t="s">
        <v>3835</v>
      </c>
      <c r="G3205" s="14" t="s">
        <v>3836</v>
      </c>
      <c r="H3205" s="2" t="s">
        <v>16</v>
      </c>
      <c r="I3205" s="2" t="s">
        <v>3488</v>
      </c>
      <c r="J3205" s="2">
        <v>1.0</v>
      </c>
      <c r="K3205" s="23" t="s">
        <v>5713</v>
      </c>
      <c r="L3205" s="11">
        <v>60000.0</v>
      </c>
      <c r="O3205" s="2" t="b">
        <v>0</v>
      </c>
    </row>
    <row r="3206" hidden="1">
      <c r="A3206" s="1" t="s">
        <v>2532</v>
      </c>
      <c r="B3206" s="1" t="s">
        <v>2532</v>
      </c>
      <c r="C3206" s="13">
        <v>46035.80152777778</v>
      </c>
      <c r="D3206" s="2" t="s">
        <v>2459</v>
      </c>
      <c r="E3206" s="2" t="s">
        <v>2460</v>
      </c>
      <c r="F3206" s="14" t="s">
        <v>3910</v>
      </c>
      <c r="G3206" s="14" t="s">
        <v>3911</v>
      </c>
      <c r="H3206" s="2" t="s">
        <v>24</v>
      </c>
      <c r="I3206" s="2" t="s">
        <v>3491</v>
      </c>
      <c r="J3206" s="2">
        <v>1.0</v>
      </c>
      <c r="K3206" s="12"/>
      <c r="L3206" s="11">
        <v>0.0</v>
      </c>
      <c r="O3206" s="2" t="b">
        <v>0</v>
      </c>
    </row>
    <row r="3207" hidden="1">
      <c r="A3207" s="8" t="s">
        <v>2533</v>
      </c>
      <c r="B3207" s="8" t="s">
        <v>2533</v>
      </c>
      <c r="C3207" s="13">
        <v>46036.35569444444</v>
      </c>
      <c r="D3207" s="2" t="s">
        <v>1889</v>
      </c>
      <c r="E3207" s="2" t="s">
        <v>1890</v>
      </c>
      <c r="F3207" s="14" t="s">
        <v>3486</v>
      </c>
      <c r="G3207" s="14" t="s">
        <v>3487</v>
      </c>
      <c r="H3207" s="2" t="s">
        <v>16</v>
      </c>
      <c r="I3207" s="2" t="s">
        <v>3488</v>
      </c>
      <c r="J3207" s="2">
        <v>1.0</v>
      </c>
      <c r="K3207" s="23" t="s">
        <v>5801</v>
      </c>
      <c r="L3207" s="11">
        <v>60000.0</v>
      </c>
      <c r="O3207" s="2" t="b">
        <v>0</v>
      </c>
    </row>
    <row r="3208" hidden="1">
      <c r="A3208" s="8" t="s">
        <v>2534</v>
      </c>
      <c r="B3208" s="8" t="s">
        <v>2534</v>
      </c>
      <c r="C3208" s="13">
        <v>46036.412627314814</v>
      </c>
      <c r="D3208" s="2" t="s">
        <v>1889</v>
      </c>
      <c r="E3208" s="2" t="s">
        <v>1890</v>
      </c>
      <c r="F3208" s="14" t="s">
        <v>4203</v>
      </c>
      <c r="G3208" s="14" t="s">
        <v>4204</v>
      </c>
      <c r="H3208" s="2" t="s">
        <v>24</v>
      </c>
      <c r="I3208" s="2" t="s">
        <v>3491</v>
      </c>
      <c r="J3208" s="2">
        <v>1.0</v>
      </c>
      <c r="K3208" s="23" t="s">
        <v>4176</v>
      </c>
      <c r="L3208" s="11">
        <v>0.0</v>
      </c>
      <c r="O3208" s="2" t="b">
        <v>0</v>
      </c>
    </row>
    <row r="3209" hidden="1">
      <c r="A3209" s="8" t="s">
        <v>2535</v>
      </c>
      <c r="B3209" s="8" t="s">
        <v>2535</v>
      </c>
      <c r="C3209" s="13">
        <v>46036.499247685184</v>
      </c>
      <c r="D3209" s="2" t="s">
        <v>464</v>
      </c>
      <c r="E3209" s="2" t="s">
        <v>465</v>
      </c>
      <c r="F3209" s="14" t="s">
        <v>3506</v>
      </c>
      <c r="G3209" s="14" t="s">
        <v>3507</v>
      </c>
      <c r="H3209" s="2" t="s">
        <v>16</v>
      </c>
      <c r="I3209" s="2" t="s">
        <v>3488</v>
      </c>
      <c r="J3209" s="2">
        <v>2.0</v>
      </c>
      <c r="K3209" s="12"/>
      <c r="L3209" s="11">
        <v>55000.0</v>
      </c>
      <c r="O3209" s="2" t="b">
        <v>0</v>
      </c>
    </row>
    <row r="3210" hidden="1">
      <c r="A3210" s="8" t="s">
        <v>2536</v>
      </c>
      <c r="B3210" s="8" t="s">
        <v>2536</v>
      </c>
      <c r="C3210" s="13">
        <v>46036.49953703704</v>
      </c>
      <c r="D3210" s="2" t="s">
        <v>786</v>
      </c>
      <c r="E3210" s="2" t="s">
        <v>787</v>
      </c>
      <c r="F3210" s="14" t="s">
        <v>3486</v>
      </c>
      <c r="G3210" s="14" t="s">
        <v>3487</v>
      </c>
      <c r="H3210" s="2" t="s">
        <v>16</v>
      </c>
      <c r="I3210" s="2" t="s">
        <v>3488</v>
      </c>
      <c r="J3210" s="2">
        <v>5.0</v>
      </c>
      <c r="K3210" s="23" t="s">
        <v>5802</v>
      </c>
      <c r="L3210" s="11">
        <v>60000.0</v>
      </c>
      <c r="O3210" s="2" t="b">
        <v>0</v>
      </c>
    </row>
    <row r="3211" hidden="1">
      <c r="A3211" s="8" t="s">
        <v>2536</v>
      </c>
      <c r="B3211" s="8" t="s">
        <v>2536</v>
      </c>
      <c r="C3211" s="13">
        <v>46036.49953703704</v>
      </c>
      <c r="D3211" s="2" t="s">
        <v>786</v>
      </c>
      <c r="E3211" s="2" t="s">
        <v>787</v>
      </c>
      <c r="F3211" s="14" t="s">
        <v>3516</v>
      </c>
      <c r="G3211" s="14" t="s">
        <v>3517</v>
      </c>
      <c r="H3211" s="2" t="s">
        <v>16</v>
      </c>
      <c r="I3211" s="2" t="s">
        <v>3488</v>
      </c>
      <c r="J3211" s="2">
        <v>3.0</v>
      </c>
      <c r="K3211" s="23" t="s">
        <v>5803</v>
      </c>
      <c r="L3211" s="11">
        <v>180000.0</v>
      </c>
      <c r="O3211" s="2" t="b">
        <v>0</v>
      </c>
    </row>
    <row r="3212" hidden="1">
      <c r="A3212" s="8" t="s">
        <v>2537</v>
      </c>
      <c r="B3212" s="8" t="s">
        <v>2537</v>
      </c>
      <c r="C3212" s="13">
        <v>46036.57931712963</v>
      </c>
      <c r="D3212" s="2" t="s">
        <v>951</v>
      </c>
      <c r="E3212" s="2" t="s">
        <v>952</v>
      </c>
      <c r="F3212" s="14" t="s">
        <v>3486</v>
      </c>
      <c r="G3212" s="14" t="s">
        <v>3487</v>
      </c>
      <c r="H3212" s="2" t="s">
        <v>24</v>
      </c>
      <c r="I3212" s="2" t="s">
        <v>3491</v>
      </c>
      <c r="J3212" s="2">
        <v>1.0</v>
      </c>
      <c r="K3212" s="23" t="s">
        <v>5804</v>
      </c>
      <c r="L3212" s="11">
        <v>0.0</v>
      </c>
      <c r="O3212" s="2" t="b">
        <v>0</v>
      </c>
    </row>
    <row r="3213" hidden="1">
      <c r="A3213" s="8" t="s">
        <v>2538</v>
      </c>
      <c r="B3213" s="8" t="s">
        <v>2538</v>
      </c>
      <c r="C3213" s="13">
        <v>46036.57989583333</v>
      </c>
      <c r="D3213" s="2" t="s">
        <v>55</v>
      </c>
      <c r="E3213" s="2" t="s">
        <v>56</v>
      </c>
      <c r="F3213" s="14" t="s">
        <v>3516</v>
      </c>
      <c r="G3213" s="14" t="s">
        <v>3517</v>
      </c>
      <c r="H3213" s="2" t="s">
        <v>24</v>
      </c>
      <c r="I3213" s="2" t="s">
        <v>3614</v>
      </c>
      <c r="J3213" s="2">
        <v>1.0</v>
      </c>
      <c r="K3213" s="23" t="s">
        <v>4733</v>
      </c>
      <c r="L3213" s="11">
        <v>0.0</v>
      </c>
      <c r="O3213" s="2" t="b">
        <v>0</v>
      </c>
    </row>
    <row r="3214" hidden="1">
      <c r="A3214" s="8" t="s">
        <v>2539</v>
      </c>
      <c r="B3214" s="8" t="s">
        <v>2539</v>
      </c>
      <c r="C3214" s="13">
        <v>46036.58038194444</v>
      </c>
      <c r="D3214" s="2" t="s">
        <v>55</v>
      </c>
      <c r="E3214" s="2" t="s">
        <v>56</v>
      </c>
      <c r="F3214" s="14" t="s">
        <v>3516</v>
      </c>
      <c r="G3214" s="14" t="s">
        <v>3517</v>
      </c>
      <c r="H3214" s="2" t="s">
        <v>24</v>
      </c>
      <c r="I3214" s="2" t="s">
        <v>3491</v>
      </c>
      <c r="J3214" s="2">
        <v>1.0</v>
      </c>
      <c r="K3214" s="23" t="s">
        <v>5805</v>
      </c>
      <c r="L3214" s="11">
        <v>0.0</v>
      </c>
      <c r="O3214" s="2" t="b">
        <v>0</v>
      </c>
    </row>
    <row r="3215" hidden="1">
      <c r="A3215" s="8" t="s">
        <v>2540</v>
      </c>
      <c r="B3215" s="8" t="s">
        <v>2540</v>
      </c>
      <c r="C3215" s="13">
        <v>46036.58084490741</v>
      </c>
      <c r="D3215" s="2" t="s">
        <v>55</v>
      </c>
      <c r="E3215" s="2" t="s">
        <v>56</v>
      </c>
      <c r="F3215" s="14" t="s">
        <v>3516</v>
      </c>
      <c r="G3215" s="14" t="s">
        <v>3517</v>
      </c>
      <c r="H3215" s="2" t="s">
        <v>16</v>
      </c>
      <c r="I3215" s="2" t="s">
        <v>3488</v>
      </c>
      <c r="J3215" s="2">
        <v>2.0</v>
      </c>
      <c r="K3215" s="23" t="s">
        <v>5806</v>
      </c>
      <c r="L3215" s="11">
        <v>190000.0</v>
      </c>
      <c r="O3215" s="2" t="b">
        <v>0</v>
      </c>
    </row>
    <row r="3216" hidden="1">
      <c r="A3216" s="8" t="s">
        <v>2541</v>
      </c>
      <c r="B3216" s="8" t="s">
        <v>2541</v>
      </c>
      <c r="C3216" s="13">
        <v>46036.58184027778</v>
      </c>
      <c r="D3216" s="2" t="s">
        <v>1993</v>
      </c>
      <c r="E3216" s="2" t="s">
        <v>1994</v>
      </c>
      <c r="F3216" s="14" t="s">
        <v>3493</v>
      </c>
      <c r="G3216" s="14" t="s">
        <v>3494</v>
      </c>
      <c r="H3216" s="2" t="s">
        <v>16</v>
      </c>
      <c r="I3216" s="2" t="s">
        <v>3488</v>
      </c>
      <c r="J3216" s="2">
        <v>2.0</v>
      </c>
      <c r="K3216" s="12" t="s">
        <v>5807</v>
      </c>
      <c r="L3216" s="11">
        <v>200000.0</v>
      </c>
      <c r="O3216" s="2" t="b">
        <v>0</v>
      </c>
    </row>
    <row r="3217" hidden="1">
      <c r="A3217" s="8" t="s">
        <v>2542</v>
      </c>
      <c r="B3217" s="8" t="s">
        <v>2542</v>
      </c>
      <c r="C3217" s="13">
        <v>46036.63375</v>
      </c>
      <c r="D3217" s="2" t="s">
        <v>2543</v>
      </c>
      <c r="E3217" s="2" t="s">
        <v>2544</v>
      </c>
      <c r="F3217" s="14" t="s">
        <v>3486</v>
      </c>
      <c r="G3217" s="14" t="s">
        <v>3487</v>
      </c>
      <c r="H3217" s="2" t="s">
        <v>16</v>
      </c>
      <c r="I3217" s="2" t="s">
        <v>3488</v>
      </c>
      <c r="J3217" s="2">
        <v>2.0</v>
      </c>
      <c r="K3217" s="23" t="s">
        <v>5808</v>
      </c>
      <c r="L3217" s="11">
        <v>60000.0</v>
      </c>
      <c r="O3217" s="2" t="b">
        <v>0</v>
      </c>
    </row>
    <row r="3218" hidden="1">
      <c r="A3218" s="8" t="s">
        <v>2546</v>
      </c>
      <c r="B3218" s="8" t="s">
        <v>2546</v>
      </c>
      <c r="C3218" s="13">
        <v>46036.63469907407</v>
      </c>
      <c r="D3218" s="2" t="s">
        <v>320</v>
      </c>
      <c r="E3218" s="2" t="s">
        <v>321</v>
      </c>
      <c r="F3218" s="14" t="s">
        <v>3486</v>
      </c>
      <c r="G3218" s="14" t="s">
        <v>3487</v>
      </c>
      <c r="H3218" s="2" t="s">
        <v>16</v>
      </c>
      <c r="I3218" s="2" t="s">
        <v>3488</v>
      </c>
      <c r="J3218" s="2">
        <v>1.0</v>
      </c>
      <c r="K3218" s="23" t="s">
        <v>4033</v>
      </c>
      <c r="L3218" s="11">
        <v>70000.0</v>
      </c>
      <c r="O3218" s="2" t="b">
        <v>0</v>
      </c>
    </row>
    <row r="3219" hidden="1">
      <c r="A3219" s="8" t="s">
        <v>2546</v>
      </c>
      <c r="B3219" s="8" t="s">
        <v>2546</v>
      </c>
      <c r="C3219" s="13">
        <v>46036.63469907407</v>
      </c>
      <c r="D3219" s="2" t="s">
        <v>320</v>
      </c>
      <c r="E3219" s="2" t="s">
        <v>321</v>
      </c>
      <c r="F3219" s="14" t="s">
        <v>3516</v>
      </c>
      <c r="G3219" s="14" t="s">
        <v>3517</v>
      </c>
      <c r="H3219" s="2" t="s">
        <v>16</v>
      </c>
      <c r="I3219" s="2" t="s">
        <v>3488</v>
      </c>
      <c r="J3219" s="2">
        <v>2.0</v>
      </c>
      <c r="K3219" s="23" t="s">
        <v>5809</v>
      </c>
      <c r="L3219" s="11">
        <v>190000.0</v>
      </c>
      <c r="O3219" s="2" t="b">
        <v>0</v>
      </c>
    </row>
    <row r="3220" hidden="1">
      <c r="A3220" s="8" t="s">
        <v>2547</v>
      </c>
      <c r="B3220" s="8" t="s">
        <v>2547</v>
      </c>
      <c r="C3220" s="13">
        <v>46036.64462962963</v>
      </c>
      <c r="D3220" s="2" t="s">
        <v>786</v>
      </c>
      <c r="E3220" s="2" t="s">
        <v>787</v>
      </c>
      <c r="F3220" s="14" t="s">
        <v>3516</v>
      </c>
      <c r="G3220" s="14" t="s">
        <v>3517</v>
      </c>
      <c r="H3220" s="2" t="s">
        <v>24</v>
      </c>
      <c r="I3220" s="2" t="s">
        <v>3491</v>
      </c>
      <c r="J3220" s="2">
        <v>3.0</v>
      </c>
      <c r="K3220" s="23" t="s">
        <v>5810</v>
      </c>
      <c r="L3220" s="11">
        <v>0.0</v>
      </c>
      <c r="O3220" s="2" t="b">
        <v>0</v>
      </c>
    </row>
    <row r="3221" hidden="1">
      <c r="A3221" s="8" t="s">
        <v>2547</v>
      </c>
      <c r="B3221" s="8" t="s">
        <v>2547</v>
      </c>
      <c r="C3221" s="13">
        <v>46036.64462962963</v>
      </c>
      <c r="D3221" s="2" t="s">
        <v>786</v>
      </c>
      <c r="E3221" s="2" t="s">
        <v>787</v>
      </c>
      <c r="F3221" s="14" t="s">
        <v>3486</v>
      </c>
      <c r="G3221" s="14" t="s">
        <v>3487</v>
      </c>
      <c r="H3221" s="2" t="s">
        <v>24</v>
      </c>
      <c r="I3221" s="2" t="s">
        <v>3491</v>
      </c>
      <c r="J3221" s="2">
        <v>5.0</v>
      </c>
      <c r="K3221" s="23" t="s">
        <v>5811</v>
      </c>
      <c r="L3221" s="11">
        <v>0.0</v>
      </c>
      <c r="O3221" s="2" t="b">
        <v>0</v>
      </c>
    </row>
    <row r="3222" hidden="1">
      <c r="A3222" s="8" t="s">
        <v>2548</v>
      </c>
      <c r="B3222" s="8" t="s">
        <v>2548</v>
      </c>
      <c r="C3222" s="13">
        <v>46036.712858796294</v>
      </c>
      <c r="D3222" s="2" t="s">
        <v>320</v>
      </c>
      <c r="E3222" s="2" t="s">
        <v>321</v>
      </c>
      <c r="F3222" s="14" t="s">
        <v>3486</v>
      </c>
      <c r="G3222" s="14" t="s">
        <v>3487</v>
      </c>
      <c r="H3222" s="2" t="s">
        <v>24</v>
      </c>
      <c r="I3222" s="2" t="s">
        <v>3491</v>
      </c>
      <c r="J3222" s="2">
        <v>1.0</v>
      </c>
      <c r="K3222" s="23" t="s">
        <v>5812</v>
      </c>
      <c r="L3222" s="11">
        <v>0.0</v>
      </c>
      <c r="O3222" s="2" t="b">
        <v>0</v>
      </c>
    </row>
    <row r="3223" hidden="1">
      <c r="A3223" s="8" t="s">
        <v>2549</v>
      </c>
      <c r="B3223" s="8" t="s">
        <v>2549</v>
      </c>
      <c r="C3223" s="13">
        <v>46037.357824074075</v>
      </c>
      <c r="D3223" s="2" t="s">
        <v>1311</v>
      </c>
      <c r="E3223" s="2" t="s">
        <v>1010</v>
      </c>
      <c r="F3223" s="14" t="s">
        <v>3486</v>
      </c>
      <c r="G3223" s="14" t="s">
        <v>3487</v>
      </c>
      <c r="H3223" s="2" t="s">
        <v>16</v>
      </c>
      <c r="I3223" s="2" t="s">
        <v>3488</v>
      </c>
      <c r="J3223" s="2">
        <v>1.0</v>
      </c>
      <c r="K3223" s="23" t="s">
        <v>5813</v>
      </c>
      <c r="L3223" s="11">
        <v>80000.0</v>
      </c>
      <c r="O3223" s="2" t="b">
        <v>0</v>
      </c>
    </row>
    <row r="3224" hidden="1">
      <c r="A3224" s="8" t="s">
        <v>2550</v>
      </c>
      <c r="B3224" s="8" t="s">
        <v>2550</v>
      </c>
      <c r="C3224" s="13">
        <v>46037.35851851852</v>
      </c>
      <c r="D3224" s="2" t="s">
        <v>109</v>
      </c>
      <c r="E3224" s="2" t="s">
        <v>110</v>
      </c>
      <c r="F3224" s="14" t="s">
        <v>3486</v>
      </c>
      <c r="G3224" s="14" t="s">
        <v>3487</v>
      </c>
      <c r="H3224" s="2" t="s">
        <v>16</v>
      </c>
      <c r="I3224" s="2" t="s">
        <v>3488</v>
      </c>
      <c r="J3224" s="2">
        <v>1.0</v>
      </c>
      <c r="K3224" s="23" t="s">
        <v>5814</v>
      </c>
      <c r="L3224" s="11">
        <v>60000.0</v>
      </c>
      <c r="O3224" s="2" t="b">
        <v>0</v>
      </c>
    </row>
    <row r="3225" hidden="1">
      <c r="A3225" s="8" t="s">
        <v>2551</v>
      </c>
      <c r="B3225" s="8" t="s">
        <v>2551</v>
      </c>
      <c r="C3225" s="13">
        <v>46037.40112268519</v>
      </c>
      <c r="D3225" s="2" t="s">
        <v>1476</v>
      </c>
      <c r="E3225" s="2" t="s">
        <v>1477</v>
      </c>
      <c r="F3225" s="14" t="s">
        <v>3493</v>
      </c>
      <c r="G3225" s="14" t="s">
        <v>3494</v>
      </c>
      <c r="H3225" s="2" t="s">
        <v>16</v>
      </c>
      <c r="I3225" s="2" t="s">
        <v>3488</v>
      </c>
      <c r="J3225" s="2">
        <v>2.0</v>
      </c>
      <c r="K3225" s="12" t="s">
        <v>5815</v>
      </c>
      <c r="L3225" s="11">
        <v>215000.0</v>
      </c>
      <c r="O3225" s="2" t="b">
        <v>0</v>
      </c>
    </row>
    <row r="3226" hidden="1">
      <c r="A3226" s="8" t="s">
        <v>2552</v>
      </c>
      <c r="B3226" s="8" t="s">
        <v>2552</v>
      </c>
      <c r="C3226" s="13">
        <v>46037.40422453704</v>
      </c>
      <c r="D3226" s="2" t="s">
        <v>1311</v>
      </c>
      <c r="E3226" s="2" t="s">
        <v>1010</v>
      </c>
      <c r="F3226" s="14" t="s">
        <v>4203</v>
      </c>
      <c r="G3226" s="14" t="s">
        <v>4204</v>
      </c>
      <c r="H3226" s="2" t="s">
        <v>24</v>
      </c>
      <c r="I3226" s="2" t="s">
        <v>3491</v>
      </c>
      <c r="J3226" s="2">
        <v>1.0</v>
      </c>
      <c r="K3226" s="23" t="s">
        <v>4183</v>
      </c>
      <c r="L3226" s="11">
        <v>0.0</v>
      </c>
      <c r="O3226" s="2" t="b">
        <v>0</v>
      </c>
    </row>
    <row r="3227" hidden="1">
      <c r="A3227" s="8" t="s">
        <v>2552</v>
      </c>
      <c r="B3227" s="8" t="s">
        <v>2552</v>
      </c>
      <c r="C3227" s="13">
        <v>46037.40422453704</v>
      </c>
      <c r="D3227" s="2" t="s">
        <v>1311</v>
      </c>
      <c r="E3227" s="2" t="s">
        <v>1010</v>
      </c>
      <c r="F3227" s="14" t="s">
        <v>3506</v>
      </c>
      <c r="G3227" s="14" t="s">
        <v>3507</v>
      </c>
      <c r="H3227" s="2" t="s">
        <v>24</v>
      </c>
      <c r="I3227" s="2" t="s">
        <v>3491</v>
      </c>
      <c r="J3227" s="2">
        <v>2.0</v>
      </c>
      <c r="K3227" s="12"/>
      <c r="L3227" s="11">
        <v>0.0</v>
      </c>
      <c r="O3227" s="2" t="b">
        <v>0</v>
      </c>
    </row>
    <row r="3228" hidden="1">
      <c r="A3228" s="8" t="s">
        <v>2553</v>
      </c>
      <c r="B3228" s="8" t="s">
        <v>2553</v>
      </c>
      <c r="C3228" s="13">
        <v>46037.40478009259</v>
      </c>
      <c r="D3228" s="2" t="s">
        <v>109</v>
      </c>
      <c r="E3228" s="2" t="s">
        <v>110</v>
      </c>
      <c r="F3228" s="14" t="s">
        <v>3522</v>
      </c>
      <c r="G3228" s="14" t="s">
        <v>3523</v>
      </c>
      <c r="H3228" s="2" t="s">
        <v>24</v>
      </c>
      <c r="I3228" s="2" t="s">
        <v>3491</v>
      </c>
      <c r="J3228" s="2">
        <v>1.0</v>
      </c>
      <c r="K3228" s="23" t="s">
        <v>4493</v>
      </c>
      <c r="L3228" s="11">
        <v>0.0</v>
      </c>
      <c r="O3228" s="2" t="b">
        <v>0</v>
      </c>
    </row>
    <row r="3229" hidden="1">
      <c r="A3229" s="8" t="s">
        <v>2554</v>
      </c>
      <c r="B3229" s="8" t="s">
        <v>2554</v>
      </c>
      <c r="C3229" s="13">
        <v>46037.429398148146</v>
      </c>
      <c r="D3229" s="2" t="s">
        <v>1476</v>
      </c>
      <c r="E3229" s="2" t="s">
        <v>1477</v>
      </c>
      <c r="F3229" s="14" t="s">
        <v>3493</v>
      </c>
      <c r="G3229" s="14" t="s">
        <v>3494</v>
      </c>
      <c r="H3229" s="2" t="s">
        <v>24</v>
      </c>
      <c r="I3229" s="2" t="s">
        <v>3491</v>
      </c>
      <c r="J3229" s="2">
        <v>2.0</v>
      </c>
      <c r="K3229" s="12" t="s">
        <v>5816</v>
      </c>
      <c r="L3229" s="11">
        <v>0.0</v>
      </c>
      <c r="O3229" s="2" t="b">
        <v>0</v>
      </c>
    </row>
    <row r="3230" hidden="1">
      <c r="A3230" s="8" t="s">
        <v>2555</v>
      </c>
      <c r="B3230" s="8" t="s">
        <v>2555</v>
      </c>
      <c r="C3230" s="13">
        <v>46037.47351851852</v>
      </c>
      <c r="D3230" s="2" t="s">
        <v>2005</v>
      </c>
      <c r="E3230" s="2" t="s">
        <v>2006</v>
      </c>
      <c r="F3230" s="14" t="s">
        <v>3493</v>
      </c>
      <c r="G3230" s="14" t="s">
        <v>3494</v>
      </c>
      <c r="H3230" s="2" t="s">
        <v>24</v>
      </c>
      <c r="I3230" s="2" t="s">
        <v>3491</v>
      </c>
      <c r="J3230" s="2">
        <v>1.0</v>
      </c>
      <c r="K3230" s="12" t="s">
        <v>5817</v>
      </c>
      <c r="L3230" s="11">
        <v>0.0</v>
      </c>
      <c r="O3230" s="2" t="b">
        <v>0</v>
      </c>
    </row>
    <row r="3231" hidden="1">
      <c r="A3231" s="8" t="s">
        <v>2555</v>
      </c>
      <c r="B3231" s="8" t="s">
        <v>2555</v>
      </c>
      <c r="C3231" s="13">
        <v>46037.47351851852</v>
      </c>
      <c r="D3231" s="2" t="s">
        <v>2005</v>
      </c>
      <c r="E3231" s="2" t="s">
        <v>2006</v>
      </c>
      <c r="F3231" s="14" t="s">
        <v>3486</v>
      </c>
      <c r="G3231" s="14" t="s">
        <v>3487</v>
      </c>
      <c r="H3231" s="2" t="s">
        <v>24</v>
      </c>
      <c r="I3231" s="2" t="s">
        <v>3491</v>
      </c>
      <c r="J3231" s="2">
        <v>3.0</v>
      </c>
      <c r="K3231" s="23" t="s">
        <v>5818</v>
      </c>
      <c r="L3231" s="11">
        <v>0.0</v>
      </c>
      <c r="O3231" s="2" t="b">
        <v>0</v>
      </c>
    </row>
    <row r="3232" hidden="1">
      <c r="A3232" s="8" t="s">
        <v>2555</v>
      </c>
      <c r="B3232" s="8" t="s">
        <v>2555</v>
      </c>
      <c r="C3232" s="13">
        <v>46037.47351851852</v>
      </c>
      <c r="D3232" s="2" t="s">
        <v>2005</v>
      </c>
      <c r="E3232" s="2" t="s">
        <v>2006</v>
      </c>
      <c r="F3232" s="14" t="s">
        <v>4203</v>
      </c>
      <c r="G3232" s="14" t="s">
        <v>4204</v>
      </c>
      <c r="H3232" s="2" t="s">
        <v>24</v>
      </c>
      <c r="I3232" s="2" t="s">
        <v>3491</v>
      </c>
      <c r="J3232" s="2">
        <v>1.0</v>
      </c>
      <c r="K3232" s="23" t="s">
        <v>5207</v>
      </c>
      <c r="L3232" s="11">
        <v>0.0</v>
      </c>
      <c r="O3232" s="2" t="b">
        <v>0</v>
      </c>
    </row>
    <row r="3233" hidden="1">
      <c r="A3233" s="8" t="s">
        <v>2556</v>
      </c>
      <c r="B3233" s="8" t="s">
        <v>2556</v>
      </c>
      <c r="C3233" s="13">
        <v>46037.47697916667</v>
      </c>
      <c r="D3233" s="2" t="s">
        <v>1889</v>
      </c>
      <c r="E3233" s="2" t="s">
        <v>1890</v>
      </c>
      <c r="F3233" s="14" t="s">
        <v>3486</v>
      </c>
      <c r="G3233" s="14" t="s">
        <v>3487</v>
      </c>
      <c r="H3233" s="2" t="s">
        <v>16</v>
      </c>
      <c r="I3233" s="2" t="s">
        <v>3488</v>
      </c>
      <c r="J3233" s="2">
        <v>1.0</v>
      </c>
      <c r="K3233" s="23" t="s">
        <v>5819</v>
      </c>
      <c r="L3233" s="11">
        <v>60000.0</v>
      </c>
      <c r="O3233" s="2" t="b">
        <v>0</v>
      </c>
    </row>
    <row r="3234" hidden="1">
      <c r="A3234" s="8" t="s">
        <v>2557</v>
      </c>
      <c r="B3234" s="8" t="s">
        <v>2557</v>
      </c>
      <c r="C3234" s="13">
        <v>46037.47787037037</v>
      </c>
      <c r="D3234" s="2" t="s">
        <v>1873</v>
      </c>
      <c r="E3234" s="2" t="s">
        <v>1874</v>
      </c>
      <c r="F3234" s="14" t="s">
        <v>4203</v>
      </c>
      <c r="G3234" s="14" t="s">
        <v>4204</v>
      </c>
      <c r="H3234" s="2" t="s">
        <v>16</v>
      </c>
      <c r="I3234" s="2" t="s">
        <v>3488</v>
      </c>
      <c r="J3234" s="2">
        <v>1.0</v>
      </c>
      <c r="K3234" s="23" t="s">
        <v>4180</v>
      </c>
      <c r="L3234" s="11">
        <v>70000.0</v>
      </c>
      <c r="O3234" s="2" t="b">
        <v>0</v>
      </c>
    </row>
    <row r="3235" hidden="1">
      <c r="A3235" s="8" t="s">
        <v>2558</v>
      </c>
      <c r="B3235" s="8" t="s">
        <v>2558</v>
      </c>
      <c r="C3235" s="13">
        <v>46037.595138888886</v>
      </c>
      <c r="D3235" s="2" t="s">
        <v>2459</v>
      </c>
      <c r="E3235" s="2" t="s">
        <v>2460</v>
      </c>
      <c r="F3235" s="14" t="s">
        <v>3910</v>
      </c>
      <c r="G3235" s="14" t="s">
        <v>3911</v>
      </c>
      <c r="H3235" s="2" t="s">
        <v>16</v>
      </c>
      <c r="I3235" s="2" t="s">
        <v>3488</v>
      </c>
      <c r="J3235" s="2">
        <v>1.0</v>
      </c>
      <c r="K3235" s="12"/>
      <c r="L3235" s="11">
        <v>60000.0</v>
      </c>
      <c r="O3235" s="2" t="b">
        <v>0</v>
      </c>
    </row>
    <row r="3236" hidden="1">
      <c r="A3236" s="8" t="s">
        <v>2559</v>
      </c>
      <c r="B3236" s="8" t="s">
        <v>2559</v>
      </c>
      <c r="C3236" s="13">
        <v>46037.6091087963</v>
      </c>
      <c r="D3236" s="2" t="s">
        <v>1889</v>
      </c>
      <c r="E3236" s="2" t="s">
        <v>1890</v>
      </c>
      <c r="F3236" s="14" t="s">
        <v>4203</v>
      </c>
      <c r="G3236" s="14" t="s">
        <v>4204</v>
      </c>
      <c r="H3236" s="2" t="s">
        <v>24</v>
      </c>
      <c r="I3236" s="2" t="s">
        <v>3491</v>
      </c>
      <c r="J3236" s="2">
        <v>1.0</v>
      </c>
      <c r="K3236" s="23" t="s">
        <v>4517</v>
      </c>
      <c r="L3236" s="11">
        <v>0.0</v>
      </c>
      <c r="O3236" s="2" t="b">
        <v>0</v>
      </c>
    </row>
    <row r="3237" hidden="1">
      <c r="A3237" s="8" t="s">
        <v>2560</v>
      </c>
      <c r="B3237" s="8" t="s">
        <v>2560</v>
      </c>
      <c r="C3237" s="13">
        <v>46037.62396990741</v>
      </c>
      <c r="D3237" s="2" t="s">
        <v>2459</v>
      </c>
      <c r="E3237" s="2" t="s">
        <v>2460</v>
      </c>
      <c r="F3237" s="14" t="s">
        <v>3835</v>
      </c>
      <c r="G3237" s="14" t="s">
        <v>3836</v>
      </c>
      <c r="H3237" s="2" t="s">
        <v>24</v>
      </c>
      <c r="I3237" s="2" t="s">
        <v>3491</v>
      </c>
      <c r="J3237" s="2">
        <v>1.0</v>
      </c>
      <c r="K3237" s="23" t="s">
        <v>5713</v>
      </c>
      <c r="L3237" s="11">
        <v>0.0</v>
      </c>
      <c r="O3237" s="2" t="b">
        <v>0</v>
      </c>
    </row>
    <row r="3238" hidden="1">
      <c r="A3238" s="8" t="s">
        <v>2561</v>
      </c>
      <c r="B3238" s="8" t="s">
        <v>2561</v>
      </c>
      <c r="C3238" s="13">
        <v>46037.66539351852</v>
      </c>
      <c r="D3238" s="2" t="s">
        <v>320</v>
      </c>
      <c r="E3238" s="2" t="s">
        <v>321</v>
      </c>
      <c r="F3238" s="14" t="s">
        <v>3486</v>
      </c>
      <c r="G3238" s="14" t="s">
        <v>3487</v>
      </c>
      <c r="H3238" s="2" t="s">
        <v>16</v>
      </c>
      <c r="I3238" s="2" t="s">
        <v>3488</v>
      </c>
      <c r="J3238" s="2">
        <v>2.0</v>
      </c>
      <c r="K3238" s="23" t="s">
        <v>5820</v>
      </c>
      <c r="L3238" s="11">
        <v>70000.0</v>
      </c>
      <c r="O3238" s="2" t="b">
        <v>0</v>
      </c>
    </row>
    <row r="3239" hidden="1">
      <c r="A3239" s="8" t="s">
        <v>2562</v>
      </c>
      <c r="B3239" s="8" t="s">
        <v>2562</v>
      </c>
      <c r="C3239" s="13">
        <v>46037.67674768518</v>
      </c>
      <c r="D3239" s="2" t="s">
        <v>786</v>
      </c>
      <c r="E3239" s="2" t="s">
        <v>787</v>
      </c>
      <c r="F3239" s="14" t="s">
        <v>3516</v>
      </c>
      <c r="G3239" s="14" t="s">
        <v>3517</v>
      </c>
      <c r="H3239" s="2" t="s">
        <v>24</v>
      </c>
      <c r="I3239" s="2" t="s">
        <v>3491</v>
      </c>
      <c r="J3239" s="2">
        <v>2.0</v>
      </c>
      <c r="K3239" s="23" t="s">
        <v>5821</v>
      </c>
      <c r="L3239" s="11">
        <v>0.0</v>
      </c>
      <c r="O3239" s="2" t="b">
        <v>0</v>
      </c>
    </row>
    <row r="3240" hidden="1">
      <c r="A3240" s="8" t="s">
        <v>2562</v>
      </c>
      <c r="B3240" s="8" t="s">
        <v>2562</v>
      </c>
      <c r="C3240" s="13">
        <v>46037.67674768518</v>
      </c>
      <c r="D3240" s="2" t="s">
        <v>786</v>
      </c>
      <c r="E3240" s="2" t="s">
        <v>787</v>
      </c>
      <c r="F3240" s="14" t="s">
        <v>3486</v>
      </c>
      <c r="G3240" s="14" t="s">
        <v>3487</v>
      </c>
      <c r="H3240" s="2" t="s">
        <v>24</v>
      </c>
      <c r="I3240" s="2" t="s">
        <v>3491</v>
      </c>
      <c r="J3240" s="2">
        <v>3.0</v>
      </c>
      <c r="K3240" s="23" t="s">
        <v>5822</v>
      </c>
      <c r="L3240" s="11">
        <v>0.0</v>
      </c>
      <c r="O3240" s="2" t="b">
        <v>0</v>
      </c>
    </row>
    <row r="3241" hidden="1">
      <c r="A3241" s="1"/>
      <c r="B3241" s="1"/>
      <c r="C3241" s="13"/>
      <c r="D3241" s="2"/>
      <c r="E3241" s="2"/>
      <c r="F3241" s="14"/>
      <c r="G3241" s="14"/>
      <c r="H3241" s="2"/>
      <c r="I3241" s="2"/>
      <c r="J3241" s="2"/>
      <c r="K3241" s="12"/>
      <c r="L3241" s="11"/>
      <c r="O3241" s="2"/>
    </row>
    <row r="3242" hidden="1">
      <c r="A3242" s="1"/>
      <c r="B3242" s="1"/>
      <c r="C3242" s="13"/>
      <c r="D3242" s="2"/>
      <c r="E3242" s="2"/>
      <c r="F3242" s="14"/>
      <c r="G3242" s="14"/>
      <c r="H3242" s="2"/>
      <c r="I3242" s="2"/>
      <c r="J3242" s="2"/>
      <c r="K3242" s="12"/>
      <c r="L3242" s="11"/>
      <c r="O3242" s="2"/>
    </row>
    <row r="3243" hidden="1">
      <c r="A3243" s="8" t="s">
        <v>2563</v>
      </c>
      <c r="B3243" s="8" t="s">
        <v>2563</v>
      </c>
      <c r="C3243" s="13">
        <v>46037.677939814814</v>
      </c>
      <c r="D3243" s="2" t="s">
        <v>1975</v>
      </c>
      <c r="E3243" s="2" t="s">
        <v>1976</v>
      </c>
      <c r="F3243" s="14" t="s">
        <v>4203</v>
      </c>
      <c r="G3243" s="14" t="s">
        <v>4204</v>
      </c>
      <c r="H3243" s="2" t="s">
        <v>24</v>
      </c>
      <c r="I3243" s="2" t="s">
        <v>3491</v>
      </c>
      <c r="J3243" s="2">
        <v>2.0</v>
      </c>
      <c r="K3243" s="23" t="s">
        <v>5823</v>
      </c>
      <c r="L3243" s="11">
        <v>0.0</v>
      </c>
      <c r="O3243" s="2" t="b">
        <v>0</v>
      </c>
    </row>
    <row r="3244" hidden="1">
      <c r="A3244" s="8" t="s">
        <v>2564</v>
      </c>
      <c r="B3244" s="8" t="s">
        <v>2564</v>
      </c>
      <c r="C3244" s="13">
        <v>46037.67884259259</v>
      </c>
      <c r="D3244" s="2" t="s">
        <v>1873</v>
      </c>
      <c r="E3244" s="2" t="s">
        <v>1874</v>
      </c>
      <c r="F3244" s="14" t="s">
        <v>4203</v>
      </c>
      <c r="G3244" s="14" t="s">
        <v>4204</v>
      </c>
      <c r="H3244" s="2" t="s">
        <v>24</v>
      </c>
      <c r="I3244" s="2" t="s">
        <v>3491</v>
      </c>
      <c r="J3244" s="2">
        <v>5.0</v>
      </c>
      <c r="K3244" s="23" t="s">
        <v>5824</v>
      </c>
      <c r="L3244" s="11">
        <v>0.0</v>
      </c>
      <c r="O3244" s="2" t="b">
        <v>0</v>
      </c>
    </row>
    <row r="3245" hidden="1">
      <c r="A3245" s="8" t="s">
        <v>2565</v>
      </c>
      <c r="B3245" s="8" t="s">
        <v>2565</v>
      </c>
      <c r="C3245" s="13">
        <v>46037.68300925926</v>
      </c>
      <c r="D3245" s="2" t="s">
        <v>2081</v>
      </c>
      <c r="E3245" s="2" t="s">
        <v>2082</v>
      </c>
      <c r="F3245" s="14" t="s">
        <v>4203</v>
      </c>
      <c r="G3245" s="14" t="s">
        <v>4204</v>
      </c>
      <c r="H3245" s="2" t="s">
        <v>24</v>
      </c>
      <c r="I3245" s="2" t="s">
        <v>3491</v>
      </c>
      <c r="J3245" s="2">
        <v>2.0</v>
      </c>
      <c r="K3245" s="23" t="s">
        <v>5825</v>
      </c>
      <c r="L3245" s="11">
        <v>0.0</v>
      </c>
      <c r="O3245" s="2" t="b">
        <v>0</v>
      </c>
    </row>
    <row r="3246" hidden="1">
      <c r="A3246" s="8" t="s">
        <v>2565</v>
      </c>
      <c r="B3246" s="8" t="s">
        <v>2565</v>
      </c>
      <c r="C3246" s="13">
        <v>46037.68300925926</v>
      </c>
      <c r="D3246" s="2" t="s">
        <v>2081</v>
      </c>
      <c r="E3246" s="2" t="s">
        <v>2082</v>
      </c>
      <c r="F3246" s="14" t="s">
        <v>3506</v>
      </c>
      <c r="G3246" s="14" t="s">
        <v>3507</v>
      </c>
      <c r="H3246" s="2" t="s">
        <v>24</v>
      </c>
      <c r="I3246" s="2" t="s">
        <v>3491</v>
      </c>
      <c r="J3246" s="2">
        <v>1.0</v>
      </c>
      <c r="K3246" s="12"/>
      <c r="L3246" s="11">
        <v>0.0</v>
      </c>
      <c r="O3246" s="2" t="b">
        <v>0</v>
      </c>
    </row>
    <row r="3247" hidden="1">
      <c r="A3247" s="8" t="s">
        <v>2566</v>
      </c>
      <c r="B3247" s="8" t="s">
        <v>2566</v>
      </c>
      <c r="C3247" s="13">
        <v>46038.33346064815</v>
      </c>
      <c r="D3247" s="2" t="s">
        <v>1889</v>
      </c>
      <c r="E3247" s="2" t="s">
        <v>1890</v>
      </c>
      <c r="F3247" s="14" t="s">
        <v>4203</v>
      </c>
      <c r="G3247" s="14" t="s">
        <v>4204</v>
      </c>
      <c r="H3247" s="2" t="s">
        <v>16</v>
      </c>
      <c r="I3247" s="2" t="s">
        <v>3488</v>
      </c>
      <c r="J3247" s="2">
        <v>1.0</v>
      </c>
      <c r="K3247" s="23" t="s">
        <v>4406</v>
      </c>
      <c r="L3247" s="11">
        <v>65000.0</v>
      </c>
      <c r="O3247" s="2" t="b">
        <v>0</v>
      </c>
    </row>
    <row r="3248" hidden="1">
      <c r="A3248" s="8" t="s">
        <v>2567</v>
      </c>
      <c r="B3248" s="8" t="s">
        <v>2567</v>
      </c>
      <c r="C3248" s="13">
        <v>46038.333449074074</v>
      </c>
      <c r="D3248" s="2" t="s">
        <v>786</v>
      </c>
      <c r="E3248" s="2" t="s">
        <v>787</v>
      </c>
      <c r="F3248" s="14" t="s">
        <v>3516</v>
      </c>
      <c r="G3248" s="14" t="s">
        <v>3517</v>
      </c>
      <c r="H3248" s="2" t="s">
        <v>16</v>
      </c>
      <c r="I3248" s="2" t="s">
        <v>3488</v>
      </c>
      <c r="J3248" s="2">
        <v>3.0</v>
      </c>
      <c r="K3248" s="23" t="s">
        <v>5826</v>
      </c>
      <c r="L3248" s="11">
        <v>180000.0</v>
      </c>
      <c r="O3248" s="2" t="b">
        <v>0</v>
      </c>
    </row>
    <row r="3249" hidden="1">
      <c r="A3249" s="8" t="s">
        <v>2567</v>
      </c>
      <c r="B3249" s="8" t="s">
        <v>2567</v>
      </c>
      <c r="C3249" s="13">
        <v>46038.333449074074</v>
      </c>
      <c r="D3249" s="2" t="s">
        <v>786</v>
      </c>
      <c r="E3249" s="2" t="s">
        <v>787</v>
      </c>
      <c r="F3249" s="14" t="s">
        <v>3486</v>
      </c>
      <c r="G3249" s="14" t="s">
        <v>3487</v>
      </c>
      <c r="H3249" s="2" t="s">
        <v>16</v>
      </c>
      <c r="I3249" s="2" t="s">
        <v>3488</v>
      </c>
      <c r="J3249" s="2">
        <v>6.0</v>
      </c>
      <c r="K3249" s="23" t="s">
        <v>5827</v>
      </c>
      <c r="L3249" s="11">
        <v>60000.0</v>
      </c>
      <c r="O3249" s="2" t="b">
        <v>0</v>
      </c>
    </row>
    <row r="3250" hidden="1">
      <c r="A3250" s="8" t="s">
        <v>2568</v>
      </c>
      <c r="B3250" s="8" t="s">
        <v>2568</v>
      </c>
      <c r="C3250" s="13">
        <v>46038.33346064815</v>
      </c>
      <c r="D3250" s="2" t="s">
        <v>2081</v>
      </c>
      <c r="E3250" s="2" t="s">
        <v>2082</v>
      </c>
      <c r="F3250" s="14" t="s">
        <v>3506</v>
      </c>
      <c r="G3250" s="14" t="s">
        <v>3507</v>
      </c>
      <c r="H3250" s="2" t="s">
        <v>16</v>
      </c>
      <c r="I3250" s="2" t="s">
        <v>3488</v>
      </c>
      <c r="J3250" s="2">
        <v>1.0</v>
      </c>
      <c r="K3250" s="12"/>
      <c r="L3250" s="11">
        <v>55000.0</v>
      </c>
      <c r="O3250" s="2" t="b">
        <v>0</v>
      </c>
    </row>
    <row r="3251" hidden="1">
      <c r="A3251" s="8" t="s">
        <v>2569</v>
      </c>
      <c r="B3251" s="8" t="s">
        <v>2569</v>
      </c>
      <c r="C3251" s="13">
        <v>46038.34111111111</v>
      </c>
      <c r="D3251" s="2" t="s">
        <v>1311</v>
      </c>
      <c r="E3251" s="2" t="s">
        <v>1010</v>
      </c>
      <c r="F3251" s="14" t="s">
        <v>3506</v>
      </c>
      <c r="G3251" s="14" t="s">
        <v>3507</v>
      </c>
      <c r="H3251" s="2" t="s">
        <v>16</v>
      </c>
      <c r="I3251" s="2" t="s">
        <v>3488</v>
      </c>
      <c r="J3251" s="2">
        <v>2.0</v>
      </c>
      <c r="K3251" s="12"/>
      <c r="L3251" s="11">
        <v>70000.0</v>
      </c>
      <c r="O3251" s="2" t="b">
        <v>0</v>
      </c>
    </row>
    <row r="3252" hidden="1">
      <c r="A3252" s="8" t="s">
        <v>2570</v>
      </c>
      <c r="B3252" s="8" t="s">
        <v>2570</v>
      </c>
      <c r="C3252" s="13">
        <v>46038.53469907407</v>
      </c>
      <c r="D3252" s="2" t="s">
        <v>786</v>
      </c>
      <c r="E3252" s="2" t="s">
        <v>787</v>
      </c>
      <c r="F3252" s="14" t="s">
        <v>3516</v>
      </c>
      <c r="G3252" s="14" t="s">
        <v>3517</v>
      </c>
      <c r="H3252" s="2" t="s">
        <v>24</v>
      </c>
      <c r="I3252" s="2" t="s">
        <v>3491</v>
      </c>
      <c r="J3252" s="2">
        <v>1.0</v>
      </c>
      <c r="K3252" s="23" t="s">
        <v>4588</v>
      </c>
      <c r="L3252" s="11">
        <v>0.0</v>
      </c>
      <c r="O3252" s="2" t="b">
        <v>0</v>
      </c>
    </row>
    <row r="3253" hidden="1">
      <c r="A3253" s="8" t="s">
        <v>2570</v>
      </c>
      <c r="B3253" s="8" t="s">
        <v>2570</v>
      </c>
      <c r="C3253" s="13">
        <v>46038.53469907407</v>
      </c>
      <c r="D3253" s="2" t="s">
        <v>786</v>
      </c>
      <c r="E3253" s="2" t="s">
        <v>787</v>
      </c>
      <c r="F3253" s="14" t="s">
        <v>3486</v>
      </c>
      <c r="G3253" s="14" t="s">
        <v>3487</v>
      </c>
      <c r="H3253" s="2" t="s">
        <v>24</v>
      </c>
      <c r="I3253" s="2" t="s">
        <v>3491</v>
      </c>
      <c r="J3253" s="2">
        <v>3.0</v>
      </c>
      <c r="K3253" s="23" t="s">
        <v>5828</v>
      </c>
      <c r="L3253" s="11">
        <v>0.0</v>
      </c>
      <c r="O3253" s="2" t="b">
        <v>0</v>
      </c>
    </row>
    <row r="3254" hidden="1">
      <c r="A3254" s="8" t="s">
        <v>2571</v>
      </c>
      <c r="B3254" s="8" t="s">
        <v>2571</v>
      </c>
      <c r="C3254" s="13">
        <v>46038.53703703704</v>
      </c>
      <c r="D3254" s="2" t="s">
        <v>1993</v>
      </c>
      <c r="E3254" s="2" t="s">
        <v>1994</v>
      </c>
      <c r="F3254" s="14" t="s">
        <v>3486</v>
      </c>
      <c r="G3254" s="14" t="s">
        <v>3487</v>
      </c>
      <c r="H3254" s="2" t="s">
        <v>16</v>
      </c>
      <c r="I3254" s="2" t="s">
        <v>3488</v>
      </c>
      <c r="J3254" s="2">
        <v>10.0</v>
      </c>
      <c r="K3254" s="23" t="s">
        <v>5829</v>
      </c>
      <c r="L3254" s="11">
        <v>65000.0</v>
      </c>
      <c r="O3254" s="2" t="b">
        <v>0</v>
      </c>
    </row>
    <row r="3255" hidden="1">
      <c r="A3255" s="8" t="s">
        <v>2572</v>
      </c>
      <c r="B3255" s="8" t="s">
        <v>2572</v>
      </c>
      <c r="C3255" s="13">
        <v>46039.35157407408</v>
      </c>
      <c r="D3255" s="2" t="s">
        <v>2459</v>
      </c>
      <c r="E3255" s="2" t="s">
        <v>2460</v>
      </c>
      <c r="F3255" s="14" t="s">
        <v>3486</v>
      </c>
      <c r="G3255" s="14" t="s">
        <v>3487</v>
      </c>
      <c r="H3255" s="2" t="s">
        <v>16</v>
      </c>
      <c r="I3255" s="2" t="s">
        <v>3488</v>
      </c>
      <c r="J3255" s="2">
        <v>1.0</v>
      </c>
      <c r="K3255" s="23" t="s">
        <v>5830</v>
      </c>
      <c r="L3255" s="11">
        <v>80000.0</v>
      </c>
      <c r="O3255" s="2" t="b">
        <v>0</v>
      </c>
    </row>
    <row r="3256" hidden="1">
      <c r="A3256" s="8" t="s">
        <v>2573</v>
      </c>
      <c r="B3256" s="8" t="s">
        <v>2573</v>
      </c>
      <c r="C3256" s="13">
        <v>46039.35238425926</v>
      </c>
      <c r="D3256" s="2" t="s">
        <v>1573</v>
      </c>
      <c r="E3256" s="2" t="s">
        <v>1574</v>
      </c>
      <c r="F3256" s="14" t="s">
        <v>3486</v>
      </c>
      <c r="G3256" s="14" t="s">
        <v>3487</v>
      </c>
      <c r="H3256" s="2" t="s">
        <v>16</v>
      </c>
      <c r="I3256" s="2" t="s">
        <v>3488</v>
      </c>
      <c r="J3256" s="2">
        <v>1.0</v>
      </c>
      <c r="K3256" s="23" t="s">
        <v>5831</v>
      </c>
      <c r="L3256" s="11">
        <v>80000.0</v>
      </c>
      <c r="O3256" s="2" t="b">
        <v>0</v>
      </c>
    </row>
    <row r="3257" hidden="1">
      <c r="A3257" s="8" t="s">
        <v>2574</v>
      </c>
      <c r="B3257" s="8" t="s">
        <v>2574</v>
      </c>
      <c r="C3257" s="13">
        <v>46039.36318287037</v>
      </c>
      <c r="D3257" s="2" t="s">
        <v>1573</v>
      </c>
      <c r="E3257" s="2" t="s">
        <v>1574</v>
      </c>
      <c r="F3257" s="14" t="s">
        <v>3486</v>
      </c>
      <c r="G3257" s="14" t="s">
        <v>3487</v>
      </c>
      <c r="H3257" s="2" t="s">
        <v>24</v>
      </c>
      <c r="I3257" s="2" t="s">
        <v>3491</v>
      </c>
      <c r="J3257" s="2">
        <v>1.0</v>
      </c>
      <c r="K3257" s="23" t="s">
        <v>5800</v>
      </c>
      <c r="L3257" s="11">
        <v>0.0</v>
      </c>
      <c r="O3257" s="2" t="b">
        <v>0</v>
      </c>
    </row>
    <row r="3258" hidden="1">
      <c r="A3258" s="8" t="s">
        <v>2575</v>
      </c>
      <c r="B3258" s="8" t="s">
        <v>2575</v>
      </c>
      <c r="C3258" s="13">
        <v>46039.36342592593</v>
      </c>
      <c r="D3258" s="2" t="s">
        <v>1993</v>
      </c>
      <c r="E3258" s="2" t="s">
        <v>1994</v>
      </c>
      <c r="F3258" s="14" t="s">
        <v>3516</v>
      </c>
      <c r="G3258" s="14" t="s">
        <v>3517</v>
      </c>
      <c r="H3258" s="2" t="s">
        <v>24</v>
      </c>
      <c r="I3258" s="2" t="s">
        <v>3491</v>
      </c>
      <c r="J3258" s="2">
        <v>1.0</v>
      </c>
      <c r="K3258" s="23" t="s">
        <v>4948</v>
      </c>
      <c r="L3258" s="11">
        <v>0.0</v>
      </c>
      <c r="O3258" s="2" t="b">
        <v>0</v>
      </c>
    </row>
    <row r="3259" hidden="1">
      <c r="A3259" s="8" t="s">
        <v>2575</v>
      </c>
      <c r="B3259" s="8" t="s">
        <v>2575</v>
      </c>
      <c r="C3259" s="13">
        <v>46039.36342592593</v>
      </c>
      <c r="D3259" s="2" t="s">
        <v>1993</v>
      </c>
      <c r="E3259" s="2" t="s">
        <v>1994</v>
      </c>
      <c r="F3259" s="14" t="s">
        <v>3486</v>
      </c>
      <c r="G3259" s="14" t="s">
        <v>3487</v>
      </c>
      <c r="H3259" s="2" t="s">
        <v>24</v>
      </c>
      <c r="I3259" s="2" t="s">
        <v>3491</v>
      </c>
      <c r="J3259" s="2">
        <v>5.0</v>
      </c>
      <c r="K3259" s="23" t="s">
        <v>5832</v>
      </c>
      <c r="L3259" s="11">
        <v>0.0</v>
      </c>
      <c r="O3259" s="2" t="b">
        <v>0</v>
      </c>
    </row>
    <row r="3260" hidden="1">
      <c r="A3260" s="8" t="s">
        <v>2575</v>
      </c>
      <c r="B3260" s="8" t="s">
        <v>2575</v>
      </c>
      <c r="C3260" s="13">
        <v>46039.36342592593</v>
      </c>
      <c r="D3260" s="2" t="s">
        <v>1993</v>
      </c>
      <c r="E3260" s="2" t="s">
        <v>1994</v>
      </c>
      <c r="F3260" s="14" t="s">
        <v>4203</v>
      </c>
      <c r="G3260" s="14" t="s">
        <v>4204</v>
      </c>
      <c r="H3260" s="2" t="s">
        <v>24</v>
      </c>
      <c r="I3260" s="2" t="s">
        <v>3491</v>
      </c>
      <c r="J3260" s="2">
        <v>2.0</v>
      </c>
      <c r="K3260" s="23" t="s">
        <v>5833</v>
      </c>
      <c r="L3260" s="11">
        <v>0.0</v>
      </c>
      <c r="O3260" s="2" t="b">
        <v>0</v>
      </c>
    </row>
    <row r="3261" hidden="1">
      <c r="A3261" s="8" t="s">
        <v>2576</v>
      </c>
      <c r="B3261" s="8" t="s">
        <v>2576</v>
      </c>
      <c r="C3261" s="13">
        <v>46039.382569444446</v>
      </c>
      <c r="D3261" s="2" t="s">
        <v>2577</v>
      </c>
      <c r="E3261" s="2" t="s">
        <v>2578</v>
      </c>
      <c r="F3261" s="14" t="s">
        <v>4203</v>
      </c>
      <c r="G3261" s="14" t="s">
        <v>4204</v>
      </c>
      <c r="H3261" s="2" t="s">
        <v>16</v>
      </c>
      <c r="I3261" s="2" t="s">
        <v>3488</v>
      </c>
      <c r="J3261" s="2">
        <v>10.0</v>
      </c>
      <c r="K3261" s="23" t="s">
        <v>5834</v>
      </c>
      <c r="L3261" s="11">
        <v>58558.56</v>
      </c>
      <c r="O3261" s="2" t="b">
        <v>0</v>
      </c>
    </row>
    <row r="3262" hidden="1">
      <c r="A3262" s="8" t="s">
        <v>2580</v>
      </c>
      <c r="B3262" s="8" t="s">
        <v>2580</v>
      </c>
      <c r="C3262" s="13">
        <v>46039.38528935185</v>
      </c>
      <c r="D3262" s="2" t="s">
        <v>1371</v>
      </c>
      <c r="E3262" s="2" t="s">
        <v>1372</v>
      </c>
      <c r="F3262" s="14" t="s">
        <v>3486</v>
      </c>
      <c r="G3262" s="14" t="s">
        <v>3487</v>
      </c>
      <c r="H3262" s="2" t="s">
        <v>16</v>
      </c>
      <c r="I3262" s="2" t="s">
        <v>3488</v>
      </c>
      <c r="J3262" s="2">
        <v>2.0</v>
      </c>
      <c r="K3262" s="23" t="s">
        <v>5835</v>
      </c>
      <c r="L3262" s="11">
        <v>60000.0</v>
      </c>
      <c r="O3262" s="2" t="b">
        <v>0</v>
      </c>
    </row>
    <row r="3263" hidden="1">
      <c r="A3263" s="8" t="s">
        <v>2581</v>
      </c>
      <c r="B3263" s="8" t="s">
        <v>2581</v>
      </c>
      <c r="C3263" s="13">
        <v>46039.39275462963</v>
      </c>
      <c r="D3263" s="2" t="s">
        <v>309</v>
      </c>
      <c r="E3263" s="2" t="s">
        <v>310</v>
      </c>
      <c r="F3263" s="14" t="s">
        <v>3493</v>
      </c>
      <c r="G3263" s="14" t="s">
        <v>3494</v>
      </c>
      <c r="H3263" s="2" t="s">
        <v>16</v>
      </c>
      <c r="I3263" s="2" t="s">
        <v>3488</v>
      </c>
      <c r="J3263" s="2">
        <v>5.0</v>
      </c>
      <c r="K3263" s="12" t="s">
        <v>5836</v>
      </c>
      <c r="L3263" s="11">
        <v>200000.0</v>
      </c>
      <c r="O3263" s="2" t="b">
        <v>0</v>
      </c>
    </row>
    <row r="3264" hidden="1">
      <c r="A3264" s="8" t="s">
        <v>2582</v>
      </c>
      <c r="B3264" s="8" t="s">
        <v>2582</v>
      </c>
      <c r="C3264" s="13">
        <v>46039.49775462963</v>
      </c>
      <c r="D3264" s="2" t="s">
        <v>2270</v>
      </c>
      <c r="E3264" s="2" t="s">
        <v>2271</v>
      </c>
      <c r="F3264" s="14" t="s">
        <v>4203</v>
      </c>
      <c r="G3264" s="14" t="s">
        <v>4204</v>
      </c>
      <c r="H3264" s="2" t="s">
        <v>16</v>
      </c>
      <c r="I3264" s="2" t="s">
        <v>3488</v>
      </c>
      <c r="J3264" s="2">
        <v>1.0</v>
      </c>
      <c r="K3264" s="23" t="s">
        <v>5709</v>
      </c>
      <c r="L3264" s="11">
        <v>75000.0</v>
      </c>
      <c r="O3264" s="2" t="b">
        <v>0</v>
      </c>
    </row>
    <row r="3265" hidden="1">
      <c r="A3265" s="8" t="s">
        <v>2583</v>
      </c>
      <c r="B3265" s="8" t="s">
        <v>2583</v>
      </c>
      <c r="C3265" s="13">
        <v>46039.498020833336</v>
      </c>
      <c r="D3265" s="2" t="s">
        <v>1371</v>
      </c>
      <c r="E3265" s="2" t="s">
        <v>1372</v>
      </c>
      <c r="F3265" s="14" t="s">
        <v>3486</v>
      </c>
      <c r="G3265" s="14" t="s">
        <v>3487</v>
      </c>
      <c r="H3265" s="2" t="s">
        <v>16</v>
      </c>
      <c r="I3265" s="2" t="s">
        <v>3488</v>
      </c>
      <c r="J3265" s="2">
        <v>5.0</v>
      </c>
      <c r="K3265" s="23" t="s">
        <v>5837</v>
      </c>
      <c r="L3265" s="11">
        <v>60000.0</v>
      </c>
      <c r="O3265" s="2" t="b">
        <v>0</v>
      </c>
    </row>
    <row r="3266" hidden="1">
      <c r="A3266" s="8" t="s">
        <v>2584</v>
      </c>
      <c r="B3266" s="8" t="s">
        <v>2584</v>
      </c>
      <c r="C3266" s="13">
        <v>46039.49841435185</v>
      </c>
      <c r="D3266" s="2" t="s">
        <v>1228</v>
      </c>
      <c r="E3266" s="2" t="s">
        <v>1229</v>
      </c>
      <c r="F3266" s="14" t="s">
        <v>3493</v>
      </c>
      <c r="G3266" s="14" t="s">
        <v>3494</v>
      </c>
      <c r="H3266" s="2" t="s">
        <v>16</v>
      </c>
      <c r="I3266" s="2" t="s">
        <v>3488</v>
      </c>
      <c r="J3266" s="2">
        <v>1.0</v>
      </c>
      <c r="K3266" s="12" t="s">
        <v>5817</v>
      </c>
      <c r="L3266" s="11">
        <v>210000.0</v>
      </c>
      <c r="O3266" s="2" t="b">
        <v>0</v>
      </c>
    </row>
    <row r="3267" hidden="1">
      <c r="A3267" s="8" t="s">
        <v>2584</v>
      </c>
      <c r="B3267" s="8" t="s">
        <v>2584</v>
      </c>
      <c r="C3267" s="13">
        <v>46039.49841435185</v>
      </c>
      <c r="D3267" s="2" t="s">
        <v>1228</v>
      </c>
      <c r="E3267" s="2" t="s">
        <v>1229</v>
      </c>
      <c r="F3267" s="14" t="s">
        <v>3486</v>
      </c>
      <c r="G3267" s="14" t="s">
        <v>3487</v>
      </c>
      <c r="H3267" s="2" t="s">
        <v>16</v>
      </c>
      <c r="I3267" s="2" t="s">
        <v>3488</v>
      </c>
      <c r="J3267" s="2">
        <v>6.0</v>
      </c>
      <c r="K3267" s="23" t="s">
        <v>5838</v>
      </c>
      <c r="L3267" s="11">
        <v>55000.0</v>
      </c>
      <c r="O3267" s="2" t="b">
        <v>0</v>
      </c>
    </row>
    <row r="3268" hidden="1">
      <c r="A3268" s="8" t="s">
        <v>2585</v>
      </c>
      <c r="B3268" s="8" t="s">
        <v>2585</v>
      </c>
      <c r="C3268" s="13">
        <v>46039.50104166667</v>
      </c>
      <c r="D3268" s="2" t="s">
        <v>885</v>
      </c>
      <c r="E3268" s="2" t="s">
        <v>886</v>
      </c>
      <c r="F3268" s="14" t="s">
        <v>3522</v>
      </c>
      <c r="G3268" s="14" t="s">
        <v>3523</v>
      </c>
      <c r="H3268" s="2" t="s">
        <v>16</v>
      </c>
      <c r="I3268" s="2" t="s">
        <v>3488</v>
      </c>
      <c r="J3268" s="2">
        <v>2.0</v>
      </c>
      <c r="K3268" s="23" t="s">
        <v>5839</v>
      </c>
      <c r="L3268" s="11">
        <v>210000.0</v>
      </c>
      <c r="O3268" s="2" t="b">
        <v>0</v>
      </c>
    </row>
    <row r="3269" hidden="1">
      <c r="A3269" s="8" t="s">
        <v>2586</v>
      </c>
      <c r="B3269" s="8" t="s">
        <v>2586</v>
      </c>
      <c r="C3269" s="13">
        <v>46039.53392361111</v>
      </c>
      <c r="D3269" s="2" t="s">
        <v>1618</v>
      </c>
      <c r="E3269" s="2" t="s">
        <v>1619</v>
      </c>
      <c r="F3269" s="14" t="s">
        <v>3516</v>
      </c>
      <c r="G3269" s="14" t="s">
        <v>3517</v>
      </c>
      <c r="H3269" s="2" t="s">
        <v>16</v>
      </c>
      <c r="I3269" s="2" t="s">
        <v>3488</v>
      </c>
      <c r="J3269" s="2">
        <v>6.0</v>
      </c>
      <c r="K3269" s="23" t="s">
        <v>5840</v>
      </c>
      <c r="L3269" s="11">
        <v>190000.0</v>
      </c>
      <c r="O3269" s="2" t="b">
        <v>0</v>
      </c>
    </row>
    <row r="3270" hidden="1">
      <c r="A3270" s="8" t="s">
        <v>2587</v>
      </c>
      <c r="B3270" s="8" t="s">
        <v>2587</v>
      </c>
      <c r="C3270" s="13">
        <v>46039.58224537037</v>
      </c>
      <c r="D3270" s="2" t="s">
        <v>1776</v>
      </c>
      <c r="E3270" s="2" t="s">
        <v>1777</v>
      </c>
      <c r="F3270" s="14" t="s">
        <v>4203</v>
      </c>
      <c r="G3270" s="14" t="s">
        <v>4204</v>
      </c>
      <c r="H3270" s="2" t="s">
        <v>16</v>
      </c>
      <c r="I3270" s="2" t="s">
        <v>3488</v>
      </c>
      <c r="J3270" s="2">
        <v>1.0</v>
      </c>
      <c r="K3270" s="23" t="s">
        <v>4724</v>
      </c>
      <c r="L3270" s="11">
        <v>80000.0</v>
      </c>
      <c r="O3270" s="2" t="b">
        <v>0</v>
      </c>
    </row>
    <row r="3271" hidden="1">
      <c r="A3271" s="8" t="s">
        <v>2588</v>
      </c>
      <c r="B3271" s="8" t="s">
        <v>2588</v>
      </c>
      <c r="C3271" s="13">
        <v>46039.59584490741</v>
      </c>
      <c r="D3271" s="2" t="s">
        <v>309</v>
      </c>
      <c r="E3271" s="2" t="s">
        <v>310</v>
      </c>
      <c r="F3271" s="14" t="s">
        <v>4045</v>
      </c>
      <c r="G3271" s="14" t="s">
        <v>4046</v>
      </c>
      <c r="H3271" s="2" t="s">
        <v>24</v>
      </c>
      <c r="I3271" s="2" t="s">
        <v>3491</v>
      </c>
      <c r="J3271" s="2">
        <v>1.0</v>
      </c>
      <c r="K3271" s="12"/>
      <c r="L3271" s="11">
        <v>0.0</v>
      </c>
      <c r="O3271" s="2" t="b">
        <v>0</v>
      </c>
    </row>
    <row r="3272" hidden="1">
      <c r="A3272" s="8" t="s">
        <v>2589</v>
      </c>
      <c r="B3272" s="8" t="s">
        <v>2589</v>
      </c>
      <c r="C3272" s="13">
        <v>46039.59616898148</v>
      </c>
      <c r="D3272" s="2" t="s">
        <v>1371</v>
      </c>
      <c r="E3272" s="2" t="s">
        <v>1372</v>
      </c>
      <c r="F3272" s="14" t="s">
        <v>3486</v>
      </c>
      <c r="G3272" s="14" t="s">
        <v>3487</v>
      </c>
      <c r="H3272" s="2" t="s">
        <v>24</v>
      </c>
      <c r="I3272" s="2" t="s">
        <v>3491</v>
      </c>
      <c r="J3272" s="2">
        <v>2.0</v>
      </c>
      <c r="K3272" s="23" t="s">
        <v>5841</v>
      </c>
      <c r="L3272" s="11">
        <v>0.0</v>
      </c>
      <c r="O3272" s="2" t="b">
        <v>0</v>
      </c>
    </row>
    <row r="3273" hidden="1">
      <c r="A3273" s="8" t="s">
        <v>2590</v>
      </c>
      <c r="B3273" s="8" t="s">
        <v>2590</v>
      </c>
      <c r="C3273" s="13">
        <v>46041.34050925926</v>
      </c>
      <c r="D3273" s="2" t="s">
        <v>2150</v>
      </c>
      <c r="E3273" s="2" t="s">
        <v>2591</v>
      </c>
      <c r="F3273" s="14" t="s">
        <v>3493</v>
      </c>
      <c r="G3273" s="14" t="s">
        <v>3494</v>
      </c>
      <c r="H3273" s="2" t="s">
        <v>159</v>
      </c>
      <c r="I3273" s="2" t="s">
        <v>5402</v>
      </c>
      <c r="J3273" s="2">
        <v>3.0</v>
      </c>
      <c r="K3273" s="12"/>
      <c r="L3273" s="11">
        <v>0.0</v>
      </c>
      <c r="O3273" s="2" t="b">
        <v>0</v>
      </c>
    </row>
    <row r="3274" hidden="1">
      <c r="A3274" s="8" t="s">
        <v>2592</v>
      </c>
      <c r="B3274" s="8" t="s">
        <v>2592</v>
      </c>
      <c r="C3274" s="13">
        <v>46039.672268518516</v>
      </c>
      <c r="D3274" s="2" t="s">
        <v>2270</v>
      </c>
      <c r="E3274" s="2" t="s">
        <v>2271</v>
      </c>
      <c r="F3274" s="14" t="s">
        <v>3486</v>
      </c>
      <c r="G3274" s="14" t="s">
        <v>3487</v>
      </c>
      <c r="H3274" s="2" t="s">
        <v>24</v>
      </c>
      <c r="I3274" s="2" t="s">
        <v>3491</v>
      </c>
      <c r="J3274" s="2">
        <v>1.0</v>
      </c>
      <c r="K3274" s="23" t="s">
        <v>5842</v>
      </c>
      <c r="L3274" s="11">
        <v>0.0</v>
      </c>
      <c r="O3274" s="2" t="b">
        <v>0</v>
      </c>
    </row>
    <row r="3275" hidden="1">
      <c r="A3275" s="8" t="s">
        <v>2593</v>
      </c>
      <c r="B3275" s="8" t="s">
        <v>2593</v>
      </c>
      <c r="C3275" s="13">
        <v>46039.67254629629</v>
      </c>
      <c r="D3275" s="2" t="s">
        <v>1618</v>
      </c>
      <c r="E3275" s="2" t="s">
        <v>1619</v>
      </c>
      <c r="F3275" s="14" t="s">
        <v>3516</v>
      </c>
      <c r="G3275" s="14" t="s">
        <v>3517</v>
      </c>
      <c r="H3275" s="2" t="s">
        <v>24</v>
      </c>
      <c r="I3275" s="2" t="s">
        <v>3491</v>
      </c>
      <c r="J3275" s="2">
        <v>2.0</v>
      </c>
      <c r="K3275" s="23" t="s">
        <v>5843</v>
      </c>
      <c r="L3275" s="11">
        <v>0.0</v>
      </c>
      <c r="O3275" s="2" t="b">
        <v>0</v>
      </c>
    </row>
    <row r="3276" hidden="1">
      <c r="A3276" s="8" t="s">
        <v>2594</v>
      </c>
      <c r="B3276" s="8" t="s">
        <v>2594</v>
      </c>
      <c r="C3276" s="13">
        <v>46039.672997685186</v>
      </c>
      <c r="D3276" s="2" t="s">
        <v>885</v>
      </c>
      <c r="E3276" s="2" t="s">
        <v>886</v>
      </c>
      <c r="F3276" s="14" t="s">
        <v>3522</v>
      </c>
      <c r="G3276" s="14" t="s">
        <v>3523</v>
      </c>
      <c r="H3276" s="2" t="s">
        <v>24</v>
      </c>
      <c r="I3276" s="2" t="s">
        <v>3491</v>
      </c>
      <c r="J3276" s="2">
        <v>2.0</v>
      </c>
      <c r="K3276" s="23" t="s">
        <v>5844</v>
      </c>
      <c r="L3276" s="11">
        <v>0.0</v>
      </c>
      <c r="O3276" s="2" t="b">
        <v>0</v>
      </c>
    </row>
    <row r="3277" hidden="1">
      <c r="A3277" s="8" t="s">
        <v>2595</v>
      </c>
      <c r="B3277" s="8" t="s">
        <v>2595</v>
      </c>
      <c r="C3277" s="13">
        <v>46041.37489583333</v>
      </c>
      <c r="D3277" s="2" t="s">
        <v>1776</v>
      </c>
      <c r="E3277" s="2" t="s">
        <v>1777</v>
      </c>
      <c r="F3277" s="14" t="s">
        <v>4203</v>
      </c>
      <c r="G3277" s="14" t="s">
        <v>4204</v>
      </c>
      <c r="H3277" s="2" t="s">
        <v>24</v>
      </c>
      <c r="I3277" s="2" t="s">
        <v>3491</v>
      </c>
      <c r="J3277" s="2">
        <v>1.0</v>
      </c>
      <c r="K3277" s="23" t="s">
        <v>5556</v>
      </c>
      <c r="L3277" s="11">
        <v>0.0</v>
      </c>
      <c r="O3277" s="2" t="b">
        <v>0</v>
      </c>
    </row>
    <row r="3278" hidden="1">
      <c r="A3278" s="8" t="s">
        <v>2596</v>
      </c>
      <c r="B3278" s="8" t="s">
        <v>2596</v>
      </c>
      <c r="C3278" s="13">
        <v>46041.37520833333</v>
      </c>
      <c r="D3278" s="2" t="s">
        <v>1228</v>
      </c>
      <c r="E3278" s="2" t="s">
        <v>1229</v>
      </c>
      <c r="F3278" s="14" t="s">
        <v>3486</v>
      </c>
      <c r="G3278" s="14" t="s">
        <v>3487</v>
      </c>
      <c r="H3278" s="2" t="s">
        <v>24</v>
      </c>
      <c r="I3278" s="2" t="s">
        <v>3491</v>
      </c>
      <c r="J3278" s="2">
        <v>6.0</v>
      </c>
      <c r="K3278" s="23" t="s">
        <v>5845</v>
      </c>
      <c r="L3278" s="11">
        <v>0.0</v>
      </c>
      <c r="O3278" s="2" t="b">
        <v>0</v>
      </c>
    </row>
    <row r="3279" hidden="1">
      <c r="A3279" s="8" t="s">
        <v>2597</v>
      </c>
      <c r="B3279" s="8" t="s">
        <v>2597</v>
      </c>
      <c r="C3279" s="13">
        <v>46041.37664351852</v>
      </c>
      <c r="D3279" s="2" t="s">
        <v>786</v>
      </c>
      <c r="E3279" s="2" t="s">
        <v>787</v>
      </c>
      <c r="F3279" s="14" t="s">
        <v>3486</v>
      </c>
      <c r="G3279" s="14" t="s">
        <v>3487</v>
      </c>
      <c r="H3279" s="2" t="s">
        <v>16</v>
      </c>
      <c r="I3279" s="2" t="s">
        <v>3488</v>
      </c>
      <c r="J3279" s="2">
        <v>7.0</v>
      </c>
      <c r="K3279" s="23" t="s">
        <v>5846</v>
      </c>
      <c r="L3279" s="11">
        <v>60000.0</v>
      </c>
      <c r="O3279" s="2" t="b">
        <v>0</v>
      </c>
    </row>
    <row r="3280" hidden="1">
      <c r="A3280" s="8" t="s">
        <v>2597</v>
      </c>
      <c r="B3280" s="8" t="s">
        <v>2597</v>
      </c>
      <c r="C3280" s="13">
        <v>46041.37664351852</v>
      </c>
      <c r="D3280" s="2" t="s">
        <v>786</v>
      </c>
      <c r="E3280" s="2" t="s">
        <v>787</v>
      </c>
      <c r="F3280" s="14" t="s">
        <v>3516</v>
      </c>
      <c r="G3280" s="14" t="s">
        <v>3517</v>
      </c>
      <c r="H3280" s="2" t="s">
        <v>16</v>
      </c>
      <c r="I3280" s="2" t="s">
        <v>3488</v>
      </c>
      <c r="J3280" s="2">
        <v>4.0</v>
      </c>
      <c r="K3280" s="23" t="s">
        <v>5847</v>
      </c>
      <c r="L3280" s="11">
        <v>180000.0</v>
      </c>
      <c r="O3280" s="2" t="b">
        <v>0</v>
      </c>
    </row>
    <row r="3281" hidden="1">
      <c r="A3281" s="8" t="s">
        <v>2598</v>
      </c>
      <c r="B3281" s="8" t="s">
        <v>2598</v>
      </c>
      <c r="C3281" s="13">
        <v>46041.37875</v>
      </c>
      <c r="D3281" s="2" t="s">
        <v>904</v>
      </c>
      <c r="E3281" s="2" t="s">
        <v>905</v>
      </c>
      <c r="F3281" s="14" t="s">
        <v>4203</v>
      </c>
      <c r="G3281" s="14" t="s">
        <v>4204</v>
      </c>
      <c r="H3281" s="2" t="s">
        <v>16</v>
      </c>
      <c r="I3281" s="2" t="s">
        <v>3488</v>
      </c>
      <c r="J3281" s="2">
        <v>3.0</v>
      </c>
      <c r="K3281" s="23" t="s">
        <v>5848</v>
      </c>
      <c r="L3281" s="11">
        <v>70000.0</v>
      </c>
      <c r="O3281" s="2" t="b">
        <v>0</v>
      </c>
    </row>
    <row r="3282" hidden="1">
      <c r="A3282" s="8" t="s">
        <v>2599</v>
      </c>
      <c r="B3282" s="8" t="s">
        <v>2599</v>
      </c>
      <c r="C3282" s="13">
        <v>46041.59645833333</v>
      </c>
      <c r="D3282" s="2" t="s">
        <v>904</v>
      </c>
      <c r="E3282" s="2" t="s">
        <v>905</v>
      </c>
      <c r="F3282" s="14" t="s">
        <v>4203</v>
      </c>
      <c r="G3282" s="14" t="s">
        <v>4204</v>
      </c>
      <c r="H3282" s="2" t="s">
        <v>24</v>
      </c>
      <c r="I3282" s="2" t="s">
        <v>3491</v>
      </c>
      <c r="J3282" s="2">
        <v>3.0</v>
      </c>
      <c r="K3282" s="23" t="s">
        <v>5849</v>
      </c>
      <c r="L3282" s="11">
        <v>0.0</v>
      </c>
      <c r="O3282" s="2" t="b">
        <v>0</v>
      </c>
    </row>
    <row r="3283" hidden="1">
      <c r="A3283" s="8" t="s">
        <v>2599</v>
      </c>
      <c r="B3283" s="8" t="s">
        <v>2599</v>
      </c>
      <c r="C3283" s="13">
        <v>46041.59645833333</v>
      </c>
      <c r="D3283" s="2" t="s">
        <v>904</v>
      </c>
      <c r="E3283" s="2" t="s">
        <v>905</v>
      </c>
      <c r="F3283" s="14" t="s">
        <v>3486</v>
      </c>
      <c r="G3283" s="14" t="s">
        <v>3487</v>
      </c>
      <c r="H3283" s="2" t="s">
        <v>24</v>
      </c>
      <c r="I3283" s="2" t="s">
        <v>3491</v>
      </c>
      <c r="J3283" s="2">
        <v>1.0</v>
      </c>
      <c r="K3283" s="23" t="s">
        <v>5850</v>
      </c>
      <c r="L3283" s="11">
        <v>0.0</v>
      </c>
      <c r="O3283" s="2" t="b">
        <v>0</v>
      </c>
    </row>
    <row r="3284" hidden="1">
      <c r="A3284" s="8" t="s">
        <v>2600</v>
      </c>
      <c r="B3284" s="8" t="s">
        <v>2600</v>
      </c>
      <c r="C3284" s="13">
        <v>46041.5990625</v>
      </c>
      <c r="D3284" s="2" t="s">
        <v>2131</v>
      </c>
      <c r="E3284" s="2" t="s">
        <v>2171</v>
      </c>
      <c r="F3284" s="14" t="s">
        <v>3486</v>
      </c>
      <c r="G3284" s="14" t="s">
        <v>3487</v>
      </c>
      <c r="H3284" s="2" t="s">
        <v>24</v>
      </c>
      <c r="I3284" s="2" t="s">
        <v>3491</v>
      </c>
      <c r="J3284" s="2">
        <v>10.0</v>
      </c>
      <c r="K3284" s="23" t="s">
        <v>5851</v>
      </c>
      <c r="L3284" s="11">
        <v>0.0</v>
      </c>
      <c r="O3284" s="2" t="b">
        <v>0</v>
      </c>
    </row>
    <row r="3285" hidden="1">
      <c r="A3285" s="8" t="s">
        <v>2601</v>
      </c>
      <c r="B3285" s="8" t="s">
        <v>2601</v>
      </c>
      <c r="C3285" s="13">
        <v>46041.60016203704</v>
      </c>
      <c r="D3285" s="2" t="s">
        <v>786</v>
      </c>
      <c r="E3285" s="2" t="s">
        <v>787</v>
      </c>
      <c r="F3285" s="14" t="s">
        <v>3516</v>
      </c>
      <c r="G3285" s="14" t="s">
        <v>3517</v>
      </c>
      <c r="H3285" s="2" t="s">
        <v>24</v>
      </c>
      <c r="I3285" s="2" t="s">
        <v>3491</v>
      </c>
      <c r="J3285" s="2">
        <v>5.0</v>
      </c>
      <c r="K3285" s="23" t="s">
        <v>5852</v>
      </c>
      <c r="L3285" s="11">
        <v>0.0</v>
      </c>
      <c r="O3285" s="2" t="b">
        <v>0</v>
      </c>
    </row>
    <row r="3286" hidden="1">
      <c r="A3286" s="8" t="s">
        <v>2601</v>
      </c>
      <c r="B3286" s="8" t="s">
        <v>2601</v>
      </c>
      <c r="C3286" s="13">
        <v>46041.60016203704</v>
      </c>
      <c r="D3286" s="2" t="s">
        <v>786</v>
      </c>
      <c r="E3286" s="2" t="s">
        <v>787</v>
      </c>
      <c r="F3286" s="14" t="s">
        <v>3486</v>
      </c>
      <c r="G3286" s="14" t="s">
        <v>3487</v>
      </c>
      <c r="H3286" s="2" t="s">
        <v>24</v>
      </c>
      <c r="I3286" s="2" t="s">
        <v>3491</v>
      </c>
      <c r="J3286" s="2">
        <v>6.0</v>
      </c>
      <c r="K3286" s="23" t="s">
        <v>5853</v>
      </c>
      <c r="L3286" s="11">
        <v>0.0</v>
      </c>
      <c r="O3286" s="2" t="b">
        <v>0</v>
      </c>
    </row>
    <row r="3287" hidden="1">
      <c r="A3287" s="8" t="s">
        <v>2602</v>
      </c>
      <c r="B3287" s="8" t="s">
        <v>2602</v>
      </c>
      <c r="C3287" s="13">
        <v>46041.62751157407</v>
      </c>
      <c r="D3287" s="2" t="s">
        <v>1993</v>
      </c>
      <c r="E3287" s="2" t="s">
        <v>1994</v>
      </c>
      <c r="F3287" s="14" t="s">
        <v>3493</v>
      </c>
      <c r="G3287" s="14" t="s">
        <v>3494</v>
      </c>
      <c r="H3287" s="2" t="s">
        <v>16</v>
      </c>
      <c r="I3287" s="2" t="s">
        <v>3488</v>
      </c>
      <c r="J3287" s="2">
        <v>2.0</v>
      </c>
      <c r="K3287" s="12" t="s">
        <v>5815</v>
      </c>
      <c r="L3287" s="11">
        <v>200000.0</v>
      </c>
      <c r="O3287" s="2" t="b">
        <v>0</v>
      </c>
    </row>
    <row r="3288" hidden="1">
      <c r="A3288" s="8" t="s">
        <v>2588</v>
      </c>
      <c r="B3288" s="8" t="s">
        <v>2588</v>
      </c>
      <c r="C3288" s="13">
        <v>46039.59584490741</v>
      </c>
      <c r="D3288" s="2" t="s">
        <v>309</v>
      </c>
      <c r="E3288" s="2" t="s">
        <v>310</v>
      </c>
      <c r="F3288" s="14" t="s">
        <v>3493</v>
      </c>
      <c r="G3288" s="14" t="s">
        <v>3494</v>
      </c>
      <c r="H3288" s="2" t="s">
        <v>24</v>
      </c>
      <c r="I3288" s="2" t="s">
        <v>3491</v>
      </c>
      <c r="J3288" s="2">
        <v>5.0</v>
      </c>
      <c r="K3288" s="12" t="s">
        <v>5836</v>
      </c>
      <c r="L3288" s="11">
        <v>0.0</v>
      </c>
      <c r="O3288" s="2" t="b">
        <v>0</v>
      </c>
    </row>
    <row r="3289" hidden="1">
      <c r="A3289" s="8" t="s">
        <v>2603</v>
      </c>
      <c r="B3289" s="8" t="s">
        <v>2603</v>
      </c>
      <c r="C3289" s="13">
        <v>46041.64635416667</v>
      </c>
      <c r="D3289" s="2" t="s">
        <v>1993</v>
      </c>
      <c r="E3289" s="2" t="s">
        <v>1994</v>
      </c>
      <c r="F3289" s="14" t="s">
        <v>3516</v>
      </c>
      <c r="G3289" s="14" t="s">
        <v>3517</v>
      </c>
      <c r="H3289" s="2" t="s">
        <v>16</v>
      </c>
      <c r="I3289" s="2" t="s">
        <v>3488</v>
      </c>
      <c r="J3289" s="2">
        <v>1.0</v>
      </c>
      <c r="K3289" s="23" t="s">
        <v>4941</v>
      </c>
      <c r="L3289" s="11">
        <v>190000.0</v>
      </c>
      <c r="O3289" s="2" t="b">
        <v>0</v>
      </c>
    </row>
    <row r="3290" hidden="1">
      <c r="A3290" s="8" t="s">
        <v>2603</v>
      </c>
      <c r="B3290" s="8" t="s">
        <v>2603</v>
      </c>
      <c r="C3290" s="13">
        <v>46041.64635416667</v>
      </c>
      <c r="D3290" s="2" t="s">
        <v>1993</v>
      </c>
      <c r="E3290" s="2" t="s">
        <v>1994</v>
      </c>
      <c r="F3290" s="14" t="s">
        <v>3486</v>
      </c>
      <c r="G3290" s="14" t="s">
        <v>3487</v>
      </c>
      <c r="H3290" s="2" t="s">
        <v>16</v>
      </c>
      <c r="I3290" s="2" t="s">
        <v>3488</v>
      </c>
      <c r="J3290" s="2">
        <v>4.0</v>
      </c>
      <c r="K3290" s="23" t="s">
        <v>5854</v>
      </c>
      <c r="L3290" s="11">
        <v>65000.0</v>
      </c>
      <c r="O3290" s="2" t="b">
        <v>0</v>
      </c>
    </row>
    <row r="3291" hidden="1">
      <c r="A3291" s="8" t="s">
        <v>2604</v>
      </c>
      <c r="B3291" s="8" t="s">
        <v>2604</v>
      </c>
      <c r="C3291" s="13">
        <v>46041.67884259259</v>
      </c>
      <c r="D3291" s="2" t="s">
        <v>1993</v>
      </c>
      <c r="E3291" s="2" t="s">
        <v>1994</v>
      </c>
      <c r="F3291" s="14" t="s">
        <v>3493</v>
      </c>
      <c r="G3291" s="14" t="s">
        <v>3494</v>
      </c>
      <c r="H3291" s="2" t="s">
        <v>24</v>
      </c>
      <c r="I3291" s="2" t="s">
        <v>3491</v>
      </c>
      <c r="J3291" s="2">
        <v>2.0</v>
      </c>
      <c r="K3291" s="12" t="s">
        <v>5807</v>
      </c>
      <c r="L3291" s="11">
        <v>0.0</v>
      </c>
      <c r="O3291" s="2" t="b">
        <v>0</v>
      </c>
    </row>
    <row r="3292" hidden="1">
      <c r="A3292" s="8" t="s">
        <v>2604</v>
      </c>
      <c r="B3292" s="8" t="s">
        <v>2604</v>
      </c>
      <c r="C3292" s="13">
        <v>46041.67884259259</v>
      </c>
      <c r="D3292" s="2" t="s">
        <v>1993</v>
      </c>
      <c r="E3292" s="2" t="s">
        <v>1994</v>
      </c>
      <c r="F3292" s="14" t="s">
        <v>3516</v>
      </c>
      <c r="G3292" s="14" t="s">
        <v>3517</v>
      </c>
      <c r="H3292" s="2" t="s">
        <v>24</v>
      </c>
      <c r="I3292" s="2" t="s">
        <v>3491</v>
      </c>
      <c r="J3292" s="2">
        <v>2.0</v>
      </c>
      <c r="K3292" s="23" t="s">
        <v>5855</v>
      </c>
      <c r="L3292" s="11">
        <v>0.0</v>
      </c>
      <c r="O3292" s="2" t="b">
        <v>0</v>
      </c>
    </row>
    <row r="3293" hidden="1">
      <c r="A3293" s="8" t="s">
        <v>2604</v>
      </c>
      <c r="B3293" s="8" t="s">
        <v>2604</v>
      </c>
      <c r="C3293" s="13">
        <v>46041.67884259259</v>
      </c>
      <c r="D3293" s="2" t="s">
        <v>1993</v>
      </c>
      <c r="E3293" s="2" t="s">
        <v>1994</v>
      </c>
      <c r="F3293" s="14" t="s">
        <v>3486</v>
      </c>
      <c r="G3293" s="14" t="s">
        <v>3487</v>
      </c>
      <c r="H3293" s="2" t="s">
        <v>24</v>
      </c>
      <c r="I3293" s="2" t="s">
        <v>3491</v>
      </c>
      <c r="J3293" s="2">
        <v>4.0</v>
      </c>
      <c r="K3293" s="23" t="s">
        <v>5856</v>
      </c>
      <c r="L3293" s="11">
        <v>0.0</v>
      </c>
      <c r="O3293" s="2" t="b">
        <v>0</v>
      </c>
    </row>
    <row r="3294" hidden="1">
      <c r="A3294" s="8" t="s">
        <v>2605</v>
      </c>
      <c r="B3294" s="8" t="s">
        <v>2605</v>
      </c>
      <c r="C3294" s="13">
        <v>46042.37199074074</v>
      </c>
      <c r="D3294" s="2" t="s">
        <v>2005</v>
      </c>
      <c r="E3294" s="2" t="s">
        <v>2006</v>
      </c>
      <c r="F3294" s="14" t="s">
        <v>3493</v>
      </c>
      <c r="G3294" s="14" t="s">
        <v>3494</v>
      </c>
      <c r="H3294" s="2" t="s">
        <v>16</v>
      </c>
      <c r="I3294" s="2" t="s">
        <v>3488</v>
      </c>
      <c r="J3294" s="2">
        <v>1.0</v>
      </c>
      <c r="K3294" s="12" t="s">
        <v>5857</v>
      </c>
      <c r="L3294" s="11">
        <v>215000.0</v>
      </c>
      <c r="O3294" s="2" t="b">
        <v>0</v>
      </c>
    </row>
    <row r="3295" hidden="1">
      <c r="A3295" s="8" t="s">
        <v>2605</v>
      </c>
      <c r="B3295" s="8" t="s">
        <v>2605</v>
      </c>
      <c r="C3295" s="13">
        <v>46042.37199074074</v>
      </c>
      <c r="D3295" s="2" t="s">
        <v>2005</v>
      </c>
      <c r="E3295" s="2" t="s">
        <v>2006</v>
      </c>
      <c r="F3295" s="14" t="s">
        <v>3486</v>
      </c>
      <c r="G3295" s="14" t="s">
        <v>3487</v>
      </c>
      <c r="H3295" s="2" t="s">
        <v>16</v>
      </c>
      <c r="I3295" s="2" t="s">
        <v>3488</v>
      </c>
      <c r="J3295" s="2">
        <v>10.0</v>
      </c>
      <c r="K3295" s="23" t="s">
        <v>5858</v>
      </c>
      <c r="L3295" s="11">
        <v>60000.0</v>
      </c>
      <c r="O3295" s="2" t="b">
        <v>0</v>
      </c>
    </row>
    <row r="3296" hidden="1">
      <c r="A3296" s="8" t="s">
        <v>2606</v>
      </c>
      <c r="B3296" s="8" t="s">
        <v>2606</v>
      </c>
      <c r="C3296" s="13">
        <v>46042.375763888886</v>
      </c>
      <c r="D3296" s="2" t="s">
        <v>1975</v>
      </c>
      <c r="E3296" s="2" t="s">
        <v>1976</v>
      </c>
      <c r="F3296" s="14" t="s">
        <v>3486</v>
      </c>
      <c r="G3296" s="14" t="s">
        <v>3487</v>
      </c>
      <c r="H3296" s="2" t="s">
        <v>16</v>
      </c>
      <c r="I3296" s="2" t="s">
        <v>3488</v>
      </c>
      <c r="J3296" s="2">
        <v>10.0</v>
      </c>
      <c r="K3296" s="23" t="s">
        <v>5859</v>
      </c>
      <c r="L3296" s="11">
        <v>60000.0</v>
      </c>
      <c r="O3296" s="2" t="b">
        <v>0</v>
      </c>
    </row>
    <row r="3297" hidden="1">
      <c r="A3297" s="8" t="s">
        <v>2607</v>
      </c>
      <c r="B3297" s="8" t="s">
        <v>2607</v>
      </c>
      <c r="C3297" s="13">
        <v>46042.38454861111</v>
      </c>
      <c r="D3297" s="2" t="s">
        <v>55</v>
      </c>
      <c r="E3297" s="2" t="s">
        <v>56</v>
      </c>
      <c r="F3297" s="14" t="s">
        <v>3516</v>
      </c>
      <c r="G3297" s="14" t="s">
        <v>3517</v>
      </c>
      <c r="H3297" s="2" t="s">
        <v>159</v>
      </c>
      <c r="I3297" s="2" t="s">
        <v>3619</v>
      </c>
      <c r="J3297" s="2">
        <v>1.0</v>
      </c>
      <c r="K3297" s="23" t="s">
        <v>5331</v>
      </c>
      <c r="L3297" s="11">
        <v>0.0</v>
      </c>
      <c r="O3297" s="2" t="b">
        <v>0</v>
      </c>
    </row>
    <row r="3298" hidden="1">
      <c r="A3298" s="8" t="s">
        <v>2608</v>
      </c>
      <c r="B3298" s="8" t="s">
        <v>2608</v>
      </c>
      <c r="C3298" s="13">
        <v>46042.466099537036</v>
      </c>
      <c r="D3298" s="2" t="s">
        <v>1889</v>
      </c>
      <c r="E3298" s="2" t="s">
        <v>1890</v>
      </c>
      <c r="F3298" s="14" t="s">
        <v>3486</v>
      </c>
      <c r="G3298" s="14" t="s">
        <v>3487</v>
      </c>
      <c r="H3298" s="2" t="s">
        <v>16</v>
      </c>
      <c r="I3298" s="2" t="s">
        <v>3488</v>
      </c>
      <c r="J3298" s="2">
        <v>2.0</v>
      </c>
      <c r="K3298" s="23" t="s">
        <v>5860</v>
      </c>
      <c r="L3298" s="11">
        <v>60000.0</v>
      </c>
      <c r="O3298" s="2" t="b">
        <v>0</v>
      </c>
    </row>
    <row r="3299" hidden="1">
      <c r="A3299" s="8" t="s">
        <v>2609</v>
      </c>
      <c r="B3299" s="8" t="s">
        <v>2609</v>
      </c>
      <c r="C3299" s="13">
        <v>46042.46690972222</v>
      </c>
      <c r="D3299" s="2" t="s">
        <v>1756</v>
      </c>
      <c r="E3299" s="2" t="s">
        <v>1757</v>
      </c>
      <c r="F3299" s="14" t="s">
        <v>3486</v>
      </c>
      <c r="G3299" s="14" t="s">
        <v>3487</v>
      </c>
      <c r="H3299" s="2" t="s">
        <v>16</v>
      </c>
      <c r="I3299" s="2" t="s">
        <v>3488</v>
      </c>
      <c r="J3299" s="2">
        <v>2.0</v>
      </c>
      <c r="K3299" s="23" t="s">
        <v>5861</v>
      </c>
      <c r="L3299" s="11">
        <v>65000.0</v>
      </c>
      <c r="O3299" s="2" t="b">
        <v>0</v>
      </c>
    </row>
    <row r="3300" hidden="1">
      <c r="A3300" s="8" t="s">
        <v>2610</v>
      </c>
      <c r="B3300" s="8" t="s">
        <v>2610</v>
      </c>
      <c r="C3300" s="13">
        <v>46042.473275462966</v>
      </c>
      <c r="D3300" s="2" t="s">
        <v>2005</v>
      </c>
      <c r="E3300" s="2" t="s">
        <v>2006</v>
      </c>
      <c r="F3300" s="14" t="s">
        <v>4203</v>
      </c>
      <c r="G3300" s="14" t="s">
        <v>4204</v>
      </c>
      <c r="H3300" s="2" t="s">
        <v>24</v>
      </c>
      <c r="I3300" s="2" t="s">
        <v>3491</v>
      </c>
      <c r="J3300" s="2">
        <v>1.0</v>
      </c>
      <c r="K3300" s="23" t="s">
        <v>5862</v>
      </c>
      <c r="L3300" s="11">
        <v>0.0</v>
      </c>
      <c r="O3300" s="2" t="b">
        <v>0</v>
      </c>
    </row>
    <row r="3301" hidden="1">
      <c r="A3301" s="8" t="s">
        <v>2611</v>
      </c>
      <c r="B3301" s="8" t="s">
        <v>2611</v>
      </c>
      <c r="C3301" s="13">
        <v>46042.53135416667</v>
      </c>
      <c r="D3301" s="2" t="s">
        <v>1975</v>
      </c>
      <c r="E3301" s="2" t="s">
        <v>1976</v>
      </c>
      <c r="F3301" s="14" t="s">
        <v>3486</v>
      </c>
      <c r="G3301" s="14" t="s">
        <v>3487</v>
      </c>
      <c r="H3301" s="2" t="s">
        <v>24</v>
      </c>
      <c r="I3301" s="2" t="s">
        <v>3491</v>
      </c>
      <c r="J3301" s="2">
        <v>2.0</v>
      </c>
      <c r="K3301" s="23" t="s">
        <v>5863</v>
      </c>
      <c r="L3301" s="11">
        <v>0.0</v>
      </c>
      <c r="O3301" s="2" t="b">
        <v>0</v>
      </c>
    </row>
    <row r="3302" hidden="1">
      <c r="A3302" s="8" t="s">
        <v>2611</v>
      </c>
      <c r="B3302" s="8" t="s">
        <v>2611</v>
      </c>
      <c r="C3302" s="13">
        <v>46042.53135416667</v>
      </c>
      <c r="D3302" s="2" t="s">
        <v>1975</v>
      </c>
      <c r="E3302" s="2" t="s">
        <v>1976</v>
      </c>
      <c r="F3302" s="14" t="s">
        <v>4203</v>
      </c>
      <c r="G3302" s="14" t="s">
        <v>4204</v>
      </c>
      <c r="H3302" s="2" t="s">
        <v>24</v>
      </c>
      <c r="I3302" s="2" t="s">
        <v>3491</v>
      </c>
      <c r="J3302" s="2">
        <v>4.0</v>
      </c>
      <c r="K3302" s="23" t="s">
        <v>5864</v>
      </c>
      <c r="L3302" s="11">
        <v>0.0</v>
      </c>
      <c r="O3302" s="2" t="b">
        <v>0</v>
      </c>
    </row>
    <row r="3303" hidden="1">
      <c r="A3303" s="8" t="s">
        <v>2612</v>
      </c>
      <c r="B3303" s="8" t="s">
        <v>2612</v>
      </c>
      <c r="C3303" s="13">
        <v>46042.532222222224</v>
      </c>
      <c r="D3303" s="2" t="s">
        <v>326</v>
      </c>
      <c r="E3303" s="2" t="s">
        <v>327</v>
      </c>
      <c r="F3303" s="14" t="s">
        <v>3486</v>
      </c>
      <c r="G3303" s="14" t="s">
        <v>3487</v>
      </c>
      <c r="H3303" s="2" t="s">
        <v>24</v>
      </c>
      <c r="I3303" s="2" t="s">
        <v>3491</v>
      </c>
      <c r="J3303" s="2">
        <v>3.0</v>
      </c>
      <c r="K3303" s="23" t="s">
        <v>5865</v>
      </c>
      <c r="L3303" s="11">
        <v>0.0</v>
      </c>
      <c r="O3303" s="2" t="b">
        <v>0</v>
      </c>
    </row>
    <row r="3304" hidden="1">
      <c r="A3304" s="8" t="s">
        <v>2612</v>
      </c>
      <c r="B3304" s="8" t="s">
        <v>2612</v>
      </c>
      <c r="C3304" s="13">
        <v>46042.532222222224</v>
      </c>
      <c r="D3304" s="2" t="s">
        <v>326</v>
      </c>
      <c r="E3304" s="2" t="s">
        <v>327</v>
      </c>
      <c r="F3304" s="14" t="s">
        <v>4203</v>
      </c>
      <c r="G3304" s="14" t="s">
        <v>4204</v>
      </c>
      <c r="H3304" s="2" t="s">
        <v>24</v>
      </c>
      <c r="I3304" s="2" t="s">
        <v>3491</v>
      </c>
      <c r="J3304" s="2">
        <v>3.0</v>
      </c>
      <c r="K3304" s="23" t="s">
        <v>5866</v>
      </c>
      <c r="L3304" s="11">
        <v>0.0</v>
      </c>
      <c r="O3304" s="2" t="b">
        <v>0</v>
      </c>
    </row>
    <row r="3305" hidden="1">
      <c r="A3305" s="8" t="s">
        <v>2613</v>
      </c>
      <c r="B3305" s="8" t="s">
        <v>2613</v>
      </c>
      <c r="C3305" s="13">
        <v>46042.57813657408</v>
      </c>
      <c r="D3305" s="2" t="s">
        <v>2543</v>
      </c>
      <c r="E3305" s="2" t="s">
        <v>2544</v>
      </c>
      <c r="F3305" s="14" t="s">
        <v>3516</v>
      </c>
      <c r="G3305" s="14" t="s">
        <v>3517</v>
      </c>
      <c r="H3305" s="2" t="s">
        <v>16</v>
      </c>
      <c r="I3305" s="2" t="s">
        <v>3488</v>
      </c>
      <c r="J3305" s="2">
        <v>3.0</v>
      </c>
      <c r="K3305" s="23" t="s">
        <v>5867</v>
      </c>
      <c r="L3305" s="11">
        <v>190000.0</v>
      </c>
      <c r="O3305" s="2" t="b">
        <v>0</v>
      </c>
    </row>
    <row r="3306" hidden="1">
      <c r="A3306" s="8" t="s">
        <v>2614</v>
      </c>
      <c r="B3306" s="8" t="s">
        <v>2614</v>
      </c>
      <c r="C3306" s="13">
        <v>46042.62614583333</v>
      </c>
      <c r="D3306" s="2" t="s">
        <v>49</v>
      </c>
      <c r="E3306" s="2" t="s">
        <v>50</v>
      </c>
      <c r="F3306" s="14" t="s">
        <v>3486</v>
      </c>
      <c r="G3306" s="14" t="s">
        <v>3487</v>
      </c>
      <c r="H3306" s="2" t="s">
        <v>24</v>
      </c>
      <c r="I3306" s="2" t="s">
        <v>3491</v>
      </c>
      <c r="J3306" s="2">
        <v>1.0</v>
      </c>
      <c r="K3306" s="23" t="s">
        <v>5868</v>
      </c>
      <c r="L3306" s="11">
        <v>0.0</v>
      </c>
      <c r="O3306" s="2" t="b">
        <v>0</v>
      </c>
    </row>
    <row r="3307" hidden="1">
      <c r="A3307" s="8" t="s">
        <v>2615</v>
      </c>
      <c r="B3307" s="8" t="s">
        <v>2615</v>
      </c>
      <c r="C3307" s="13">
        <v>46042.62648148148</v>
      </c>
      <c r="D3307" s="2" t="s">
        <v>1084</v>
      </c>
      <c r="E3307" s="2" t="s">
        <v>1085</v>
      </c>
      <c r="F3307" s="14" t="s">
        <v>4203</v>
      </c>
      <c r="G3307" s="14" t="s">
        <v>4204</v>
      </c>
      <c r="H3307" s="2" t="s">
        <v>24</v>
      </c>
      <c r="I3307" s="2" t="s">
        <v>3491</v>
      </c>
      <c r="J3307" s="2">
        <v>2.0</v>
      </c>
      <c r="K3307" s="23" t="s">
        <v>5869</v>
      </c>
      <c r="L3307" s="11">
        <v>0.0</v>
      </c>
      <c r="O3307" s="2" t="b">
        <v>0</v>
      </c>
    </row>
    <row r="3308" hidden="1">
      <c r="A3308" s="8" t="s">
        <v>2615</v>
      </c>
      <c r="B3308" s="8" t="s">
        <v>2615</v>
      </c>
      <c r="C3308" s="13">
        <v>46042.62648148148</v>
      </c>
      <c r="D3308" s="2" t="s">
        <v>1084</v>
      </c>
      <c r="E3308" s="2" t="s">
        <v>1085</v>
      </c>
      <c r="F3308" s="14" t="s">
        <v>3516</v>
      </c>
      <c r="G3308" s="14" t="s">
        <v>3517</v>
      </c>
      <c r="H3308" s="2" t="s">
        <v>24</v>
      </c>
      <c r="I3308" s="2" t="s">
        <v>3491</v>
      </c>
      <c r="J3308" s="2">
        <v>1.0</v>
      </c>
      <c r="K3308" s="23" t="s">
        <v>5649</v>
      </c>
      <c r="L3308" s="11">
        <v>0.0</v>
      </c>
      <c r="O3308" s="2" t="b">
        <v>0</v>
      </c>
    </row>
    <row r="3309" hidden="1">
      <c r="A3309" s="8" t="s">
        <v>2615</v>
      </c>
      <c r="B3309" s="8" t="s">
        <v>2615</v>
      </c>
      <c r="C3309" s="13">
        <v>46042.62648148148</v>
      </c>
      <c r="D3309" s="2" t="s">
        <v>1084</v>
      </c>
      <c r="E3309" s="2" t="s">
        <v>1085</v>
      </c>
      <c r="F3309" s="14" t="s">
        <v>3486</v>
      </c>
      <c r="G3309" s="14" t="s">
        <v>3487</v>
      </c>
      <c r="H3309" s="2" t="s">
        <v>24</v>
      </c>
      <c r="I3309" s="2" t="s">
        <v>3491</v>
      </c>
      <c r="J3309" s="2">
        <v>1.0</v>
      </c>
      <c r="K3309" s="23" t="s">
        <v>5870</v>
      </c>
      <c r="L3309" s="11">
        <v>0.0</v>
      </c>
      <c r="O3309" s="2" t="b">
        <v>1</v>
      </c>
    </row>
    <row r="3310" hidden="1">
      <c r="A3310" s="8" t="s">
        <v>2616</v>
      </c>
      <c r="B3310" s="8" t="s">
        <v>2616</v>
      </c>
      <c r="C3310" s="13">
        <v>46042.672789351855</v>
      </c>
      <c r="D3310" s="2" t="s">
        <v>786</v>
      </c>
      <c r="E3310" s="2" t="s">
        <v>787</v>
      </c>
      <c r="F3310" s="14" t="s">
        <v>3516</v>
      </c>
      <c r="G3310" s="14" t="s">
        <v>3517</v>
      </c>
      <c r="H3310" s="2" t="s">
        <v>24</v>
      </c>
      <c r="I3310" s="2" t="s">
        <v>3491</v>
      </c>
      <c r="J3310" s="2">
        <v>1.0</v>
      </c>
      <c r="K3310" s="23" t="s">
        <v>5871</v>
      </c>
      <c r="L3310" s="11">
        <v>0.0</v>
      </c>
      <c r="O3310" s="2" t="b">
        <v>0</v>
      </c>
    </row>
    <row r="3311" hidden="1">
      <c r="A3311" s="8" t="s">
        <v>2617</v>
      </c>
      <c r="B3311" s="8" t="s">
        <v>2617</v>
      </c>
      <c r="C3311" s="13">
        <v>46042.681550925925</v>
      </c>
      <c r="D3311" s="2" t="s">
        <v>1756</v>
      </c>
      <c r="E3311" s="2" t="s">
        <v>1757</v>
      </c>
      <c r="F3311" s="14" t="s">
        <v>3486</v>
      </c>
      <c r="G3311" s="14" t="s">
        <v>3487</v>
      </c>
      <c r="H3311" s="2" t="s">
        <v>24</v>
      </c>
      <c r="I3311" s="2" t="s">
        <v>3491</v>
      </c>
      <c r="J3311" s="2">
        <v>2.0</v>
      </c>
      <c r="K3311" s="23" t="s">
        <v>5872</v>
      </c>
      <c r="L3311" s="11">
        <v>0.0</v>
      </c>
      <c r="O3311" s="2" t="b">
        <v>1</v>
      </c>
    </row>
    <row r="3312" hidden="1">
      <c r="A3312" s="8" t="s">
        <v>2596</v>
      </c>
      <c r="B3312" s="8" t="s">
        <v>2596</v>
      </c>
      <c r="C3312" s="13">
        <v>46041.37520833333</v>
      </c>
      <c r="D3312" s="2" t="s">
        <v>1228</v>
      </c>
      <c r="E3312" s="2" t="s">
        <v>1229</v>
      </c>
      <c r="F3312" s="14" t="s">
        <v>3493</v>
      </c>
      <c r="G3312" s="14" t="s">
        <v>3494</v>
      </c>
      <c r="H3312" s="2" t="s">
        <v>24</v>
      </c>
      <c r="I3312" s="2" t="s">
        <v>3491</v>
      </c>
      <c r="J3312" s="2">
        <v>1.0</v>
      </c>
      <c r="K3312" s="12" t="s">
        <v>5817</v>
      </c>
      <c r="L3312" s="11">
        <v>0.0</v>
      </c>
      <c r="O3312" s="2" t="b">
        <v>0</v>
      </c>
    </row>
    <row r="3313" hidden="1">
      <c r="A3313" s="8" t="s">
        <v>2618</v>
      </c>
      <c r="B3313" s="8" t="s">
        <v>2618</v>
      </c>
      <c r="C3313" s="13">
        <v>46043.37229166667</v>
      </c>
      <c r="D3313" s="2" t="s">
        <v>309</v>
      </c>
      <c r="E3313" s="2" t="s">
        <v>310</v>
      </c>
      <c r="F3313" s="14" t="s">
        <v>4045</v>
      </c>
      <c r="G3313" s="14" t="s">
        <v>4046</v>
      </c>
      <c r="H3313" s="2" t="s">
        <v>16</v>
      </c>
      <c r="I3313" s="2" t="s">
        <v>3488</v>
      </c>
      <c r="J3313" s="2">
        <v>1.0</v>
      </c>
      <c r="K3313" s="12"/>
      <c r="L3313" s="11">
        <v>160000.0</v>
      </c>
      <c r="O3313" s="2" t="b">
        <v>0</v>
      </c>
    </row>
    <row r="3314" hidden="1">
      <c r="A3314" s="8" t="s">
        <v>2619</v>
      </c>
      <c r="B3314" s="8" t="s">
        <v>2619</v>
      </c>
      <c r="C3314" s="13">
        <v>46043.39255787037</v>
      </c>
      <c r="D3314" s="2" t="s">
        <v>786</v>
      </c>
      <c r="E3314" s="2" t="s">
        <v>787</v>
      </c>
      <c r="F3314" s="14" t="s">
        <v>3486</v>
      </c>
      <c r="G3314" s="14" t="s">
        <v>3487</v>
      </c>
      <c r="H3314" s="2" t="s">
        <v>16</v>
      </c>
      <c r="I3314" s="2" t="s">
        <v>3488</v>
      </c>
      <c r="J3314" s="2">
        <v>7.0</v>
      </c>
      <c r="K3314" s="23" t="s">
        <v>5873</v>
      </c>
      <c r="L3314" s="11">
        <v>60000.0</v>
      </c>
      <c r="O3314" s="2" t="b">
        <v>0</v>
      </c>
    </row>
    <row r="3315" hidden="1">
      <c r="A3315" s="8" t="s">
        <v>2619</v>
      </c>
      <c r="B3315" s="8" t="s">
        <v>2619</v>
      </c>
      <c r="C3315" s="13">
        <v>46043.39255787037</v>
      </c>
      <c r="D3315" s="2" t="s">
        <v>786</v>
      </c>
      <c r="E3315" s="2" t="s">
        <v>787</v>
      </c>
      <c r="F3315" s="14" t="s">
        <v>3516</v>
      </c>
      <c r="G3315" s="14" t="s">
        <v>3517</v>
      </c>
      <c r="H3315" s="2" t="s">
        <v>16</v>
      </c>
      <c r="I3315" s="2" t="s">
        <v>3488</v>
      </c>
      <c r="J3315" s="2">
        <v>3.0</v>
      </c>
      <c r="K3315" s="23" t="s">
        <v>5874</v>
      </c>
      <c r="L3315" s="11">
        <v>180000.0</v>
      </c>
      <c r="O3315" s="2" t="b">
        <v>0</v>
      </c>
    </row>
    <row r="3316" hidden="1">
      <c r="A3316" s="8" t="s">
        <v>2620</v>
      </c>
      <c r="B3316" s="8" t="s">
        <v>2620</v>
      </c>
      <c r="C3316" s="13">
        <v>46043.498402777775</v>
      </c>
      <c r="D3316" s="2" t="s">
        <v>1203</v>
      </c>
      <c r="E3316" s="2" t="s">
        <v>1204</v>
      </c>
      <c r="F3316" s="14" t="s">
        <v>3547</v>
      </c>
      <c r="G3316" s="14" t="s">
        <v>3548</v>
      </c>
      <c r="H3316" s="2" t="s">
        <v>16</v>
      </c>
      <c r="I3316" s="2" t="s">
        <v>3488</v>
      </c>
      <c r="J3316" s="2">
        <v>3.0</v>
      </c>
      <c r="K3316" s="12" t="s">
        <v>5875</v>
      </c>
      <c r="L3316" s="11">
        <v>900000.0</v>
      </c>
      <c r="O3316" s="2" t="b">
        <v>0</v>
      </c>
    </row>
    <row r="3317" hidden="1">
      <c r="A3317" s="8" t="s">
        <v>2621</v>
      </c>
      <c r="B3317" s="8" t="s">
        <v>2621</v>
      </c>
      <c r="C3317" s="13">
        <v>46043.50679398148</v>
      </c>
      <c r="D3317" s="2" t="s">
        <v>951</v>
      </c>
      <c r="E3317" s="2" t="s">
        <v>952</v>
      </c>
      <c r="F3317" s="14" t="s">
        <v>3486</v>
      </c>
      <c r="G3317" s="14" t="s">
        <v>3487</v>
      </c>
      <c r="H3317" s="2" t="s">
        <v>16</v>
      </c>
      <c r="I3317" s="2" t="s">
        <v>3488</v>
      </c>
      <c r="J3317" s="2">
        <v>4.0</v>
      </c>
      <c r="K3317" s="23" t="s">
        <v>5876</v>
      </c>
      <c r="L3317" s="11">
        <v>55000.0</v>
      </c>
      <c r="O3317" s="2" t="b">
        <v>0</v>
      </c>
    </row>
    <row r="3318" hidden="1">
      <c r="A3318" s="8" t="s">
        <v>2622</v>
      </c>
      <c r="B3318" s="8" t="s">
        <v>2622</v>
      </c>
      <c r="C3318" s="13">
        <v>46043.50753472222</v>
      </c>
      <c r="D3318" s="2" t="s">
        <v>2623</v>
      </c>
      <c r="E3318" s="2" t="s">
        <v>2624</v>
      </c>
      <c r="F3318" s="14" t="s">
        <v>4203</v>
      </c>
      <c r="G3318" s="14" t="s">
        <v>4204</v>
      </c>
      <c r="H3318" s="2" t="s">
        <v>16</v>
      </c>
      <c r="I3318" s="2" t="s">
        <v>3488</v>
      </c>
      <c r="J3318" s="2">
        <v>2.0</v>
      </c>
      <c r="K3318" s="23" t="s">
        <v>5877</v>
      </c>
      <c r="L3318" s="11">
        <v>70000.0</v>
      </c>
      <c r="O3318" s="2" t="b">
        <v>0</v>
      </c>
    </row>
    <row r="3319" hidden="1">
      <c r="A3319" s="8" t="s">
        <v>2626</v>
      </c>
      <c r="B3319" s="8" t="s">
        <v>2626</v>
      </c>
      <c r="C3319" s="13">
        <v>46043.50797453704</v>
      </c>
      <c r="D3319" s="2" t="s">
        <v>885</v>
      </c>
      <c r="E3319" s="2" t="s">
        <v>886</v>
      </c>
      <c r="F3319" s="14" t="s">
        <v>3522</v>
      </c>
      <c r="G3319" s="14" t="s">
        <v>3523</v>
      </c>
      <c r="H3319" s="2" t="s">
        <v>16</v>
      </c>
      <c r="I3319" s="2" t="s">
        <v>3488</v>
      </c>
      <c r="J3319" s="2">
        <v>3.0</v>
      </c>
      <c r="K3319" s="23" t="s">
        <v>5878</v>
      </c>
      <c r="L3319" s="11">
        <v>210000.0</v>
      </c>
      <c r="O3319" s="2" t="b">
        <v>0</v>
      </c>
    </row>
    <row r="3320">
      <c r="A3320" s="8" t="s">
        <v>2627</v>
      </c>
      <c r="B3320" s="8" t="s">
        <v>2627</v>
      </c>
      <c r="C3320" s="13">
        <v>46043.527407407404</v>
      </c>
      <c r="D3320" s="2" t="s">
        <v>45</v>
      </c>
      <c r="E3320" s="2" t="s">
        <v>46</v>
      </c>
      <c r="F3320" s="14" t="s">
        <v>3522</v>
      </c>
      <c r="G3320" s="14" t="s">
        <v>3523</v>
      </c>
      <c r="H3320" s="2" t="s">
        <v>24</v>
      </c>
      <c r="I3320" s="2" t="s">
        <v>3491</v>
      </c>
      <c r="J3320" s="2">
        <v>8.0</v>
      </c>
      <c r="K3320" s="23" t="s">
        <v>5879</v>
      </c>
      <c r="L3320" s="11">
        <v>0.0</v>
      </c>
      <c r="O3320" s="2" t="b">
        <v>0</v>
      </c>
    </row>
    <row r="3321">
      <c r="A3321" s="8" t="s">
        <v>2627</v>
      </c>
      <c r="B3321" s="8" t="s">
        <v>2627</v>
      </c>
      <c r="C3321" s="13">
        <v>46043.527407407404</v>
      </c>
      <c r="D3321" s="2" t="s">
        <v>45</v>
      </c>
      <c r="E3321" s="2" t="s">
        <v>46</v>
      </c>
      <c r="F3321" s="14" t="s">
        <v>4203</v>
      </c>
      <c r="G3321" s="14" t="s">
        <v>4204</v>
      </c>
      <c r="H3321" s="2" t="s">
        <v>24</v>
      </c>
      <c r="I3321" s="2" t="s">
        <v>3491</v>
      </c>
      <c r="J3321" s="2">
        <v>5.0</v>
      </c>
      <c r="K3321" s="23" t="s">
        <v>5880</v>
      </c>
      <c r="L3321" s="11">
        <v>0.0</v>
      </c>
      <c r="O3321" s="2" t="b">
        <v>0</v>
      </c>
    </row>
    <row r="3322">
      <c r="A3322" s="8" t="s">
        <v>2627</v>
      </c>
      <c r="B3322" s="8" t="s">
        <v>2627</v>
      </c>
      <c r="C3322" s="13">
        <v>46043.527407407404</v>
      </c>
      <c r="D3322" s="2" t="s">
        <v>45</v>
      </c>
      <c r="E3322" s="2" t="s">
        <v>46</v>
      </c>
      <c r="F3322" s="14" t="s">
        <v>3486</v>
      </c>
      <c r="G3322" s="14" t="s">
        <v>3487</v>
      </c>
      <c r="H3322" s="2" t="s">
        <v>24</v>
      </c>
      <c r="I3322" s="2" t="s">
        <v>3491</v>
      </c>
      <c r="J3322" s="2">
        <v>1.0</v>
      </c>
      <c r="K3322" s="23" t="s">
        <v>4842</v>
      </c>
      <c r="L3322" s="11">
        <v>0.0</v>
      </c>
      <c r="O3322" s="2" t="b">
        <v>0</v>
      </c>
    </row>
    <row r="3323">
      <c r="A3323" s="8" t="s">
        <v>2627</v>
      </c>
      <c r="B3323" s="8" t="s">
        <v>2627</v>
      </c>
      <c r="C3323" s="13">
        <v>46043.527407407404</v>
      </c>
      <c r="D3323" s="2" t="s">
        <v>45</v>
      </c>
      <c r="E3323" s="2" t="s">
        <v>46</v>
      </c>
      <c r="F3323" s="14" t="s">
        <v>3493</v>
      </c>
      <c r="G3323" s="14" t="s">
        <v>3494</v>
      </c>
      <c r="H3323" s="2" t="s">
        <v>24</v>
      </c>
      <c r="I3323" s="2" t="s">
        <v>3491</v>
      </c>
      <c r="J3323" s="2">
        <v>5.0</v>
      </c>
      <c r="K3323" s="12"/>
      <c r="L3323" s="11">
        <v>0.0</v>
      </c>
      <c r="O3323" s="2" t="b">
        <v>0</v>
      </c>
    </row>
    <row r="3324" hidden="1">
      <c r="A3324" s="8" t="s">
        <v>2628</v>
      </c>
      <c r="B3324" s="8" t="s">
        <v>2628</v>
      </c>
      <c r="C3324" s="13">
        <v>46043.537673611114</v>
      </c>
      <c r="D3324" s="2" t="s">
        <v>786</v>
      </c>
      <c r="E3324" s="2" t="s">
        <v>787</v>
      </c>
      <c r="F3324" s="14" t="s">
        <v>3516</v>
      </c>
      <c r="G3324" s="14" t="s">
        <v>3517</v>
      </c>
      <c r="H3324" s="2" t="s">
        <v>24</v>
      </c>
      <c r="I3324" s="2" t="s">
        <v>3491</v>
      </c>
      <c r="J3324" s="2">
        <v>2.0</v>
      </c>
      <c r="K3324" s="23" t="s">
        <v>5881</v>
      </c>
      <c r="L3324" s="11">
        <v>0.0</v>
      </c>
      <c r="O3324" s="2" t="b">
        <v>0</v>
      </c>
    </row>
    <row r="3325" hidden="1">
      <c r="A3325" s="8" t="s">
        <v>2628</v>
      </c>
      <c r="B3325" s="8" t="s">
        <v>2628</v>
      </c>
      <c r="C3325" s="13">
        <v>46043.537673611114</v>
      </c>
      <c r="D3325" s="2" t="s">
        <v>786</v>
      </c>
      <c r="E3325" s="2" t="s">
        <v>787</v>
      </c>
      <c r="F3325" s="14" t="s">
        <v>3486</v>
      </c>
      <c r="G3325" s="14" t="s">
        <v>3487</v>
      </c>
      <c r="H3325" s="2" t="s">
        <v>24</v>
      </c>
      <c r="I3325" s="2" t="s">
        <v>3491</v>
      </c>
      <c r="J3325" s="2">
        <v>5.0</v>
      </c>
      <c r="K3325" s="23" t="s">
        <v>5882</v>
      </c>
      <c r="L3325" s="11">
        <v>0.0</v>
      </c>
      <c r="O3325" s="2" t="b">
        <v>0</v>
      </c>
    </row>
    <row r="3326" hidden="1">
      <c r="A3326" s="8" t="s">
        <v>2629</v>
      </c>
      <c r="B3326" s="8" t="s">
        <v>2629</v>
      </c>
      <c r="C3326" s="13">
        <v>46043.608831018515</v>
      </c>
      <c r="D3326" s="2" t="s">
        <v>109</v>
      </c>
      <c r="E3326" s="2" t="s">
        <v>110</v>
      </c>
      <c r="F3326" s="14" t="s">
        <v>3486</v>
      </c>
      <c r="G3326" s="14" t="s">
        <v>3487</v>
      </c>
      <c r="H3326" s="2" t="s">
        <v>16</v>
      </c>
      <c r="I3326" s="2" t="s">
        <v>3488</v>
      </c>
      <c r="J3326" s="2">
        <v>3.0</v>
      </c>
      <c r="K3326" s="23" t="s">
        <v>5883</v>
      </c>
      <c r="L3326" s="11">
        <v>60000.0</v>
      </c>
      <c r="O3326" s="2" t="b">
        <v>0</v>
      </c>
    </row>
    <row r="3327" hidden="1">
      <c r="A3327" s="8" t="s">
        <v>2629</v>
      </c>
      <c r="B3327" s="8" t="s">
        <v>2629</v>
      </c>
      <c r="C3327" s="13">
        <v>46043.608831018515</v>
      </c>
      <c r="D3327" s="2" t="s">
        <v>109</v>
      </c>
      <c r="E3327" s="2" t="s">
        <v>110</v>
      </c>
      <c r="F3327" s="14" t="s">
        <v>3522</v>
      </c>
      <c r="G3327" s="14" t="s">
        <v>3523</v>
      </c>
      <c r="H3327" s="2" t="s">
        <v>16</v>
      </c>
      <c r="I3327" s="2" t="s">
        <v>3488</v>
      </c>
      <c r="J3327" s="2">
        <v>2.0</v>
      </c>
      <c r="K3327" s="23" t="s">
        <v>5884</v>
      </c>
      <c r="L3327" s="11">
        <v>215000.0</v>
      </c>
      <c r="O3327" s="2" t="b">
        <v>0</v>
      </c>
    </row>
    <row r="3328" hidden="1">
      <c r="A3328" s="8" t="s">
        <v>2630</v>
      </c>
      <c r="B3328" s="8" t="s">
        <v>2630</v>
      </c>
      <c r="C3328" s="13">
        <v>46043.610497685186</v>
      </c>
      <c r="D3328" s="2" t="s">
        <v>951</v>
      </c>
      <c r="E3328" s="2" t="s">
        <v>952</v>
      </c>
      <c r="F3328" s="14" t="s">
        <v>3486</v>
      </c>
      <c r="G3328" s="14" t="s">
        <v>3487</v>
      </c>
      <c r="H3328" s="2" t="s">
        <v>24</v>
      </c>
      <c r="I3328" s="2" t="s">
        <v>3491</v>
      </c>
      <c r="J3328" s="2">
        <v>3.0</v>
      </c>
      <c r="K3328" s="23" t="s">
        <v>5885</v>
      </c>
      <c r="L3328" s="11">
        <v>0.0</v>
      </c>
      <c r="O3328" s="2" t="b">
        <v>0</v>
      </c>
    </row>
    <row r="3329" hidden="1">
      <c r="A3329" s="8" t="s">
        <v>2631</v>
      </c>
      <c r="B3329" s="8" t="s">
        <v>2631</v>
      </c>
      <c r="C3329" s="13">
        <v>46043.61127314815</v>
      </c>
      <c r="D3329" s="2" t="s">
        <v>1203</v>
      </c>
      <c r="E3329" s="2" t="s">
        <v>1204</v>
      </c>
      <c r="F3329" s="14" t="s">
        <v>3547</v>
      </c>
      <c r="G3329" s="14" t="s">
        <v>3548</v>
      </c>
      <c r="H3329" s="2" t="s">
        <v>24</v>
      </c>
      <c r="I3329" s="2" t="s">
        <v>3491</v>
      </c>
      <c r="J3329" s="2">
        <v>3.0</v>
      </c>
      <c r="K3329" s="12" t="s">
        <v>5875</v>
      </c>
      <c r="L3329" s="11">
        <v>0.0</v>
      </c>
      <c r="O3329" s="2" t="b">
        <v>0</v>
      </c>
    </row>
    <row r="3330" hidden="1">
      <c r="A3330" s="8" t="s">
        <v>2632</v>
      </c>
      <c r="B3330" s="8" t="s">
        <v>2632</v>
      </c>
      <c r="C3330" s="13">
        <v>46043.6475462963</v>
      </c>
      <c r="D3330" s="2" t="s">
        <v>885</v>
      </c>
      <c r="E3330" s="2" t="s">
        <v>886</v>
      </c>
      <c r="F3330" s="14" t="s">
        <v>3522</v>
      </c>
      <c r="G3330" s="14" t="s">
        <v>3523</v>
      </c>
      <c r="H3330" s="2" t="s">
        <v>24</v>
      </c>
      <c r="I3330" s="2" t="s">
        <v>3491</v>
      </c>
      <c r="J3330" s="2">
        <v>4.0</v>
      </c>
      <c r="K3330" s="23" t="s">
        <v>5886</v>
      </c>
      <c r="L3330" s="11">
        <v>0.0</v>
      </c>
      <c r="O3330" s="2" t="b">
        <v>0</v>
      </c>
    </row>
    <row r="3331">
      <c r="A3331" s="8" t="s">
        <v>2627</v>
      </c>
      <c r="B3331" s="8" t="s">
        <v>2627</v>
      </c>
      <c r="C3331" s="13">
        <v>46043.527407407404</v>
      </c>
      <c r="D3331" s="2" t="s">
        <v>45</v>
      </c>
      <c r="E3331" s="2" t="s">
        <v>46</v>
      </c>
      <c r="F3331" s="14" t="s">
        <v>3486</v>
      </c>
      <c r="G3331" s="14" t="s">
        <v>3487</v>
      </c>
      <c r="H3331" s="2" t="s">
        <v>24</v>
      </c>
      <c r="I3331" s="2" t="s">
        <v>3491</v>
      </c>
      <c r="J3331" s="2">
        <v>1.0</v>
      </c>
      <c r="K3331" s="23" t="s">
        <v>5887</v>
      </c>
      <c r="L3331" s="11">
        <v>0.0</v>
      </c>
      <c r="O3331" s="2" t="b">
        <v>1</v>
      </c>
    </row>
    <row r="3332">
      <c r="A3332" s="8" t="s">
        <v>2627</v>
      </c>
      <c r="B3332" s="8" t="s">
        <v>2627</v>
      </c>
      <c r="C3332" s="13">
        <v>46043.527407407404</v>
      </c>
      <c r="D3332" s="2" t="s">
        <v>45</v>
      </c>
      <c r="E3332" s="2" t="s">
        <v>46</v>
      </c>
      <c r="F3332" s="14" t="s">
        <v>4203</v>
      </c>
      <c r="G3332" s="14" t="s">
        <v>4204</v>
      </c>
      <c r="H3332" s="2" t="s">
        <v>24</v>
      </c>
      <c r="I3332" s="2" t="s">
        <v>3491</v>
      </c>
      <c r="J3332" s="2">
        <v>1.0</v>
      </c>
      <c r="K3332" s="23" t="s">
        <v>4406</v>
      </c>
      <c r="L3332" s="11">
        <v>0.0</v>
      </c>
      <c r="O3332" s="2" t="b">
        <v>1</v>
      </c>
    </row>
    <row r="3333" hidden="1">
      <c r="A3333" s="8" t="s">
        <v>2633</v>
      </c>
      <c r="B3333" s="8" t="s">
        <v>2633</v>
      </c>
      <c r="C3333" s="13">
        <v>46043.68813657408</v>
      </c>
      <c r="D3333" s="2" t="s">
        <v>109</v>
      </c>
      <c r="E3333" s="2" t="s">
        <v>110</v>
      </c>
      <c r="F3333" s="14" t="s">
        <v>4203</v>
      </c>
      <c r="G3333" s="14" t="s">
        <v>4204</v>
      </c>
      <c r="H3333" s="2" t="s">
        <v>24</v>
      </c>
      <c r="I3333" s="2" t="s">
        <v>3491</v>
      </c>
      <c r="J3333" s="2">
        <v>1.0</v>
      </c>
      <c r="K3333" s="23" t="s">
        <v>5667</v>
      </c>
      <c r="L3333" s="11">
        <v>0.0</v>
      </c>
      <c r="O3333" s="2" t="b">
        <v>0</v>
      </c>
    </row>
    <row r="3334" hidden="1">
      <c r="A3334" s="8" t="s">
        <v>2634</v>
      </c>
      <c r="B3334" s="8" t="s">
        <v>2634</v>
      </c>
      <c r="C3334" s="13">
        <v>46043.71974537037</v>
      </c>
      <c r="D3334" s="2" t="s">
        <v>1573</v>
      </c>
      <c r="E3334" s="2" t="s">
        <v>1574</v>
      </c>
      <c r="F3334" s="14" t="s">
        <v>3486</v>
      </c>
      <c r="G3334" s="14" t="s">
        <v>3487</v>
      </c>
      <c r="H3334" s="2" t="s">
        <v>16</v>
      </c>
      <c r="I3334" s="2" t="s">
        <v>3488</v>
      </c>
      <c r="J3334" s="2">
        <v>1.0</v>
      </c>
      <c r="K3334" s="23" t="s">
        <v>5800</v>
      </c>
      <c r="L3334" s="11">
        <v>80000.0</v>
      </c>
      <c r="O3334" s="2" t="b">
        <v>0</v>
      </c>
    </row>
    <row r="3335" hidden="1">
      <c r="A3335" s="8" t="s">
        <v>2635</v>
      </c>
      <c r="B3335" s="8" t="s">
        <v>2635</v>
      </c>
      <c r="C3335" s="13">
        <v>46044.34984953704</v>
      </c>
      <c r="D3335" s="2" t="s">
        <v>1776</v>
      </c>
      <c r="E3335" s="2" t="s">
        <v>1777</v>
      </c>
      <c r="F3335" s="14" t="s">
        <v>4203</v>
      </c>
      <c r="G3335" s="14" t="s">
        <v>4204</v>
      </c>
      <c r="H3335" s="2" t="s">
        <v>16</v>
      </c>
      <c r="I3335" s="2" t="s">
        <v>3488</v>
      </c>
      <c r="J3335" s="2">
        <v>5.0</v>
      </c>
      <c r="K3335" s="23" t="s">
        <v>5888</v>
      </c>
      <c r="L3335" s="11">
        <v>80000.0</v>
      </c>
      <c r="O3335" s="2" t="b">
        <v>0</v>
      </c>
    </row>
    <row r="3336" hidden="1">
      <c r="A3336" s="8" t="s">
        <v>2636</v>
      </c>
      <c r="B3336" s="8" t="s">
        <v>2636</v>
      </c>
      <c r="C3336" s="13">
        <v>46044.35273148148</v>
      </c>
      <c r="D3336" s="2" t="s">
        <v>2459</v>
      </c>
      <c r="E3336" s="2" t="s">
        <v>2460</v>
      </c>
      <c r="F3336" s="14" t="s">
        <v>3910</v>
      </c>
      <c r="G3336" s="14" t="s">
        <v>3911</v>
      </c>
      <c r="H3336" s="2" t="s">
        <v>16</v>
      </c>
      <c r="I3336" s="2" t="s">
        <v>3488</v>
      </c>
      <c r="J3336" s="2">
        <v>1.0</v>
      </c>
      <c r="K3336" s="12"/>
      <c r="L3336" s="11">
        <v>60000.0</v>
      </c>
      <c r="O3336" s="2" t="b">
        <v>0</v>
      </c>
    </row>
    <row r="3337" hidden="1">
      <c r="A3337" s="8" t="s">
        <v>2636</v>
      </c>
      <c r="B3337" s="8" t="s">
        <v>2636</v>
      </c>
      <c r="C3337" s="13">
        <v>46044.35273148148</v>
      </c>
      <c r="D3337" s="2" t="s">
        <v>2459</v>
      </c>
      <c r="E3337" s="2" t="s">
        <v>2460</v>
      </c>
      <c r="F3337" s="14" t="s">
        <v>3835</v>
      </c>
      <c r="G3337" s="14" t="s">
        <v>3836</v>
      </c>
      <c r="H3337" s="2" t="s">
        <v>16</v>
      </c>
      <c r="I3337" s="2" t="s">
        <v>3488</v>
      </c>
      <c r="J3337" s="2">
        <v>1.0</v>
      </c>
      <c r="K3337" s="23" t="s">
        <v>5102</v>
      </c>
      <c r="L3337" s="11">
        <v>60000.0</v>
      </c>
      <c r="O3337" s="2" t="b">
        <v>0</v>
      </c>
    </row>
    <row r="3338" hidden="1">
      <c r="A3338" s="8" t="s">
        <v>2637</v>
      </c>
      <c r="B3338" s="8" t="s">
        <v>2637</v>
      </c>
      <c r="C3338" s="13">
        <v>46044.369155092594</v>
      </c>
      <c r="D3338" s="2" t="s">
        <v>1573</v>
      </c>
      <c r="E3338" s="2" t="s">
        <v>1574</v>
      </c>
      <c r="F3338" s="14" t="s">
        <v>3486</v>
      </c>
      <c r="G3338" s="14" t="s">
        <v>3487</v>
      </c>
      <c r="H3338" s="2" t="s">
        <v>24</v>
      </c>
      <c r="I3338" s="2" t="s">
        <v>3491</v>
      </c>
      <c r="J3338" s="2">
        <v>1.0</v>
      </c>
      <c r="K3338" s="23" t="s">
        <v>5831</v>
      </c>
      <c r="L3338" s="11">
        <v>0.0</v>
      </c>
      <c r="O3338" s="2" t="b">
        <v>0</v>
      </c>
    </row>
    <row r="3339" hidden="1">
      <c r="A3339" s="8" t="s">
        <v>2638</v>
      </c>
      <c r="B3339" s="8" t="s">
        <v>2638</v>
      </c>
      <c r="C3339" s="13">
        <v>46044.3875</v>
      </c>
      <c r="D3339" s="2" t="s">
        <v>2459</v>
      </c>
      <c r="E3339" s="2" t="s">
        <v>2460</v>
      </c>
      <c r="F3339" s="14" t="s">
        <v>3910</v>
      </c>
      <c r="G3339" s="14" t="s">
        <v>3911</v>
      </c>
      <c r="H3339" s="2" t="s">
        <v>24</v>
      </c>
      <c r="I3339" s="2" t="s">
        <v>3491</v>
      </c>
      <c r="J3339" s="2">
        <v>1.0</v>
      </c>
      <c r="K3339" s="12"/>
      <c r="L3339" s="11">
        <v>0.0</v>
      </c>
      <c r="O3339" s="2" t="b">
        <v>0</v>
      </c>
    </row>
    <row r="3340" hidden="1">
      <c r="A3340" s="8" t="s">
        <v>2638</v>
      </c>
      <c r="B3340" s="8" t="s">
        <v>2638</v>
      </c>
      <c r="C3340" s="13">
        <v>46044.3875</v>
      </c>
      <c r="D3340" s="2" t="s">
        <v>2459</v>
      </c>
      <c r="E3340" s="2" t="s">
        <v>2460</v>
      </c>
      <c r="F3340" s="14" t="s">
        <v>3486</v>
      </c>
      <c r="G3340" s="14" t="s">
        <v>3487</v>
      </c>
      <c r="H3340" s="2" t="s">
        <v>24</v>
      </c>
      <c r="I3340" s="2" t="s">
        <v>3491</v>
      </c>
      <c r="J3340" s="2">
        <v>1.0</v>
      </c>
      <c r="K3340" s="23" t="s">
        <v>5830</v>
      </c>
      <c r="L3340" s="11">
        <v>0.0</v>
      </c>
      <c r="O3340" s="2" t="b">
        <v>0</v>
      </c>
    </row>
    <row r="3341" hidden="1">
      <c r="A3341" s="8" t="s">
        <v>2638</v>
      </c>
      <c r="B3341" s="8" t="s">
        <v>2638</v>
      </c>
      <c r="C3341" s="13">
        <v>46044.3875</v>
      </c>
      <c r="D3341" s="2" t="s">
        <v>2459</v>
      </c>
      <c r="E3341" s="2" t="s">
        <v>2460</v>
      </c>
      <c r="F3341" s="14" t="s">
        <v>3835</v>
      </c>
      <c r="G3341" s="14" t="s">
        <v>3836</v>
      </c>
      <c r="H3341" s="2" t="s">
        <v>24</v>
      </c>
      <c r="I3341" s="2" t="s">
        <v>3491</v>
      </c>
      <c r="J3341" s="2">
        <v>1.0</v>
      </c>
      <c r="K3341" s="23" t="s">
        <v>5770</v>
      </c>
      <c r="L3341" s="11">
        <v>0.0</v>
      </c>
      <c r="O3341" s="2" t="b">
        <v>0</v>
      </c>
    </row>
    <row r="3342" hidden="1">
      <c r="A3342" s="8" t="s">
        <v>2639</v>
      </c>
      <c r="B3342" s="8" t="s">
        <v>2639</v>
      </c>
      <c r="C3342" s="13">
        <v>46044.391122685185</v>
      </c>
      <c r="D3342" s="2" t="s">
        <v>2640</v>
      </c>
      <c r="E3342" s="2" t="s">
        <v>2641</v>
      </c>
      <c r="F3342" s="14" t="s">
        <v>3486</v>
      </c>
      <c r="G3342" s="14" t="s">
        <v>3487</v>
      </c>
      <c r="H3342" s="2" t="s">
        <v>16</v>
      </c>
      <c r="I3342" s="2" t="s">
        <v>3488</v>
      </c>
      <c r="J3342" s="2">
        <v>5.0</v>
      </c>
      <c r="K3342" s="23" t="s">
        <v>5889</v>
      </c>
      <c r="L3342" s="11">
        <v>60000.0</v>
      </c>
      <c r="O3342" s="2" t="b">
        <v>0</v>
      </c>
    </row>
    <row r="3343" hidden="1">
      <c r="A3343" s="8" t="s">
        <v>2639</v>
      </c>
      <c r="B3343" s="8" t="s">
        <v>2639</v>
      </c>
      <c r="C3343" s="13">
        <v>46044.391122685185</v>
      </c>
      <c r="D3343" s="2" t="s">
        <v>2640</v>
      </c>
      <c r="E3343" s="2" t="s">
        <v>2641</v>
      </c>
      <c r="F3343" s="14" t="s">
        <v>3516</v>
      </c>
      <c r="G3343" s="14" t="s">
        <v>3517</v>
      </c>
      <c r="H3343" s="2" t="s">
        <v>16</v>
      </c>
      <c r="I3343" s="2" t="s">
        <v>3488</v>
      </c>
      <c r="J3343" s="2">
        <v>1.0</v>
      </c>
      <c r="K3343" s="23" t="s">
        <v>5344</v>
      </c>
      <c r="L3343" s="11">
        <v>190000.0</v>
      </c>
      <c r="O3343" s="2" t="b">
        <v>0</v>
      </c>
    </row>
    <row r="3344" hidden="1">
      <c r="A3344" s="8" t="s">
        <v>2643</v>
      </c>
      <c r="B3344" s="8" t="s">
        <v>2643</v>
      </c>
      <c r="C3344" s="13">
        <v>46044.39665509259</v>
      </c>
      <c r="D3344" s="2" t="s">
        <v>2640</v>
      </c>
      <c r="E3344" s="2" t="s">
        <v>2641</v>
      </c>
      <c r="F3344" s="14" t="s">
        <v>5890</v>
      </c>
      <c r="G3344" s="14" t="s">
        <v>5891</v>
      </c>
      <c r="H3344" s="2" t="s">
        <v>16</v>
      </c>
      <c r="I3344" s="2" t="s">
        <v>3488</v>
      </c>
      <c r="J3344" s="2">
        <v>2.0</v>
      </c>
      <c r="K3344" s="12"/>
      <c r="L3344" s="11">
        <v>550000.0</v>
      </c>
      <c r="O3344" s="2" t="b">
        <v>0</v>
      </c>
    </row>
    <row r="3345" hidden="1">
      <c r="A3345" s="8" t="s">
        <v>2644</v>
      </c>
      <c r="B3345" s="8" t="s">
        <v>2644</v>
      </c>
      <c r="C3345" s="13">
        <v>46044.43340277778</v>
      </c>
      <c r="D3345" s="2" t="s">
        <v>2266</v>
      </c>
      <c r="E3345" s="2" t="s">
        <v>2267</v>
      </c>
      <c r="F3345" s="14" t="s">
        <v>4203</v>
      </c>
      <c r="G3345" s="14" t="s">
        <v>4204</v>
      </c>
      <c r="H3345" s="2" t="s">
        <v>16</v>
      </c>
      <c r="I3345" s="2" t="s">
        <v>3488</v>
      </c>
      <c r="J3345" s="2">
        <v>1.0</v>
      </c>
      <c r="K3345" s="23" t="s">
        <v>5892</v>
      </c>
      <c r="L3345" s="11">
        <v>65000.0</v>
      </c>
      <c r="O3345" s="2" t="b">
        <v>0</v>
      </c>
    </row>
    <row r="3346">
      <c r="A3346" s="8" t="s">
        <v>2645</v>
      </c>
      <c r="B3346" s="8" t="s">
        <v>2645</v>
      </c>
      <c r="C3346" s="13">
        <v>46044.433703703704</v>
      </c>
      <c r="D3346" s="2" t="s">
        <v>45</v>
      </c>
      <c r="E3346" s="2" t="s">
        <v>46</v>
      </c>
      <c r="F3346" s="14" t="s">
        <v>4203</v>
      </c>
      <c r="G3346" s="14" t="s">
        <v>4204</v>
      </c>
      <c r="H3346" s="2" t="s">
        <v>16</v>
      </c>
      <c r="I3346" s="2" t="s">
        <v>3488</v>
      </c>
      <c r="J3346" s="2">
        <v>3.0</v>
      </c>
      <c r="K3346" s="23" t="s">
        <v>5893</v>
      </c>
      <c r="L3346" s="11">
        <v>60000.0</v>
      </c>
      <c r="O3346" s="2" t="b">
        <v>0</v>
      </c>
    </row>
    <row r="3347">
      <c r="A3347" s="8" t="s">
        <v>2645</v>
      </c>
      <c r="B3347" s="8" t="s">
        <v>2645</v>
      </c>
      <c r="C3347" s="13">
        <v>46044.433703703704</v>
      </c>
      <c r="D3347" s="2" t="s">
        <v>45</v>
      </c>
      <c r="E3347" s="2" t="s">
        <v>46</v>
      </c>
      <c r="F3347" s="14" t="s">
        <v>3486</v>
      </c>
      <c r="G3347" s="14" t="s">
        <v>3487</v>
      </c>
      <c r="H3347" s="2" t="s">
        <v>16</v>
      </c>
      <c r="I3347" s="2" t="s">
        <v>3488</v>
      </c>
      <c r="J3347" s="2">
        <v>7.0</v>
      </c>
      <c r="K3347" s="23" t="s">
        <v>5894</v>
      </c>
      <c r="L3347" s="11">
        <v>60000.0</v>
      </c>
      <c r="O3347" s="2" t="b">
        <v>0</v>
      </c>
    </row>
    <row r="3348">
      <c r="A3348" s="8" t="s">
        <v>2645</v>
      </c>
      <c r="B3348" s="8" t="s">
        <v>2645</v>
      </c>
      <c r="C3348" s="13">
        <v>46044.433703703704</v>
      </c>
      <c r="D3348" s="2" t="s">
        <v>45</v>
      </c>
      <c r="E3348" s="2" t="s">
        <v>46</v>
      </c>
      <c r="F3348" s="14" t="s">
        <v>3493</v>
      </c>
      <c r="G3348" s="14" t="s">
        <v>3494</v>
      </c>
      <c r="H3348" s="2" t="s">
        <v>16</v>
      </c>
      <c r="I3348" s="2" t="s">
        <v>3488</v>
      </c>
      <c r="J3348" s="2">
        <v>5.0</v>
      </c>
      <c r="K3348" s="12" t="s">
        <v>5895</v>
      </c>
      <c r="L3348" s="11">
        <v>210000.0</v>
      </c>
      <c r="O3348" s="2" t="b">
        <v>0</v>
      </c>
    </row>
    <row r="3349" hidden="1">
      <c r="A3349" s="8" t="s">
        <v>2646</v>
      </c>
      <c r="B3349" s="8" t="s">
        <v>2646</v>
      </c>
      <c r="C3349" s="13">
        <v>46044.44074074074</v>
      </c>
      <c r="D3349" s="2" t="s">
        <v>786</v>
      </c>
      <c r="E3349" s="2" t="s">
        <v>787</v>
      </c>
      <c r="F3349" s="14" t="s">
        <v>3516</v>
      </c>
      <c r="G3349" s="14" t="s">
        <v>3517</v>
      </c>
      <c r="H3349" s="2" t="s">
        <v>16</v>
      </c>
      <c r="I3349" s="2" t="s">
        <v>3488</v>
      </c>
      <c r="J3349" s="2">
        <v>2.0</v>
      </c>
      <c r="K3349" s="23" t="s">
        <v>5896</v>
      </c>
      <c r="L3349" s="11">
        <v>180000.0</v>
      </c>
      <c r="O3349" s="2" t="b">
        <v>0</v>
      </c>
    </row>
    <row r="3350" hidden="1">
      <c r="A3350" s="8" t="s">
        <v>2646</v>
      </c>
      <c r="B3350" s="8" t="s">
        <v>2646</v>
      </c>
      <c r="C3350" s="13">
        <v>46044.44074074074</v>
      </c>
      <c r="D3350" s="2" t="s">
        <v>786</v>
      </c>
      <c r="E3350" s="2" t="s">
        <v>787</v>
      </c>
      <c r="F3350" s="14" t="s">
        <v>4203</v>
      </c>
      <c r="G3350" s="14" t="s">
        <v>4204</v>
      </c>
      <c r="H3350" s="2" t="s">
        <v>16</v>
      </c>
      <c r="I3350" s="2" t="s">
        <v>3488</v>
      </c>
      <c r="J3350" s="2">
        <v>6.0</v>
      </c>
      <c r="K3350" s="23" t="s">
        <v>5897</v>
      </c>
      <c r="L3350" s="11">
        <v>60000.0</v>
      </c>
      <c r="O3350" s="2" t="b">
        <v>0</v>
      </c>
    </row>
    <row r="3351" hidden="1">
      <c r="A3351" s="8" t="s">
        <v>2647</v>
      </c>
      <c r="B3351" s="8" t="s">
        <v>2647</v>
      </c>
      <c r="C3351" s="13">
        <v>46044.58099537037</v>
      </c>
      <c r="D3351" s="2" t="s">
        <v>2005</v>
      </c>
      <c r="E3351" s="2" t="s">
        <v>2006</v>
      </c>
      <c r="F3351" s="14" t="s">
        <v>4203</v>
      </c>
      <c r="G3351" s="14" t="s">
        <v>4204</v>
      </c>
      <c r="H3351" s="2" t="s">
        <v>24</v>
      </c>
      <c r="I3351" s="2" t="s">
        <v>3491</v>
      </c>
      <c r="J3351" s="2">
        <v>4.0</v>
      </c>
      <c r="K3351" s="23" t="s">
        <v>5898</v>
      </c>
      <c r="L3351" s="11">
        <v>0.0</v>
      </c>
      <c r="O3351" s="2" t="b">
        <v>0</v>
      </c>
    </row>
    <row r="3352" hidden="1">
      <c r="A3352" s="8" t="s">
        <v>2648</v>
      </c>
      <c r="B3352" s="8" t="s">
        <v>2648</v>
      </c>
      <c r="C3352" s="13">
        <v>46044.58162037037</v>
      </c>
      <c r="D3352" s="2" t="s">
        <v>786</v>
      </c>
      <c r="E3352" s="2" t="s">
        <v>787</v>
      </c>
      <c r="F3352" s="14" t="s">
        <v>3486</v>
      </c>
      <c r="G3352" s="14" t="s">
        <v>3487</v>
      </c>
      <c r="H3352" s="2" t="s">
        <v>24</v>
      </c>
      <c r="I3352" s="2" t="s">
        <v>3491</v>
      </c>
      <c r="J3352" s="2">
        <v>4.0</v>
      </c>
      <c r="K3352" s="23" t="s">
        <v>5899</v>
      </c>
      <c r="L3352" s="11">
        <v>0.0</v>
      </c>
      <c r="O3352" s="2" t="b">
        <v>0</v>
      </c>
    </row>
    <row r="3353" hidden="1">
      <c r="A3353" s="8" t="s">
        <v>2649</v>
      </c>
      <c r="B3353" s="8" t="s">
        <v>2649</v>
      </c>
      <c r="C3353" s="13">
        <v>46044.58211805556</v>
      </c>
      <c r="D3353" s="2" t="s">
        <v>1975</v>
      </c>
      <c r="E3353" s="2" t="s">
        <v>1976</v>
      </c>
      <c r="F3353" s="14" t="s">
        <v>3486</v>
      </c>
      <c r="G3353" s="14" t="s">
        <v>3487</v>
      </c>
      <c r="H3353" s="2" t="s">
        <v>24</v>
      </c>
      <c r="I3353" s="2" t="s">
        <v>3491</v>
      </c>
      <c r="J3353" s="2">
        <v>3.0</v>
      </c>
      <c r="K3353" s="23" t="s">
        <v>5900</v>
      </c>
      <c r="L3353" s="11">
        <v>0.0</v>
      </c>
      <c r="O3353" s="2" t="b">
        <v>0</v>
      </c>
    </row>
    <row r="3354" hidden="1">
      <c r="A3354" s="8" t="s">
        <v>2650</v>
      </c>
      <c r="B3354" s="8" t="s">
        <v>2650</v>
      </c>
      <c r="C3354" s="13">
        <v>46044.61096064815</v>
      </c>
      <c r="D3354" s="2" t="s">
        <v>1993</v>
      </c>
      <c r="E3354" s="2" t="s">
        <v>1994</v>
      </c>
      <c r="F3354" s="14" t="s">
        <v>3516</v>
      </c>
      <c r="G3354" s="14" t="s">
        <v>3517</v>
      </c>
      <c r="H3354" s="2" t="s">
        <v>16</v>
      </c>
      <c r="I3354" s="2" t="s">
        <v>3488</v>
      </c>
      <c r="J3354" s="2">
        <v>2.0</v>
      </c>
      <c r="K3354" s="23" t="s">
        <v>5901</v>
      </c>
      <c r="L3354" s="11">
        <v>190000.0</v>
      </c>
      <c r="O3354" s="2" t="b">
        <v>0</v>
      </c>
    </row>
    <row r="3355" hidden="1">
      <c r="A3355" s="8" t="s">
        <v>2650</v>
      </c>
      <c r="B3355" s="8" t="s">
        <v>2650</v>
      </c>
      <c r="C3355" s="13">
        <v>46044.61096064815</v>
      </c>
      <c r="D3355" s="2" t="s">
        <v>1993</v>
      </c>
      <c r="E3355" s="2" t="s">
        <v>1994</v>
      </c>
      <c r="F3355" s="14" t="s">
        <v>3486</v>
      </c>
      <c r="G3355" s="14" t="s">
        <v>3487</v>
      </c>
      <c r="H3355" s="2" t="s">
        <v>16</v>
      </c>
      <c r="I3355" s="2" t="s">
        <v>3488</v>
      </c>
      <c r="J3355" s="2">
        <v>2.0</v>
      </c>
      <c r="K3355" s="23" t="s">
        <v>5902</v>
      </c>
      <c r="L3355" s="11">
        <v>65000.0</v>
      </c>
      <c r="O3355" s="2" t="b">
        <v>0</v>
      </c>
    </row>
    <row r="3356" hidden="1">
      <c r="A3356" s="8" t="s">
        <v>2650</v>
      </c>
      <c r="B3356" s="8" t="s">
        <v>2650</v>
      </c>
      <c r="C3356" s="13">
        <v>46044.61096064815</v>
      </c>
      <c r="D3356" s="2" t="s">
        <v>1993</v>
      </c>
      <c r="E3356" s="2" t="s">
        <v>1994</v>
      </c>
      <c r="F3356" s="14" t="s">
        <v>3493</v>
      </c>
      <c r="G3356" s="14" t="s">
        <v>3494</v>
      </c>
      <c r="H3356" s="2" t="s">
        <v>16</v>
      </c>
      <c r="I3356" s="2" t="s">
        <v>3488</v>
      </c>
      <c r="J3356" s="2">
        <v>2.0</v>
      </c>
      <c r="K3356" s="12" t="s">
        <v>5903</v>
      </c>
      <c r="L3356" s="11">
        <v>200000.0</v>
      </c>
      <c r="O3356" s="2" t="b">
        <v>0</v>
      </c>
    </row>
    <row r="3357" hidden="1">
      <c r="A3357" s="8" t="s">
        <v>2651</v>
      </c>
      <c r="B3357" s="8" t="s">
        <v>2651</v>
      </c>
      <c r="C3357" s="13">
        <v>46044.619988425926</v>
      </c>
      <c r="D3357" s="2" t="s">
        <v>2266</v>
      </c>
      <c r="E3357" s="2" t="s">
        <v>2267</v>
      </c>
      <c r="F3357" s="14" t="s">
        <v>3486</v>
      </c>
      <c r="G3357" s="14" t="s">
        <v>3487</v>
      </c>
      <c r="H3357" s="2" t="s">
        <v>24</v>
      </c>
      <c r="I3357" s="2" t="s">
        <v>3491</v>
      </c>
      <c r="J3357" s="2">
        <v>1.0</v>
      </c>
      <c r="K3357" s="23" t="s">
        <v>5904</v>
      </c>
      <c r="L3357" s="11">
        <v>0.0</v>
      </c>
      <c r="O3357" s="2" t="b">
        <v>0</v>
      </c>
    </row>
    <row r="3358" hidden="1">
      <c r="A3358" s="8" t="s">
        <v>2652</v>
      </c>
      <c r="B3358" s="8" t="s">
        <v>2652</v>
      </c>
      <c r="C3358" s="13">
        <v>46044.62055555556</v>
      </c>
      <c r="D3358" s="2" t="s">
        <v>326</v>
      </c>
      <c r="E3358" s="2" t="s">
        <v>327</v>
      </c>
      <c r="F3358" s="14" t="s">
        <v>3486</v>
      </c>
      <c r="G3358" s="14" t="s">
        <v>3487</v>
      </c>
      <c r="H3358" s="2" t="s">
        <v>24</v>
      </c>
      <c r="I3358" s="2" t="s">
        <v>3491</v>
      </c>
      <c r="J3358" s="2">
        <v>1.0</v>
      </c>
      <c r="K3358" s="23" t="s">
        <v>4747</v>
      </c>
      <c r="L3358" s="11">
        <v>0.0</v>
      </c>
      <c r="O3358" s="2" t="b">
        <v>0</v>
      </c>
    </row>
    <row r="3359" hidden="1">
      <c r="A3359" s="8" t="s">
        <v>2653</v>
      </c>
      <c r="B3359" s="8" t="s">
        <v>2653</v>
      </c>
      <c r="C3359" s="13">
        <v>46044.64876157408</v>
      </c>
      <c r="D3359" s="2" t="s">
        <v>1993</v>
      </c>
      <c r="E3359" s="2" t="s">
        <v>1994</v>
      </c>
      <c r="F3359" s="14" t="s">
        <v>3516</v>
      </c>
      <c r="G3359" s="14" t="s">
        <v>3517</v>
      </c>
      <c r="H3359" s="2" t="s">
        <v>24</v>
      </c>
      <c r="I3359" s="2" t="s">
        <v>3491</v>
      </c>
      <c r="J3359" s="2">
        <v>2.0</v>
      </c>
      <c r="K3359" s="23" t="s">
        <v>5905</v>
      </c>
      <c r="L3359" s="11">
        <v>0.0</v>
      </c>
      <c r="O3359" s="2" t="b">
        <v>0</v>
      </c>
    </row>
    <row r="3360" hidden="1">
      <c r="A3360" s="8" t="s">
        <v>2653</v>
      </c>
      <c r="B3360" s="8" t="s">
        <v>2653</v>
      </c>
      <c r="C3360" s="13">
        <v>46044.64876157408</v>
      </c>
      <c r="D3360" s="2" t="s">
        <v>1993</v>
      </c>
      <c r="E3360" s="2" t="s">
        <v>1994</v>
      </c>
      <c r="F3360" s="14" t="s">
        <v>3486</v>
      </c>
      <c r="G3360" s="14" t="s">
        <v>3487</v>
      </c>
      <c r="H3360" s="2" t="s">
        <v>24</v>
      </c>
      <c r="I3360" s="2" t="s">
        <v>3491</v>
      </c>
      <c r="J3360" s="2">
        <v>3.0</v>
      </c>
      <c r="K3360" s="23" t="s">
        <v>5906</v>
      </c>
      <c r="L3360" s="11">
        <v>0.0</v>
      </c>
      <c r="O3360" s="2" t="b">
        <v>0</v>
      </c>
    </row>
    <row r="3361" hidden="1">
      <c r="A3361" s="8" t="s">
        <v>2653</v>
      </c>
      <c r="B3361" s="8" t="s">
        <v>2653</v>
      </c>
      <c r="C3361" s="13">
        <v>46044.64876157408</v>
      </c>
      <c r="D3361" s="2" t="s">
        <v>1993</v>
      </c>
      <c r="E3361" s="2" t="s">
        <v>1994</v>
      </c>
      <c r="F3361" s="14" t="s">
        <v>3493</v>
      </c>
      <c r="G3361" s="14" t="s">
        <v>3494</v>
      </c>
      <c r="H3361" s="2" t="s">
        <v>24</v>
      </c>
      <c r="I3361" s="2" t="s">
        <v>3491</v>
      </c>
      <c r="J3361" s="2">
        <v>4.0</v>
      </c>
      <c r="K3361" s="12" t="s">
        <v>5907</v>
      </c>
      <c r="L3361" s="11">
        <v>0.0</v>
      </c>
      <c r="O3361" s="2" t="b">
        <v>0</v>
      </c>
    </row>
    <row r="3362" hidden="1">
      <c r="A3362" s="8" t="s">
        <v>2654</v>
      </c>
      <c r="B3362" s="8" t="s">
        <v>2654</v>
      </c>
      <c r="C3362" s="13">
        <v>46045.378912037035</v>
      </c>
      <c r="D3362" s="2" t="s">
        <v>951</v>
      </c>
      <c r="E3362" s="2" t="s">
        <v>952</v>
      </c>
      <c r="F3362" s="14" t="s">
        <v>3486</v>
      </c>
      <c r="G3362" s="14" t="s">
        <v>3487</v>
      </c>
      <c r="H3362" s="2" t="s">
        <v>16</v>
      </c>
      <c r="I3362" s="2" t="s">
        <v>3488</v>
      </c>
      <c r="J3362" s="2">
        <v>2.0</v>
      </c>
      <c r="K3362" s="23" t="s">
        <v>5908</v>
      </c>
      <c r="L3362" s="11">
        <v>55000.0</v>
      </c>
      <c r="O3362" s="2" t="b">
        <v>0</v>
      </c>
    </row>
    <row r="3363" hidden="1">
      <c r="A3363" s="8" t="s">
        <v>2654</v>
      </c>
      <c r="B3363" s="8" t="s">
        <v>2654</v>
      </c>
      <c r="C3363" s="13">
        <v>46045.378912037035</v>
      </c>
      <c r="D3363" s="2" t="s">
        <v>951</v>
      </c>
      <c r="E3363" s="2" t="s">
        <v>952</v>
      </c>
      <c r="F3363" s="14" t="s">
        <v>3516</v>
      </c>
      <c r="G3363" s="14" t="s">
        <v>3517</v>
      </c>
      <c r="H3363" s="2" t="s">
        <v>16</v>
      </c>
      <c r="I3363" s="2" t="s">
        <v>3488</v>
      </c>
      <c r="J3363" s="2">
        <v>1.0</v>
      </c>
      <c r="K3363" s="23" t="s">
        <v>4948</v>
      </c>
      <c r="L3363" s="11">
        <v>175000.0</v>
      </c>
      <c r="O3363" s="2" t="b">
        <v>0</v>
      </c>
    </row>
    <row r="3364" hidden="1">
      <c r="A3364" s="8" t="s">
        <v>2655</v>
      </c>
      <c r="B3364" s="8" t="s">
        <v>2655</v>
      </c>
      <c r="C3364" s="13">
        <v>46045.47346064815</v>
      </c>
      <c r="D3364" s="2" t="s">
        <v>951</v>
      </c>
      <c r="E3364" s="2" t="s">
        <v>952</v>
      </c>
      <c r="F3364" s="14" t="s">
        <v>3486</v>
      </c>
      <c r="G3364" s="14" t="s">
        <v>3487</v>
      </c>
      <c r="H3364" s="2" t="s">
        <v>24</v>
      </c>
      <c r="I3364" s="2" t="s">
        <v>3491</v>
      </c>
      <c r="J3364" s="2">
        <v>2.0</v>
      </c>
      <c r="K3364" s="23" t="s">
        <v>5909</v>
      </c>
      <c r="L3364" s="11">
        <v>0.0</v>
      </c>
      <c r="O3364" s="2" t="b">
        <v>0</v>
      </c>
    </row>
    <row r="3365" hidden="1">
      <c r="A3365" s="8" t="s">
        <v>2656</v>
      </c>
      <c r="B3365" s="8" t="s">
        <v>2656</v>
      </c>
      <c r="C3365" s="13">
        <v>46045.55484953704</v>
      </c>
      <c r="D3365" s="2" t="s">
        <v>1776</v>
      </c>
      <c r="E3365" s="2" t="s">
        <v>1777</v>
      </c>
      <c r="F3365" s="14" t="s">
        <v>4203</v>
      </c>
      <c r="G3365" s="14" t="s">
        <v>4204</v>
      </c>
      <c r="H3365" s="2" t="s">
        <v>16</v>
      </c>
      <c r="I3365" s="2" t="s">
        <v>3488</v>
      </c>
      <c r="J3365" s="2">
        <v>4.0</v>
      </c>
      <c r="K3365" s="23" t="s">
        <v>5910</v>
      </c>
      <c r="L3365" s="11">
        <v>80000.0</v>
      </c>
      <c r="O3365" s="2" t="b">
        <v>0</v>
      </c>
    </row>
    <row r="3366" hidden="1">
      <c r="A3366" s="8" t="s">
        <v>2657</v>
      </c>
      <c r="B3366" s="8" t="s">
        <v>2657</v>
      </c>
      <c r="C3366" s="13">
        <v>46045.55994212963</v>
      </c>
      <c r="D3366" s="2" t="s">
        <v>786</v>
      </c>
      <c r="E3366" s="2" t="s">
        <v>787</v>
      </c>
      <c r="F3366" s="14" t="s">
        <v>3486</v>
      </c>
      <c r="G3366" s="14" t="s">
        <v>3487</v>
      </c>
      <c r="H3366" s="2" t="s">
        <v>24</v>
      </c>
      <c r="I3366" s="2" t="s">
        <v>3491</v>
      </c>
      <c r="J3366" s="2">
        <v>1.0</v>
      </c>
      <c r="K3366" s="23" t="s">
        <v>3981</v>
      </c>
      <c r="L3366" s="11">
        <v>0.0</v>
      </c>
      <c r="O3366" s="2" t="b">
        <v>0</v>
      </c>
    </row>
    <row r="3367" hidden="1">
      <c r="A3367" s="8" t="s">
        <v>2657</v>
      </c>
      <c r="B3367" s="8" t="s">
        <v>2657</v>
      </c>
      <c r="C3367" s="13">
        <v>46045.55994212963</v>
      </c>
      <c r="D3367" s="2" t="s">
        <v>786</v>
      </c>
      <c r="E3367" s="2" t="s">
        <v>787</v>
      </c>
      <c r="F3367" s="14" t="s">
        <v>3516</v>
      </c>
      <c r="G3367" s="14" t="s">
        <v>3517</v>
      </c>
      <c r="H3367" s="2" t="s">
        <v>24</v>
      </c>
      <c r="I3367" s="2" t="s">
        <v>3491</v>
      </c>
      <c r="J3367" s="2">
        <v>2.0</v>
      </c>
      <c r="K3367" s="23" t="s">
        <v>5911</v>
      </c>
      <c r="L3367" s="11">
        <v>0.0</v>
      </c>
      <c r="O3367" s="2" t="b">
        <v>0</v>
      </c>
    </row>
    <row r="3368" hidden="1">
      <c r="A3368" s="8" t="s">
        <v>2658</v>
      </c>
      <c r="B3368" s="8" t="s">
        <v>2658</v>
      </c>
      <c r="C3368" s="13">
        <v>46045.59480324074</v>
      </c>
      <c r="D3368" s="2" t="s">
        <v>1776</v>
      </c>
      <c r="E3368" s="2" t="s">
        <v>1777</v>
      </c>
      <c r="F3368" s="14" t="s">
        <v>4203</v>
      </c>
      <c r="G3368" s="14" t="s">
        <v>4204</v>
      </c>
      <c r="H3368" s="2" t="s">
        <v>24</v>
      </c>
      <c r="I3368" s="2" t="s">
        <v>3491</v>
      </c>
      <c r="J3368" s="2">
        <v>2.0</v>
      </c>
      <c r="K3368" s="23" t="s">
        <v>5912</v>
      </c>
      <c r="L3368" s="11">
        <v>0.0</v>
      </c>
      <c r="O3368" s="2" t="b">
        <v>0</v>
      </c>
    </row>
    <row r="3369" hidden="1">
      <c r="A3369" s="8" t="s">
        <v>2659</v>
      </c>
      <c r="B3369" s="8" t="s">
        <v>2659</v>
      </c>
      <c r="C3369" s="13">
        <v>46046.362291666665</v>
      </c>
      <c r="D3369" s="2" t="s">
        <v>2005</v>
      </c>
      <c r="E3369" s="2" t="s">
        <v>2006</v>
      </c>
      <c r="F3369" s="14" t="s">
        <v>3486</v>
      </c>
      <c r="G3369" s="14" t="s">
        <v>3487</v>
      </c>
      <c r="H3369" s="2" t="s">
        <v>16</v>
      </c>
      <c r="I3369" s="2" t="s">
        <v>3488</v>
      </c>
      <c r="J3369" s="2">
        <v>10.0</v>
      </c>
      <c r="K3369" s="23" t="s">
        <v>5913</v>
      </c>
      <c r="L3369" s="11">
        <v>60000.0</v>
      </c>
      <c r="O3369" s="2" t="b">
        <v>0</v>
      </c>
    </row>
    <row r="3370" hidden="1">
      <c r="A3370" s="8" t="s">
        <v>2660</v>
      </c>
      <c r="B3370" s="8" t="s">
        <v>2660</v>
      </c>
      <c r="C3370" s="13">
        <v>46046.37181712963</v>
      </c>
      <c r="D3370" s="2" t="s">
        <v>786</v>
      </c>
      <c r="E3370" s="2" t="s">
        <v>787</v>
      </c>
      <c r="F3370" s="14" t="s">
        <v>4203</v>
      </c>
      <c r="G3370" s="14" t="s">
        <v>4204</v>
      </c>
      <c r="H3370" s="2" t="s">
        <v>16</v>
      </c>
      <c r="I3370" s="2" t="s">
        <v>3488</v>
      </c>
      <c r="J3370" s="2">
        <v>5.0</v>
      </c>
      <c r="K3370" s="23" t="s">
        <v>5914</v>
      </c>
      <c r="L3370" s="11">
        <v>60000.0</v>
      </c>
      <c r="O3370" s="2" t="b">
        <v>0</v>
      </c>
    </row>
    <row r="3371" hidden="1">
      <c r="A3371" s="8" t="s">
        <v>2660</v>
      </c>
      <c r="B3371" s="8" t="s">
        <v>2660</v>
      </c>
      <c r="C3371" s="13">
        <v>46046.37181712963</v>
      </c>
      <c r="D3371" s="2" t="s">
        <v>786</v>
      </c>
      <c r="E3371" s="2" t="s">
        <v>787</v>
      </c>
      <c r="F3371" s="14" t="s">
        <v>3516</v>
      </c>
      <c r="G3371" s="14" t="s">
        <v>3517</v>
      </c>
      <c r="H3371" s="2" t="s">
        <v>16</v>
      </c>
      <c r="I3371" s="2" t="s">
        <v>3488</v>
      </c>
      <c r="J3371" s="2">
        <v>2.0</v>
      </c>
      <c r="K3371" s="23" t="s">
        <v>5915</v>
      </c>
      <c r="L3371" s="11">
        <v>180000.0</v>
      </c>
      <c r="O3371" s="2" t="b">
        <v>0</v>
      </c>
    </row>
    <row r="3372" hidden="1">
      <c r="A3372" s="8" t="s">
        <v>2661</v>
      </c>
      <c r="B3372" s="8" t="s">
        <v>2661</v>
      </c>
      <c r="C3372" s="13">
        <v>46046.40924768519</v>
      </c>
      <c r="D3372" s="2" t="s">
        <v>1889</v>
      </c>
      <c r="E3372" s="2" t="s">
        <v>1890</v>
      </c>
      <c r="F3372" s="14" t="s">
        <v>3486</v>
      </c>
      <c r="G3372" s="14" t="s">
        <v>3487</v>
      </c>
      <c r="H3372" s="2" t="s">
        <v>16</v>
      </c>
      <c r="I3372" s="2" t="s">
        <v>3488</v>
      </c>
      <c r="J3372" s="2">
        <v>2.0</v>
      </c>
      <c r="K3372" s="23" t="s">
        <v>5916</v>
      </c>
      <c r="L3372" s="11">
        <v>65000.0</v>
      </c>
      <c r="O3372" s="2" t="b">
        <v>0</v>
      </c>
    </row>
    <row r="3373" hidden="1">
      <c r="A3373" s="8" t="s">
        <v>2662</v>
      </c>
      <c r="B3373" s="8" t="s">
        <v>2662</v>
      </c>
      <c r="C3373" s="13">
        <v>46046.409895833334</v>
      </c>
      <c r="D3373" s="2" t="s">
        <v>1705</v>
      </c>
      <c r="E3373" s="2" t="s">
        <v>1706</v>
      </c>
      <c r="F3373" s="14" t="s">
        <v>4203</v>
      </c>
      <c r="G3373" s="14" t="s">
        <v>4204</v>
      </c>
      <c r="H3373" s="2" t="s">
        <v>16</v>
      </c>
      <c r="I3373" s="2" t="s">
        <v>3488</v>
      </c>
      <c r="J3373" s="2">
        <v>2.0</v>
      </c>
      <c r="K3373" s="23" t="s">
        <v>5917</v>
      </c>
      <c r="L3373" s="11">
        <v>65000.0</v>
      </c>
      <c r="O3373" s="2" t="b">
        <v>0</v>
      </c>
    </row>
    <row r="3374" hidden="1">
      <c r="A3374" s="8" t="s">
        <v>2663</v>
      </c>
      <c r="B3374" s="8" t="s">
        <v>2663</v>
      </c>
      <c r="C3374" s="13">
        <v>46046.439155092594</v>
      </c>
      <c r="D3374" s="2" t="s">
        <v>2005</v>
      </c>
      <c r="E3374" s="2" t="s">
        <v>2006</v>
      </c>
      <c r="F3374" s="14" t="s">
        <v>3486</v>
      </c>
      <c r="G3374" s="14" t="s">
        <v>3487</v>
      </c>
      <c r="H3374" s="2" t="s">
        <v>24</v>
      </c>
      <c r="I3374" s="2" t="s">
        <v>3491</v>
      </c>
      <c r="J3374" s="2">
        <v>5.0</v>
      </c>
      <c r="K3374" s="23" t="s">
        <v>5918</v>
      </c>
      <c r="L3374" s="11">
        <v>0.0</v>
      </c>
      <c r="O3374" s="2" t="b">
        <v>0</v>
      </c>
    </row>
    <row r="3375" hidden="1">
      <c r="A3375" s="8" t="s">
        <v>2663</v>
      </c>
      <c r="B3375" s="8" t="s">
        <v>2663</v>
      </c>
      <c r="C3375" s="13">
        <v>46046.439155092594</v>
      </c>
      <c r="D3375" s="2" t="s">
        <v>2005</v>
      </c>
      <c r="E3375" s="2" t="s">
        <v>2006</v>
      </c>
      <c r="F3375" s="14" t="s">
        <v>4203</v>
      </c>
      <c r="G3375" s="14" t="s">
        <v>4204</v>
      </c>
      <c r="H3375" s="2" t="s">
        <v>24</v>
      </c>
      <c r="I3375" s="2" t="s">
        <v>3491</v>
      </c>
      <c r="J3375" s="2">
        <v>2.0</v>
      </c>
      <c r="K3375" s="23" t="s">
        <v>5919</v>
      </c>
      <c r="L3375" s="11">
        <v>0.0</v>
      </c>
      <c r="O3375" s="2" t="b">
        <v>0</v>
      </c>
    </row>
    <row r="3376" hidden="1">
      <c r="A3376" s="8" t="s">
        <v>2664</v>
      </c>
      <c r="B3376" s="8" t="s">
        <v>2664</v>
      </c>
      <c r="C3376" s="13">
        <v>46046.47008101852</v>
      </c>
      <c r="D3376" s="2" t="s">
        <v>1873</v>
      </c>
      <c r="E3376" s="2" t="s">
        <v>1874</v>
      </c>
      <c r="F3376" s="14" t="s">
        <v>3486</v>
      </c>
      <c r="G3376" s="14" t="s">
        <v>3487</v>
      </c>
      <c r="H3376" s="2" t="s">
        <v>16</v>
      </c>
      <c r="I3376" s="2" t="s">
        <v>3488</v>
      </c>
      <c r="J3376" s="2">
        <v>1.0</v>
      </c>
      <c r="K3376" s="23" t="s">
        <v>5887</v>
      </c>
      <c r="L3376" s="11">
        <v>70000.0</v>
      </c>
      <c r="O3376" s="2" t="b">
        <v>0</v>
      </c>
    </row>
    <row r="3377" hidden="1">
      <c r="A3377" s="8" t="s">
        <v>2665</v>
      </c>
      <c r="B3377" s="8" t="s">
        <v>2665</v>
      </c>
      <c r="C3377" s="13">
        <v>46046.49056712963</v>
      </c>
      <c r="D3377" s="2" t="s">
        <v>786</v>
      </c>
      <c r="E3377" s="2" t="s">
        <v>787</v>
      </c>
      <c r="F3377" s="14" t="s">
        <v>3486</v>
      </c>
      <c r="G3377" s="14" t="s">
        <v>3487</v>
      </c>
      <c r="H3377" s="2" t="s">
        <v>24</v>
      </c>
      <c r="I3377" s="2" t="s">
        <v>3491</v>
      </c>
      <c r="J3377" s="2">
        <v>6.0</v>
      </c>
      <c r="K3377" s="23" t="s">
        <v>5920</v>
      </c>
      <c r="L3377" s="11">
        <v>0.0</v>
      </c>
      <c r="O3377" s="2" t="b">
        <v>0</v>
      </c>
    </row>
    <row r="3378" hidden="1">
      <c r="A3378" s="8" t="s">
        <v>2665</v>
      </c>
      <c r="B3378" s="8" t="s">
        <v>2665</v>
      </c>
      <c r="C3378" s="13">
        <v>46046.49056712963</v>
      </c>
      <c r="D3378" s="2" t="s">
        <v>786</v>
      </c>
      <c r="E3378" s="2" t="s">
        <v>787</v>
      </c>
      <c r="F3378" s="14" t="s">
        <v>3516</v>
      </c>
      <c r="G3378" s="14" t="s">
        <v>3517</v>
      </c>
      <c r="H3378" s="2" t="s">
        <v>24</v>
      </c>
      <c r="I3378" s="2" t="s">
        <v>3491</v>
      </c>
      <c r="J3378" s="2">
        <v>2.0</v>
      </c>
      <c r="K3378" s="23" t="s">
        <v>5921</v>
      </c>
      <c r="L3378" s="11">
        <v>0.0</v>
      </c>
      <c r="O3378" s="2" t="b">
        <v>0</v>
      </c>
    </row>
    <row r="3379" hidden="1">
      <c r="A3379" s="1"/>
      <c r="B3379" s="1"/>
      <c r="C3379" s="13"/>
      <c r="D3379" s="2"/>
      <c r="E3379" s="2"/>
      <c r="F3379" s="14"/>
      <c r="G3379" s="14"/>
      <c r="H3379" s="2"/>
      <c r="I3379" s="2"/>
      <c r="J3379" s="2"/>
      <c r="K3379" s="12"/>
      <c r="L3379" s="11"/>
      <c r="O3379" s="2"/>
    </row>
    <row r="3380" hidden="1">
      <c r="A3380" s="8" t="s">
        <v>2666</v>
      </c>
      <c r="B3380" s="8" t="s">
        <v>2666</v>
      </c>
      <c r="C3380" s="13">
        <v>46046.601493055554</v>
      </c>
      <c r="D3380" s="2" t="s">
        <v>1705</v>
      </c>
      <c r="E3380" s="2" t="s">
        <v>1706</v>
      </c>
      <c r="F3380" s="14" t="s">
        <v>4203</v>
      </c>
      <c r="G3380" s="14" t="s">
        <v>4204</v>
      </c>
      <c r="H3380" s="2" t="s">
        <v>24</v>
      </c>
      <c r="I3380" s="2" t="s">
        <v>3491</v>
      </c>
      <c r="J3380" s="2">
        <v>2.0</v>
      </c>
      <c r="K3380" s="23" t="s">
        <v>5922</v>
      </c>
      <c r="L3380" s="11">
        <v>0.0</v>
      </c>
      <c r="O3380" s="2" t="b">
        <v>0</v>
      </c>
    </row>
    <row r="3381" hidden="1">
      <c r="A3381" s="8" t="s">
        <v>2667</v>
      </c>
      <c r="B3381" s="8" t="s">
        <v>2667</v>
      </c>
      <c r="C3381" s="13">
        <v>46046.61597222222</v>
      </c>
      <c r="D3381" s="2" t="s">
        <v>1873</v>
      </c>
      <c r="E3381" s="2" t="s">
        <v>1874</v>
      </c>
      <c r="F3381" s="14" t="s">
        <v>3486</v>
      </c>
      <c r="G3381" s="14" t="s">
        <v>3487</v>
      </c>
      <c r="H3381" s="2" t="s">
        <v>24</v>
      </c>
      <c r="I3381" s="2" t="s">
        <v>3491</v>
      </c>
      <c r="J3381" s="2">
        <v>1.0</v>
      </c>
      <c r="K3381" s="23" t="s">
        <v>5923</v>
      </c>
      <c r="L3381" s="11">
        <v>0.0</v>
      </c>
      <c r="O3381" s="2" t="b">
        <v>0</v>
      </c>
    </row>
    <row r="3382" hidden="1">
      <c r="A3382" s="8" t="s">
        <v>2667</v>
      </c>
      <c r="B3382" s="8" t="s">
        <v>2667</v>
      </c>
      <c r="C3382" s="13">
        <v>46046.61597222222</v>
      </c>
      <c r="D3382" s="2" t="s">
        <v>1873</v>
      </c>
      <c r="E3382" s="2" t="s">
        <v>1874</v>
      </c>
      <c r="F3382" s="14" t="s">
        <v>4203</v>
      </c>
      <c r="G3382" s="14" t="s">
        <v>4204</v>
      </c>
      <c r="H3382" s="2" t="s">
        <v>24</v>
      </c>
      <c r="I3382" s="2" t="s">
        <v>3491</v>
      </c>
      <c r="J3382" s="2">
        <v>4.0</v>
      </c>
      <c r="K3382" s="23" t="s">
        <v>5924</v>
      </c>
      <c r="L3382" s="11">
        <v>0.0</v>
      </c>
      <c r="O3382" s="2" t="b">
        <v>0</v>
      </c>
    </row>
    <row r="3383" hidden="1">
      <c r="A3383" s="8" t="s">
        <v>2668</v>
      </c>
      <c r="B3383" s="8" t="s">
        <v>2668</v>
      </c>
      <c r="C3383" s="13">
        <v>46047.52648148148</v>
      </c>
      <c r="D3383" s="2" t="s">
        <v>1776</v>
      </c>
      <c r="E3383" s="2" t="s">
        <v>1777</v>
      </c>
      <c r="F3383" s="14" t="s">
        <v>4203</v>
      </c>
      <c r="G3383" s="14" t="s">
        <v>4204</v>
      </c>
      <c r="H3383" s="2" t="s">
        <v>16</v>
      </c>
      <c r="I3383" s="2" t="s">
        <v>3488</v>
      </c>
      <c r="J3383" s="2">
        <v>3.0</v>
      </c>
      <c r="K3383" s="23" t="s">
        <v>5925</v>
      </c>
      <c r="L3383" s="11">
        <v>80000.0</v>
      </c>
      <c r="O3383" s="2" t="b">
        <v>0</v>
      </c>
    </row>
    <row r="3384" hidden="1">
      <c r="A3384" s="8" t="s">
        <v>2669</v>
      </c>
      <c r="B3384" s="8" t="s">
        <v>2669</v>
      </c>
      <c r="C3384" s="13">
        <v>46048.346597222226</v>
      </c>
      <c r="D3384" s="2" t="s">
        <v>1776</v>
      </c>
      <c r="E3384" s="2" t="s">
        <v>1777</v>
      </c>
      <c r="F3384" s="14" t="s">
        <v>4203</v>
      </c>
      <c r="G3384" s="14" t="s">
        <v>4204</v>
      </c>
      <c r="H3384" s="2" t="s">
        <v>24</v>
      </c>
      <c r="I3384" s="2" t="s">
        <v>3491</v>
      </c>
      <c r="J3384" s="2">
        <v>6.0</v>
      </c>
      <c r="K3384" s="23" t="s">
        <v>5926</v>
      </c>
      <c r="L3384" s="11">
        <v>0.0</v>
      </c>
      <c r="O3384" s="2" t="b">
        <v>0</v>
      </c>
    </row>
    <row r="3385" hidden="1">
      <c r="A3385" s="8" t="s">
        <v>2670</v>
      </c>
      <c r="B3385" s="8" t="s">
        <v>2670</v>
      </c>
      <c r="C3385" s="13">
        <v>46048.47519675926</v>
      </c>
      <c r="D3385" s="2" t="s">
        <v>1993</v>
      </c>
      <c r="E3385" s="2" t="s">
        <v>1994</v>
      </c>
      <c r="F3385" s="14" t="s">
        <v>3486</v>
      </c>
      <c r="G3385" s="14" t="s">
        <v>3487</v>
      </c>
      <c r="H3385" s="2" t="s">
        <v>16</v>
      </c>
      <c r="I3385" s="2" t="s">
        <v>3488</v>
      </c>
      <c r="J3385" s="2">
        <v>5.0</v>
      </c>
      <c r="K3385" s="23" t="s">
        <v>5927</v>
      </c>
      <c r="L3385" s="11">
        <v>65000.0</v>
      </c>
      <c r="O3385" s="2" t="b">
        <v>0</v>
      </c>
    </row>
    <row r="3386" hidden="1">
      <c r="A3386" s="8" t="s">
        <v>2671</v>
      </c>
      <c r="B3386" s="8" t="s">
        <v>2671</v>
      </c>
      <c r="C3386" s="13">
        <v>46048.47767361111</v>
      </c>
      <c r="D3386" s="2" t="s">
        <v>1993</v>
      </c>
      <c r="E3386" s="2" t="s">
        <v>1994</v>
      </c>
      <c r="F3386" s="14" t="s">
        <v>3486</v>
      </c>
      <c r="G3386" s="14" t="s">
        <v>3487</v>
      </c>
      <c r="H3386" s="2" t="s">
        <v>24</v>
      </c>
      <c r="I3386" s="2" t="s">
        <v>3491</v>
      </c>
      <c r="J3386" s="2">
        <v>5.0</v>
      </c>
      <c r="K3386" s="23" t="s">
        <v>5928</v>
      </c>
      <c r="L3386" s="11">
        <v>0.0</v>
      </c>
      <c r="O3386" s="2" t="b">
        <v>0</v>
      </c>
    </row>
    <row r="3387" hidden="1">
      <c r="A3387" s="8" t="s">
        <v>2672</v>
      </c>
      <c r="B3387" s="8" t="s">
        <v>2672</v>
      </c>
      <c r="C3387" s="13">
        <v>46048.61618055555</v>
      </c>
      <c r="D3387" s="2" t="s">
        <v>109</v>
      </c>
      <c r="E3387" s="2" t="s">
        <v>110</v>
      </c>
      <c r="F3387" s="14" t="s">
        <v>3486</v>
      </c>
      <c r="G3387" s="14" t="s">
        <v>3487</v>
      </c>
      <c r="H3387" s="2" t="s">
        <v>24</v>
      </c>
      <c r="I3387" s="2" t="s">
        <v>3491</v>
      </c>
      <c r="J3387" s="2">
        <v>1.0</v>
      </c>
      <c r="K3387" s="23" t="s">
        <v>5814</v>
      </c>
      <c r="L3387" s="11">
        <v>0.0</v>
      </c>
      <c r="O3387" s="2" t="b">
        <v>0</v>
      </c>
    </row>
    <row r="3388" hidden="1">
      <c r="A3388" s="8" t="s">
        <v>2672</v>
      </c>
      <c r="B3388" s="8" t="s">
        <v>2672</v>
      </c>
      <c r="C3388" s="13">
        <v>46048.61618055555</v>
      </c>
      <c r="D3388" s="2" t="s">
        <v>109</v>
      </c>
      <c r="E3388" s="2" t="s">
        <v>110</v>
      </c>
      <c r="F3388" s="14" t="s">
        <v>4203</v>
      </c>
      <c r="G3388" s="14" t="s">
        <v>4204</v>
      </c>
      <c r="H3388" s="2" t="s">
        <v>24</v>
      </c>
      <c r="I3388" s="2" t="s">
        <v>3491</v>
      </c>
      <c r="J3388" s="2">
        <v>1.0</v>
      </c>
      <c r="K3388" s="23" t="s">
        <v>5605</v>
      </c>
      <c r="L3388" s="11">
        <v>0.0</v>
      </c>
      <c r="O3388" s="2" t="b">
        <v>0</v>
      </c>
    </row>
    <row r="3389" hidden="1">
      <c r="A3389" s="8" t="s">
        <v>2630</v>
      </c>
      <c r="B3389" s="8" t="s">
        <v>2630</v>
      </c>
      <c r="C3389" s="13">
        <v>46043.610497685186</v>
      </c>
      <c r="D3389" s="2" t="s">
        <v>951</v>
      </c>
      <c r="E3389" s="2" t="s">
        <v>952</v>
      </c>
      <c r="F3389" s="14" t="s">
        <v>3516</v>
      </c>
      <c r="G3389" s="14" t="s">
        <v>3517</v>
      </c>
      <c r="H3389" s="2" t="s">
        <v>24</v>
      </c>
      <c r="I3389" s="2" t="s">
        <v>3491</v>
      </c>
      <c r="J3389" s="2">
        <v>1.0</v>
      </c>
      <c r="K3389" s="23" t="s">
        <v>4636</v>
      </c>
      <c r="L3389" s="11">
        <v>0.0</v>
      </c>
      <c r="O3389" s="2" t="b">
        <v>0</v>
      </c>
    </row>
    <row r="3390" hidden="1">
      <c r="A3390" s="8" t="s">
        <v>2673</v>
      </c>
      <c r="B3390" s="8" t="s">
        <v>2673</v>
      </c>
      <c r="C3390" s="13">
        <v>46048.62605324074</v>
      </c>
      <c r="D3390" s="2" t="s">
        <v>951</v>
      </c>
      <c r="E3390" s="2" t="s">
        <v>952</v>
      </c>
      <c r="F3390" s="14" t="s">
        <v>3486</v>
      </c>
      <c r="G3390" s="14" t="s">
        <v>3487</v>
      </c>
      <c r="H3390" s="2" t="s">
        <v>24</v>
      </c>
      <c r="I3390" s="2" t="s">
        <v>3491</v>
      </c>
      <c r="J3390" s="2">
        <v>1.0</v>
      </c>
      <c r="K3390" s="23" t="s">
        <v>5929</v>
      </c>
      <c r="L3390" s="11">
        <v>0.0</v>
      </c>
      <c r="O3390" s="2" t="b">
        <v>0</v>
      </c>
    </row>
    <row r="3391" hidden="1">
      <c r="A3391" s="8" t="s">
        <v>2673</v>
      </c>
      <c r="B3391" s="8" t="s">
        <v>2673</v>
      </c>
      <c r="C3391" s="13">
        <v>46048.62605324074</v>
      </c>
      <c r="D3391" s="2" t="s">
        <v>951</v>
      </c>
      <c r="E3391" s="2" t="s">
        <v>952</v>
      </c>
      <c r="F3391" s="14" t="s">
        <v>3516</v>
      </c>
      <c r="G3391" s="14" t="s">
        <v>3517</v>
      </c>
      <c r="H3391" s="2" t="s">
        <v>24</v>
      </c>
      <c r="I3391" s="2" t="s">
        <v>3491</v>
      </c>
      <c r="J3391" s="2">
        <v>2.0</v>
      </c>
      <c r="K3391" s="23" t="s">
        <v>5930</v>
      </c>
      <c r="L3391" s="11">
        <v>0.0</v>
      </c>
      <c r="O3391" s="2" t="b">
        <v>0</v>
      </c>
    </row>
    <row r="3392" hidden="1">
      <c r="A3392" s="8" t="s">
        <v>2674</v>
      </c>
      <c r="B3392" s="8" t="s">
        <v>2674</v>
      </c>
      <c r="C3392" s="13">
        <v>46048.62657407407</v>
      </c>
      <c r="D3392" s="2" t="s">
        <v>2005</v>
      </c>
      <c r="E3392" s="2" t="s">
        <v>2006</v>
      </c>
      <c r="F3392" s="14" t="s">
        <v>3486</v>
      </c>
      <c r="G3392" s="14" t="s">
        <v>3487</v>
      </c>
      <c r="H3392" s="2" t="s">
        <v>24</v>
      </c>
      <c r="I3392" s="2" t="s">
        <v>3491</v>
      </c>
      <c r="J3392" s="2">
        <v>3.0</v>
      </c>
      <c r="K3392" s="23" t="s">
        <v>5931</v>
      </c>
      <c r="L3392" s="11">
        <v>0.0</v>
      </c>
      <c r="O3392" s="2" t="b">
        <v>0</v>
      </c>
    </row>
    <row r="3393" hidden="1">
      <c r="A3393" s="8" t="s">
        <v>2675</v>
      </c>
      <c r="B3393" s="8" t="s">
        <v>2675</v>
      </c>
      <c r="C3393" s="13">
        <v>46048.68990740741</v>
      </c>
      <c r="D3393" s="2" t="s">
        <v>786</v>
      </c>
      <c r="E3393" s="2" t="s">
        <v>787</v>
      </c>
      <c r="F3393" s="14" t="s">
        <v>3516</v>
      </c>
      <c r="G3393" s="14" t="s">
        <v>3517</v>
      </c>
      <c r="H3393" s="2" t="s">
        <v>24</v>
      </c>
      <c r="I3393" s="2" t="s">
        <v>3491</v>
      </c>
      <c r="J3393" s="2">
        <v>3.0</v>
      </c>
      <c r="K3393" s="23" t="s">
        <v>5932</v>
      </c>
      <c r="L3393" s="11">
        <v>0.0</v>
      </c>
      <c r="O3393" s="2" t="b">
        <v>0</v>
      </c>
    </row>
    <row r="3394" hidden="1">
      <c r="A3394" s="8" t="s">
        <v>2675</v>
      </c>
      <c r="B3394" s="8" t="s">
        <v>2675</v>
      </c>
      <c r="C3394" s="13">
        <v>46048.68990740741</v>
      </c>
      <c r="D3394" s="2" t="s">
        <v>786</v>
      </c>
      <c r="E3394" s="2" t="s">
        <v>787</v>
      </c>
      <c r="F3394" s="14" t="s">
        <v>4203</v>
      </c>
      <c r="G3394" s="14" t="s">
        <v>4204</v>
      </c>
      <c r="H3394" s="2" t="s">
        <v>24</v>
      </c>
      <c r="I3394" s="2" t="s">
        <v>3491</v>
      </c>
      <c r="J3394" s="2">
        <v>3.0</v>
      </c>
      <c r="K3394" s="23" t="s">
        <v>5933</v>
      </c>
      <c r="L3394" s="11">
        <v>0.0</v>
      </c>
      <c r="O3394" s="2" t="b">
        <v>0</v>
      </c>
    </row>
    <row r="3395" hidden="1">
      <c r="A3395" s="8" t="s">
        <v>2675</v>
      </c>
      <c r="B3395" s="8" t="s">
        <v>2675</v>
      </c>
      <c r="C3395" s="13">
        <v>46048.68990740741</v>
      </c>
      <c r="D3395" s="2" t="s">
        <v>786</v>
      </c>
      <c r="E3395" s="2" t="s">
        <v>787</v>
      </c>
      <c r="F3395" s="14" t="s">
        <v>3486</v>
      </c>
      <c r="G3395" s="14" t="s">
        <v>3487</v>
      </c>
      <c r="H3395" s="2" t="s">
        <v>24</v>
      </c>
      <c r="I3395" s="2" t="s">
        <v>3491</v>
      </c>
      <c r="J3395" s="2">
        <v>1.0</v>
      </c>
      <c r="K3395" s="23" t="s">
        <v>5934</v>
      </c>
      <c r="L3395" s="11">
        <v>0.0</v>
      </c>
      <c r="O3395" s="2" t="b">
        <v>0</v>
      </c>
    </row>
    <row r="3396" hidden="1">
      <c r="A3396" s="8" t="s">
        <v>2676</v>
      </c>
      <c r="B3396" s="8" t="s">
        <v>2676</v>
      </c>
      <c r="C3396" s="13">
        <v>46049.35649305556</v>
      </c>
      <c r="D3396" s="2" t="s">
        <v>1311</v>
      </c>
      <c r="E3396" s="2" t="s">
        <v>1010</v>
      </c>
      <c r="F3396" s="14" t="s">
        <v>4622</v>
      </c>
      <c r="G3396" s="14" t="s">
        <v>4623</v>
      </c>
      <c r="H3396" s="2" t="s">
        <v>16</v>
      </c>
      <c r="I3396" s="2" t="s">
        <v>3488</v>
      </c>
      <c r="J3396" s="2">
        <v>1.0</v>
      </c>
      <c r="K3396" s="12"/>
      <c r="L3396" s="11">
        <v>400000.0</v>
      </c>
      <c r="O3396" s="2" t="b">
        <v>0</v>
      </c>
    </row>
    <row r="3397" hidden="1">
      <c r="A3397" s="8" t="s">
        <v>2677</v>
      </c>
      <c r="B3397" s="8" t="s">
        <v>2677</v>
      </c>
      <c r="C3397" s="13">
        <v>46049.36927083333</v>
      </c>
      <c r="D3397" s="2" t="s">
        <v>1311</v>
      </c>
      <c r="E3397" s="2" t="s">
        <v>1010</v>
      </c>
      <c r="F3397" s="14" t="s">
        <v>3585</v>
      </c>
      <c r="G3397" s="14" t="s">
        <v>3586</v>
      </c>
      <c r="H3397" s="2" t="s">
        <v>24</v>
      </c>
      <c r="I3397" s="2" t="s">
        <v>3491</v>
      </c>
      <c r="J3397" s="2">
        <v>1.0</v>
      </c>
      <c r="K3397" s="12"/>
      <c r="L3397" s="11">
        <v>0.0</v>
      </c>
      <c r="O3397" s="2" t="b">
        <v>0</v>
      </c>
    </row>
    <row r="3398" hidden="1">
      <c r="A3398" s="8" t="s">
        <v>2678</v>
      </c>
      <c r="B3398" s="8" t="s">
        <v>2678</v>
      </c>
      <c r="C3398" s="13">
        <v>46049.37813657407</v>
      </c>
      <c r="D3398" s="2" t="s">
        <v>320</v>
      </c>
      <c r="E3398" s="2" t="s">
        <v>321</v>
      </c>
      <c r="F3398" s="14" t="s">
        <v>3486</v>
      </c>
      <c r="G3398" s="14" t="s">
        <v>3487</v>
      </c>
      <c r="H3398" s="2" t="s">
        <v>16</v>
      </c>
      <c r="I3398" s="2" t="s">
        <v>3488</v>
      </c>
      <c r="J3398" s="2">
        <v>2.0</v>
      </c>
      <c r="K3398" s="23" t="s">
        <v>5935</v>
      </c>
      <c r="L3398" s="11">
        <v>70000.0</v>
      </c>
      <c r="O3398" s="2" t="b">
        <v>0</v>
      </c>
    </row>
    <row r="3399" hidden="1">
      <c r="A3399" s="8" t="s">
        <v>2679</v>
      </c>
      <c r="B3399" s="8" t="s">
        <v>2679</v>
      </c>
      <c r="C3399" s="13">
        <v>46049.38143518518</v>
      </c>
      <c r="D3399" s="2" t="s">
        <v>326</v>
      </c>
      <c r="E3399" s="2" t="s">
        <v>327</v>
      </c>
      <c r="F3399" s="14" t="s">
        <v>3486</v>
      </c>
      <c r="G3399" s="14" t="s">
        <v>3487</v>
      </c>
      <c r="H3399" s="2" t="s">
        <v>16</v>
      </c>
      <c r="I3399" s="2" t="s">
        <v>3488</v>
      </c>
      <c r="J3399" s="2">
        <v>15.0</v>
      </c>
      <c r="K3399" s="23" t="s">
        <v>5936</v>
      </c>
      <c r="L3399" s="11">
        <v>45000.0</v>
      </c>
      <c r="O3399" s="2" t="b">
        <v>0</v>
      </c>
    </row>
    <row r="3400" hidden="1">
      <c r="A3400" s="8" t="s">
        <v>2680</v>
      </c>
      <c r="B3400" s="8" t="s">
        <v>2680</v>
      </c>
      <c r="C3400" s="13">
        <v>46049.38591435185</v>
      </c>
      <c r="D3400" s="2" t="s">
        <v>2005</v>
      </c>
      <c r="E3400" s="2" t="s">
        <v>2006</v>
      </c>
      <c r="F3400" s="14" t="s">
        <v>4203</v>
      </c>
      <c r="G3400" s="14" t="s">
        <v>4204</v>
      </c>
      <c r="H3400" s="2" t="s">
        <v>16</v>
      </c>
      <c r="I3400" s="2" t="s">
        <v>3488</v>
      </c>
      <c r="J3400" s="2">
        <v>10.0</v>
      </c>
      <c r="K3400" s="23" t="s">
        <v>5937</v>
      </c>
      <c r="L3400" s="11">
        <v>65000.0</v>
      </c>
      <c r="O3400" s="2" t="b">
        <v>0</v>
      </c>
    </row>
    <row r="3401" hidden="1">
      <c r="A3401" s="8" t="s">
        <v>2680</v>
      </c>
      <c r="B3401" s="8" t="s">
        <v>2680</v>
      </c>
      <c r="C3401" s="13">
        <v>46049.38591435185</v>
      </c>
      <c r="D3401" s="2" t="s">
        <v>2005</v>
      </c>
      <c r="E3401" s="2" t="s">
        <v>2006</v>
      </c>
      <c r="F3401" s="14" t="s">
        <v>3493</v>
      </c>
      <c r="G3401" s="14" t="s">
        <v>3494</v>
      </c>
      <c r="H3401" s="2" t="s">
        <v>16</v>
      </c>
      <c r="I3401" s="2" t="s">
        <v>3488</v>
      </c>
      <c r="J3401" s="2">
        <v>2.0</v>
      </c>
      <c r="K3401" s="12" t="s">
        <v>5815</v>
      </c>
      <c r="L3401" s="11">
        <v>215000.0</v>
      </c>
      <c r="O3401" s="2" t="b">
        <v>0</v>
      </c>
    </row>
    <row r="3402" hidden="1">
      <c r="A3402" s="8" t="s">
        <v>2681</v>
      </c>
      <c r="B3402" s="8" t="s">
        <v>2681</v>
      </c>
      <c r="C3402" s="13">
        <v>46049.40972222222</v>
      </c>
      <c r="D3402" s="2" t="s">
        <v>786</v>
      </c>
      <c r="E3402" s="2" t="s">
        <v>787</v>
      </c>
      <c r="F3402" s="14" t="s">
        <v>3516</v>
      </c>
      <c r="G3402" s="14" t="s">
        <v>3517</v>
      </c>
      <c r="H3402" s="2" t="s">
        <v>16</v>
      </c>
      <c r="I3402" s="2" t="s">
        <v>3488</v>
      </c>
      <c r="J3402" s="2">
        <v>3.0</v>
      </c>
      <c r="K3402" s="23" t="s">
        <v>5938</v>
      </c>
      <c r="L3402" s="11">
        <v>180000.0</v>
      </c>
      <c r="O3402" s="2" t="b">
        <v>0</v>
      </c>
    </row>
    <row r="3403" hidden="1">
      <c r="A3403" s="8" t="s">
        <v>2681</v>
      </c>
      <c r="B3403" s="8" t="s">
        <v>2681</v>
      </c>
      <c r="C3403" s="13">
        <v>46049.40972222222</v>
      </c>
      <c r="D3403" s="2" t="s">
        <v>786</v>
      </c>
      <c r="E3403" s="2" t="s">
        <v>787</v>
      </c>
      <c r="F3403" s="14" t="s">
        <v>3486</v>
      </c>
      <c r="G3403" s="14" t="s">
        <v>3487</v>
      </c>
      <c r="H3403" s="2" t="s">
        <v>16</v>
      </c>
      <c r="I3403" s="2" t="s">
        <v>3488</v>
      </c>
      <c r="J3403" s="2">
        <v>6.0</v>
      </c>
      <c r="K3403" s="23" t="s">
        <v>5939</v>
      </c>
      <c r="L3403" s="11">
        <v>60000.0</v>
      </c>
      <c r="O3403" s="2" t="b">
        <v>0</v>
      </c>
    </row>
    <row r="3404" hidden="1">
      <c r="A3404" s="8" t="s">
        <v>2682</v>
      </c>
      <c r="B3404" s="8" t="s">
        <v>2682</v>
      </c>
      <c r="C3404" s="13">
        <v>46049.47534722222</v>
      </c>
      <c r="D3404" s="2" t="s">
        <v>2005</v>
      </c>
      <c r="E3404" s="2" t="s">
        <v>2006</v>
      </c>
      <c r="F3404" s="14" t="s">
        <v>3486</v>
      </c>
      <c r="G3404" s="14" t="s">
        <v>3487</v>
      </c>
      <c r="H3404" s="2" t="s">
        <v>24</v>
      </c>
      <c r="I3404" s="2" t="s">
        <v>3491</v>
      </c>
      <c r="J3404" s="2">
        <v>4.0</v>
      </c>
      <c r="K3404" s="23" t="s">
        <v>5940</v>
      </c>
      <c r="L3404" s="11">
        <v>0.0</v>
      </c>
      <c r="O3404" s="2" t="b">
        <v>0</v>
      </c>
    </row>
    <row r="3405" hidden="1">
      <c r="A3405" s="8" t="s">
        <v>2682</v>
      </c>
      <c r="B3405" s="8" t="s">
        <v>2682</v>
      </c>
      <c r="C3405" s="13">
        <v>46049.47534722222</v>
      </c>
      <c r="D3405" s="2" t="s">
        <v>2005</v>
      </c>
      <c r="E3405" s="2" t="s">
        <v>2006</v>
      </c>
      <c r="F3405" s="14" t="s">
        <v>3493</v>
      </c>
      <c r="G3405" s="14" t="s">
        <v>3494</v>
      </c>
      <c r="H3405" s="2" t="s">
        <v>24</v>
      </c>
      <c r="I3405" s="2" t="s">
        <v>3491</v>
      </c>
      <c r="J3405" s="2">
        <v>2.0</v>
      </c>
      <c r="K3405" s="12" t="s">
        <v>5941</v>
      </c>
      <c r="L3405" s="11">
        <v>0.0</v>
      </c>
      <c r="O3405" s="2" t="b">
        <v>0</v>
      </c>
    </row>
    <row r="3406" hidden="1">
      <c r="A3406" s="8" t="s">
        <v>2683</v>
      </c>
      <c r="B3406" s="8" t="s">
        <v>2683</v>
      </c>
      <c r="C3406" s="13">
        <v>46049.47619212963</v>
      </c>
      <c r="D3406" s="2" t="s">
        <v>320</v>
      </c>
      <c r="E3406" s="2" t="s">
        <v>321</v>
      </c>
      <c r="F3406" s="14" t="s">
        <v>3486</v>
      </c>
      <c r="G3406" s="14" t="s">
        <v>3487</v>
      </c>
      <c r="H3406" s="2" t="s">
        <v>24</v>
      </c>
      <c r="I3406" s="2" t="s">
        <v>3491</v>
      </c>
      <c r="J3406" s="2">
        <v>3.0</v>
      </c>
      <c r="K3406" s="23" t="s">
        <v>5942</v>
      </c>
      <c r="L3406" s="11">
        <v>0.0</v>
      </c>
      <c r="O3406" s="2" t="b">
        <v>0</v>
      </c>
    </row>
    <row r="3407" hidden="1">
      <c r="A3407" s="8" t="s">
        <v>2684</v>
      </c>
      <c r="B3407" s="8" t="s">
        <v>2684</v>
      </c>
      <c r="C3407" s="13">
        <v>46049.68667824074</v>
      </c>
      <c r="D3407" s="2" t="s">
        <v>326</v>
      </c>
      <c r="E3407" s="2" t="s">
        <v>327</v>
      </c>
      <c r="F3407" s="14" t="s">
        <v>3486</v>
      </c>
      <c r="G3407" s="14" t="s">
        <v>3487</v>
      </c>
      <c r="H3407" s="2" t="s">
        <v>24</v>
      </c>
      <c r="I3407" s="2" t="s">
        <v>3491</v>
      </c>
      <c r="J3407" s="2">
        <v>4.0</v>
      </c>
      <c r="K3407" s="23" t="s">
        <v>5943</v>
      </c>
      <c r="L3407" s="11">
        <v>0.0</v>
      </c>
      <c r="O3407" s="2" t="b">
        <v>0</v>
      </c>
    </row>
    <row r="3408" hidden="1">
      <c r="A3408" s="8" t="s">
        <v>2685</v>
      </c>
      <c r="B3408" s="8" t="s">
        <v>2685</v>
      </c>
      <c r="C3408" s="13">
        <v>46050.36010416667</v>
      </c>
      <c r="D3408" s="2" t="s">
        <v>2686</v>
      </c>
      <c r="E3408" s="2" t="s">
        <v>2687</v>
      </c>
      <c r="F3408" s="14" t="s">
        <v>4203</v>
      </c>
      <c r="G3408" s="14" t="s">
        <v>4204</v>
      </c>
      <c r="H3408" s="2" t="s">
        <v>16</v>
      </c>
      <c r="I3408" s="2" t="s">
        <v>3488</v>
      </c>
      <c r="J3408" s="2">
        <v>2.0</v>
      </c>
      <c r="K3408" s="23" t="s">
        <v>5944</v>
      </c>
      <c r="L3408" s="11">
        <v>54054.05</v>
      </c>
      <c r="O3408" s="2" t="b">
        <v>0</v>
      </c>
    </row>
    <row r="3409" hidden="1">
      <c r="A3409" s="8" t="s">
        <v>2685</v>
      </c>
      <c r="B3409" s="8" t="s">
        <v>2685</v>
      </c>
      <c r="C3409" s="13">
        <v>46050.36010416667</v>
      </c>
      <c r="D3409" s="2" t="s">
        <v>2686</v>
      </c>
      <c r="E3409" s="2" t="s">
        <v>2687</v>
      </c>
      <c r="F3409" s="14" t="s">
        <v>3585</v>
      </c>
      <c r="G3409" s="14" t="s">
        <v>3586</v>
      </c>
      <c r="H3409" s="2" t="s">
        <v>16</v>
      </c>
      <c r="I3409" s="2" t="s">
        <v>3488</v>
      </c>
      <c r="J3409" s="2">
        <v>1.0</v>
      </c>
      <c r="K3409" s="23" t="s">
        <v>5945</v>
      </c>
      <c r="L3409" s="11">
        <v>405405.41</v>
      </c>
      <c r="O3409" s="2" t="b">
        <v>0</v>
      </c>
    </row>
    <row r="3410" hidden="1">
      <c r="A3410" s="8" t="s">
        <v>2689</v>
      </c>
      <c r="B3410" s="8" t="s">
        <v>2689</v>
      </c>
      <c r="C3410" s="13">
        <v>46050.36048611111</v>
      </c>
      <c r="D3410" s="2" t="s">
        <v>49</v>
      </c>
      <c r="E3410" s="2" t="s">
        <v>50</v>
      </c>
      <c r="F3410" s="14" t="s">
        <v>3486</v>
      </c>
      <c r="G3410" s="14" t="s">
        <v>3487</v>
      </c>
      <c r="H3410" s="2" t="s">
        <v>16</v>
      </c>
      <c r="I3410" s="2" t="s">
        <v>3488</v>
      </c>
      <c r="J3410" s="2">
        <v>5.0</v>
      </c>
      <c r="K3410" s="23" t="s">
        <v>5946</v>
      </c>
      <c r="L3410" s="11">
        <v>60000.0</v>
      </c>
      <c r="O3410" s="2" t="b">
        <v>0</v>
      </c>
    </row>
    <row r="3411" hidden="1">
      <c r="A3411" s="8" t="s">
        <v>2690</v>
      </c>
      <c r="B3411" s="8" t="s">
        <v>2690</v>
      </c>
      <c r="C3411" s="13">
        <v>46050.3618287037</v>
      </c>
      <c r="D3411" s="2" t="s">
        <v>951</v>
      </c>
      <c r="E3411" s="2" t="s">
        <v>952</v>
      </c>
      <c r="F3411" s="14" t="s">
        <v>3486</v>
      </c>
      <c r="G3411" s="14" t="s">
        <v>3487</v>
      </c>
      <c r="H3411" s="2" t="s">
        <v>16</v>
      </c>
      <c r="I3411" s="2" t="s">
        <v>3488</v>
      </c>
      <c r="J3411" s="2">
        <v>2.0</v>
      </c>
      <c r="K3411" s="23" t="s">
        <v>5947</v>
      </c>
      <c r="L3411" s="11">
        <v>55000.0</v>
      </c>
      <c r="O3411" s="2" t="b">
        <v>0</v>
      </c>
    </row>
    <row r="3412" hidden="1">
      <c r="A3412" s="8" t="s">
        <v>2690</v>
      </c>
      <c r="B3412" s="8" t="s">
        <v>2690</v>
      </c>
      <c r="C3412" s="13">
        <v>46050.3618287037</v>
      </c>
      <c r="D3412" s="2" t="s">
        <v>951</v>
      </c>
      <c r="E3412" s="2" t="s">
        <v>952</v>
      </c>
      <c r="F3412" s="14" t="s">
        <v>3516</v>
      </c>
      <c r="G3412" s="14" t="s">
        <v>3517</v>
      </c>
      <c r="H3412" s="2" t="s">
        <v>16</v>
      </c>
      <c r="I3412" s="2" t="s">
        <v>3488</v>
      </c>
      <c r="J3412" s="2">
        <v>2.0</v>
      </c>
      <c r="K3412" s="23" t="s">
        <v>5948</v>
      </c>
      <c r="L3412" s="11">
        <v>175000.0</v>
      </c>
      <c r="O3412" s="2" t="b">
        <v>0</v>
      </c>
    </row>
    <row r="3413" hidden="1">
      <c r="A3413" s="8" t="s">
        <v>2691</v>
      </c>
      <c r="B3413" s="8" t="s">
        <v>2691</v>
      </c>
      <c r="C3413" s="13">
        <v>46050.367256944446</v>
      </c>
      <c r="D3413" s="2" t="s">
        <v>464</v>
      </c>
      <c r="E3413" s="2" t="s">
        <v>465</v>
      </c>
      <c r="F3413" s="14" t="s">
        <v>4203</v>
      </c>
      <c r="G3413" s="14" t="s">
        <v>4204</v>
      </c>
      <c r="H3413" s="2" t="s">
        <v>16</v>
      </c>
      <c r="I3413" s="2" t="s">
        <v>3488</v>
      </c>
      <c r="J3413" s="2">
        <v>3.0</v>
      </c>
      <c r="K3413" s="23" t="s">
        <v>5949</v>
      </c>
      <c r="L3413" s="11">
        <v>55000.0</v>
      </c>
      <c r="O3413" s="2" t="b">
        <v>0</v>
      </c>
    </row>
    <row r="3414" hidden="1">
      <c r="A3414" s="8" t="s">
        <v>2692</v>
      </c>
      <c r="B3414" s="8" t="s">
        <v>2692</v>
      </c>
      <c r="C3414" s="13">
        <v>46050.37126157407</v>
      </c>
      <c r="D3414" s="2" t="s">
        <v>320</v>
      </c>
      <c r="E3414" s="2" t="s">
        <v>321</v>
      </c>
      <c r="F3414" s="14" t="s">
        <v>3516</v>
      </c>
      <c r="G3414" s="14" t="s">
        <v>3517</v>
      </c>
      <c r="H3414" s="2" t="s">
        <v>16</v>
      </c>
      <c r="I3414" s="2" t="s">
        <v>3488</v>
      </c>
      <c r="J3414" s="2">
        <v>1.0</v>
      </c>
      <c r="K3414" s="23" t="s">
        <v>5504</v>
      </c>
      <c r="L3414" s="11">
        <v>190000.0</v>
      </c>
      <c r="O3414" s="2" t="b">
        <v>0</v>
      </c>
    </row>
    <row r="3415" hidden="1">
      <c r="A3415" s="8" t="s">
        <v>2693</v>
      </c>
      <c r="B3415" s="8" t="s">
        <v>2693</v>
      </c>
      <c r="C3415" s="13">
        <v>46050.3996875</v>
      </c>
      <c r="D3415" s="2" t="s">
        <v>786</v>
      </c>
      <c r="E3415" s="2" t="s">
        <v>787</v>
      </c>
      <c r="F3415" s="14" t="s">
        <v>3486</v>
      </c>
      <c r="G3415" s="14" t="s">
        <v>3487</v>
      </c>
      <c r="H3415" s="2" t="s">
        <v>24</v>
      </c>
      <c r="I3415" s="2" t="s">
        <v>3491</v>
      </c>
      <c r="J3415" s="2">
        <v>3.0</v>
      </c>
      <c r="K3415" s="23" t="s">
        <v>5950</v>
      </c>
      <c r="L3415" s="11">
        <v>0.0</v>
      </c>
      <c r="O3415" s="2" t="b">
        <v>0</v>
      </c>
    </row>
    <row r="3416" hidden="1">
      <c r="A3416" s="8" t="s">
        <v>2693</v>
      </c>
      <c r="B3416" s="8" t="s">
        <v>2693</v>
      </c>
      <c r="C3416" s="13">
        <v>46050.3996875</v>
      </c>
      <c r="D3416" s="2" t="s">
        <v>786</v>
      </c>
      <c r="E3416" s="2" t="s">
        <v>787</v>
      </c>
      <c r="F3416" s="14" t="s">
        <v>4203</v>
      </c>
      <c r="G3416" s="14" t="s">
        <v>4204</v>
      </c>
      <c r="H3416" s="2" t="s">
        <v>24</v>
      </c>
      <c r="I3416" s="2" t="s">
        <v>3491</v>
      </c>
      <c r="J3416" s="2">
        <v>1.0</v>
      </c>
      <c r="K3416" s="23" t="s">
        <v>5045</v>
      </c>
      <c r="L3416" s="11">
        <v>0.0</v>
      </c>
      <c r="O3416" s="2" t="b">
        <v>0</v>
      </c>
    </row>
    <row r="3417" hidden="1">
      <c r="A3417" s="8" t="s">
        <v>2694</v>
      </c>
      <c r="B3417" s="8" t="s">
        <v>2694</v>
      </c>
      <c r="C3417" s="13">
        <v>46050.40107638889</v>
      </c>
      <c r="D3417" s="2" t="s">
        <v>1975</v>
      </c>
      <c r="E3417" s="2" t="s">
        <v>1976</v>
      </c>
      <c r="F3417" s="14" t="s">
        <v>3486</v>
      </c>
      <c r="G3417" s="14" t="s">
        <v>3487</v>
      </c>
      <c r="H3417" s="2" t="s">
        <v>16</v>
      </c>
      <c r="I3417" s="2" t="s">
        <v>3488</v>
      </c>
      <c r="J3417" s="2">
        <v>10.0</v>
      </c>
      <c r="K3417" s="23" t="s">
        <v>5951</v>
      </c>
      <c r="L3417" s="11">
        <v>60000.0</v>
      </c>
      <c r="O3417" s="2" t="b">
        <v>0</v>
      </c>
    </row>
    <row r="3418" hidden="1">
      <c r="A3418" s="8" t="s">
        <v>2695</v>
      </c>
      <c r="B3418" s="8" t="s">
        <v>2695</v>
      </c>
      <c r="C3418" s="13">
        <v>46050.4031712963</v>
      </c>
      <c r="D3418" s="2" t="s">
        <v>2640</v>
      </c>
      <c r="E3418" s="2" t="s">
        <v>2641</v>
      </c>
      <c r="F3418" s="14" t="s">
        <v>3486</v>
      </c>
      <c r="G3418" s="14" t="s">
        <v>3487</v>
      </c>
      <c r="H3418" s="2" t="s">
        <v>16</v>
      </c>
      <c r="I3418" s="2" t="s">
        <v>3488</v>
      </c>
      <c r="J3418" s="2">
        <v>5.0</v>
      </c>
      <c r="K3418" s="23" t="s">
        <v>5952</v>
      </c>
      <c r="L3418" s="11">
        <v>60000.0</v>
      </c>
      <c r="O3418" s="2" t="b">
        <v>0</v>
      </c>
    </row>
    <row r="3419" hidden="1">
      <c r="A3419" s="8" t="s">
        <v>2695</v>
      </c>
      <c r="B3419" s="8" t="s">
        <v>2695</v>
      </c>
      <c r="C3419" s="13">
        <v>46050.4031712963</v>
      </c>
      <c r="D3419" s="2" t="s">
        <v>2640</v>
      </c>
      <c r="E3419" s="2" t="s">
        <v>2641</v>
      </c>
      <c r="F3419" s="14" t="s">
        <v>3516</v>
      </c>
      <c r="G3419" s="14" t="s">
        <v>3517</v>
      </c>
      <c r="H3419" s="2" t="s">
        <v>16</v>
      </c>
      <c r="I3419" s="2" t="s">
        <v>3488</v>
      </c>
      <c r="J3419" s="2">
        <v>4.0</v>
      </c>
      <c r="K3419" s="23" t="s">
        <v>5953</v>
      </c>
      <c r="L3419" s="11">
        <v>190000.0</v>
      </c>
      <c r="O3419" s="2" t="b">
        <v>0</v>
      </c>
    </row>
    <row r="3420" hidden="1">
      <c r="A3420" s="1"/>
      <c r="B3420" s="1"/>
      <c r="C3420" s="13"/>
      <c r="D3420" s="2"/>
      <c r="E3420" s="2"/>
      <c r="F3420" s="14"/>
      <c r="G3420" s="14"/>
      <c r="H3420" s="2"/>
      <c r="I3420" s="2"/>
      <c r="J3420" s="2"/>
      <c r="K3420" s="12"/>
      <c r="L3420" s="11"/>
      <c r="O3420" s="2"/>
    </row>
    <row r="3421" hidden="1">
      <c r="A3421" s="8" t="s">
        <v>2696</v>
      </c>
      <c r="B3421" s="8" t="s">
        <v>2696</v>
      </c>
      <c r="C3421" s="13">
        <v>46050.41837962963</v>
      </c>
      <c r="D3421" s="2" t="s">
        <v>169</v>
      </c>
      <c r="E3421" s="2" t="s">
        <v>170</v>
      </c>
      <c r="F3421" s="14" t="s">
        <v>3486</v>
      </c>
      <c r="G3421" s="14" t="s">
        <v>3487</v>
      </c>
      <c r="H3421" s="2" t="s">
        <v>16</v>
      </c>
      <c r="I3421" s="2" t="s">
        <v>3488</v>
      </c>
      <c r="J3421" s="2">
        <v>2.0</v>
      </c>
      <c r="K3421" s="23" t="s">
        <v>5954</v>
      </c>
      <c r="L3421" s="11">
        <v>60000.0</v>
      </c>
      <c r="O3421" s="2" t="b">
        <v>0</v>
      </c>
    </row>
    <row r="3422" hidden="1">
      <c r="A3422" s="8" t="s">
        <v>2697</v>
      </c>
      <c r="B3422" s="8" t="s">
        <v>2697</v>
      </c>
      <c r="C3422" s="13">
        <v>46050.433229166665</v>
      </c>
      <c r="D3422" s="2" t="s">
        <v>131</v>
      </c>
      <c r="E3422" s="2" t="s">
        <v>132</v>
      </c>
      <c r="F3422" s="14" t="s">
        <v>3486</v>
      </c>
      <c r="G3422" s="14" t="s">
        <v>3487</v>
      </c>
      <c r="H3422" s="2" t="s">
        <v>16</v>
      </c>
      <c r="I3422" s="2" t="s">
        <v>3488</v>
      </c>
      <c r="J3422" s="2">
        <v>2.0</v>
      </c>
      <c r="K3422" s="23" t="s">
        <v>5955</v>
      </c>
      <c r="L3422" s="11">
        <v>60000.0</v>
      </c>
      <c r="O3422" s="2" t="b">
        <v>0</v>
      </c>
    </row>
    <row r="3423" hidden="1">
      <c r="A3423" s="8" t="s">
        <v>2697</v>
      </c>
      <c r="B3423" s="8" t="s">
        <v>2697</v>
      </c>
      <c r="C3423" s="13">
        <v>46050.433229166665</v>
      </c>
      <c r="D3423" s="2" t="s">
        <v>131</v>
      </c>
      <c r="E3423" s="2" t="s">
        <v>132</v>
      </c>
      <c r="F3423" s="14" t="s">
        <v>4203</v>
      </c>
      <c r="G3423" s="14" t="s">
        <v>4204</v>
      </c>
      <c r="H3423" s="2" t="s">
        <v>16</v>
      </c>
      <c r="I3423" s="2" t="s">
        <v>3488</v>
      </c>
      <c r="J3423" s="2">
        <v>4.0</v>
      </c>
      <c r="K3423" s="23" t="s">
        <v>5956</v>
      </c>
      <c r="L3423" s="11">
        <v>60000.0</v>
      </c>
      <c r="O3423" s="2" t="b">
        <v>0</v>
      </c>
    </row>
    <row r="3424" hidden="1">
      <c r="A3424" s="8" t="s">
        <v>2697</v>
      </c>
      <c r="B3424" s="8" t="s">
        <v>2697</v>
      </c>
      <c r="C3424" s="13">
        <v>46050.433229166665</v>
      </c>
      <c r="D3424" s="2" t="s">
        <v>131</v>
      </c>
      <c r="E3424" s="2" t="s">
        <v>132</v>
      </c>
      <c r="F3424" s="14" t="s">
        <v>3516</v>
      </c>
      <c r="G3424" s="14" t="s">
        <v>3517</v>
      </c>
      <c r="H3424" s="2" t="s">
        <v>16</v>
      </c>
      <c r="I3424" s="2" t="s">
        <v>3488</v>
      </c>
      <c r="J3424" s="2">
        <v>2.0</v>
      </c>
      <c r="K3424" s="23" t="s">
        <v>5905</v>
      </c>
      <c r="L3424" s="11">
        <v>180000.0</v>
      </c>
      <c r="O3424" s="2" t="b">
        <v>0</v>
      </c>
    </row>
    <row r="3425" hidden="1">
      <c r="A3425" s="8" t="s">
        <v>2698</v>
      </c>
      <c r="B3425" s="8" t="s">
        <v>2698</v>
      </c>
      <c r="C3425" s="13">
        <v>46050.49862268518</v>
      </c>
      <c r="D3425" s="2" t="s">
        <v>131</v>
      </c>
      <c r="E3425" s="2" t="s">
        <v>132</v>
      </c>
      <c r="F3425" s="14" t="s">
        <v>3486</v>
      </c>
      <c r="G3425" s="14" t="s">
        <v>3487</v>
      </c>
      <c r="H3425" s="2" t="s">
        <v>24</v>
      </c>
      <c r="I3425" s="2" t="s">
        <v>3491</v>
      </c>
      <c r="J3425" s="2">
        <v>3.0</v>
      </c>
      <c r="K3425" s="23" t="s">
        <v>5957</v>
      </c>
      <c r="L3425" s="11">
        <v>0.0</v>
      </c>
      <c r="O3425" s="2" t="b">
        <v>0</v>
      </c>
    </row>
    <row r="3426" hidden="1">
      <c r="A3426" s="8" t="s">
        <v>2698</v>
      </c>
      <c r="B3426" s="8" t="s">
        <v>2698</v>
      </c>
      <c r="C3426" s="13">
        <v>46050.49862268518</v>
      </c>
      <c r="D3426" s="2" t="s">
        <v>131</v>
      </c>
      <c r="E3426" s="2" t="s">
        <v>132</v>
      </c>
      <c r="F3426" s="14" t="s">
        <v>4203</v>
      </c>
      <c r="G3426" s="14" t="s">
        <v>4204</v>
      </c>
      <c r="H3426" s="2" t="s">
        <v>24</v>
      </c>
      <c r="I3426" s="2" t="s">
        <v>3491</v>
      </c>
      <c r="J3426" s="2">
        <v>1.0</v>
      </c>
      <c r="K3426" s="23" t="s">
        <v>5958</v>
      </c>
      <c r="L3426" s="11">
        <v>0.0</v>
      </c>
      <c r="O3426" s="2" t="b">
        <v>0</v>
      </c>
    </row>
    <row r="3427" hidden="1">
      <c r="A3427" s="8" t="s">
        <v>2699</v>
      </c>
      <c r="B3427" s="8" t="s">
        <v>2699</v>
      </c>
      <c r="C3427" s="13">
        <v>46050.49940972222</v>
      </c>
      <c r="D3427" s="2" t="s">
        <v>169</v>
      </c>
      <c r="E3427" s="2" t="s">
        <v>170</v>
      </c>
      <c r="F3427" s="14" t="s">
        <v>3486</v>
      </c>
      <c r="G3427" s="14" t="s">
        <v>3487</v>
      </c>
      <c r="H3427" s="2" t="s">
        <v>24</v>
      </c>
      <c r="I3427" s="2" t="s">
        <v>3491</v>
      </c>
      <c r="J3427" s="2">
        <v>1.0</v>
      </c>
      <c r="K3427" s="23" t="s">
        <v>3926</v>
      </c>
      <c r="L3427" s="11">
        <v>0.0</v>
      </c>
      <c r="O3427" s="2" t="b">
        <v>0</v>
      </c>
    </row>
    <row r="3428" hidden="1">
      <c r="A3428" s="8" t="s">
        <v>2700</v>
      </c>
      <c r="B3428" s="8" t="s">
        <v>2700</v>
      </c>
      <c r="C3428" s="13">
        <v>46050.50751157408</v>
      </c>
      <c r="D3428" s="2" t="s">
        <v>464</v>
      </c>
      <c r="E3428" s="2" t="s">
        <v>465</v>
      </c>
      <c r="F3428" s="14" t="s">
        <v>4203</v>
      </c>
      <c r="G3428" s="14" t="s">
        <v>4204</v>
      </c>
      <c r="H3428" s="2" t="s">
        <v>24</v>
      </c>
      <c r="I3428" s="2" t="s">
        <v>3491</v>
      </c>
      <c r="J3428" s="2">
        <v>1.0</v>
      </c>
      <c r="K3428" s="23" t="s">
        <v>5959</v>
      </c>
      <c r="L3428" s="11">
        <v>0.0</v>
      </c>
      <c r="O3428" s="2" t="b">
        <v>0</v>
      </c>
    </row>
    <row r="3429" hidden="1">
      <c r="A3429" s="8" t="s">
        <v>2700</v>
      </c>
      <c r="B3429" s="8" t="s">
        <v>2700</v>
      </c>
      <c r="C3429" s="13">
        <v>46050.50751157408</v>
      </c>
      <c r="D3429" s="2" t="s">
        <v>464</v>
      </c>
      <c r="E3429" s="2" t="s">
        <v>465</v>
      </c>
      <c r="F3429" s="14" t="s">
        <v>3506</v>
      </c>
      <c r="G3429" s="14" t="s">
        <v>3507</v>
      </c>
      <c r="H3429" s="2" t="s">
        <v>24</v>
      </c>
      <c r="I3429" s="2" t="s">
        <v>3491</v>
      </c>
      <c r="J3429" s="2">
        <v>5.0</v>
      </c>
      <c r="K3429" s="12"/>
      <c r="L3429" s="11">
        <v>0.0</v>
      </c>
      <c r="O3429" s="2" t="b">
        <v>0</v>
      </c>
    </row>
    <row r="3430" hidden="1">
      <c r="A3430" s="8" t="s">
        <v>2701</v>
      </c>
      <c r="B3430" s="8" t="s">
        <v>2701</v>
      </c>
      <c r="C3430" s="13">
        <v>46050.508564814816</v>
      </c>
      <c r="D3430" s="2" t="s">
        <v>951</v>
      </c>
      <c r="E3430" s="2" t="s">
        <v>952</v>
      </c>
      <c r="F3430" s="14" t="s">
        <v>3486</v>
      </c>
      <c r="G3430" s="14" t="s">
        <v>3487</v>
      </c>
      <c r="H3430" s="2" t="s">
        <v>24</v>
      </c>
      <c r="I3430" s="2" t="s">
        <v>3491</v>
      </c>
      <c r="J3430" s="2">
        <v>3.0</v>
      </c>
      <c r="K3430" s="23" t="s">
        <v>5960</v>
      </c>
      <c r="L3430" s="11">
        <v>0.0</v>
      </c>
      <c r="O3430" s="2" t="b">
        <v>0</v>
      </c>
    </row>
    <row r="3431" hidden="1">
      <c r="A3431" s="8" t="s">
        <v>2702</v>
      </c>
      <c r="B3431" s="8" t="s">
        <v>2702</v>
      </c>
      <c r="C3431" s="13">
        <v>46050.50894675926</v>
      </c>
      <c r="D3431" s="2" t="s">
        <v>320</v>
      </c>
      <c r="E3431" s="2" t="s">
        <v>321</v>
      </c>
      <c r="F3431" s="14" t="s">
        <v>3516</v>
      </c>
      <c r="G3431" s="14" t="s">
        <v>3517</v>
      </c>
      <c r="H3431" s="2" t="s">
        <v>24</v>
      </c>
      <c r="I3431" s="2" t="s">
        <v>3491</v>
      </c>
      <c r="J3431" s="2">
        <v>1.0</v>
      </c>
      <c r="K3431" s="23" t="s">
        <v>4733</v>
      </c>
      <c r="L3431" s="11">
        <v>0.0</v>
      </c>
      <c r="O3431" s="2" t="b">
        <v>0</v>
      </c>
    </row>
    <row r="3432" hidden="1">
      <c r="A3432" s="8" t="s">
        <v>2695</v>
      </c>
      <c r="B3432" s="8" t="s">
        <v>2695</v>
      </c>
      <c r="C3432" s="13">
        <v>46050.4031712963</v>
      </c>
      <c r="D3432" s="2" t="s">
        <v>2640</v>
      </c>
      <c r="E3432" s="2" t="s">
        <v>2641</v>
      </c>
      <c r="F3432" s="14" t="s">
        <v>3493</v>
      </c>
      <c r="G3432" s="14" t="s">
        <v>3494</v>
      </c>
      <c r="H3432" s="2" t="s">
        <v>16</v>
      </c>
      <c r="I3432" s="2" t="s">
        <v>3488</v>
      </c>
      <c r="J3432" s="2">
        <v>1.0</v>
      </c>
      <c r="K3432" s="12" t="s">
        <v>5961</v>
      </c>
      <c r="L3432" s="11">
        <v>205000.0</v>
      </c>
      <c r="O3432" s="2" t="b">
        <v>0</v>
      </c>
    </row>
    <row r="3433" hidden="1">
      <c r="A3433" s="8" t="s">
        <v>2701</v>
      </c>
      <c r="B3433" s="8" t="s">
        <v>2701</v>
      </c>
      <c r="C3433" s="13">
        <v>46050.508564814816</v>
      </c>
      <c r="D3433" s="2" t="s">
        <v>951</v>
      </c>
      <c r="E3433" s="2" t="s">
        <v>952</v>
      </c>
      <c r="F3433" s="14" t="s">
        <v>3516</v>
      </c>
      <c r="G3433" s="14" t="s">
        <v>3517</v>
      </c>
      <c r="H3433" s="2" t="s">
        <v>24</v>
      </c>
      <c r="I3433" s="2" t="s">
        <v>3491</v>
      </c>
      <c r="J3433" s="2">
        <v>1.0</v>
      </c>
      <c r="K3433" s="23" t="s">
        <v>4948</v>
      </c>
      <c r="L3433" s="11">
        <v>0.0</v>
      </c>
      <c r="O3433" s="2" t="b">
        <v>0</v>
      </c>
    </row>
    <row r="3434" hidden="1">
      <c r="A3434" s="8" t="s">
        <v>2703</v>
      </c>
      <c r="B3434" s="8" t="s">
        <v>2703</v>
      </c>
      <c r="C3434" s="13">
        <v>46050.65574074074</v>
      </c>
      <c r="D3434" s="2" t="s">
        <v>1975</v>
      </c>
      <c r="E3434" s="2" t="s">
        <v>1976</v>
      </c>
      <c r="F3434" s="14" t="s">
        <v>3486</v>
      </c>
      <c r="G3434" s="14" t="s">
        <v>3487</v>
      </c>
      <c r="H3434" s="2" t="s">
        <v>24</v>
      </c>
      <c r="I3434" s="2" t="s">
        <v>3491</v>
      </c>
      <c r="J3434" s="2">
        <v>5.0</v>
      </c>
      <c r="K3434" s="23" t="s">
        <v>5962</v>
      </c>
      <c r="L3434" s="11">
        <v>0.0</v>
      </c>
      <c r="O3434" s="2" t="b">
        <v>0</v>
      </c>
    </row>
    <row r="3435" hidden="1">
      <c r="A3435" s="8" t="s">
        <v>2704</v>
      </c>
      <c r="B3435" s="8" t="s">
        <v>2704</v>
      </c>
      <c r="C3435" s="13">
        <v>46050.65626157408</v>
      </c>
      <c r="D3435" s="2" t="s">
        <v>2640</v>
      </c>
      <c r="E3435" s="2" t="s">
        <v>2641</v>
      </c>
      <c r="F3435" s="14" t="s">
        <v>3486</v>
      </c>
      <c r="G3435" s="14" t="s">
        <v>3487</v>
      </c>
      <c r="H3435" s="2" t="s">
        <v>24</v>
      </c>
      <c r="I3435" s="2" t="s">
        <v>3491</v>
      </c>
      <c r="J3435" s="2">
        <v>3.0</v>
      </c>
      <c r="K3435" s="23" t="s">
        <v>5963</v>
      </c>
      <c r="L3435" s="11">
        <v>0.0</v>
      </c>
      <c r="O3435" s="2" t="b">
        <v>0</v>
      </c>
    </row>
    <row r="3436" hidden="1">
      <c r="A3436" s="8" t="s">
        <v>2704</v>
      </c>
      <c r="B3436" s="8" t="s">
        <v>2704</v>
      </c>
      <c r="C3436" s="13">
        <v>46050.65626157408</v>
      </c>
      <c r="D3436" s="2" t="s">
        <v>2640</v>
      </c>
      <c r="E3436" s="2" t="s">
        <v>2641</v>
      </c>
      <c r="F3436" s="14" t="s">
        <v>3493</v>
      </c>
      <c r="G3436" s="14" t="s">
        <v>3494</v>
      </c>
      <c r="H3436" s="2" t="s">
        <v>24</v>
      </c>
      <c r="I3436" s="2" t="s">
        <v>3491</v>
      </c>
      <c r="J3436" s="2">
        <v>1.0</v>
      </c>
      <c r="K3436" s="12" t="s">
        <v>5961</v>
      </c>
      <c r="L3436" s="11">
        <v>0.0</v>
      </c>
      <c r="O3436" s="2" t="b">
        <v>0</v>
      </c>
    </row>
    <row r="3437" hidden="1">
      <c r="A3437" s="8" t="s">
        <v>2704</v>
      </c>
      <c r="B3437" s="8" t="s">
        <v>2704</v>
      </c>
      <c r="C3437" s="13">
        <v>46050.65626157408</v>
      </c>
      <c r="D3437" s="2" t="s">
        <v>2640</v>
      </c>
      <c r="E3437" s="2" t="s">
        <v>2641</v>
      </c>
      <c r="F3437" s="14" t="s">
        <v>3493</v>
      </c>
      <c r="G3437" s="14" t="s">
        <v>3494</v>
      </c>
      <c r="H3437" s="2" t="s">
        <v>24</v>
      </c>
      <c r="I3437" s="2" t="s">
        <v>3491</v>
      </c>
      <c r="J3437" s="2">
        <v>1.0</v>
      </c>
      <c r="K3437" s="12"/>
      <c r="L3437" s="11">
        <v>0.0</v>
      </c>
      <c r="O3437" s="2" t="b">
        <v>1</v>
      </c>
    </row>
    <row r="3438" hidden="1">
      <c r="A3438" s="8" t="s">
        <v>2705</v>
      </c>
      <c r="B3438" s="8" t="s">
        <v>2705</v>
      </c>
      <c r="C3438" s="13">
        <v>46050.659097222226</v>
      </c>
      <c r="D3438" s="2" t="s">
        <v>320</v>
      </c>
      <c r="E3438" s="2" t="s">
        <v>321</v>
      </c>
      <c r="F3438" s="14" t="s">
        <v>3516</v>
      </c>
      <c r="G3438" s="14" t="s">
        <v>3517</v>
      </c>
      <c r="H3438" s="2" t="s">
        <v>16</v>
      </c>
      <c r="I3438" s="2" t="s">
        <v>3488</v>
      </c>
      <c r="J3438" s="2">
        <v>1.0</v>
      </c>
      <c r="K3438" s="23" t="s">
        <v>4391</v>
      </c>
      <c r="L3438" s="11">
        <v>190000.0</v>
      </c>
      <c r="O3438" s="2" t="b">
        <v>0</v>
      </c>
    </row>
    <row r="3439" hidden="1">
      <c r="A3439" s="8" t="s">
        <v>2706</v>
      </c>
      <c r="B3439" s="8" t="s">
        <v>2706</v>
      </c>
      <c r="C3439" s="13">
        <v>46050.66721064815</v>
      </c>
      <c r="D3439" s="2" t="s">
        <v>1573</v>
      </c>
      <c r="E3439" s="2" t="s">
        <v>1574</v>
      </c>
      <c r="F3439" s="14" t="s">
        <v>3486</v>
      </c>
      <c r="G3439" s="14" t="s">
        <v>3487</v>
      </c>
      <c r="H3439" s="2" t="s">
        <v>16</v>
      </c>
      <c r="I3439" s="2" t="s">
        <v>3488</v>
      </c>
      <c r="J3439" s="2">
        <v>1.0</v>
      </c>
      <c r="K3439" s="23" t="s">
        <v>5370</v>
      </c>
      <c r="L3439" s="11">
        <v>80000.0</v>
      </c>
      <c r="O3439" s="2" t="b">
        <v>0</v>
      </c>
    </row>
    <row r="3440">
      <c r="A3440" s="8" t="s">
        <v>2707</v>
      </c>
      <c r="B3440" s="8" t="s">
        <v>2707</v>
      </c>
      <c r="C3440" s="13">
        <v>46050.69231481481</v>
      </c>
      <c r="D3440" s="2" t="s">
        <v>45</v>
      </c>
      <c r="E3440" s="2" t="s">
        <v>46</v>
      </c>
      <c r="F3440" s="14" t="s">
        <v>3486</v>
      </c>
      <c r="G3440" s="14" t="s">
        <v>3487</v>
      </c>
      <c r="H3440" s="2" t="s">
        <v>24</v>
      </c>
      <c r="I3440" s="2" t="s">
        <v>3491</v>
      </c>
      <c r="J3440" s="2">
        <v>7.0</v>
      </c>
      <c r="K3440" s="23" t="s">
        <v>5964</v>
      </c>
      <c r="L3440" s="11">
        <v>0.0</v>
      </c>
      <c r="O3440" s="2" t="b">
        <v>0</v>
      </c>
    </row>
    <row r="3441">
      <c r="A3441" s="8" t="s">
        <v>2707</v>
      </c>
      <c r="B3441" s="8" t="s">
        <v>2707</v>
      </c>
      <c r="C3441" s="13">
        <v>46050.69231481481</v>
      </c>
      <c r="D3441" s="2" t="s">
        <v>45</v>
      </c>
      <c r="E3441" s="2" t="s">
        <v>46</v>
      </c>
      <c r="F3441" s="14" t="s">
        <v>4203</v>
      </c>
      <c r="G3441" s="14" t="s">
        <v>4204</v>
      </c>
      <c r="H3441" s="2" t="s">
        <v>24</v>
      </c>
      <c r="I3441" s="2" t="s">
        <v>3491</v>
      </c>
      <c r="J3441" s="2">
        <v>1.0</v>
      </c>
      <c r="K3441" s="23" t="s">
        <v>5965</v>
      </c>
      <c r="L3441" s="11">
        <v>0.0</v>
      </c>
      <c r="O3441" s="2" t="b">
        <v>0</v>
      </c>
    </row>
    <row r="3442">
      <c r="A3442" s="8" t="s">
        <v>2707</v>
      </c>
      <c r="B3442" s="8" t="s">
        <v>2707</v>
      </c>
      <c r="C3442" s="13">
        <v>46050.69231481481</v>
      </c>
      <c r="D3442" s="2" t="s">
        <v>45</v>
      </c>
      <c r="E3442" s="2" t="s">
        <v>46</v>
      </c>
      <c r="F3442" s="14" t="s">
        <v>3486</v>
      </c>
      <c r="G3442" s="14" t="s">
        <v>3487</v>
      </c>
      <c r="H3442" s="2" t="s">
        <v>24</v>
      </c>
      <c r="I3442" s="2" t="s">
        <v>3491</v>
      </c>
      <c r="J3442" s="2">
        <v>1.0</v>
      </c>
      <c r="K3442" s="23" t="s">
        <v>5359</v>
      </c>
      <c r="L3442" s="11">
        <v>0.0</v>
      </c>
      <c r="O3442" s="2" t="b">
        <v>1</v>
      </c>
    </row>
    <row r="3443">
      <c r="A3443" s="8" t="s">
        <v>2707</v>
      </c>
      <c r="B3443" s="8" t="s">
        <v>2707</v>
      </c>
      <c r="C3443" s="13">
        <v>46050.69231481481</v>
      </c>
      <c r="D3443" s="2" t="s">
        <v>45</v>
      </c>
      <c r="E3443" s="2" t="s">
        <v>46</v>
      </c>
      <c r="F3443" s="14" t="s">
        <v>3522</v>
      </c>
      <c r="G3443" s="14" t="s">
        <v>3523</v>
      </c>
      <c r="H3443" s="2" t="s">
        <v>24</v>
      </c>
      <c r="I3443" s="2" t="s">
        <v>3491</v>
      </c>
      <c r="J3443" s="2">
        <v>11.0</v>
      </c>
      <c r="K3443" s="23" t="s">
        <v>5966</v>
      </c>
      <c r="L3443" s="11">
        <v>0.0</v>
      </c>
      <c r="O3443" s="2" t="b">
        <v>0</v>
      </c>
    </row>
    <row r="3444">
      <c r="A3444" s="8" t="s">
        <v>2707</v>
      </c>
      <c r="B3444" s="8" t="s">
        <v>2707</v>
      </c>
      <c r="C3444" s="13">
        <v>46050.69231481481</v>
      </c>
      <c r="D3444" s="2" t="s">
        <v>45</v>
      </c>
      <c r="E3444" s="2" t="s">
        <v>46</v>
      </c>
      <c r="F3444" s="14" t="s">
        <v>3522</v>
      </c>
      <c r="G3444" s="14" t="s">
        <v>3523</v>
      </c>
      <c r="H3444" s="2" t="s">
        <v>24</v>
      </c>
      <c r="I3444" s="2" t="s">
        <v>3491</v>
      </c>
      <c r="J3444" s="2">
        <v>1.0</v>
      </c>
      <c r="K3444" s="23" t="s">
        <v>5967</v>
      </c>
      <c r="L3444" s="11">
        <v>0.0</v>
      </c>
      <c r="O3444" s="2" t="b">
        <v>1</v>
      </c>
    </row>
    <row r="3445">
      <c r="A3445" s="8" t="s">
        <v>2707</v>
      </c>
      <c r="B3445" s="8" t="s">
        <v>2707</v>
      </c>
      <c r="C3445" s="13">
        <v>46050.69231481481</v>
      </c>
      <c r="D3445" s="2" t="s">
        <v>45</v>
      </c>
      <c r="E3445" s="2" t="s">
        <v>46</v>
      </c>
      <c r="F3445" s="14" t="s">
        <v>3493</v>
      </c>
      <c r="G3445" s="14" t="s">
        <v>3494</v>
      </c>
      <c r="H3445" s="2" t="s">
        <v>24</v>
      </c>
      <c r="I3445" s="2" t="s">
        <v>3491</v>
      </c>
      <c r="J3445" s="2">
        <v>5.0</v>
      </c>
      <c r="K3445" s="12" t="s">
        <v>5895</v>
      </c>
      <c r="L3445" s="11">
        <v>0.0</v>
      </c>
      <c r="O3445" s="2" t="b">
        <v>0</v>
      </c>
    </row>
    <row r="3446" hidden="1">
      <c r="A3446" s="8" t="s">
        <v>2708</v>
      </c>
      <c r="B3446" s="8" t="s">
        <v>2708</v>
      </c>
      <c r="C3446" s="13">
        <v>46051.357407407406</v>
      </c>
      <c r="D3446" s="2" t="s">
        <v>2543</v>
      </c>
      <c r="E3446" s="2" t="s">
        <v>2544</v>
      </c>
      <c r="F3446" s="14" t="s">
        <v>3516</v>
      </c>
      <c r="G3446" s="14" t="s">
        <v>3517</v>
      </c>
      <c r="H3446" s="2" t="s">
        <v>16</v>
      </c>
      <c r="I3446" s="2" t="s">
        <v>3488</v>
      </c>
      <c r="J3446" s="2">
        <v>3.0</v>
      </c>
      <c r="K3446" s="23" t="s">
        <v>5968</v>
      </c>
      <c r="L3446" s="11">
        <v>190000.0</v>
      </c>
      <c r="O3446" s="2" t="b">
        <v>0</v>
      </c>
    </row>
    <row r="3447" hidden="1">
      <c r="A3447" s="8" t="s">
        <v>2708</v>
      </c>
      <c r="B3447" s="8" t="s">
        <v>2708</v>
      </c>
      <c r="C3447" s="13">
        <v>46051.357407407406</v>
      </c>
      <c r="D3447" s="2" t="s">
        <v>2543</v>
      </c>
      <c r="E3447" s="2" t="s">
        <v>2544</v>
      </c>
      <c r="F3447" s="14" t="s">
        <v>3486</v>
      </c>
      <c r="G3447" s="14" t="s">
        <v>3487</v>
      </c>
      <c r="H3447" s="2" t="s">
        <v>16</v>
      </c>
      <c r="I3447" s="2" t="s">
        <v>3488</v>
      </c>
      <c r="J3447" s="2">
        <v>2.0</v>
      </c>
      <c r="K3447" s="23" t="s">
        <v>5969</v>
      </c>
      <c r="L3447" s="11">
        <v>60000.0</v>
      </c>
      <c r="O3447" s="2" t="b">
        <v>0</v>
      </c>
    </row>
    <row r="3448" hidden="1">
      <c r="A3448" s="8" t="s">
        <v>2709</v>
      </c>
      <c r="B3448" s="8" t="s">
        <v>2709</v>
      </c>
      <c r="C3448" s="13">
        <v>46051.361354166664</v>
      </c>
      <c r="D3448" s="2" t="s">
        <v>1573</v>
      </c>
      <c r="E3448" s="2" t="s">
        <v>1574</v>
      </c>
      <c r="F3448" s="14" t="s">
        <v>3486</v>
      </c>
      <c r="G3448" s="14" t="s">
        <v>3487</v>
      </c>
      <c r="H3448" s="2" t="s">
        <v>24</v>
      </c>
      <c r="I3448" s="2" t="s">
        <v>3491</v>
      </c>
      <c r="J3448" s="2">
        <v>1.0</v>
      </c>
      <c r="K3448" s="23" t="s">
        <v>5800</v>
      </c>
      <c r="L3448" s="11">
        <v>0.0</v>
      </c>
      <c r="O3448" s="2" t="b">
        <v>0</v>
      </c>
    </row>
    <row r="3449" hidden="1">
      <c r="A3449" s="8" t="s">
        <v>2710</v>
      </c>
      <c r="B3449" s="8" t="s">
        <v>2710</v>
      </c>
      <c r="C3449" s="13">
        <v>46051.36586805555</v>
      </c>
      <c r="D3449" s="2" t="s">
        <v>1838</v>
      </c>
      <c r="E3449" s="2" t="s">
        <v>1839</v>
      </c>
      <c r="F3449" s="14" t="s">
        <v>5970</v>
      </c>
      <c r="G3449" s="14" t="s">
        <v>5971</v>
      </c>
      <c r="H3449" s="2" t="s">
        <v>16</v>
      </c>
      <c r="I3449" s="2" t="s">
        <v>3488</v>
      </c>
      <c r="J3449" s="2">
        <v>1.0</v>
      </c>
      <c r="K3449" s="12"/>
      <c r="L3449" s="11">
        <v>800000.0</v>
      </c>
      <c r="O3449" s="2" t="b">
        <v>0</v>
      </c>
    </row>
    <row r="3450" hidden="1">
      <c r="A3450" s="1"/>
      <c r="B3450" s="1"/>
      <c r="C3450" s="13"/>
      <c r="D3450" s="2"/>
      <c r="E3450" s="2"/>
      <c r="F3450" s="14"/>
      <c r="G3450" s="14"/>
      <c r="H3450" s="2"/>
      <c r="I3450" s="2"/>
      <c r="J3450" s="2"/>
      <c r="K3450" s="12"/>
      <c r="L3450" s="11"/>
      <c r="O3450" s="2"/>
    </row>
    <row r="3451" hidden="1">
      <c r="A3451" s="8" t="s">
        <v>2711</v>
      </c>
      <c r="B3451" s="8" t="s">
        <v>2711</v>
      </c>
      <c r="C3451" s="13">
        <v>46051.45300925926</v>
      </c>
      <c r="D3451" s="2" t="s">
        <v>1776</v>
      </c>
      <c r="E3451" s="2" t="s">
        <v>1777</v>
      </c>
      <c r="F3451" s="14" t="s">
        <v>4203</v>
      </c>
      <c r="G3451" s="14" t="s">
        <v>4204</v>
      </c>
      <c r="H3451" s="2" t="s">
        <v>16</v>
      </c>
      <c r="I3451" s="2" t="s">
        <v>3488</v>
      </c>
      <c r="J3451" s="2">
        <v>2.0</v>
      </c>
      <c r="K3451" s="23" t="s">
        <v>5972</v>
      </c>
      <c r="L3451" s="11">
        <v>80000.0</v>
      </c>
      <c r="O3451" s="2" t="b">
        <v>0</v>
      </c>
    </row>
    <row r="3452" hidden="1">
      <c r="A3452" s="8" t="s">
        <v>2712</v>
      </c>
      <c r="B3452" s="8" t="s">
        <v>2712</v>
      </c>
      <c r="C3452" s="13">
        <v>46051.49167824074</v>
      </c>
      <c r="D3452" s="2" t="s">
        <v>2543</v>
      </c>
      <c r="E3452" s="2" t="s">
        <v>2544</v>
      </c>
      <c r="F3452" s="14" t="s">
        <v>3516</v>
      </c>
      <c r="G3452" s="14" t="s">
        <v>3517</v>
      </c>
      <c r="H3452" s="2" t="s">
        <v>24</v>
      </c>
      <c r="I3452" s="2" t="s">
        <v>3491</v>
      </c>
      <c r="J3452" s="2">
        <v>2.0</v>
      </c>
      <c r="K3452" s="23" t="s">
        <v>5973</v>
      </c>
      <c r="L3452" s="11">
        <v>0.0</v>
      </c>
      <c r="O3452" s="2" t="b">
        <v>0</v>
      </c>
    </row>
    <row r="3453" hidden="1">
      <c r="A3453" s="8" t="s">
        <v>2713</v>
      </c>
      <c r="B3453" s="8" t="s">
        <v>2713</v>
      </c>
      <c r="C3453" s="13">
        <v>46051.492210648146</v>
      </c>
      <c r="D3453" s="2" t="s">
        <v>1228</v>
      </c>
      <c r="E3453" s="2" t="s">
        <v>1229</v>
      </c>
      <c r="F3453" s="14" t="s">
        <v>3486</v>
      </c>
      <c r="G3453" s="14" t="s">
        <v>3487</v>
      </c>
      <c r="H3453" s="2" t="s">
        <v>24</v>
      </c>
      <c r="I3453" s="2" t="s">
        <v>3491</v>
      </c>
      <c r="J3453" s="2">
        <v>4.0</v>
      </c>
      <c r="K3453" s="23" t="s">
        <v>5974</v>
      </c>
      <c r="L3453" s="11">
        <v>0.0</v>
      </c>
      <c r="O3453" s="2" t="b">
        <v>0</v>
      </c>
    </row>
    <row r="3454" hidden="1">
      <c r="A3454" s="8" t="s">
        <v>2713</v>
      </c>
      <c r="B3454" s="8" t="s">
        <v>2713</v>
      </c>
      <c r="C3454" s="13">
        <v>46051.492210648146</v>
      </c>
      <c r="D3454" s="2" t="s">
        <v>1228</v>
      </c>
      <c r="E3454" s="2" t="s">
        <v>1229</v>
      </c>
      <c r="F3454" s="14" t="s">
        <v>3493</v>
      </c>
      <c r="G3454" s="14" t="s">
        <v>3494</v>
      </c>
      <c r="H3454" s="2" t="s">
        <v>24</v>
      </c>
      <c r="I3454" s="2" t="s">
        <v>3491</v>
      </c>
      <c r="J3454" s="2">
        <v>1.0</v>
      </c>
      <c r="K3454" s="12"/>
      <c r="L3454" s="11">
        <v>0.0</v>
      </c>
      <c r="O3454" s="2" t="b">
        <v>0</v>
      </c>
    </row>
    <row r="3455" hidden="1">
      <c r="A3455" s="8" t="s">
        <v>2713</v>
      </c>
      <c r="B3455" s="8" t="s">
        <v>2713</v>
      </c>
      <c r="C3455" s="13">
        <v>46051.492210648146</v>
      </c>
      <c r="D3455" s="2" t="s">
        <v>1228</v>
      </c>
      <c r="E3455" s="2" t="s">
        <v>1229</v>
      </c>
      <c r="F3455" s="14" t="s">
        <v>3486</v>
      </c>
      <c r="G3455" s="14" t="s">
        <v>3487</v>
      </c>
      <c r="H3455" s="2" t="s">
        <v>24</v>
      </c>
      <c r="I3455" s="2" t="s">
        <v>3491</v>
      </c>
      <c r="J3455" s="2">
        <v>1.0</v>
      </c>
      <c r="K3455" s="23" t="s">
        <v>5785</v>
      </c>
      <c r="L3455" s="11">
        <v>0.0</v>
      </c>
      <c r="N3455" s="2" t="s">
        <v>5975</v>
      </c>
      <c r="O3455" s="2" t="b">
        <v>1</v>
      </c>
    </row>
    <row r="3456" hidden="1">
      <c r="A3456" s="8" t="s">
        <v>2714</v>
      </c>
      <c r="B3456" s="8" t="s">
        <v>2714</v>
      </c>
      <c r="C3456" s="13">
        <v>46051.49783564815</v>
      </c>
      <c r="D3456" s="2" t="s">
        <v>2131</v>
      </c>
      <c r="E3456" s="2" t="s">
        <v>2171</v>
      </c>
      <c r="F3456" s="14" t="s">
        <v>3486</v>
      </c>
      <c r="G3456" s="14" t="s">
        <v>3487</v>
      </c>
      <c r="H3456" s="2" t="s">
        <v>24</v>
      </c>
      <c r="I3456" s="2" t="s">
        <v>3491</v>
      </c>
      <c r="J3456" s="2">
        <v>6.0</v>
      </c>
      <c r="K3456" s="23" t="s">
        <v>5976</v>
      </c>
      <c r="L3456" s="11">
        <v>0.0</v>
      </c>
      <c r="O3456" s="2" t="b">
        <v>0</v>
      </c>
    </row>
    <row r="3457" hidden="1">
      <c r="A3457" s="8" t="s">
        <v>2715</v>
      </c>
      <c r="B3457" s="8" t="s">
        <v>2715</v>
      </c>
      <c r="C3457" s="13">
        <v>46051.52417824074</v>
      </c>
      <c r="D3457" s="2" t="s">
        <v>1776</v>
      </c>
      <c r="E3457" s="2" t="s">
        <v>1777</v>
      </c>
      <c r="F3457" s="14" t="s">
        <v>4203</v>
      </c>
      <c r="G3457" s="14" t="s">
        <v>4204</v>
      </c>
      <c r="H3457" s="2" t="s">
        <v>24</v>
      </c>
      <c r="I3457" s="2" t="s">
        <v>3491</v>
      </c>
      <c r="J3457" s="2">
        <v>5.0</v>
      </c>
      <c r="K3457" s="23" t="s">
        <v>5977</v>
      </c>
      <c r="L3457" s="11">
        <v>0.0</v>
      </c>
      <c r="O3457" s="2" t="b">
        <v>0</v>
      </c>
    </row>
    <row r="3458" hidden="1">
      <c r="A3458" s="8" t="s">
        <v>2716</v>
      </c>
      <c r="B3458" s="8" t="s">
        <v>2716</v>
      </c>
      <c r="C3458" s="13">
        <v>46051.535949074074</v>
      </c>
      <c r="D3458" s="2" t="s">
        <v>786</v>
      </c>
      <c r="E3458" s="2" t="s">
        <v>787</v>
      </c>
      <c r="F3458" s="14" t="s">
        <v>3486</v>
      </c>
      <c r="G3458" s="14" t="s">
        <v>3487</v>
      </c>
      <c r="H3458" s="2" t="s">
        <v>24</v>
      </c>
      <c r="I3458" s="2" t="s">
        <v>3491</v>
      </c>
      <c r="J3458" s="2">
        <v>1.0</v>
      </c>
      <c r="K3458" s="23" t="s">
        <v>5978</v>
      </c>
      <c r="L3458" s="11">
        <v>0.0</v>
      </c>
      <c r="O3458" s="2" t="b">
        <v>0</v>
      </c>
    </row>
    <row r="3459" hidden="1">
      <c r="A3459" s="8" t="s">
        <v>2716</v>
      </c>
      <c r="B3459" s="8" t="s">
        <v>2716</v>
      </c>
      <c r="C3459" s="13">
        <v>46051.535949074074</v>
      </c>
      <c r="D3459" s="2" t="s">
        <v>786</v>
      </c>
      <c r="E3459" s="2" t="s">
        <v>787</v>
      </c>
      <c r="F3459" s="14" t="s">
        <v>3516</v>
      </c>
      <c r="G3459" s="14" t="s">
        <v>3517</v>
      </c>
      <c r="H3459" s="2" t="s">
        <v>24</v>
      </c>
      <c r="I3459" s="2" t="s">
        <v>3491</v>
      </c>
      <c r="J3459" s="2">
        <v>2.0</v>
      </c>
      <c r="K3459" s="23" t="s">
        <v>5915</v>
      </c>
      <c r="L3459" s="11">
        <v>0.0</v>
      </c>
      <c r="O3459" s="2" t="b">
        <v>0</v>
      </c>
    </row>
    <row r="3460" hidden="1">
      <c r="A3460" s="8" t="s">
        <v>2716</v>
      </c>
      <c r="B3460" s="8" t="s">
        <v>2716</v>
      </c>
      <c r="C3460" s="13">
        <v>46051.535949074074</v>
      </c>
      <c r="D3460" s="2" t="s">
        <v>786</v>
      </c>
      <c r="E3460" s="2" t="s">
        <v>787</v>
      </c>
      <c r="F3460" s="14" t="s">
        <v>4203</v>
      </c>
      <c r="G3460" s="14" t="s">
        <v>4204</v>
      </c>
      <c r="H3460" s="2" t="s">
        <v>24</v>
      </c>
      <c r="I3460" s="2" t="s">
        <v>3491</v>
      </c>
      <c r="J3460" s="2">
        <v>1.0</v>
      </c>
      <c r="K3460" s="23" t="s">
        <v>5979</v>
      </c>
      <c r="L3460" s="11">
        <v>0.0</v>
      </c>
      <c r="O3460" s="2" t="b">
        <v>1</v>
      </c>
    </row>
    <row r="3461" hidden="1">
      <c r="A3461" s="8" t="s">
        <v>2717</v>
      </c>
      <c r="B3461" s="8" t="s">
        <v>2717</v>
      </c>
      <c r="C3461" s="13">
        <v>46051.54100694445</v>
      </c>
      <c r="D3461" s="2" t="s">
        <v>1993</v>
      </c>
      <c r="E3461" s="2" t="s">
        <v>1994</v>
      </c>
      <c r="F3461" s="14" t="s">
        <v>3486</v>
      </c>
      <c r="G3461" s="14" t="s">
        <v>3487</v>
      </c>
      <c r="H3461" s="2" t="s">
        <v>16</v>
      </c>
      <c r="I3461" s="2" t="s">
        <v>3488</v>
      </c>
      <c r="J3461" s="2">
        <v>5.0</v>
      </c>
      <c r="K3461" s="23" t="s">
        <v>5980</v>
      </c>
      <c r="L3461" s="11">
        <v>65000.0</v>
      </c>
      <c r="O3461" s="2" t="b">
        <v>0</v>
      </c>
    </row>
    <row r="3462" hidden="1">
      <c r="A3462" s="8" t="s">
        <v>2717</v>
      </c>
      <c r="B3462" s="8" t="s">
        <v>2717</v>
      </c>
      <c r="C3462" s="13">
        <v>46051.54100694445</v>
      </c>
      <c r="D3462" s="2" t="s">
        <v>1993</v>
      </c>
      <c r="E3462" s="2" t="s">
        <v>1994</v>
      </c>
      <c r="F3462" s="14" t="s">
        <v>3516</v>
      </c>
      <c r="G3462" s="14" t="s">
        <v>3517</v>
      </c>
      <c r="H3462" s="2" t="s">
        <v>16</v>
      </c>
      <c r="I3462" s="2" t="s">
        <v>3488</v>
      </c>
      <c r="J3462" s="2">
        <v>2.0</v>
      </c>
      <c r="K3462" s="23" t="s">
        <v>5981</v>
      </c>
      <c r="L3462" s="11">
        <v>190000.0</v>
      </c>
      <c r="O3462" s="2" t="b">
        <v>0</v>
      </c>
    </row>
    <row r="3463" hidden="1">
      <c r="A3463" s="8" t="s">
        <v>2717</v>
      </c>
      <c r="B3463" s="8" t="s">
        <v>2717</v>
      </c>
      <c r="C3463" s="13">
        <v>46051.54100694445</v>
      </c>
      <c r="D3463" s="2" t="s">
        <v>1993</v>
      </c>
      <c r="E3463" s="2" t="s">
        <v>1994</v>
      </c>
      <c r="F3463" s="14" t="s">
        <v>3493</v>
      </c>
      <c r="G3463" s="14" t="s">
        <v>3494</v>
      </c>
      <c r="H3463" s="2" t="s">
        <v>16</v>
      </c>
      <c r="I3463" s="2" t="s">
        <v>3488</v>
      </c>
      <c r="J3463" s="2">
        <v>1.0</v>
      </c>
      <c r="K3463" s="12" t="s">
        <v>5982</v>
      </c>
      <c r="L3463" s="11">
        <v>200000.0</v>
      </c>
      <c r="O3463" s="2" t="b">
        <v>0</v>
      </c>
    </row>
    <row r="3464" hidden="1">
      <c r="A3464" s="8" t="s">
        <v>2718</v>
      </c>
      <c r="B3464" s="8" t="s">
        <v>2718</v>
      </c>
      <c r="C3464" s="13">
        <v>46051.61923611111</v>
      </c>
      <c r="D3464" s="2" t="s">
        <v>109</v>
      </c>
      <c r="E3464" s="2" t="s">
        <v>110</v>
      </c>
      <c r="F3464" s="14" t="s">
        <v>3486</v>
      </c>
      <c r="G3464" s="14" t="s">
        <v>3487</v>
      </c>
      <c r="H3464" s="2" t="s">
        <v>16</v>
      </c>
      <c r="I3464" s="2" t="s">
        <v>3488</v>
      </c>
      <c r="J3464" s="2">
        <v>2.0</v>
      </c>
      <c r="K3464" s="23" t="s">
        <v>5983</v>
      </c>
      <c r="L3464" s="11">
        <v>60000.0</v>
      </c>
      <c r="O3464" s="2" t="b">
        <v>0</v>
      </c>
    </row>
    <row r="3465" hidden="1">
      <c r="A3465" s="8" t="s">
        <v>2718</v>
      </c>
      <c r="B3465" s="8" t="s">
        <v>2718</v>
      </c>
      <c r="C3465" s="13">
        <v>46051.61923611111</v>
      </c>
      <c r="D3465" s="2" t="s">
        <v>109</v>
      </c>
      <c r="E3465" s="2" t="s">
        <v>110</v>
      </c>
      <c r="F3465" s="14" t="s">
        <v>3522</v>
      </c>
      <c r="G3465" s="14" t="s">
        <v>3523</v>
      </c>
      <c r="H3465" s="2" t="s">
        <v>16</v>
      </c>
      <c r="I3465" s="2" t="s">
        <v>3488</v>
      </c>
      <c r="J3465" s="2">
        <v>2.0</v>
      </c>
      <c r="K3465" s="23" t="s">
        <v>5984</v>
      </c>
      <c r="L3465" s="11">
        <v>215000.0</v>
      </c>
      <c r="O3465" s="2" t="b">
        <v>0</v>
      </c>
    </row>
    <row r="3466" hidden="1">
      <c r="A3466" s="8" t="s">
        <v>2719</v>
      </c>
      <c r="B3466" s="8" t="s">
        <v>2719</v>
      </c>
      <c r="C3466" s="13">
        <v>46051.649409722224</v>
      </c>
      <c r="D3466" s="2" t="s">
        <v>1993</v>
      </c>
      <c r="E3466" s="2" t="s">
        <v>1994</v>
      </c>
      <c r="F3466" s="14" t="s">
        <v>3493</v>
      </c>
      <c r="G3466" s="14" t="s">
        <v>3494</v>
      </c>
      <c r="H3466" s="2" t="s">
        <v>24</v>
      </c>
      <c r="I3466" s="2" t="s">
        <v>3491</v>
      </c>
      <c r="J3466" s="2">
        <v>1.0</v>
      </c>
      <c r="K3466" s="12" t="s">
        <v>5982</v>
      </c>
      <c r="L3466" s="11">
        <v>0.0</v>
      </c>
      <c r="O3466" s="2" t="b">
        <v>0</v>
      </c>
    </row>
    <row r="3467" hidden="1">
      <c r="A3467" s="8" t="s">
        <v>2719</v>
      </c>
      <c r="B3467" s="8" t="s">
        <v>2719</v>
      </c>
      <c r="C3467" s="13">
        <v>46051.649409722224</v>
      </c>
      <c r="D3467" s="2" t="s">
        <v>1993</v>
      </c>
      <c r="E3467" s="2" t="s">
        <v>1994</v>
      </c>
      <c r="F3467" s="14" t="s">
        <v>3486</v>
      </c>
      <c r="G3467" s="14" t="s">
        <v>3487</v>
      </c>
      <c r="H3467" s="2" t="s">
        <v>24</v>
      </c>
      <c r="I3467" s="2" t="s">
        <v>3491</v>
      </c>
      <c r="J3467" s="2">
        <v>4.0</v>
      </c>
      <c r="K3467" s="23" t="s">
        <v>5985</v>
      </c>
      <c r="L3467" s="11">
        <v>0.0</v>
      </c>
      <c r="O3467" s="2" t="b">
        <v>0</v>
      </c>
    </row>
    <row r="3468" hidden="1">
      <c r="A3468" s="8" t="s">
        <v>2719</v>
      </c>
      <c r="B3468" s="8" t="s">
        <v>2719</v>
      </c>
      <c r="C3468" s="13">
        <v>46051.649409722224</v>
      </c>
      <c r="D3468" s="2" t="s">
        <v>1993</v>
      </c>
      <c r="E3468" s="2" t="s">
        <v>1994</v>
      </c>
      <c r="F3468" s="14" t="s">
        <v>3486</v>
      </c>
      <c r="G3468" s="14" t="s">
        <v>3487</v>
      </c>
      <c r="H3468" s="2" t="s">
        <v>24</v>
      </c>
      <c r="I3468" s="2" t="s">
        <v>3491</v>
      </c>
      <c r="J3468" s="2">
        <v>1.0</v>
      </c>
      <c r="K3468" s="23" t="s">
        <v>5240</v>
      </c>
      <c r="L3468" s="11">
        <v>0.0</v>
      </c>
      <c r="N3468" s="2" t="s">
        <v>5986</v>
      </c>
      <c r="O3468" s="2" t="b">
        <v>1</v>
      </c>
    </row>
    <row r="3469" hidden="1">
      <c r="A3469" s="8" t="s">
        <v>2720</v>
      </c>
      <c r="B3469" s="8" t="s">
        <v>2720</v>
      </c>
      <c r="C3469" s="13">
        <v>46051.66018518519</v>
      </c>
      <c r="D3469" s="2" t="s">
        <v>109</v>
      </c>
      <c r="E3469" s="2" t="s">
        <v>110</v>
      </c>
      <c r="F3469" s="14" t="s">
        <v>3522</v>
      </c>
      <c r="G3469" s="14" t="s">
        <v>3523</v>
      </c>
      <c r="H3469" s="2" t="s">
        <v>24</v>
      </c>
      <c r="I3469" s="2" t="s">
        <v>3491</v>
      </c>
      <c r="J3469" s="2">
        <v>3.0</v>
      </c>
      <c r="K3469" s="23" t="s">
        <v>5987</v>
      </c>
      <c r="L3469" s="11">
        <v>0.0</v>
      </c>
      <c r="N3469" s="2"/>
      <c r="O3469" s="2" t="b">
        <v>0</v>
      </c>
    </row>
    <row r="3470" hidden="1">
      <c r="A3470" s="8" t="s">
        <v>2721</v>
      </c>
      <c r="B3470" s="8" t="s">
        <v>2721</v>
      </c>
      <c r="C3470" s="13">
        <v>46052.374930555554</v>
      </c>
      <c r="D3470" s="2" t="s">
        <v>1228</v>
      </c>
      <c r="E3470" s="2" t="s">
        <v>1229</v>
      </c>
      <c r="F3470" s="14" t="s">
        <v>3486</v>
      </c>
      <c r="G3470" s="14" t="s">
        <v>3487</v>
      </c>
      <c r="H3470" s="2" t="s">
        <v>16</v>
      </c>
      <c r="I3470" s="2" t="s">
        <v>3488</v>
      </c>
      <c r="J3470" s="2">
        <v>5.0</v>
      </c>
      <c r="K3470" s="23" t="s">
        <v>5988</v>
      </c>
      <c r="L3470" s="11">
        <v>55000.0</v>
      </c>
      <c r="N3470" s="2"/>
      <c r="O3470" s="2" t="b">
        <v>0</v>
      </c>
    </row>
    <row r="3471" hidden="1">
      <c r="A3471" s="8" t="s">
        <v>2722</v>
      </c>
      <c r="B3471" s="8" t="s">
        <v>2722</v>
      </c>
      <c r="C3471" s="13">
        <v>46052.4025</v>
      </c>
      <c r="D3471" s="2" t="s">
        <v>786</v>
      </c>
      <c r="E3471" s="2" t="s">
        <v>787</v>
      </c>
      <c r="F3471" s="14" t="s">
        <v>3486</v>
      </c>
      <c r="G3471" s="14" t="s">
        <v>3487</v>
      </c>
      <c r="H3471" s="2" t="s">
        <v>16</v>
      </c>
      <c r="I3471" s="2" t="s">
        <v>3488</v>
      </c>
      <c r="J3471" s="2">
        <v>5.0</v>
      </c>
      <c r="K3471" s="23" t="s">
        <v>5989</v>
      </c>
      <c r="L3471" s="11">
        <v>60000.0</v>
      </c>
      <c r="N3471" s="2"/>
      <c r="O3471" s="2" t="b">
        <v>0</v>
      </c>
    </row>
    <row r="3472" hidden="1">
      <c r="A3472" s="8" t="s">
        <v>2722</v>
      </c>
      <c r="B3472" s="8" t="s">
        <v>2722</v>
      </c>
      <c r="C3472" s="13">
        <v>46052.4025</v>
      </c>
      <c r="D3472" s="2" t="s">
        <v>786</v>
      </c>
      <c r="E3472" s="2" t="s">
        <v>787</v>
      </c>
      <c r="F3472" s="14" t="s">
        <v>3516</v>
      </c>
      <c r="G3472" s="14" t="s">
        <v>3517</v>
      </c>
      <c r="H3472" s="2" t="s">
        <v>16</v>
      </c>
      <c r="I3472" s="2" t="s">
        <v>3488</v>
      </c>
      <c r="J3472" s="2">
        <v>2.0</v>
      </c>
      <c r="K3472" s="23" t="s">
        <v>5990</v>
      </c>
      <c r="L3472" s="11">
        <v>180000.0</v>
      </c>
      <c r="N3472" s="2"/>
      <c r="O3472" s="2" t="b">
        <v>0</v>
      </c>
    </row>
    <row r="3473" hidden="1">
      <c r="A3473" s="8" t="s">
        <v>2723</v>
      </c>
      <c r="B3473" s="8" t="s">
        <v>2723</v>
      </c>
      <c r="C3473" s="13">
        <v>46052.40484953704</v>
      </c>
      <c r="D3473" s="2" t="s">
        <v>1756</v>
      </c>
      <c r="E3473" s="2" t="s">
        <v>1757</v>
      </c>
      <c r="F3473" s="14" t="s">
        <v>3486</v>
      </c>
      <c r="G3473" s="14" t="s">
        <v>3487</v>
      </c>
      <c r="H3473" s="2" t="s">
        <v>16</v>
      </c>
      <c r="I3473" s="2" t="s">
        <v>3488</v>
      </c>
      <c r="J3473" s="2">
        <v>4.0</v>
      </c>
      <c r="K3473" s="23" t="s">
        <v>5991</v>
      </c>
      <c r="L3473" s="11">
        <v>65000.0</v>
      </c>
      <c r="N3473" s="2"/>
      <c r="O3473" s="2" t="b">
        <v>0</v>
      </c>
    </row>
    <row r="3474" hidden="1">
      <c r="A3474" s="8" t="s">
        <v>2724</v>
      </c>
      <c r="B3474" s="8" t="s">
        <v>2724</v>
      </c>
      <c r="C3474" s="13">
        <v>46052.44626157408</v>
      </c>
      <c r="D3474" s="2" t="s">
        <v>2577</v>
      </c>
      <c r="E3474" s="2" t="s">
        <v>2578</v>
      </c>
      <c r="F3474" s="14" t="s">
        <v>4203</v>
      </c>
      <c r="G3474" s="14" t="s">
        <v>4204</v>
      </c>
      <c r="H3474" s="2" t="s">
        <v>24</v>
      </c>
      <c r="I3474" s="2" t="s">
        <v>3491</v>
      </c>
      <c r="J3474" s="2">
        <v>7.0</v>
      </c>
      <c r="K3474" s="23" t="s">
        <v>5992</v>
      </c>
      <c r="L3474" s="11">
        <v>0.0</v>
      </c>
      <c r="N3474" s="2"/>
      <c r="O3474" s="2" t="b">
        <v>0</v>
      </c>
    </row>
    <row r="3475" hidden="1">
      <c r="A3475" s="8" t="s">
        <v>2725</v>
      </c>
      <c r="B3475" s="8" t="s">
        <v>2725</v>
      </c>
      <c r="C3475" s="13">
        <v>46052.44724537037</v>
      </c>
      <c r="D3475" s="2" t="s">
        <v>1618</v>
      </c>
      <c r="E3475" s="2" t="s">
        <v>1619</v>
      </c>
      <c r="F3475" s="14" t="s">
        <v>3516</v>
      </c>
      <c r="G3475" s="14" t="s">
        <v>3517</v>
      </c>
      <c r="H3475" s="2" t="s">
        <v>24</v>
      </c>
      <c r="I3475" s="2" t="s">
        <v>3491</v>
      </c>
      <c r="J3475" s="2">
        <v>3.0</v>
      </c>
      <c r="K3475" s="23" t="s">
        <v>5993</v>
      </c>
      <c r="L3475" s="11">
        <v>0.0</v>
      </c>
      <c r="N3475" s="2"/>
      <c r="O3475" s="2" t="b">
        <v>0</v>
      </c>
    </row>
    <row r="3476" hidden="1">
      <c r="A3476" s="8" t="s">
        <v>2726</v>
      </c>
      <c r="B3476" s="8" t="s">
        <v>2726</v>
      </c>
      <c r="C3476" s="13">
        <v>46052.5399537037</v>
      </c>
      <c r="D3476" s="2" t="s">
        <v>951</v>
      </c>
      <c r="E3476" s="2" t="s">
        <v>952</v>
      </c>
      <c r="F3476" s="14" t="s">
        <v>3486</v>
      </c>
      <c r="G3476" s="14" t="s">
        <v>3487</v>
      </c>
      <c r="H3476" s="2" t="s">
        <v>16</v>
      </c>
      <c r="I3476" s="2" t="s">
        <v>3488</v>
      </c>
      <c r="J3476" s="2">
        <v>5.0</v>
      </c>
      <c r="K3476" s="23" t="s">
        <v>5994</v>
      </c>
      <c r="L3476" s="11">
        <v>55000.0</v>
      </c>
      <c r="N3476" s="2"/>
      <c r="O3476" s="2" t="b">
        <v>0</v>
      </c>
    </row>
    <row r="3477" hidden="1">
      <c r="A3477" s="8" t="s">
        <v>2727</v>
      </c>
      <c r="B3477" s="8" t="s">
        <v>2727</v>
      </c>
      <c r="C3477" s="13">
        <v>46052.589479166665</v>
      </c>
      <c r="D3477" s="2" t="s">
        <v>2728</v>
      </c>
      <c r="E3477" s="2" t="s">
        <v>2729</v>
      </c>
      <c r="F3477" s="14" t="s">
        <v>3522</v>
      </c>
      <c r="G3477" s="14" t="s">
        <v>3523</v>
      </c>
      <c r="H3477" s="2" t="s">
        <v>16</v>
      </c>
      <c r="I3477" s="2" t="s">
        <v>3488</v>
      </c>
      <c r="J3477" s="2">
        <v>1.0</v>
      </c>
      <c r="K3477" s="23" t="s">
        <v>4433</v>
      </c>
      <c r="L3477" s="11">
        <v>225000.0</v>
      </c>
      <c r="N3477" s="2"/>
      <c r="O3477" s="2" t="b">
        <v>0</v>
      </c>
    </row>
    <row r="3478" hidden="1">
      <c r="A3478" s="8" t="s">
        <v>2731</v>
      </c>
      <c r="B3478" s="8" t="s">
        <v>2731</v>
      </c>
      <c r="C3478" s="13">
        <v>46052.66863425926</v>
      </c>
      <c r="D3478" s="2" t="s">
        <v>786</v>
      </c>
      <c r="E3478" s="2" t="s">
        <v>787</v>
      </c>
      <c r="F3478" s="14" t="s">
        <v>3486</v>
      </c>
      <c r="G3478" s="14" t="s">
        <v>3487</v>
      </c>
      <c r="H3478" s="2" t="s">
        <v>24</v>
      </c>
      <c r="I3478" s="2" t="s">
        <v>3491</v>
      </c>
      <c r="J3478" s="2">
        <v>1.0</v>
      </c>
      <c r="K3478" s="23" t="s">
        <v>5868</v>
      </c>
      <c r="L3478" s="11">
        <v>0.0</v>
      </c>
      <c r="N3478" s="2"/>
      <c r="O3478" s="2" t="b">
        <v>0</v>
      </c>
    </row>
    <row r="3479" hidden="1">
      <c r="A3479" s="8" t="s">
        <v>2731</v>
      </c>
      <c r="B3479" s="8" t="s">
        <v>2731</v>
      </c>
      <c r="C3479" s="13">
        <v>46052.66863425926</v>
      </c>
      <c r="D3479" s="2" t="s">
        <v>786</v>
      </c>
      <c r="E3479" s="2" t="s">
        <v>787</v>
      </c>
      <c r="F3479" s="14" t="s">
        <v>4203</v>
      </c>
      <c r="G3479" s="14" t="s">
        <v>4204</v>
      </c>
      <c r="H3479" s="2" t="s">
        <v>24</v>
      </c>
      <c r="I3479" s="2" t="s">
        <v>3491</v>
      </c>
      <c r="J3479" s="2">
        <v>1.0</v>
      </c>
      <c r="K3479" s="23" t="s">
        <v>5410</v>
      </c>
      <c r="L3479" s="11">
        <v>0.0</v>
      </c>
      <c r="N3479" s="2"/>
      <c r="O3479" s="2" t="b">
        <v>0</v>
      </c>
    </row>
    <row r="3480" hidden="1">
      <c r="A3480" s="8" t="s">
        <v>2731</v>
      </c>
      <c r="B3480" s="8" t="s">
        <v>2731</v>
      </c>
      <c r="C3480" s="13">
        <v>46052.66863425926</v>
      </c>
      <c r="D3480" s="2" t="s">
        <v>786</v>
      </c>
      <c r="E3480" s="2" t="s">
        <v>787</v>
      </c>
      <c r="F3480" s="14" t="s">
        <v>3516</v>
      </c>
      <c r="G3480" s="14" t="s">
        <v>3517</v>
      </c>
      <c r="H3480" s="2" t="s">
        <v>24</v>
      </c>
      <c r="I3480" s="2" t="s">
        <v>3491</v>
      </c>
      <c r="J3480" s="2">
        <v>2.0</v>
      </c>
      <c r="K3480" s="23" t="s">
        <v>5995</v>
      </c>
      <c r="L3480" s="11">
        <v>0.0</v>
      </c>
      <c r="N3480" s="2"/>
      <c r="O3480" s="2" t="b">
        <v>0</v>
      </c>
    </row>
    <row r="3481" hidden="1">
      <c r="A3481" s="8" t="s">
        <v>2732</v>
      </c>
      <c r="B3481" s="8" t="s">
        <v>2732</v>
      </c>
      <c r="C3481" s="13">
        <v>46052.66952546296</v>
      </c>
      <c r="D3481" s="2" t="s">
        <v>1756</v>
      </c>
      <c r="E3481" s="2" t="s">
        <v>1757</v>
      </c>
      <c r="F3481" s="14" t="s">
        <v>4203</v>
      </c>
      <c r="G3481" s="14" t="s">
        <v>4204</v>
      </c>
      <c r="H3481" s="2" t="s">
        <v>24</v>
      </c>
      <c r="I3481" s="2" t="s">
        <v>3491</v>
      </c>
      <c r="J3481" s="2">
        <v>1.0</v>
      </c>
      <c r="K3481" s="23" t="s">
        <v>4409</v>
      </c>
      <c r="L3481" s="11">
        <v>0.0</v>
      </c>
      <c r="N3481" s="2"/>
      <c r="O3481" s="2" t="b">
        <v>0</v>
      </c>
    </row>
    <row r="3482" hidden="1">
      <c r="A3482" s="8" t="s">
        <v>2732</v>
      </c>
      <c r="B3482" s="8" t="s">
        <v>2732</v>
      </c>
      <c r="C3482" s="13">
        <v>46052.66952546296</v>
      </c>
      <c r="D3482" s="2" t="s">
        <v>1756</v>
      </c>
      <c r="E3482" s="2" t="s">
        <v>1757</v>
      </c>
      <c r="F3482" s="14" t="s">
        <v>3486</v>
      </c>
      <c r="G3482" s="14" t="s">
        <v>3487</v>
      </c>
      <c r="H3482" s="2" t="s">
        <v>24</v>
      </c>
      <c r="I3482" s="2" t="s">
        <v>3491</v>
      </c>
      <c r="J3482" s="2">
        <v>2.0</v>
      </c>
      <c r="K3482" s="23" t="s">
        <v>5996</v>
      </c>
      <c r="L3482" s="11">
        <v>0.0</v>
      </c>
      <c r="N3482" s="2"/>
      <c r="O3482" s="2" t="b">
        <v>0</v>
      </c>
    </row>
    <row r="3483" hidden="1">
      <c r="A3483" s="8" t="s">
        <v>2733</v>
      </c>
      <c r="B3483" s="8" t="s">
        <v>2733</v>
      </c>
      <c r="C3483" s="13">
        <v>46053.33771990741</v>
      </c>
      <c r="D3483" s="2" t="s">
        <v>464</v>
      </c>
      <c r="E3483" s="2" t="s">
        <v>465</v>
      </c>
      <c r="F3483" s="14" t="s">
        <v>3506</v>
      </c>
      <c r="G3483" s="14" t="s">
        <v>3507</v>
      </c>
      <c r="H3483" s="2" t="s">
        <v>16</v>
      </c>
      <c r="I3483" s="2" t="s">
        <v>3488</v>
      </c>
      <c r="J3483" s="2">
        <v>5.0</v>
      </c>
      <c r="K3483" s="12"/>
      <c r="L3483" s="11">
        <v>55000.0</v>
      </c>
      <c r="N3483" s="2"/>
      <c r="O3483" s="2" t="b">
        <v>0</v>
      </c>
    </row>
    <row r="3484" hidden="1">
      <c r="A3484" s="8" t="s">
        <v>2734</v>
      </c>
      <c r="B3484" s="8" t="s">
        <v>2734</v>
      </c>
      <c r="C3484" s="13">
        <v>46053.338113425925</v>
      </c>
      <c r="D3484" s="2" t="s">
        <v>951</v>
      </c>
      <c r="E3484" s="2" t="s">
        <v>952</v>
      </c>
      <c r="F3484" s="14" t="s">
        <v>3516</v>
      </c>
      <c r="G3484" s="14" t="s">
        <v>3517</v>
      </c>
      <c r="H3484" s="2" t="s">
        <v>16</v>
      </c>
      <c r="I3484" s="2" t="s">
        <v>3488</v>
      </c>
      <c r="J3484" s="2">
        <v>2.0</v>
      </c>
      <c r="K3484" s="23" t="s">
        <v>5997</v>
      </c>
      <c r="L3484" s="11">
        <v>175000.0</v>
      </c>
      <c r="N3484" s="2"/>
      <c r="O3484" s="2" t="b">
        <v>0</v>
      </c>
    </row>
    <row r="3485" hidden="1">
      <c r="A3485" s="8" t="s">
        <v>2735</v>
      </c>
      <c r="B3485" s="8" t="s">
        <v>2735</v>
      </c>
      <c r="C3485" s="13">
        <v>46053.33898148148</v>
      </c>
      <c r="D3485" s="2" t="s">
        <v>1018</v>
      </c>
      <c r="E3485" s="2" t="s">
        <v>1019</v>
      </c>
      <c r="F3485" s="14" t="s">
        <v>3486</v>
      </c>
      <c r="G3485" s="14" t="s">
        <v>3487</v>
      </c>
      <c r="H3485" s="2" t="s">
        <v>16</v>
      </c>
      <c r="I3485" s="2" t="s">
        <v>3488</v>
      </c>
      <c r="J3485" s="2">
        <v>1.0</v>
      </c>
      <c r="K3485" s="23" t="s">
        <v>5998</v>
      </c>
      <c r="L3485" s="11">
        <v>60000.0</v>
      </c>
      <c r="N3485" s="2"/>
      <c r="O3485" s="2" t="b">
        <v>0</v>
      </c>
    </row>
    <row r="3486" hidden="1">
      <c r="A3486" s="8" t="s">
        <v>2736</v>
      </c>
      <c r="B3486" s="8" t="s">
        <v>2736</v>
      </c>
      <c r="C3486" s="13">
        <v>46053.40253472222</v>
      </c>
      <c r="D3486" s="2" t="s">
        <v>786</v>
      </c>
      <c r="E3486" s="2" t="s">
        <v>787</v>
      </c>
      <c r="F3486" s="14" t="s">
        <v>3516</v>
      </c>
      <c r="G3486" s="14" t="s">
        <v>3517</v>
      </c>
      <c r="H3486" s="2" t="s">
        <v>16</v>
      </c>
      <c r="I3486" s="2" t="s">
        <v>3488</v>
      </c>
      <c r="J3486" s="2">
        <v>3.0</v>
      </c>
      <c r="K3486" s="23" t="s">
        <v>5999</v>
      </c>
      <c r="L3486" s="11">
        <v>180000.0</v>
      </c>
      <c r="N3486" s="2"/>
      <c r="O3486" s="2" t="b">
        <v>0</v>
      </c>
    </row>
    <row r="3487" hidden="1">
      <c r="A3487" s="8" t="s">
        <v>2736</v>
      </c>
      <c r="B3487" s="8" t="s">
        <v>2736</v>
      </c>
      <c r="C3487" s="13">
        <v>46053.40253472222</v>
      </c>
      <c r="D3487" s="2" t="s">
        <v>786</v>
      </c>
      <c r="E3487" s="2" t="s">
        <v>787</v>
      </c>
      <c r="F3487" s="14" t="s">
        <v>3486</v>
      </c>
      <c r="G3487" s="14" t="s">
        <v>3487</v>
      </c>
      <c r="H3487" s="2" t="s">
        <v>16</v>
      </c>
      <c r="I3487" s="2" t="s">
        <v>3488</v>
      </c>
      <c r="J3487" s="2">
        <v>3.0</v>
      </c>
      <c r="K3487" s="23" t="s">
        <v>6000</v>
      </c>
      <c r="L3487" s="11">
        <v>60000.0</v>
      </c>
      <c r="N3487" s="2"/>
      <c r="O3487" s="2" t="b">
        <v>0</v>
      </c>
    </row>
    <row r="3488" hidden="1">
      <c r="A3488" s="8" t="s">
        <v>2737</v>
      </c>
      <c r="B3488" s="8" t="s">
        <v>2737</v>
      </c>
      <c r="C3488" s="13">
        <v>46053.41415509259</v>
      </c>
      <c r="D3488" s="2" t="s">
        <v>464</v>
      </c>
      <c r="E3488" s="2" t="s">
        <v>465</v>
      </c>
      <c r="F3488" s="14" t="s">
        <v>4203</v>
      </c>
      <c r="G3488" s="14" t="s">
        <v>4204</v>
      </c>
      <c r="H3488" s="2" t="s">
        <v>24</v>
      </c>
      <c r="I3488" s="2" t="s">
        <v>3491</v>
      </c>
      <c r="J3488" s="2">
        <v>2.0</v>
      </c>
      <c r="K3488" s="23" t="s">
        <v>6001</v>
      </c>
      <c r="L3488" s="11">
        <v>0.0</v>
      </c>
      <c r="N3488" s="2"/>
      <c r="O3488" s="2" t="b">
        <v>0</v>
      </c>
    </row>
    <row r="3489" hidden="1">
      <c r="A3489" s="8" t="s">
        <v>2738</v>
      </c>
      <c r="B3489" s="8" t="s">
        <v>2738</v>
      </c>
      <c r="C3489" s="13">
        <v>46053.414675925924</v>
      </c>
      <c r="D3489" s="2" t="s">
        <v>1018</v>
      </c>
      <c r="E3489" s="2" t="s">
        <v>1019</v>
      </c>
      <c r="F3489" s="14" t="s">
        <v>3486</v>
      </c>
      <c r="G3489" s="14" t="s">
        <v>3487</v>
      </c>
      <c r="H3489" s="2" t="s">
        <v>24</v>
      </c>
      <c r="I3489" s="2" t="s">
        <v>3491</v>
      </c>
      <c r="J3489" s="2">
        <v>1.0</v>
      </c>
      <c r="K3489" s="23" t="s">
        <v>3738</v>
      </c>
      <c r="L3489" s="11">
        <v>0.0</v>
      </c>
      <c r="N3489" s="2"/>
      <c r="O3489" s="2" t="b">
        <v>0</v>
      </c>
    </row>
    <row r="3490" hidden="1">
      <c r="A3490" s="8" t="s">
        <v>2739</v>
      </c>
      <c r="B3490" s="8" t="s">
        <v>2739</v>
      </c>
      <c r="C3490" s="13">
        <v>46053.42626157407</v>
      </c>
      <c r="D3490" s="2" t="s">
        <v>1776</v>
      </c>
      <c r="E3490" s="2" t="s">
        <v>1777</v>
      </c>
      <c r="F3490" s="14" t="s">
        <v>4203</v>
      </c>
      <c r="G3490" s="14" t="s">
        <v>4204</v>
      </c>
      <c r="H3490" s="2" t="s">
        <v>16</v>
      </c>
      <c r="I3490" s="2" t="s">
        <v>3488</v>
      </c>
      <c r="J3490" s="2">
        <v>3.0</v>
      </c>
      <c r="K3490" s="23" t="s">
        <v>6002</v>
      </c>
      <c r="L3490" s="11">
        <v>80000.0</v>
      </c>
      <c r="N3490" s="2"/>
      <c r="O3490" s="2" t="b">
        <v>0</v>
      </c>
    </row>
    <row r="3491" hidden="1">
      <c r="A3491" s="8" t="s">
        <v>2740</v>
      </c>
      <c r="B3491" s="8" t="s">
        <v>2740</v>
      </c>
      <c r="C3491" s="13">
        <v>46053.480474537035</v>
      </c>
      <c r="D3491" s="2" t="s">
        <v>1776</v>
      </c>
      <c r="E3491" s="2" t="s">
        <v>1777</v>
      </c>
      <c r="F3491" s="14" t="s">
        <v>4203</v>
      </c>
      <c r="G3491" s="14" t="s">
        <v>4204</v>
      </c>
      <c r="H3491" s="2" t="s">
        <v>24</v>
      </c>
      <c r="I3491" s="2" t="s">
        <v>3491</v>
      </c>
      <c r="J3491" s="2">
        <v>2.0</v>
      </c>
      <c r="K3491" s="23" t="s">
        <v>5972</v>
      </c>
      <c r="L3491" s="11">
        <v>0.0</v>
      </c>
      <c r="N3491" s="2"/>
      <c r="O3491" s="2" t="b">
        <v>0</v>
      </c>
    </row>
    <row r="3492" hidden="1">
      <c r="A3492" s="8" t="s">
        <v>2741</v>
      </c>
      <c r="B3492" s="8" t="s">
        <v>2741</v>
      </c>
      <c r="C3492" s="13">
        <v>46053.54571759259</v>
      </c>
      <c r="D3492" s="2" t="s">
        <v>2640</v>
      </c>
      <c r="E3492" s="2" t="s">
        <v>2641</v>
      </c>
      <c r="F3492" s="14" t="s">
        <v>3493</v>
      </c>
      <c r="G3492" s="14" t="s">
        <v>3494</v>
      </c>
      <c r="H3492" s="2" t="s">
        <v>16</v>
      </c>
      <c r="I3492" s="2" t="s">
        <v>3488</v>
      </c>
      <c r="J3492" s="2">
        <v>1.0</v>
      </c>
      <c r="K3492" s="12" t="s">
        <v>5817</v>
      </c>
      <c r="L3492" s="11">
        <v>205000.0</v>
      </c>
      <c r="N3492" s="2"/>
      <c r="O3492" s="2" t="b">
        <v>0</v>
      </c>
    </row>
    <row r="3493" hidden="1">
      <c r="A3493" s="8" t="s">
        <v>2742</v>
      </c>
      <c r="B3493" s="8" t="s">
        <v>2742</v>
      </c>
      <c r="C3493" s="13">
        <v>46053.57362268519</v>
      </c>
      <c r="D3493" s="2" t="s">
        <v>320</v>
      </c>
      <c r="E3493" s="2" t="s">
        <v>321</v>
      </c>
      <c r="F3493" s="14" t="s">
        <v>3516</v>
      </c>
      <c r="G3493" s="14" t="s">
        <v>3517</v>
      </c>
      <c r="H3493" s="2" t="s">
        <v>16</v>
      </c>
      <c r="I3493" s="2" t="s">
        <v>3488</v>
      </c>
      <c r="J3493" s="2">
        <v>1.0</v>
      </c>
      <c r="K3493" s="23" t="s">
        <v>5471</v>
      </c>
      <c r="L3493" s="11">
        <v>190000.0</v>
      </c>
      <c r="N3493" s="2"/>
      <c r="O3493" s="2" t="b">
        <v>0</v>
      </c>
    </row>
    <row r="3494" hidden="1">
      <c r="A3494" s="8" t="s">
        <v>2743</v>
      </c>
      <c r="B3494" s="8" t="s">
        <v>2743</v>
      </c>
      <c r="C3494" s="13">
        <v>46053.57460648148</v>
      </c>
      <c r="D3494" s="2" t="s">
        <v>786</v>
      </c>
      <c r="E3494" s="2" t="s">
        <v>787</v>
      </c>
      <c r="F3494" s="14" t="s">
        <v>3486</v>
      </c>
      <c r="G3494" s="14" t="s">
        <v>3487</v>
      </c>
      <c r="H3494" s="2" t="s">
        <v>24</v>
      </c>
      <c r="I3494" s="2" t="s">
        <v>3491</v>
      </c>
      <c r="J3494" s="2">
        <v>4.0</v>
      </c>
      <c r="K3494" s="23" t="s">
        <v>6003</v>
      </c>
      <c r="L3494" s="11">
        <v>0.0</v>
      </c>
      <c r="N3494" s="2"/>
      <c r="O3494" s="2" t="b">
        <v>0</v>
      </c>
    </row>
    <row r="3495" hidden="1">
      <c r="A3495" s="8" t="s">
        <v>2743</v>
      </c>
      <c r="B3495" s="8" t="s">
        <v>2743</v>
      </c>
      <c r="C3495" s="13">
        <v>46053.57460648148</v>
      </c>
      <c r="D3495" s="2" t="s">
        <v>786</v>
      </c>
      <c r="E3495" s="2" t="s">
        <v>787</v>
      </c>
      <c r="F3495" s="14" t="s">
        <v>4203</v>
      </c>
      <c r="G3495" s="14" t="s">
        <v>4204</v>
      </c>
      <c r="H3495" s="2" t="s">
        <v>24</v>
      </c>
      <c r="I3495" s="2" t="s">
        <v>3491</v>
      </c>
      <c r="J3495" s="2">
        <v>2.0</v>
      </c>
      <c r="K3495" s="23" t="s">
        <v>6004</v>
      </c>
      <c r="L3495" s="11">
        <v>0.0</v>
      </c>
      <c r="N3495" s="2"/>
      <c r="O3495" s="2" t="b">
        <v>0</v>
      </c>
    </row>
    <row r="3496" hidden="1">
      <c r="A3496" s="8" t="s">
        <v>2743</v>
      </c>
      <c r="B3496" s="8" t="s">
        <v>2743</v>
      </c>
      <c r="C3496" s="13">
        <v>46053.57460648148</v>
      </c>
      <c r="D3496" s="2" t="s">
        <v>786</v>
      </c>
      <c r="E3496" s="2" t="s">
        <v>787</v>
      </c>
      <c r="F3496" s="14" t="s">
        <v>3516</v>
      </c>
      <c r="G3496" s="14" t="s">
        <v>3517</v>
      </c>
      <c r="H3496" s="2" t="s">
        <v>24</v>
      </c>
      <c r="I3496" s="2" t="s">
        <v>3491</v>
      </c>
      <c r="J3496" s="2">
        <v>2.0</v>
      </c>
      <c r="K3496" s="23" t="s">
        <v>6005</v>
      </c>
      <c r="L3496" s="11">
        <v>0.0</v>
      </c>
      <c r="N3496" s="2"/>
      <c r="O3496" s="2" t="b">
        <v>0</v>
      </c>
    </row>
    <row r="3497" hidden="1">
      <c r="A3497" s="8" t="s">
        <v>2744</v>
      </c>
      <c r="B3497" s="8" t="s">
        <v>2744</v>
      </c>
      <c r="C3497" s="13">
        <v>46053.605787037035</v>
      </c>
      <c r="D3497" s="2" t="s">
        <v>326</v>
      </c>
      <c r="E3497" s="2" t="s">
        <v>327</v>
      </c>
      <c r="F3497" s="14" t="s">
        <v>3486</v>
      </c>
      <c r="G3497" s="14" t="s">
        <v>3487</v>
      </c>
      <c r="H3497" s="2" t="s">
        <v>24</v>
      </c>
      <c r="I3497" s="2" t="s">
        <v>3491</v>
      </c>
      <c r="J3497" s="2">
        <v>2.0</v>
      </c>
      <c r="K3497" s="23" t="s">
        <v>6006</v>
      </c>
      <c r="L3497" s="11">
        <v>0.0</v>
      </c>
      <c r="N3497" s="2"/>
      <c r="O3497" s="2" t="b">
        <v>0</v>
      </c>
    </row>
    <row r="3498" hidden="1">
      <c r="A3498" s="8" t="s">
        <v>2745</v>
      </c>
      <c r="B3498" s="8" t="s">
        <v>2745</v>
      </c>
      <c r="C3498" s="13">
        <v>46055.37028935185</v>
      </c>
      <c r="D3498" s="2" t="s">
        <v>1889</v>
      </c>
      <c r="E3498" s="2" t="s">
        <v>1890</v>
      </c>
      <c r="F3498" s="14" t="s">
        <v>3486</v>
      </c>
      <c r="G3498" s="14" t="s">
        <v>3487</v>
      </c>
      <c r="H3498" s="2" t="s">
        <v>16</v>
      </c>
      <c r="I3498" s="2" t="s">
        <v>3488</v>
      </c>
      <c r="J3498" s="2">
        <v>2.0</v>
      </c>
      <c r="K3498" s="23" t="s">
        <v>6007</v>
      </c>
      <c r="L3498" s="11">
        <v>60000.0</v>
      </c>
      <c r="N3498" s="2"/>
      <c r="O3498" s="2" t="b">
        <v>0</v>
      </c>
    </row>
    <row r="3499" hidden="1">
      <c r="A3499" s="8" t="s">
        <v>2746</v>
      </c>
      <c r="B3499" s="8" t="s">
        <v>2746</v>
      </c>
      <c r="C3499" s="13">
        <v>46055.39603009259</v>
      </c>
      <c r="D3499" s="2" t="s">
        <v>1993</v>
      </c>
      <c r="E3499" s="2" t="s">
        <v>1994</v>
      </c>
      <c r="F3499" s="14" t="s">
        <v>3486</v>
      </c>
      <c r="G3499" s="14" t="s">
        <v>3487</v>
      </c>
      <c r="H3499" s="2" t="s">
        <v>16</v>
      </c>
      <c r="I3499" s="2" t="s">
        <v>3488</v>
      </c>
      <c r="J3499" s="2">
        <v>5.0</v>
      </c>
      <c r="K3499" s="23" t="s">
        <v>6008</v>
      </c>
      <c r="L3499" s="11">
        <v>65000.0</v>
      </c>
      <c r="N3499" s="2"/>
      <c r="O3499" s="2" t="b">
        <v>0</v>
      </c>
    </row>
    <row r="3500" hidden="1">
      <c r="A3500" s="8" t="s">
        <v>2746</v>
      </c>
      <c r="B3500" s="8" t="s">
        <v>2746</v>
      </c>
      <c r="C3500" s="13">
        <v>46055.39603009259</v>
      </c>
      <c r="D3500" s="2" t="s">
        <v>1993</v>
      </c>
      <c r="E3500" s="2" t="s">
        <v>1994</v>
      </c>
      <c r="F3500" s="14" t="s">
        <v>3516</v>
      </c>
      <c r="G3500" s="14" t="s">
        <v>3517</v>
      </c>
      <c r="H3500" s="2" t="s">
        <v>16</v>
      </c>
      <c r="I3500" s="2" t="s">
        <v>3488</v>
      </c>
      <c r="J3500" s="2">
        <v>2.0</v>
      </c>
      <c r="K3500" s="23" t="s">
        <v>6009</v>
      </c>
      <c r="L3500" s="11">
        <v>190000.0</v>
      </c>
      <c r="N3500" s="2"/>
      <c r="O3500" s="2" t="b">
        <v>0</v>
      </c>
    </row>
    <row r="3501" hidden="1">
      <c r="A3501" s="8" t="s">
        <v>2747</v>
      </c>
      <c r="B3501" s="8" t="s">
        <v>2747</v>
      </c>
      <c r="C3501" s="13">
        <v>46055.430868055555</v>
      </c>
      <c r="D3501" s="2" t="s">
        <v>786</v>
      </c>
      <c r="E3501" s="2" t="s">
        <v>787</v>
      </c>
      <c r="F3501" s="14" t="s">
        <v>3486</v>
      </c>
      <c r="G3501" s="14" t="s">
        <v>3487</v>
      </c>
      <c r="H3501" s="2" t="s">
        <v>16</v>
      </c>
      <c r="I3501" s="2" t="s">
        <v>3488</v>
      </c>
      <c r="J3501" s="2">
        <v>3.0</v>
      </c>
      <c r="K3501" s="23" t="s">
        <v>6010</v>
      </c>
      <c r="L3501" s="11">
        <v>60000.0</v>
      </c>
      <c r="N3501" s="2"/>
      <c r="O3501" s="2" t="b">
        <v>0</v>
      </c>
    </row>
    <row r="3502" hidden="1">
      <c r="A3502" s="8" t="s">
        <v>2747</v>
      </c>
      <c r="B3502" s="8" t="s">
        <v>2747</v>
      </c>
      <c r="C3502" s="13">
        <v>46055.430868055555</v>
      </c>
      <c r="D3502" s="2" t="s">
        <v>786</v>
      </c>
      <c r="E3502" s="2" t="s">
        <v>787</v>
      </c>
      <c r="F3502" s="14" t="s">
        <v>3516</v>
      </c>
      <c r="G3502" s="14" t="s">
        <v>3517</v>
      </c>
      <c r="H3502" s="2" t="s">
        <v>16</v>
      </c>
      <c r="I3502" s="2" t="s">
        <v>3488</v>
      </c>
      <c r="J3502" s="2">
        <v>3.0</v>
      </c>
      <c r="K3502" s="23" t="s">
        <v>6011</v>
      </c>
      <c r="L3502" s="11">
        <v>180000.0</v>
      </c>
      <c r="N3502" s="2"/>
      <c r="O3502" s="2" t="b">
        <v>0</v>
      </c>
    </row>
    <row r="3503" hidden="1">
      <c r="A3503" s="8" t="s">
        <v>2748</v>
      </c>
      <c r="B3503" s="8" t="s">
        <v>2748</v>
      </c>
      <c r="C3503" s="13">
        <v>46055.440613425926</v>
      </c>
      <c r="D3503" s="2" t="s">
        <v>1889</v>
      </c>
      <c r="E3503" s="2" t="s">
        <v>1890</v>
      </c>
      <c r="F3503" s="14" t="s">
        <v>4203</v>
      </c>
      <c r="G3503" s="14" t="s">
        <v>4204</v>
      </c>
      <c r="H3503" s="2" t="s">
        <v>24</v>
      </c>
      <c r="I3503" s="2" t="s">
        <v>3491</v>
      </c>
      <c r="J3503" s="2">
        <v>1.0</v>
      </c>
      <c r="K3503" s="23" t="s">
        <v>5708</v>
      </c>
      <c r="L3503" s="11">
        <v>0.0</v>
      </c>
      <c r="N3503" s="2"/>
      <c r="O3503" s="2" t="b">
        <v>0</v>
      </c>
    </row>
    <row r="3504" hidden="1">
      <c r="A3504" s="8" t="s">
        <v>2748</v>
      </c>
      <c r="B3504" s="8" t="s">
        <v>2748</v>
      </c>
      <c r="C3504" s="13">
        <v>46055.440613425926</v>
      </c>
      <c r="D3504" s="2" t="s">
        <v>1889</v>
      </c>
      <c r="E3504" s="2" t="s">
        <v>1890</v>
      </c>
      <c r="F3504" s="14" t="s">
        <v>3486</v>
      </c>
      <c r="G3504" s="14" t="s">
        <v>3487</v>
      </c>
      <c r="H3504" s="2" t="s">
        <v>24</v>
      </c>
      <c r="I3504" s="2" t="s">
        <v>3491</v>
      </c>
      <c r="J3504" s="2">
        <v>2.0</v>
      </c>
      <c r="K3504" s="23" t="s">
        <v>6012</v>
      </c>
      <c r="L3504" s="11">
        <v>0.0</v>
      </c>
      <c r="N3504" s="2"/>
      <c r="O3504" s="2" t="b">
        <v>0</v>
      </c>
    </row>
    <row r="3505" hidden="1">
      <c r="A3505" s="8" t="s">
        <v>2749</v>
      </c>
      <c r="B3505" s="8" t="s">
        <v>2749</v>
      </c>
      <c r="C3505" s="13">
        <v>46055.520324074074</v>
      </c>
      <c r="D3505" s="2" t="s">
        <v>109</v>
      </c>
      <c r="E3505" s="2" t="s">
        <v>110</v>
      </c>
      <c r="F3505" s="14" t="s">
        <v>3486</v>
      </c>
      <c r="G3505" s="14" t="s">
        <v>3487</v>
      </c>
      <c r="H3505" s="2" t="s">
        <v>24</v>
      </c>
      <c r="I3505" s="2" t="s">
        <v>3491</v>
      </c>
      <c r="J3505" s="2">
        <v>1.0</v>
      </c>
      <c r="K3505" s="23" t="s">
        <v>4099</v>
      </c>
      <c r="L3505" s="11">
        <v>0.0</v>
      </c>
      <c r="N3505" s="2"/>
      <c r="O3505" s="2" t="b">
        <v>0</v>
      </c>
    </row>
    <row r="3506" hidden="1">
      <c r="A3506" s="8" t="s">
        <v>2749</v>
      </c>
      <c r="B3506" s="8" t="s">
        <v>2749</v>
      </c>
      <c r="C3506" s="13">
        <v>46055.520324074074</v>
      </c>
      <c r="D3506" s="2" t="s">
        <v>109</v>
      </c>
      <c r="E3506" s="2" t="s">
        <v>110</v>
      </c>
      <c r="F3506" s="14" t="s">
        <v>3522</v>
      </c>
      <c r="G3506" s="14" t="s">
        <v>3523</v>
      </c>
      <c r="H3506" s="2" t="s">
        <v>24</v>
      </c>
      <c r="I3506" s="2" t="s">
        <v>3491</v>
      </c>
      <c r="J3506" s="2">
        <v>1.0</v>
      </c>
      <c r="K3506" s="23" t="s">
        <v>4399</v>
      </c>
      <c r="L3506" s="11">
        <v>0.0</v>
      </c>
      <c r="N3506" s="2"/>
      <c r="O3506" s="2" t="b">
        <v>0</v>
      </c>
    </row>
    <row r="3507" hidden="1">
      <c r="A3507" s="8" t="s">
        <v>2750</v>
      </c>
      <c r="B3507" s="8" t="s">
        <v>2750</v>
      </c>
      <c r="C3507" s="13">
        <v>46055.52092592593</v>
      </c>
      <c r="D3507" s="2" t="s">
        <v>1993</v>
      </c>
      <c r="E3507" s="2" t="s">
        <v>1994</v>
      </c>
      <c r="F3507" s="14" t="s">
        <v>3486</v>
      </c>
      <c r="G3507" s="14" t="s">
        <v>3487</v>
      </c>
      <c r="H3507" s="2" t="s">
        <v>24</v>
      </c>
      <c r="I3507" s="2" t="s">
        <v>3491</v>
      </c>
      <c r="J3507" s="2">
        <v>3.0</v>
      </c>
      <c r="K3507" s="23" t="s">
        <v>6013</v>
      </c>
      <c r="L3507" s="11">
        <v>0.0</v>
      </c>
      <c r="N3507" s="2"/>
      <c r="O3507" s="2" t="b">
        <v>0</v>
      </c>
    </row>
    <row r="3508" hidden="1">
      <c r="A3508" s="8" t="s">
        <v>2750</v>
      </c>
      <c r="B3508" s="8" t="s">
        <v>2750</v>
      </c>
      <c r="C3508" s="13">
        <v>46055.52092592593</v>
      </c>
      <c r="D3508" s="2" t="s">
        <v>1993</v>
      </c>
      <c r="E3508" s="2" t="s">
        <v>1994</v>
      </c>
      <c r="F3508" s="14" t="s">
        <v>3516</v>
      </c>
      <c r="G3508" s="14" t="s">
        <v>3517</v>
      </c>
      <c r="H3508" s="2" t="s">
        <v>24</v>
      </c>
      <c r="I3508" s="2" t="s">
        <v>3491</v>
      </c>
      <c r="J3508" s="2">
        <v>1.0</v>
      </c>
      <c r="K3508" s="23" t="s">
        <v>4941</v>
      </c>
      <c r="L3508" s="11">
        <v>0.0</v>
      </c>
      <c r="N3508" s="2"/>
      <c r="O3508" s="2" t="b">
        <v>0</v>
      </c>
    </row>
    <row r="3509" hidden="1">
      <c r="A3509" s="8" t="s">
        <v>2751</v>
      </c>
      <c r="B3509" s="8" t="s">
        <v>2751</v>
      </c>
      <c r="C3509" s="13">
        <v>46055.52150462963</v>
      </c>
      <c r="D3509" s="2" t="s">
        <v>1084</v>
      </c>
      <c r="E3509" s="2" t="s">
        <v>1085</v>
      </c>
      <c r="F3509" s="14" t="s">
        <v>3486</v>
      </c>
      <c r="G3509" s="14" t="s">
        <v>3487</v>
      </c>
      <c r="H3509" s="2" t="s">
        <v>24</v>
      </c>
      <c r="I3509" s="2" t="s">
        <v>3491</v>
      </c>
      <c r="J3509" s="2">
        <v>3.0</v>
      </c>
      <c r="K3509" s="23" t="s">
        <v>6014</v>
      </c>
      <c r="L3509" s="11">
        <v>0.0</v>
      </c>
      <c r="N3509" s="2"/>
      <c r="O3509" s="2" t="b">
        <v>0</v>
      </c>
    </row>
    <row r="3510" hidden="1">
      <c r="A3510" s="8" t="s">
        <v>2752</v>
      </c>
      <c r="B3510" s="8" t="s">
        <v>2752</v>
      </c>
      <c r="C3510" s="13">
        <v>46055.53538194444</v>
      </c>
      <c r="D3510" s="2" t="s">
        <v>2150</v>
      </c>
      <c r="E3510" s="2" t="s">
        <v>2591</v>
      </c>
      <c r="F3510" s="14" t="s">
        <v>3493</v>
      </c>
      <c r="G3510" s="14" t="s">
        <v>3494</v>
      </c>
      <c r="H3510" s="2" t="s">
        <v>159</v>
      </c>
      <c r="I3510" s="2" t="s">
        <v>5402</v>
      </c>
      <c r="J3510" s="2">
        <v>3.0</v>
      </c>
      <c r="K3510" s="12"/>
      <c r="L3510" s="11">
        <v>0.0</v>
      </c>
      <c r="N3510" s="2"/>
      <c r="O3510" s="2" t="b">
        <v>0</v>
      </c>
    </row>
    <row r="3511" hidden="1">
      <c r="A3511" s="8" t="s">
        <v>2753</v>
      </c>
      <c r="B3511" s="8" t="s">
        <v>2753</v>
      </c>
      <c r="C3511" s="13">
        <v>46055.62872685185</v>
      </c>
      <c r="D3511" s="2" t="s">
        <v>786</v>
      </c>
      <c r="E3511" s="2" t="s">
        <v>787</v>
      </c>
      <c r="F3511" s="14" t="s">
        <v>3516</v>
      </c>
      <c r="G3511" s="14" t="s">
        <v>3517</v>
      </c>
      <c r="H3511" s="2" t="s">
        <v>24</v>
      </c>
      <c r="I3511" s="2" t="s">
        <v>3491</v>
      </c>
      <c r="J3511" s="2">
        <v>2.0</v>
      </c>
      <c r="K3511" s="23" t="s">
        <v>6015</v>
      </c>
      <c r="L3511" s="11">
        <v>0.0</v>
      </c>
      <c r="N3511" s="2"/>
      <c r="O3511" s="2" t="b">
        <v>0</v>
      </c>
    </row>
    <row r="3512" hidden="1">
      <c r="A3512" s="8" t="s">
        <v>2754</v>
      </c>
      <c r="B3512" s="8" t="s">
        <v>2754</v>
      </c>
      <c r="C3512" s="13">
        <v>46055.63930555555</v>
      </c>
      <c r="D3512" s="2" t="s">
        <v>1975</v>
      </c>
      <c r="E3512" s="2" t="s">
        <v>1976</v>
      </c>
      <c r="F3512" s="14" t="s">
        <v>3486</v>
      </c>
      <c r="G3512" s="14" t="s">
        <v>3487</v>
      </c>
      <c r="H3512" s="2" t="s">
        <v>24</v>
      </c>
      <c r="I3512" s="2" t="s">
        <v>3491</v>
      </c>
      <c r="J3512" s="2">
        <v>5.0</v>
      </c>
      <c r="K3512" s="23" t="s">
        <v>6016</v>
      </c>
      <c r="L3512" s="11">
        <v>0.0</v>
      </c>
      <c r="N3512" s="2"/>
      <c r="O3512" s="2" t="b">
        <v>0</v>
      </c>
    </row>
    <row r="3513" hidden="1">
      <c r="A3513" s="8" t="s">
        <v>2755</v>
      </c>
      <c r="B3513" s="8" t="s">
        <v>2755</v>
      </c>
      <c r="C3513" s="13">
        <v>46056.34649305556</v>
      </c>
      <c r="D3513" s="2" t="s">
        <v>2503</v>
      </c>
      <c r="E3513" s="2" t="s">
        <v>2504</v>
      </c>
      <c r="F3513" s="14" t="s">
        <v>3486</v>
      </c>
      <c r="G3513" s="14" t="s">
        <v>3487</v>
      </c>
      <c r="H3513" s="2" t="s">
        <v>16</v>
      </c>
      <c r="I3513" s="2" t="s">
        <v>3488</v>
      </c>
      <c r="J3513" s="2">
        <v>4.0</v>
      </c>
      <c r="K3513" s="23" t="s">
        <v>6017</v>
      </c>
      <c r="L3513" s="11">
        <v>65000.0</v>
      </c>
      <c r="N3513" s="2"/>
      <c r="O3513" s="2" t="b">
        <v>0</v>
      </c>
    </row>
    <row r="3514" hidden="1">
      <c r="A3514" s="8" t="s">
        <v>2756</v>
      </c>
      <c r="B3514" s="8" t="s">
        <v>2756</v>
      </c>
      <c r="C3514" s="13">
        <v>46056.37829861111</v>
      </c>
      <c r="D3514" s="2" t="s">
        <v>1975</v>
      </c>
      <c r="E3514" s="2" t="s">
        <v>1976</v>
      </c>
      <c r="F3514" s="14" t="s">
        <v>4203</v>
      </c>
      <c r="G3514" s="14" t="s">
        <v>4204</v>
      </c>
      <c r="H3514" s="2" t="s">
        <v>16</v>
      </c>
      <c r="I3514" s="2" t="s">
        <v>3488</v>
      </c>
      <c r="J3514" s="2">
        <v>10.0</v>
      </c>
      <c r="K3514" s="23" t="s">
        <v>6018</v>
      </c>
      <c r="L3514" s="11">
        <v>60000.0</v>
      </c>
      <c r="N3514" s="2"/>
      <c r="O3514" s="2" t="b">
        <v>0</v>
      </c>
    </row>
    <row r="3515" hidden="1">
      <c r="A3515" s="8" t="s">
        <v>2757</v>
      </c>
      <c r="B3515" s="8" t="s">
        <v>2757</v>
      </c>
      <c r="C3515" s="13">
        <v>46056.5471412037</v>
      </c>
      <c r="D3515" s="2" t="s">
        <v>951</v>
      </c>
      <c r="E3515" s="2" t="s">
        <v>952</v>
      </c>
      <c r="F3515" s="14" t="s">
        <v>3486</v>
      </c>
      <c r="G3515" s="14" t="s">
        <v>3487</v>
      </c>
      <c r="H3515" s="2" t="s">
        <v>16</v>
      </c>
      <c r="I3515" s="2" t="s">
        <v>3488</v>
      </c>
      <c r="J3515" s="2">
        <v>5.0</v>
      </c>
      <c r="K3515" s="23" t="s">
        <v>6019</v>
      </c>
      <c r="L3515" s="11">
        <v>55000.0</v>
      </c>
      <c r="N3515" s="2"/>
      <c r="O3515" s="2" t="b">
        <v>0</v>
      </c>
    </row>
    <row r="3516" hidden="1">
      <c r="A3516" s="8" t="s">
        <v>2758</v>
      </c>
      <c r="B3516" s="8" t="s">
        <v>2758</v>
      </c>
      <c r="C3516" s="13">
        <v>46056.548726851855</v>
      </c>
      <c r="D3516" s="2" t="s">
        <v>786</v>
      </c>
      <c r="E3516" s="2" t="s">
        <v>787</v>
      </c>
      <c r="F3516" s="14" t="s">
        <v>3486</v>
      </c>
      <c r="G3516" s="14" t="s">
        <v>3487</v>
      </c>
      <c r="H3516" s="2" t="s">
        <v>24</v>
      </c>
      <c r="I3516" s="2" t="s">
        <v>3491</v>
      </c>
      <c r="J3516" s="2">
        <v>1.0</v>
      </c>
      <c r="K3516" s="23" t="s">
        <v>6020</v>
      </c>
      <c r="L3516" s="11">
        <v>0.0</v>
      </c>
      <c r="N3516" s="2"/>
      <c r="O3516" s="2" t="b">
        <v>0</v>
      </c>
    </row>
    <row r="3517" hidden="1">
      <c r="A3517" s="8" t="s">
        <v>2758</v>
      </c>
      <c r="B3517" s="8" t="s">
        <v>2758</v>
      </c>
      <c r="C3517" s="13">
        <v>46056.548726851855</v>
      </c>
      <c r="D3517" s="2" t="s">
        <v>786</v>
      </c>
      <c r="E3517" s="2" t="s">
        <v>787</v>
      </c>
      <c r="F3517" s="14" t="s">
        <v>3516</v>
      </c>
      <c r="G3517" s="14" t="s">
        <v>3517</v>
      </c>
      <c r="H3517" s="2" t="s">
        <v>24</v>
      </c>
      <c r="I3517" s="2" t="s">
        <v>3491</v>
      </c>
      <c r="J3517" s="2">
        <v>1.0</v>
      </c>
      <c r="K3517" s="23" t="s">
        <v>4812</v>
      </c>
      <c r="L3517" s="11">
        <v>0.0</v>
      </c>
      <c r="N3517" s="2"/>
      <c r="O3517" s="2" t="b">
        <v>0</v>
      </c>
    </row>
    <row r="3518" hidden="1">
      <c r="A3518" s="8" t="s">
        <v>2759</v>
      </c>
      <c r="B3518" s="8" t="s">
        <v>2759</v>
      </c>
      <c r="C3518" s="13">
        <v>46056.54922453704</v>
      </c>
      <c r="D3518" s="2" t="s">
        <v>131</v>
      </c>
      <c r="E3518" s="2" t="s">
        <v>132</v>
      </c>
      <c r="F3518" s="14" t="s">
        <v>4203</v>
      </c>
      <c r="G3518" s="14" t="s">
        <v>4204</v>
      </c>
      <c r="H3518" s="2" t="s">
        <v>24</v>
      </c>
      <c r="I3518" s="2" t="s">
        <v>3491</v>
      </c>
      <c r="J3518" s="2">
        <v>1.0</v>
      </c>
      <c r="K3518" s="23" t="s">
        <v>5045</v>
      </c>
      <c r="L3518" s="11">
        <v>0.0</v>
      </c>
      <c r="N3518" s="2"/>
      <c r="O3518" s="2" t="b">
        <v>0</v>
      </c>
    </row>
    <row r="3519" hidden="1">
      <c r="A3519" s="8" t="s">
        <v>2759</v>
      </c>
      <c r="B3519" s="8" t="s">
        <v>2759</v>
      </c>
      <c r="C3519" s="13">
        <v>46056.54922453704</v>
      </c>
      <c r="D3519" s="2" t="s">
        <v>131</v>
      </c>
      <c r="E3519" s="2" t="s">
        <v>132</v>
      </c>
      <c r="F3519" s="14" t="s">
        <v>3486</v>
      </c>
      <c r="G3519" s="14" t="s">
        <v>3487</v>
      </c>
      <c r="H3519" s="2" t="s">
        <v>24</v>
      </c>
      <c r="I3519" s="2" t="s">
        <v>3491</v>
      </c>
      <c r="J3519" s="2">
        <v>1.0</v>
      </c>
      <c r="K3519" s="23" t="s">
        <v>4363</v>
      </c>
      <c r="L3519" s="11">
        <v>0.0</v>
      </c>
      <c r="N3519" s="2"/>
      <c r="O3519" s="2" t="b">
        <v>0</v>
      </c>
    </row>
    <row r="3520" hidden="1">
      <c r="A3520" s="8" t="s">
        <v>2759</v>
      </c>
      <c r="B3520" s="8" t="s">
        <v>2759</v>
      </c>
      <c r="C3520" s="13">
        <v>46056.54922453704</v>
      </c>
      <c r="D3520" s="2" t="s">
        <v>131</v>
      </c>
      <c r="E3520" s="2" t="s">
        <v>132</v>
      </c>
      <c r="F3520" s="14" t="s">
        <v>3516</v>
      </c>
      <c r="G3520" s="14" t="s">
        <v>3517</v>
      </c>
      <c r="H3520" s="2" t="s">
        <v>24</v>
      </c>
      <c r="I3520" s="2" t="s">
        <v>3491</v>
      </c>
      <c r="J3520" s="2">
        <v>2.0</v>
      </c>
      <c r="K3520" s="23" t="s">
        <v>6021</v>
      </c>
      <c r="L3520" s="11">
        <v>0.0</v>
      </c>
      <c r="N3520" s="2"/>
      <c r="O3520" s="2" t="b">
        <v>0</v>
      </c>
    </row>
    <row r="3521" hidden="1">
      <c r="A3521" s="8" t="s">
        <v>2760</v>
      </c>
      <c r="B3521" s="8" t="s">
        <v>2760</v>
      </c>
      <c r="C3521" s="13">
        <v>46056.55064814815</v>
      </c>
      <c r="D3521" s="2" t="s">
        <v>1975</v>
      </c>
      <c r="E3521" s="2" t="s">
        <v>1976</v>
      </c>
      <c r="F3521" s="14" t="s">
        <v>3486</v>
      </c>
      <c r="G3521" s="14" t="s">
        <v>3487</v>
      </c>
      <c r="H3521" s="2" t="s">
        <v>24</v>
      </c>
      <c r="I3521" s="2" t="s">
        <v>3491</v>
      </c>
      <c r="J3521" s="2">
        <v>5.0</v>
      </c>
      <c r="K3521" s="23" t="s">
        <v>6022</v>
      </c>
      <c r="L3521" s="11">
        <v>0.0</v>
      </c>
      <c r="N3521" s="2"/>
      <c r="O3521" s="2" t="b">
        <v>0</v>
      </c>
    </row>
    <row r="3522" hidden="1">
      <c r="A3522" s="8" t="s">
        <v>2759</v>
      </c>
      <c r="B3522" s="8" t="s">
        <v>2759</v>
      </c>
      <c r="C3522" s="13">
        <v>46056.54922453704</v>
      </c>
      <c r="D3522" s="2" t="s">
        <v>131</v>
      </c>
      <c r="E3522" s="2" t="s">
        <v>132</v>
      </c>
      <c r="F3522" s="14" t="s">
        <v>3516</v>
      </c>
      <c r="G3522" s="14" t="s">
        <v>3517</v>
      </c>
      <c r="H3522" s="2" t="s">
        <v>24</v>
      </c>
      <c r="I3522" s="2" t="s">
        <v>3491</v>
      </c>
      <c r="J3522" s="2">
        <v>1.0</v>
      </c>
      <c r="K3522" s="23" t="s">
        <v>6023</v>
      </c>
      <c r="L3522" s="11">
        <v>0.0</v>
      </c>
      <c r="N3522" s="2"/>
      <c r="O3522" s="2" t="b">
        <v>0</v>
      </c>
    </row>
    <row r="3523" hidden="1">
      <c r="A3523" s="8" t="s">
        <v>2761</v>
      </c>
      <c r="B3523" s="8" t="s">
        <v>2761</v>
      </c>
      <c r="C3523" s="13">
        <v>46056.58399305555</v>
      </c>
      <c r="D3523" s="2" t="s">
        <v>951</v>
      </c>
      <c r="E3523" s="2" t="s">
        <v>952</v>
      </c>
      <c r="F3523" s="14" t="s">
        <v>3486</v>
      </c>
      <c r="G3523" s="14" t="s">
        <v>3487</v>
      </c>
      <c r="H3523" s="2" t="s">
        <v>24</v>
      </c>
      <c r="I3523" s="2" t="s">
        <v>3491</v>
      </c>
      <c r="J3523" s="2">
        <v>7.0</v>
      </c>
      <c r="K3523" s="23" t="s">
        <v>6024</v>
      </c>
      <c r="L3523" s="11">
        <v>0.0</v>
      </c>
      <c r="N3523" s="2"/>
      <c r="O3523" s="2" t="b">
        <v>0</v>
      </c>
    </row>
    <row r="3524" hidden="1">
      <c r="A3524" s="8" t="s">
        <v>2761</v>
      </c>
      <c r="B3524" s="8" t="s">
        <v>2761</v>
      </c>
      <c r="C3524" s="13">
        <v>46056.58399305555</v>
      </c>
      <c r="D3524" s="2" t="s">
        <v>951</v>
      </c>
      <c r="E3524" s="2" t="s">
        <v>952</v>
      </c>
      <c r="F3524" s="14" t="s">
        <v>3516</v>
      </c>
      <c r="G3524" s="14" t="s">
        <v>3517</v>
      </c>
      <c r="H3524" s="2" t="s">
        <v>24</v>
      </c>
      <c r="I3524" s="2" t="s">
        <v>3491</v>
      </c>
      <c r="J3524" s="2">
        <v>1.0</v>
      </c>
      <c r="K3524" s="23" t="s">
        <v>4755</v>
      </c>
      <c r="L3524" s="11">
        <v>0.0</v>
      </c>
      <c r="N3524" s="2"/>
      <c r="O3524" s="2" t="b">
        <v>0</v>
      </c>
    </row>
    <row r="3525" hidden="1">
      <c r="A3525" s="8" t="s">
        <v>2762</v>
      </c>
      <c r="B3525" s="8" t="s">
        <v>2762</v>
      </c>
      <c r="C3525" s="13">
        <v>46056.59986111111</v>
      </c>
      <c r="D3525" s="2" t="s">
        <v>2081</v>
      </c>
      <c r="E3525" s="2" t="s">
        <v>2082</v>
      </c>
      <c r="F3525" s="14" t="s">
        <v>3486</v>
      </c>
      <c r="G3525" s="14" t="s">
        <v>3487</v>
      </c>
      <c r="H3525" s="2" t="s">
        <v>24</v>
      </c>
      <c r="I3525" s="2" t="s">
        <v>3491</v>
      </c>
      <c r="J3525" s="2">
        <v>1.0</v>
      </c>
      <c r="K3525" s="23" t="s">
        <v>6025</v>
      </c>
      <c r="L3525" s="11">
        <v>0.0</v>
      </c>
      <c r="N3525" s="2"/>
      <c r="O3525" s="2" t="b">
        <v>0</v>
      </c>
    </row>
    <row r="3526" hidden="1">
      <c r="A3526" s="8" t="s">
        <v>2762</v>
      </c>
      <c r="B3526" s="8" t="s">
        <v>2762</v>
      </c>
      <c r="C3526" s="13">
        <v>46056.59986111111</v>
      </c>
      <c r="D3526" s="2" t="s">
        <v>2081</v>
      </c>
      <c r="E3526" s="2" t="s">
        <v>2082</v>
      </c>
      <c r="F3526" s="14" t="s">
        <v>3506</v>
      </c>
      <c r="G3526" s="14" t="s">
        <v>3507</v>
      </c>
      <c r="H3526" s="2" t="s">
        <v>24</v>
      </c>
      <c r="I3526" s="2" t="s">
        <v>3491</v>
      </c>
      <c r="J3526" s="2">
        <v>1.0</v>
      </c>
      <c r="K3526" s="12"/>
      <c r="L3526" s="11">
        <v>0.0</v>
      </c>
      <c r="N3526" s="2"/>
      <c r="O3526" s="2" t="b">
        <v>0</v>
      </c>
    </row>
    <row r="3527" hidden="1">
      <c r="A3527" s="8" t="s">
        <v>2763</v>
      </c>
      <c r="B3527" s="8" t="s">
        <v>2763</v>
      </c>
      <c r="C3527" s="13">
        <v>46056.60028935185</v>
      </c>
      <c r="D3527" s="2" t="s">
        <v>2640</v>
      </c>
      <c r="E3527" s="2" t="s">
        <v>2641</v>
      </c>
      <c r="F3527" s="14" t="s">
        <v>3486</v>
      </c>
      <c r="G3527" s="14" t="s">
        <v>3487</v>
      </c>
      <c r="H3527" s="2" t="s">
        <v>24</v>
      </c>
      <c r="I3527" s="2" t="s">
        <v>3491</v>
      </c>
      <c r="J3527" s="2">
        <v>5.0</v>
      </c>
      <c r="K3527" s="23" t="s">
        <v>6026</v>
      </c>
      <c r="L3527" s="11">
        <v>0.0</v>
      </c>
      <c r="N3527" s="2"/>
      <c r="O3527" s="2" t="b">
        <v>0</v>
      </c>
    </row>
    <row r="3528" hidden="1">
      <c r="A3528" s="8" t="s">
        <v>2763</v>
      </c>
      <c r="B3528" s="8" t="s">
        <v>2763</v>
      </c>
      <c r="C3528" s="13">
        <v>46056.60028935185</v>
      </c>
      <c r="D3528" s="2" t="s">
        <v>2640</v>
      </c>
      <c r="E3528" s="2" t="s">
        <v>2641</v>
      </c>
      <c r="F3528" s="14" t="s">
        <v>3516</v>
      </c>
      <c r="G3528" s="14" t="s">
        <v>3517</v>
      </c>
      <c r="H3528" s="2" t="s">
        <v>24</v>
      </c>
      <c r="I3528" s="2" t="s">
        <v>3491</v>
      </c>
      <c r="J3528" s="2">
        <v>3.0</v>
      </c>
      <c r="K3528" s="23" t="s">
        <v>6027</v>
      </c>
      <c r="L3528" s="11">
        <v>0.0</v>
      </c>
      <c r="N3528" s="2"/>
      <c r="O3528" s="2" t="b">
        <v>0</v>
      </c>
    </row>
    <row r="3529" hidden="1">
      <c r="A3529" s="8" t="s">
        <v>2763</v>
      </c>
      <c r="B3529" s="8" t="s">
        <v>2763</v>
      </c>
      <c r="C3529" s="13">
        <v>46056.60028935185</v>
      </c>
      <c r="D3529" s="2" t="s">
        <v>2640</v>
      </c>
      <c r="E3529" s="2" t="s">
        <v>2641</v>
      </c>
      <c r="F3529" s="14" t="s">
        <v>3493</v>
      </c>
      <c r="G3529" s="14" t="s">
        <v>3494</v>
      </c>
      <c r="H3529" s="2" t="s">
        <v>24</v>
      </c>
      <c r="I3529" s="2" t="s">
        <v>3491</v>
      </c>
      <c r="J3529" s="2">
        <v>1.0</v>
      </c>
      <c r="K3529" s="12" t="s">
        <v>5817</v>
      </c>
      <c r="L3529" s="11">
        <v>0.0</v>
      </c>
      <c r="N3529" s="2"/>
      <c r="O3529" s="2" t="b">
        <v>0</v>
      </c>
    </row>
    <row r="3530" hidden="1">
      <c r="A3530" s="8" t="s">
        <v>2764</v>
      </c>
      <c r="B3530" s="8" t="s">
        <v>2764</v>
      </c>
      <c r="C3530" s="13">
        <v>46056.60501157407</v>
      </c>
      <c r="D3530" s="2" t="s">
        <v>2640</v>
      </c>
      <c r="E3530" s="2" t="s">
        <v>2641</v>
      </c>
      <c r="F3530" s="14" t="s">
        <v>3486</v>
      </c>
      <c r="G3530" s="14" t="s">
        <v>3487</v>
      </c>
      <c r="H3530" s="2" t="s">
        <v>16</v>
      </c>
      <c r="I3530" s="2" t="s">
        <v>3488</v>
      </c>
      <c r="J3530" s="2">
        <v>8.0</v>
      </c>
      <c r="K3530" s="23" t="s">
        <v>6028</v>
      </c>
      <c r="L3530" s="11">
        <v>60000.0</v>
      </c>
      <c r="N3530" s="2"/>
      <c r="O3530" s="2" t="b">
        <v>0</v>
      </c>
    </row>
    <row r="3531" hidden="1">
      <c r="A3531" s="8" t="s">
        <v>2764</v>
      </c>
      <c r="B3531" s="8" t="s">
        <v>2764</v>
      </c>
      <c r="C3531" s="13">
        <v>46056.60501157407</v>
      </c>
      <c r="D3531" s="2" t="s">
        <v>2640</v>
      </c>
      <c r="E3531" s="2" t="s">
        <v>2641</v>
      </c>
      <c r="F3531" s="14" t="s">
        <v>3516</v>
      </c>
      <c r="G3531" s="14" t="s">
        <v>3517</v>
      </c>
      <c r="H3531" s="2" t="s">
        <v>16</v>
      </c>
      <c r="I3531" s="2" t="s">
        <v>3488</v>
      </c>
      <c r="J3531" s="2">
        <v>3.0</v>
      </c>
      <c r="K3531" s="23" t="s">
        <v>6029</v>
      </c>
      <c r="L3531" s="11">
        <v>190000.0</v>
      </c>
      <c r="N3531" s="2"/>
      <c r="O3531" s="2" t="b">
        <v>0</v>
      </c>
    </row>
    <row r="3532" hidden="1">
      <c r="A3532" s="8" t="s">
        <v>2764</v>
      </c>
      <c r="B3532" s="8" t="s">
        <v>2764</v>
      </c>
      <c r="C3532" s="13">
        <v>46056.60501157407</v>
      </c>
      <c r="D3532" s="2" t="s">
        <v>2640</v>
      </c>
      <c r="E3532" s="2" t="s">
        <v>2641</v>
      </c>
      <c r="F3532" s="14" t="s">
        <v>3493</v>
      </c>
      <c r="G3532" s="14" t="s">
        <v>3494</v>
      </c>
      <c r="H3532" s="2" t="s">
        <v>16</v>
      </c>
      <c r="I3532" s="2" t="s">
        <v>3488</v>
      </c>
      <c r="J3532" s="2">
        <v>1.0</v>
      </c>
      <c r="K3532" s="12" t="s">
        <v>5817</v>
      </c>
      <c r="L3532" s="11">
        <v>205000.0</v>
      </c>
      <c r="N3532" s="2"/>
      <c r="O3532" s="2" t="b">
        <v>0</v>
      </c>
    </row>
    <row r="3533" hidden="1">
      <c r="A3533" s="8" t="s">
        <v>2765</v>
      </c>
      <c r="B3533" s="8" t="s">
        <v>2765</v>
      </c>
      <c r="C3533" s="13">
        <v>46056.60789351852</v>
      </c>
      <c r="D3533" s="2" t="s">
        <v>2081</v>
      </c>
      <c r="E3533" s="2" t="s">
        <v>2082</v>
      </c>
      <c r="F3533" s="14" t="s">
        <v>3506</v>
      </c>
      <c r="G3533" s="14" t="s">
        <v>3507</v>
      </c>
      <c r="H3533" s="2" t="s">
        <v>16</v>
      </c>
      <c r="I3533" s="2" t="s">
        <v>3488</v>
      </c>
      <c r="J3533" s="2">
        <v>1.0</v>
      </c>
      <c r="K3533" s="12"/>
      <c r="L3533" s="11">
        <v>55000.0</v>
      </c>
      <c r="N3533" s="2"/>
      <c r="O3533" s="2" t="b">
        <v>0</v>
      </c>
    </row>
    <row r="3534" hidden="1">
      <c r="A3534" s="8" t="s">
        <v>2766</v>
      </c>
      <c r="B3534" s="8" t="s">
        <v>2766</v>
      </c>
      <c r="C3534" s="13">
        <v>46056.77858796297</v>
      </c>
      <c r="D3534" s="2" t="s">
        <v>2728</v>
      </c>
      <c r="E3534" s="2" t="s">
        <v>2729</v>
      </c>
      <c r="F3534" s="14" t="s">
        <v>3773</v>
      </c>
      <c r="G3534" s="14" t="s">
        <v>3774</v>
      </c>
      <c r="H3534" s="2" t="s">
        <v>16</v>
      </c>
      <c r="I3534" s="2" t="s">
        <v>3488</v>
      </c>
      <c r="J3534" s="2">
        <v>1.0</v>
      </c>
      <c r="K3534" s="12"/>
      <c r="L3534" s="11">
        <v>1100000.0</v>
      </c>
      <c r="N3534" s="2"/>
      <c r="O3534" s="2" t="b">
        <v>0</v>
      </c>
    </row>
    <row r="3535" hidden="1">
      <c r="A3535" s="8" t="s">
        <v>2767</v>
      </c>
      <c r="B3535" s="8" t="s">
        <v>2767</v>
      </c>
      <c r="C3535" s="13">
        <v>46056.781643518516</v>
      </c>
      <c r="D3535" s="2" t="s">
        <v>2728</v>
      </c>
      <c r="E3535" s="2" t="s">
        <v>2729</v>
      </c>
      <c r="F3535" s="14" t="s">
        <v>3486</v>
      </c>
      <c r="G3535" s="14" t="s">
        <v>3487</v>
      </c>
      <c r="H3535" s="2" t="s">
        <v>16</v>
      </c>
      <c r="I3535" s="2" t="s">
        <v>3488</v>
      </c>
      <c r="J3535" s="2">
        <v>1.0</v>
      </c>
      <c r="K3535" s="23" t="s">
        <v>6025</v>
      </c>
      <c r="L3535" s="11">
        <v>100000.0</v>
      </c>
      <c r="N3535" s="2"/>
      <c r="O3535" s="2" t="b">
        <v>0</v>
      </c>
    </row>
    <row r="3536" hidden="1">
      <c r="A3536" s="8" t="s">
        <v>2768</v>
      </c>
      <c r="B3536" s="8" t="s">
        <v>2768</v>
      </c>
      <c r="C3536" s="13">
        <v>46057.29106481482</v>
      </c>
      <c r="D3536" s="2" t="s">
        <v>1745</v>
      </c>
      <c r="E3536" s="2" t="s">
        <v>1746</v>
      </c>
      <c r="F3536" s="14" t="s">
        <v>3773</v>
      </c>
      <c r="G3536" s="14" t="s">
        <v>3774</v>
      </c>
      <c r="H3536" s="2" t="s">
        <v>16</v>
      </c>
      <c r="I3536" s="2" t="s">
        <v>3488</v>
      </c>
      <c r="J3536" s="2">
        <v>1.0</v>
      </c>
      <c r="K3536" s="12"/>
      <c r="L3536" s="11">
        <v>1100000.0</v>
      </c>
      <c r="N3536" s="2"/>
      <c r="O3536" s="2" t="b">
        <v>0</v>
      </c>
    </row>
    <row r="3537" hidden="1">
      <c r="A3537" s="8" t="s">
        <v>2769</v>
      </c>
      <c r="B3537" s="8" t="s">
        <v>2769</v>
      </c>
      <c r="C3537" s="13">
        <v>46057.35350694445</v>
      </c>
      <c r="D3537" s="2" t="s">
        <v>1613</v>
      </c>
      <c r="E3537" s="2" t="s">
        <v>1614</v>
      </c>
      <c r="F3537" s="14" t="s">
        <v>4203</v>
      </c>
      <c r="G3537" s="14" t="s">
        <v>4204</v>
      </c>
      <c r="H3537" s="2" t="s">
        <v>16</v>
      </c>
      <c r="I3537" s="2" t="s">
        <v>3488</v>
      </c>
      <c r="J3537" s="2">
        <v>2.0</v>
      </c>
      <c r="K3537" s="23" t="s">
        <v>6030</v>
      </c>
      <c r="L3537" s="11">
        <v>65000.0</v>
      </c>
      <c r="N3537" s="2"/>
      <c r="O3537" s="2" t="b">
        <v>0</v>
      </c>
    </row>
    <row r="3538" hidden="1">
      <c r="A3538" s="8" t="s">
        <v>2770</v>
      </c>
      <c r="B3538" s="8" t="s">
        <v>2770</v>
      </c>
      <c r="C3538" s="13">
        <v>46057.354166666664</v>
      </c>
      <c r="D3538" s="2" t="s">
        <v>169</v>
      </c>
      <c r="E3538" s="2" t="s">
        <v>170</v>
      </c>
      <c r="F3538" s="14" t="s">
        <v>3486</v>
      </c>
      <c r="G3538" s="14" t="s">
        <v>3487</v>
      </c>
      <c r="H3538" s="2" t="s">
        <v>16</v>
      </c>
      <c r="I3538" s="2" t="s">
        <v>3488</v>
      </c>
      <c r="J3538" s="2">
        <v>2.0</v>
      </c>
      <c r="K3538" s="23" t="s">
        <v>6031</v>
      </c>
      <c r="L3538" s="11">
        <v>60000.0</v>
      </c>
      <c r="N3538" s="2"/>
      <c r="O3538" s="2" t="b">
        <v>0</v>
      </c>
    </row>
    <row r="3539" hidden="1">
      <c r="A3539" s="8" t="s">
        <v>2771</v>
      </c>
      <c r="B3539" s="8" t="s">
        <v>2771</v>
      </c>
      <c r="C3539" s="13">
        <v>46057.435011574074</v>
      </c>
      <c r="D3539" s="2" t="s">
        <v>1745</v>
      </c>
      <c r="E3539" s="2" t="s">
        <v>1746</v>
      </c>
      <c r="F3539" s="14" t="s">
        <v>3486</v>
      </c>
      <c r="G3539" s="14" t="s">
        <v>3487</v>
      </c>
      <c r="H3539" s="2" t="s">
        <v>24</v>
      </c>
      <c r="I3539" s="2" t="s">
        <v>3491</v>
      </c>
      <c r="J3539" s="2">
        <v>4.0</v>
      </c>
      <c r="K3539" s="23" t="s">
        <v>6032</v>
      </c>
      <c r="L3539" s="11">
        <v>0.0</v>
      </c>
      <c r="N3539" s="2"/>
      <c r="O3539" s="2" t="b">
        <v>0</v>
      </c>
    </row>
    <row r="3540" hidden="1">
      <c r="A3540" s="8" t="s">
        <v>2772</v>
      </c>
      <c r="B3540" s="8" t="s">
        <v>2772</v>
      </c>
      <c r="C3540" s="13">
        <v>46057.4356712963</v>
      </c>
      <c r="D3540" s="2" t="s">
        <v>169</v>
      </c>
      <c r="E3540" s="2" t="s">
        <v>170</v>
      </c>
      <c r="F3540" s="14" t="s">
        <v>3486</v>
      </c>
      <c r="G3540" s="14" t="s">
        <v>3487</v>
      </c>
      <c r="H3540" s="2" t="s">
        <v>24</v>
      </c>
      <c r="I3540" s="2" t="s">
        <v>3491</v>
      </c>
      <c r="J3540" s="2">
        <v>2.0</v>
      </c>
      <c r="K3540" s="23" t="s">
        <v>6033</v>
      </c>
      <c r="L3540" s="11">
        <v>0.0</v>
      </c>
      <c r="N3540" s="2"/>
      <c r="O3540" s="2" t="b">
        <v>0</v>
      </c>
    </row>
    <row r="3541" hidden="1">
      <c r="A3541" s="8" t="s">
        <v>2773</v>
      </c>
      <c r="B3541" s="8" t="s">
        <v>2773</v>
      </c>
      <c r="C3541" s="13">
        <v>46057.43686342592</v>
      </c>
      <c r="D3541" s="2" t="s">
        <v>2774</v>
      </c>
      <c r="E3541" s="2" t="s">
        <v>2775</v>
      </c>
      <c r="F3541" s="14" t="s">
        <v>3486</v>
      </c>
      <c r="G3541" s="14" t="s">
        <v>3487</v>
      </c>
      <c r="H3541" s="2" t="s">
        <v>16</v>
      </c>
      <c r="I3541" s="2" t="s">
        <v>3488</v>
      </c>
      <c r="J3541" s="2">
        <v>4.0</v>
      </c>
      <c r="K3541" s="23" t="s">
        <v>6034</v>
      </c>
      <c r="L3541" s="11">
        <v>70000.0</v>
      </c>
      <c r="N3541" s="2"/>
      <c r="O3541" s="2" t="b">
        <v>0</v>
      </c>
    </row>
    <row r="3542" hidden="1">
      <c r="A3542" s="8" t="s">
        <v>2777</v>
      </c>
      <c r="B3542" s="8" t="s">
        <v>2777</v>
      </c>
      <c r="C3542" s="13">
        <v>46057.437372685185</v>
      </c>
      <c r="D3542" s="2" t="s">
        <v>2577</v>
      </c>
      <c r="E3542" s="2" t="s">
        <v>2578</v>
      </c>
      <c r="F3542" s="14" t="s">
        <v>4203</v>
      </c>
      <c r="G3542" s="14" t="s">
        <v>4204</v>
      </c>
      <c r="H3542" s="2" t="s">
        <v>16</v>
      </c>
      <c r="I3542" s="2" t="s">
        <v>3488</v>
      </c>
      <c r="J3542" s="2">
        <v>8.0</v>
      </c>
      <c r="K3542" s="23" t="s">
        <v>6035</v>
      </c>
      <c r="L3542" s="11">
        <v>58558.56</v>
      </c>
      <c r="N3542" s="2"/>
      <c r="O3542" s="2" t="b">
        <v>0</v>
      </c>
    </row>
    <row r="3543" hidden="1">
      <c r="A3543" s="8" t="s">
        <v>2777</v>
      </c>
      <c r="B3543" s="8" t="s">
        <v>2777</v>
      </c>
      <c r="C3543" s="13">
        <v>46057.437372685185</v>
      </c>
      <c r="D3543" s="2" t="s">
        <v>2577</v>
      </c>
      <c r="E3543" s="2" t="s">
        <v>2578</v>
      </c>
      <c r="F3543" s="14" t="s">
        <v>3486</v>
      </c>
      <c r="G3543" s="14" t="s">
        <v>3487</v>
      </c>
      <c r="H3543" s="2" t="s">
        <v>16</v>
      </c>
      <c r="I3543" s="2" t="s">
        <v>3488</v>
      </c>
      <c r="J3543" s="2">
        <v>2.0</v>
      </c>
      <c r="K3543" s="23" t="s">
        <v>6036</v>
      </c>
      <c r="L3543" s="11">
        <v>58558.56</v>
      </c>
      <c r="N3543" s="2"/>
      <c r="O3543" s="2" t="b">
        <v>0</v>
      </c>
    </row>
    <row r="3544" hidden="1">
      <c r="A3544" s="8" t="s">
        <v>2778</v>
      </c>
      <c r="B3544" s="8" t="s">
        <v>2778</v>
      </c>
      <c r="C3544" s="13">
        <v>46057.52428240741</v>
      </c>
      <c r="D3544" s="2" t="s">
        <v>131</v>
      </c>
      <c r="E3544" s="2" t="s">
        <v>132</v>
      </c>
      <c r="F3544" s="14" t="s">
        <v>3486</v>
      </c>
      <c r="G3544" s="14" t="s">
        <v>3487</v>
      </c>
      <c r="H3544" s="2" t="s">
        <v>16</v>
      </c>
      <c r="I3544" s="2" t="s">
        <v>3488</v>
      </c>
      <c r="J3544" s="2">
        <v>4.0</v>
      </c>
      <c r="K3544" s="23" t="s">
        <v>6037</v>
      </c>
      <c r="L3544" s="11">
        <v>60000.0</v>
      </c>
      <c r="N3544" s="2"/>
      <c r="O3544" s="2" t="b">
        <v>0</v>
      </c>
    </row>
    <row r="3545" hidden="1">
      <c r="A3545" s="8" t="s">
        <v>2778</v>
      </c>
      <c r="B3545" s="8" t="s">
        <v>2778</v>
      </c>
      <c r="C3545" s="13">
        <v>46057.52428240741</v>
      </c>
      <c r="D3545" s="2" t="s">
        <v>131</v>
      </c>
      <c r="E3545" s="2" t="s">
        <v>132</v>
      </c>
      <c r="F3545" s="14" t="s">
        <v>3516</v>
      </c>
      <c r="G3545" s="14" t="s">
        <v>3517</v>
      </c>
      <c r="H3545" s="2" t="s">
        <v>16</v>
      </c>
      <c r="I3545" s="2" t="s">
        <v>3488</v>
      </c>
      <c r="J3545" s="2">
        <v>3.0</v>
      </c>
      <c r="K3545" s="23" t="s">
        <v>6038</v>
      </c>
      <c r="L3545" s="11">
        <v>180000.0</v>
      </c>
      <c r="N3545" s="2"/>
      <c r="O3545" s="2" t="b">
        <v>0</v>
      </c>
    </row>
    <row r="3546" hidden="1">
      <c r="A3546" s="8" t="s">
        <v>2779</v>
      </c>
      <c r="B3546" s="8" t="s">
        <v>2779</v>
      </c>
      <c r="C3546" s="13">
        <v>46057.52648148148</v>
      </c>
      <c r="D3546" s="2" t="s">
        <v>2577</v>
      </c>
      <c r="E3546" s="2" t="s">
        <v>2578</v>
      </c>
      <c r="F3546" s="14" t="s">
        <v>4203</v>
      </c>
      <c r="G3546" s="14" t="s">
        <v>4204</v>
      </c>
      <c r="H3546" s="2" t="s">
        <v>24</v>
      </c>
      <c r="I3546" s="2" t="s">
        <v>3491</v>
      </c>
      <c r="J3546" s="2">
        <v>1.0</v>
      </c>
      <c r="K3546" s="23" t="s">
        <v>3897</v>
      </c>
      <c r="L3546" s="11">
        <v>0.0</v>
      </c>
      <c r="N3546" s="2"/>
      <c r="O3546" s="2" t="b">
        <v>0</v>
      </c>
    </row>
    <row r="3547" hidden="1">
      <c r="A3547" s="8" t="s">
        <v>2780</v>
      </c>
      <c r="B3547" s="8" t="s">
        <v>2780</v>
      </c>
      <c r="C3547" s="13">
        <v>46057.57465277778</v>
      </c>
      <c r="D3547" s="2" t="s">
        <v>131</v>
      </c>
      <c r="E3547" s="2" t="s">
        <v>132</v>
      </c>
      <c r="F3547" s="14" t="s">
        <v>4203</v>
      </c>
      <c r="G3547" s="14" t="s">
        <v>4204</v>
      </c>
      <c r="H3547" s="2" t="s">
        <v>24</v>
      </c>
      <c r="I3547" s="2" t="s">
        <v>3491</v>
      </c>
      <c r="J3547" s="2">
        <v>1.0</v>
      </c>
      <c r="K3547" s="23" t="s">
        <v>4724</v>
      </c>
      <c r="L3547" s="11">
        <v>0.0</v>
      </c>
      <c r="N3547" s="2"/>
      <c r="O3547" s="2" t="b">
        <v>0</v>
      </c>
    </row>
    <row r="3548" hidden="1">
      <c r="A3548" s="8" t="s">
        <v>2780</v>
      </c>
      <c r="B3548" s="8" t="s">
        <v>2780</v>
      </c>
      <c r="C3548" s="13">
        <v>46057.57465277778</v>
      </c>
      <c r="D3548" s="2" t="s">
        <v>131</v>
      </c>
      <c r="E3548" s="2" t="s">
        <v>132</v>
      </c>
      <c r="F3548" s="14" t="s">
        <v>3486</v>
      </c>
      <c r="G3548" s="14" t="s">
        <v>3487</v>
      </c>
      <c r="H3548" s="2" t="s">
        <v>24</v>
      </c>
      <c r="I3548" s="2" t="s">
        <v>3491</v>
      </c>
      <c r="J3548" s="2">
        <v>1.0</v>
      </c>
      <c r="K3548" s="23" t="s">
        <v>5240</v>
      </c>
      <c r="L3548" s="11">
        <v>0.0</v>
      </c>
      <c r="N3548" s="2"/>
      <c r="O3548" s="2" t="b">
        <v>1</v>
      </c>
    </row>
    <row r="3549" hidden="1">
      <c r="A3549" s="8" t="s">
        <v>2781</v>
      </c>
      <c r="B3549" s="8" t="s">
        <v>2781</v>
      </c>
      <c r="C3549" s="13">
        <v>46057.61032407408</v>
      </c>
      <c r="D3549" s="2" t="s">
        <v>1613</v>
      </c>
      <c r="E3549" s="2" t="s">
        <v>1614</v>
      </c>
      <c r="F3549" s="14" t="s">
        <v>4203</v>
      </c>
      <c r="G3549" s="14" t="s">
        <v>4204</v>
      </c>
      <c r="H3549" s="2" t="s">
        <v>24</v>
      </c>
      <c r="I3549" s="2" t="s">
        <v>3491</v>
      </c>
      <c r="J3549" s="2">
        <v>2.0</v>
      </c>
      <c r="K3549" s="23" t="s">
        <v>5791</v>
      </c>
      <c r="L3549" s="11">
        <v>0.0</v>
      </c>
      <c r="N3549" s="2"/>
      <c r="O3549" s="2" t="b">
        <v>0</v>
      </c>
    </row>
    <row r="3550" hidden="1">
      <c r="A3550" s="8" t="s">
        <v>2782</v>
      </c>
      <c r="B3550" s="8" t="s">
        <v>2782</v>
      </c>
      <c r="C3550" s="13">
        <v>46057.61230324074</v>
      </c>
      <c r="D3550" s="2" t="s">
        <v>326</v>
      </c>
      <c r="E3550" s="2" t="s">
        <v>327</v>
      </c>
      <c r="F3550" s="14" t="s">
        <v>3486</v>
      </c>
      <c r="G3550" s="14" t="s">
        <v>3487</v>
      </c>
      <c r="H3550" s="2" t="s">
        <v>24</v>
      </c>
      <c r="I3550" s="2" t="s">
        <v>3491</v>
      </c>
      <c r="J3550" s="2">
        <v>4.0</v>
      </c>
      <c r="K3550" s="23" t="s">
        <v>6039</v>
      </c>
      <c r="L3550" s="11">
        <v>0.0</v>
      </c>
      <c r="N3550" s="2"/>
      <c r="O3550" s="2" t="b">
        <v>0</v>
      </c>
    </row>
    <row r="3551" hidden="1">
      <c r="A3551" s="8" t="s">
        <v>2783</v>
      </c>
      <c r="B3551" s="8" t="s">
        <v>2783</v>
      </c>
      <c r="C3551" s="13">
        <v>46057.61293981481</v>
      </c>
      <c r="D3551" s="2" t="s">
        <v>1618</v>
      </c>
      <c r="E3551" s="2" t="s">
        <v>1619</v>
      </c>
      <c r="F3551" s="14" t="s">
        <v>3516</v>
      </c>
      <c r="G3551" s="14" t="s">
        <v>3517</v>
      </c>
      <c r="H3551" s="2" t="s">
        <v>16</v>
      </c>
      <c r="I3551" s="2" t="s">
        <v>3488</v>
      </c>
      <c r="J3551" s="2">
        <v>6.0</v>
      </c>
      <c r="K3551" s="23" t="s">
        <v>6040</v>
      </c>
      <c r="L3551" s="11">
        <v>190000.0</v>
      </c>
      <c r="N3551" s="2"/>
      <c r="O3551" s="2" t="b">
        <v>0</v>
      </c>
    </row>
    <row r="3552" hidden="1">
      <c r="A3552" s="8" t="s">
        <v>2784</v>
      </c>
      <c r="B3552" s="8" t="s">
        <v>2784</v>
      </c>
      <c r="C3552" s="13">
        <v>46057.668854166666</v>
      </c>
      <c r="D3552" s="2" t="s">
        <v>1618</v>
      </c>
      <c r="E3552" s="2" t="s">
        <v>1619</v>
      </c>
      <c r="F3552" s="14" t="s">
        <v>3516</v>
      </c>
      <c r="G3552" s="14" t="s">
        <v>3517</v>
      </c>
      <c r="H3552" s="2" t="s">
        <v>24</v>
      </c>
      <c r="I3552" s="2" t="s">
        <v>3491</v>
      </c>
      <c r="J3552" s="2">
        <v>1.0</v>
      </c>
      <c r="K3552" s="23" t="s">
        <v>4588</v>
      </c>
      <c r="L3552" s="11">
        <v>0.0</v>
      </c>
      <c r="N3552" s="2"/>
      <c r="O3552" s="2" t="b">
        <v>0</v>
      </c>
    </row>
    <row r="3553" hidden="1">
      <c r="A3553" s="8" t="s">
        <v>2785</v>
      </c>
      <c r="B3553" s="8" t="s">
        <v>2785</v>
      </c>
      <c r="C3553" s="13">
        <v>46058.37604166667</v>
      </c>
      <c r="D3553" s="2" t="s">
        <v>1873</v>
      </c>
      <c r="E3553" s="2" t="s">
        <v>1874</v>
      </c>
      <c r="F3553" s="14" t="s">
        <v>4203</v>
      </c>
      <c r="G3553" s="14" t="s">
        <v>4204</v>
      </c>
      <c r="H3553" s="2" t="s">
        <v>16</v>
      </c>
      <c r="I3553" s="2" t="s">
        <v>3488</v>
      </c>
      <c r="J3553" s="2">
        <v>2.0</v>
      </c>
      <c r="K3553" s="23" t="s">
        <v>6041</v>
      </c>
      <c r="L3553" s="11">
        <v>70000.0</v>
      </c>
      <c r="N3553" s="2"/>
      <c r="O3553" s="2" t="b">
        <v>0</v>
      </c>
    </row>
    <row r="3554" hidden="1">
      <c r="A3554" s="8" t="s">
        <v>2780</v>
      </c>
      <c r="B3554" s="8" t="s">
        <v>2780</v>
      </c>
      <c r="C3554" s="13">
        <v>46057.57465277778</v>
      </c>
      <c r="D3554" s="2" t="s">
        <v>131</v>
      </c>
      <c r="E3554" s="2" t="s">
        <v>132</v>
      </c>
      <c r="F3554" s="14" t="s">
        <v>3516</v>
      </c>
      <c r="G3554" s="14" t="s">
        <v>3517</v>
      </c>
      <c r="H3554" s="2" t="s">
        <v>24</v>
      </c>
      <c r="I3554" s="2" t="s">
        <v>3491</v>
      </c>
      <c r="J3554" s="2">
        <v>1.0</v>
      </c>
      <c r="K3554" s="23" t="s">
        <v>6042</v>
      </c>
      <c r="L3554" s="11">
        <v>0.0</v>
      </c>
      <c r="N3554" s="2"/>
      <c r="O3554" s="2" t="b">
        <v>0</v>
      </c>
    </row>
    <row r="3555" hidden="1">
      <c r="A3555" s="8" t="s">
        <v>2786</v>
      </c>
      <c r="B3555" s="8" t="s">
        <v>2786</v>
      </c>
      <c r="C3555" s="13">
        <v>46058.40056712963</v>
      </c>
      <c r="D3555" s="2" t="s">
        <v>786</v>
      </c>
      <c r="E3555" s="2" t="s">
        <v>787</v>
      </c>
      <c r="F3555" s="14" t="s">
        <v>3486</v>
      </c>
      <c r="G3555" s="14" t="s">
        <v>3487</v>
      </c>
      <c r="H3555" s="2" t="s">
        <v>16</v>
      </c>
      <c r="I3555" s="2" t="s">
        <v>3488</v>
      </c>
      <c r="J3555" s="2">
        <v>3.0</v>
      </c>
      <c r="K3555" s="23" t="s">
        <v>6043</v>
      </c>
      <c r="L3555" s="11">
        <v>60000.0</v>
      </c>
      <c r="N3555" s="2"/>
      <c r="O3555" s="2" t="b">
        <v>0</v>
      </c>
    </row>
    <row r="3556" hidden="1">
      <c r="A3556" s="8" t="s">
        <v>2786</v>
      </c>
      <c r="B3556" s="8" t="s">
        <v>2786</v>
      </c>
      <c r="C3556" s="13">
        <v>46058.40056712963</v>
      </c>
      <c r="D3556" s="2" t="s">
        <v>786</v>
      </c>
      <c r="E3556" s="2" t="s">
        <v>787</v>
      </c>
      <c r="F3556" s="14" t="s">
        <v>3516</v>
      </c>
      <c r="G3556" s="14" t="s">
        <v>3517</v>
      </c>
      <c r="H3556" s="2" t="s">
        <v>16</v>
      </c>
      <c r="I3556" s="2" t="s">
        <v>3488</v>
      </c>
      <c r="J3556" s="2">
        <v>3.0</v>
      </c>
      <c r="K3556" s="23" t="s">
        <v>6044</v>
      </c>
      <c r="L3556" s="11">
        <v>180000.0</v>
      </c>
      <c r="N3556" s="2"/>
      <c r="O3556" s="2" t="b">
        <v>0</v>
      </c>
    </row>
    <row r="3557" hidden="1">
      <c r="A3557" s="8" t="s">
        <v>2787</v>
      </c>
      <c r="B3557" s="8" t="s">
        <v>2787</v>
      </c>
      <c r="C3557" s="13">
        <v>46058.526921296296</v>
      </c>
      <c r="D3557" s="2" t="s">
        <v>904</v>
      </c>
      <c r="E3557" s="2" t="s">
        <v>905</v>
      </c>
      <c r="F3557" s="14" t="s">
        <v>4203</v>
      </c>
      <c r="G3557" s="14" t="s">
        <v>4204</v>
      </c>
      <c r="H3557" s="2" t="s">
        <v>24</v>
      </c>
      <c r="I3557" s="2" t="s">
        <v>3491</v>
      </c>
      <c r="J3557" s="2">
        <v>1.0</v>
      </c>
      <c r="K3557" s="23" t="s">
        <v>5576</v>
      </c>
      <c r="L3557" s="11">
        <v>0.0</v>
      </c>
      <c r="N3557" s="2"/>
      <c r="O3557" s="2" t="b">
        <v>0</v>
      </c>
    </row>
    <row r="3558" hidden="1">
      <c r="A3558" s="1"/>
      <c r="B3558" s="1"/>
      <c r="C3558" s="13"/>
      <c r="D3558" s="2"/>
      <c r="E3558" s="2"/>
      <c r="F3558" s="14"/>
      <c r="G3558" s="14"/>
      <c r="H3558" s="2"/>
      <c r="I3558" s="2"/>
      <c r="J3558" s="2"/>
      <c r="K3558" s="12"/>
      <c r="L3558" s="11"/>
      <c r="N3558" s="2"/>
      <c r="O3558" s="2"/>
    </row>
    <row r="3559" hidden="1">
      <c r="A3559" s="8" t="s">
        <v>2788</v>
      </c>
      <c r="B3559" s="8" t="s">
        <v>2788</v>
      </c>
      <c r="C3559" s="13">
        <v>46058.527233796296</v>
      </c>
      <c r="D3559" s="2" t="s">
        <v>943</v>
      </c>
      <c r="E3559" s="2" t="s">
        <v>944</v>
      </c>
      <c r="F3559" s="14" t="s">
        <v>4203</v>
      </c>
      <c r="G3559" s="14" t="s">
        <v>4204</v>
      </c>
      <c r="H3559" s="2" t="s">
        <v>24</v>
      </c>
      <c r="I3559" s="2" t="s">
        <v>3491</v>
      </c>
      <c r="J3559" s="2">
        <v>1.0</v>
      </c>
      <c r="K3559" s="23" t="s">
        <v>6045</v>
      </c>
      <c r="L3559" s="11">
        <v>0.0</v>
      </c>
      <c r="N3559" s="2"/>
      <c r="O3559" s="2" t="b">
        <v>0</v>
      </c>
    </row>
    <row r="3560" hidden="1">
      <c r="A3560" s="8" t="s">
        <v>2788</v>
      </c>
      <c r="B3560" s="8" t="s">
        <v>2788</v>
      </c>
      <c r="C3560" s="13">
        <v>46058.527233796296</v>
      </c>
      <c r="D3560" s="2" t="s">
        <v>943</v>
      </c>
      <c r="E3560" s="2" t="s">
        <v>944</v>
      </c>
      <c r="F3560" s="14" t="s">
        <v>3506</v>
      </c>
      <c r="G3560" s="14" t="s">
        <v>3507</v>
      </c>
      <c r="H3560" s="2" t="s">
        <v>24</v>
      </c>
      <c r="I3560" s="2" t="s">
        <v>3491</v>
      </c>
      <c r="J3560" s="2">
        <v>2.0</v>
      </c>
      <c r="K3560" s="12"/>
      <c r="L3560" s="11">
        <v>0.0</v>
      </c>
      <c r="N3560" s="2"/>
      <c r="O3560" s="2" t="b">
        <v>0</v>
      </c>
    </row>
    <row r="3561" hidden="1">
      <c r="A3561" s="8" t="s">
        <v>2789</v>
      </c>
      <c r="B3561" s="8" t="s">
        <v>2789</v>
      </c>
      <c r="C3561" s="13">
        <v>46058.59780092593</v>
      </c>
      <c r="D3561" s="2" t="s">
        <v>786</v>
      </c>
      <c r="E3561" s="2" t="s">
        <v>787</v>
      </c>
      <c r="F3561" s="14" t="s">
        <v>3486</v>
      </c>
      <c r="G3561" s="14" t="s">
        <v>3487</v>
      </c>
      <c r="H3561" s="2" t="s">
        <v>24</v>
      </c>
      <c r="I3561" s="2" t="s">
        <v>3491</v>
      </c>
      <c r="J3561" s="2">
        <v>2.0</v>
      </c>
      <c r="K3561" s="23" t="s">
        <v>6046</v>
      </c>
      <c r="L3561" s="11">
        <v>0.0</v>
      </c>
      <c r="N3561" s="2"/>
      <c r="O3561" s="2" t="b">
        <v>0</v>
      </c>
    </row>
    <row r="3562" hidden="1">
      <c r="A3562" s="8" t="s">
        <v>2789</v>
      </c>
      <c r="B3562" s="8" t="s">
        <v>2789</v>
      </c>
      <c r="C3562" s="13">
        <v>46058.59780092593</v>
      </c>
      <c r="D3562" s="2" t="s">
        <v>786</v>
      </c>
      <c r="E3562" s="2" t="s">
        <v>787</v>
      </c>
      <c r="F3562" s="14" t="s">
        <v>3516</v>
      </c>
      <c r="G3562" s="14" t="s">
        <v>3517</v>
      </c>
      <c r="H3562" s="2" t="s">
        <v>24</v>
      </c>
      <c r="I3562" s="2" t="s">
        <v>3491</v>
      </c>
      <c r="J3562" s="2">
        <v>4.0</v>
      </c>
      <c r="K3562" s="23" t="s">
        <v>6047</v>
      </c>
      <c r="L3562" s="11">
        <v>0.0</v>
      </c>
      <c r="N3562" s="2"/>
      <c r="O3562" s="2" t="b">
        <v>0</v>
      </c>
    </row>
    <row r="3563" hidden="1">
      <c r="A3563" s="8" t="s">
        <v>2790</v>
      </c>
      <c r="B3563" s="8" t="s">
        <v>2790</v>
      </c>
      <c r="C3563" s="13">
        <v>46058.59832175926</v>
      </c>
      <c r="D3563" s="2" t="s">
        <v>1873</v>
      </c>
      <c r="E3563" s="2" t="s">
        <v>1874</v>
      </c>
      <c r="F3563" s="14" t="s">
        <v>4203</v>
      </c>
      <c r="G3563" s="14" t="s">
        <v>4204</v>
      </c>
      <c r="H3563" s="2" t="s">
        <v>24</v>
      </c>
      <c r="I3563" s="2" t="s">
        <v>3491</v>
      </c>
      <c r="J3563" s="2">
        <v>2.0</v>
      </c>
      <c r="K3563" s="23" t="s">
        <v>6048</v>
      </c>
      <c r="L3563" s="11">
        <v>0.0</v>
      </c>
      <c r="N3563" s="2"/>
      <c r="O3563" s="2" t="b">
        <v>0</v>
      </c>
    </row>
    <row r="3564" hidden="1">
      <c r="A3564" s="8" t="s">
        <v>2791</v>
      </c>
      <c r="B3564" s="8" t="s">
        <v>2791</v>
      </c>
      <c r="C3564" s="13">
        <v>46058.623506944445</v>
      </c>
      <c r="D3564" s="2" t="s">
        <v>2543</v>
      </c>
      <c r="E3564" s="2" t="s">
        <v>2544</v>
      </c>
      <c r="F3564" s="14" t="s">
        <v>3516</v>
      </c>
      <c r="G3564" s="14" t="s">
        <v>3517</v>
      </c>
      <c r="H3564" s="2" t="s">
        <v>16</v>
      </c>
      <c r="I3564" s="2" t="s">
        <v>3488</v>
      </c>
      <c r="J3564" s="2">
        <v>3.0</v>
      </c>
      <c r="K3564" s="23" t="s">
        <v>6049</v>
      </c>
      <c r="L3564" s="11">
        <v>190000.0</v>
      </c>
      <c r="N3564" s="2"/>
      <c r="O3564" s="2" t="b">
        <v>0</v>
      </c>
    </row>
    <row r="3565" hidden="1">
      <c r="A3565" s="8" t="s">
        <v>2791</v>
      </c>
      <c r="B3565" s="8" t="s">
        <v>2791</v>
      </c>
      <c r="C3565" s="13">
        <v>46058.623506944445</v>
      </c>
      <c r="D3565" s="2" t="s">
        <v>2543</v>
      </c>
      <c r="E3565" s="2" t="s">
        <v>2544</v>
      </c>
      <c r="F3565" s="14" t="s">
        <v>3486</v>
      </c>
      <c r="G3565" s="14" t="s">
        <v>3487</v>
      </c>
      <c r="H3565" s="2" t="s">
        <v>16</v>
      </c>
      <c r="I3565" s="2" t="s">
        <v>3488</v>
      </c>
      <c r="J3565" s="2">
        <v>2.0</v>
      </c>
      <c r="K3565" s="23" t="s">
        <v>6050</v>
      </c>
      <c r="L3565" s="11">
        <v>60000.0</v>
      </c>
      <c r="N3565" s="2"/>
      <c r="O3565" s="2" t="b">
        <v>0</v>
      </c>
    </row>
    <row r="3566" hidden="1">
      <c r="A3566" s="8" t="s">
        <v>2792</v>
      </c>
      <c r="B3566" s="8" t="s">
        <v>2792</v>
      </c>
      <c r="C3566" s="13">
        <v>46058.68583333334</v>
      </c>
      <c r="D3566" s="2" t="s">
        <v>55</v>
      </c>
      <c r="E3566" s="2" t="s">
        <v>56</v>
      </c>
      <c r="F3566" s="14" t="s">
        <v>3516</v>
      </c>
      <c r="G3566" s="14" t="s">
        <v>3517</v>
      </c>
      <c r="H3566" s="2" t="s">
        <v>24</v>
      </c>
      <c r="I3566" s="2" t="s">
        <v>3491</v>
      </c>
      <c r="J3566" s="2">
        <v>1.0</v>
      </c>
      <c r="K3566" s="23" t="s">
        <v>5174</v>
      </c>
      <c r="L3566" s="11">
        <v>0.0</v>
      </c>
      <c r="N3566" s="2"/>
      <c r="O3566" s="2" t="b">
        <v>0</v>
      </c>
    </row>
    <row r="3567" hidden="1">
      <c r="A3567" s="8" t="s">
        <v>2793</v>
      </c>
      <c r="B3567" s="8" t="s">
        <v>2793</v>
      </c>
      <c r="C3567" s="13">
        <v>46058.68732638889</v>
      </c>
      <c r="D3567" s="2" t="s">
        <v>2543</v>
      </c>
      <c r="E3567" s="2" t="s">
        <v>2544</v>
      </c>
      <c r="F3567" s="14" t="s">
        <v>3486</v>
      </c>
      <c r="G3567" s="14" t="s">
        <v>3487</v>
      </c>
      <c r="H3567" s="2" t="s">
        <v>24</v>
      </c>
      <c r="I3567" s="2" t="s">
        <v>3491</v>
      </c>
      <c r="J3567" s="2">
        <v>1.0</v>
      </c>
      <c r="K3567" s="23" t="s">
        <v>4481</v>
      </c>
      <c r="L3567" s="11">
        <v>0.0</v>
      </c>
      <c r="N3567" s="2"/>
      <c r="O3567" s="2" t="b">
        <v>0</v>
      </c>
    </row>
    <row r="3568" hidden="1">
      <c r="A3568" s="8" t="s">
        <v>2793</v>
      </c>
      <c r="B3568" s="8" t="s">
        <v>2793</v>
      </c>
      <c r="C3568" s="13">
        <v>46058.68732638889</v>
      </c>
      <c r="D3568" s="2" t="s">
        <v>2543</v>
      </c>
      <c r="E3568" s="2" t="s">
        <v>2544</v>
      </c>
      <c r="F3568" s="14" t="s">
        <v>3516</v>
      </c>
      <c r="G3568" s="14" t="s">
        <v>3517</v>
      </c>
      <c r="H3568" s="2" t="s">
        <v>24</v>
      </c>
      <c r="I3568" s="2" t="s">
        <v>3491</v>
      </c>
      <c r="J3568" s="2">
        <v>1.0</v>
      </c>
      <c r="K3568" s="23" t="s">
        <v>5871</v>
      </c>
      <c r="L3568" s="11">
        <v>0.0</v>
      </c>
      <c r="N3568" s="2"/>
      <c r="O3568" s="2" t="b">
        <v>0</v>
      </c>
    </row>
    <row r="3569" hidden="1">
      <c r="A3569" s="8" t="s">
        <v>2794</v>
      </c>
      <c r="B3569" s="8" t="s">
        <v>2794</v>
      </c>
      <c r="C3569" s="13">
        <v>46058.71561342593</v>
      </c>
      <c r="D3569" s="2" t="s">
        <v>1573</v>
      </c>
      <c r="E3569" s="2" t="s">
        <v>1574</v>
      </c>
      <c r="F3569" s="14" t="s">
        <v>3835</v>
      </c>
      <c r="G3569" s="14" t="s">
        <v>3836</v>
      </c>
      <c r="H3569" s="2" t="s">
        <v>16</v>
      </c>
      <c r="I3569" s="2" t="s">
        <v>3488</v>
      </c>
      <c r="J3569" s="2">
        <v>1.0</v>
      </c>
      <c r="K3569" s="23" t="s">
        <v>5770</v>
      </c>
      <c r="L3569" s="11">
        <v>50000.0</v>
      </c>
      <c r="N3569" s="2"/>
      <c r="O3569" s="2" t="b">
        <v>0</v>
      </c>
    </row>
    <row r="3570" hidden="1">
      <c r="A3570" s="8" t="s">
        <v>2794</v>
      </c>
      <c r="B3570" s="8" t="s">
        <v>2794</v>
      </c>
      <c r="C3570" s="13">
        <v>46058.71561342593</v>
      </c>
      <c r="D3570" s="2" t="s">
        <v>1573</v>
      </c>
      <c r="E3570" s="2" t="s">
        <v>1574</v>
      </c>
      <c r="F3570" s="14" t="s">
        <v>3486</v>
      </c>
      <c r="G3570" s="14" t="s">
        <v>3487</v>
      </c>
      <c r="H3570" s="2" t="s">
        <v>16</v>
      </c>
      <c r="I3570" s="2" t="s">
        <v>3488</v>
      </c>
      <c r="J3570" s="2">
        <v>1.0</v>
      </c>
      <c r="K3570" s="23" t="s">
        <v>5441</v>
      </c>
      <c r="L3570" s="11">
        <v>80000.0</v>
      </c>
      <c r="N3570" s="2"/>
      <c r="O3570" s="2" t="b">
        <v>0</v>
      </c>
    </row>
    <row r="3571" hidden="1">
      <c r="A3571" s="1"/>
      <c r="B3571" s="1"/>
      <c r="C3571" s="13"/>
      <c r="D3571" s="2"/>
      <c r="E3571" s="2"/>
      <c r="F3571" s="14"/>
      <c r="G3571" s="14"/>
      <c r="H3571" s="2"/>
      <c r="I3571" s="2"/>
      <c r="J3571" s="2"/>
      <c r="K3571" s="12"/>
      <c r="L3571" s="11"/>
      <c r="N3571" s="2"/>
      <c r="O3571" s="2"/>
    </row>
    <row r="3572" hidden="1">
      <c r="A3572" s="8" t="s">
        <v>2795</v>
      </c>
      <c r="B3572" s="8" t="s">
        <v>2795</v>
      </c>
      <c r="C3572" s="13">
        <v>46058.75152777778</v>
      </c>
      <c r="D3572" s="2" t="s">
        <v>1573</v>
      </c>
      <c r="E3572" s="2" t="s">
        <v>1574</v>
      </c>
      <c r="F3572" s="14" t="s">
        <v>3910</v>
      </c>
      <c r="G3572" s="14" t="s">
        <v>3911</v>
      </c>
      <c r="H3572" s="2" t="s">
        <v>24</v>
      </c>
      <c r="I3572" s="2" t="s">
        <v>3491</v>
      </c>
      <c r="J3572" s="2">
        <v>1.0</v>
      </c>
      <c r="K3572" s="12"/>
      <c r="L3572" s="11">
        <v>0.0</v>
      </c>
      <c r="N3572" s="2"/>
      <c r="O3572" s="2" t="b">
        <v>0</v>
      </c>
    </row>
    <row r="3573" hidden="1">
      <c r="A3573" s="8" t="s">
        <v>2795</v>
      </c>
      <c r="B3573" s="8" t="s">
        <v>2795</v>
      </c>
      <c r="C3573" s="13">
        <v>46058.75152777778</v>
      </c>
      <c r="D3573" s="2" t="s">
        <v>1573</v>
      </c>
      <c r="E3573" s="2" t="s">
        <v>1574</v>
      </c>
      <c r="F3573" s="14" t="s">
        <v>3486</v>
      </c>
      <c r="G3573" s="14" t="s">
        <v>3487</v>
      </c>
      <c r="H3573" s="2" t="s">
        <v>24</v>
      </c>
      <c r="I3573" s="2" t="s">
        <v>3491</v>
      </c>
      <c r="J3573" s="2">
        <v>1.0</v>
      </c>
      <c r="K3573" s="23" t="s">
        <v>5370</v>
      </c>
      <c r="L3573" s="11">
        <v>0.0</v>
      </c>
      <c r="N3573" s="2"/>
      <c r="O3573" s="2" t="b">
        <v>0</v>
      </c>
    </row>
    <row r="3574" hidden="1">
      <c r="A3574" s="8" t="s">
        <v>2796</v>
      </c>
      <c r="B3574" s="8" t="s">
        <v>2796</v>
      </c>
      <c r="C3574" s="13">
        <v>46059.4131712963</v>
      </c>
      <c r="D3574" s="2" t="s">
        <v>109</v>
      </c>
      <c r="E3574" s="2" t="s">
        <v>110</v>
      </c>
      <c r="F3574" s="14" t="s">
        <v>3522</v>
      </c>
      <c r="G3574" s="14" t="s">
        <v>3523</v>
      </c>
      <c r="H3574" s="2" t="s">
        <v>16</v>
      </c>
      <c r="I3574" s="2" t="s">
        <v>3488</v>
      </c>
      <c r="J3574" s="2">
        <v>4.0</v>
      </c>
      <c r="K3574" s="23" t="s">
        <v>6051</v>
      </c>
      <c r="L3574" s="11">
        <v>215000.0</v>
      </c>
      <c r="N3574" s="2"/>
      <c r="O3574" s="2" t="b">
        <v>0</v>
      </c>
    </row>
    <row r="3575" hidden="1">
      <c r="A3575" s="8" t="s">
        <v>2797</v>
      </c>
      <c r="B3575" s="8" t="s">
        <v>2797</v>
      </c>
      <c r="C3575" s="13">
        <v>46059.60120370371</v>
      </c>
      <c r="D3575" s="2" t="s">
        <v>786</v>
      </c>
      <c r="E3575" s="2" t="s">
        <v>787</v>
      </c>
      <c r="F3575" s="14" t="s">
        <v>3486</v>
      </c>
      <c r="G3575" s="14" t="s">
        <v>3487</v>
      </c>
      <c r="H3575" s="2" t="s">
        <v>24</v>
      </c>
      <c r="I3575" s="2" t="s">
        <v>3491</v>
      </c>
      <c r="J3575" s="2">
        <v>2.0</v>
      </c>
      <c r="K3575" s="23" t="s">
        <v>6052</v>
      </c>
      <c r="L3575" s="11">
        <v>0.0</v>
      </c>
      <c r="N3575" s="2"/>
      <c r="O3575" s="2" t="b">
        <v>0</v>
      </c>
    </row>
    <row r="3576" hidden="1">
      <c r="A3576" s="8" t="s">
        <v>2797</v>
      </c>
      <c r="B3576" s="8" t="s">
        <v>2797</v>
      </c>
      <c r="C3576" s="13">
        <v>46059.60120370371</v>
      </c>
      <c r="D3576" s="2" t="s">
        <v>786</v>
      </c>
      <c r="E3576" s="2" t="s">
        <v>787</v>
      </c>
      <c r="F3576" s="14" t="s">
        <v>3516</v>
      </c>
      <c r="G3576" s="14" t="s">
        <v>3517</v>
      </c>
      <c r="H3576" s="2" t="s">
        <v>24</v>
      </c>
      <c r="I3576" s="2" t="s">
        <v>3491</v>
      </c>
      <c r="J3576" s="2">
        <v>1.0</v>
      </c>
      <c r="K3576" s="23" t="s">
        <v>6053</v>
      </c>
      <c r="L3576" s="11">
        <v>0.0</v>
      </c>
      <c r="N3576" s="2"/>
      <c r="O3576" s="2" t="b">
        <v>0</v>
      </c>
    </row>
    <row r="3577" hidden="1">
      <c r="A3577" s="8" t="s">
        <v>2798</v>
      </c>
      <c r="B3577" s="8" t="s">
        <v>2798</v>
      </c>
      <c r="C3577" s="13">
        <v>46059.60450231482</v>
      </c>
      <c r="D3577" s="2" t="s">
        <v>2640</v>
      </c>
      <c r="E3577" s="2" t="s">
        <v>2641</v>
      </c>
      <c r="F3577" s="14" t="s">
        <v>3516</v>
      </c>
      <c r="G3577" s="14" t="s">
        <v>3517</v>
      </c>
      <c r="H3577" s="2" t="s">
        <v>16</v>
      </c>
      <c r="I3577" s="2" t="s">
        <v>3488</v>
      </c>
      <c r="J3577" s="2">
        <v>6.0</v>
      </c>
      <c r="K3577" s="23" t="s">
        <v>6054</v>
      </c>
      <c r="L3577" s="11">
        <v>190000.0</v>
      </c>
      <c r="N3577" s="2"/>
      <c r="O3577" s="2" t="b">
        <v>0</v>
      </c>
    </row>
    <row r="3578" hidden="1">
      <c r="A3578" s="8" t="s">
        <v>2799</v>
      </c>
      <c r="B3578" s="8" t="s">
        <v>2799</v>
      </c>
      <c r="C3578" s="13">
        <v>46059.606782407405</v>
      </c>
      <c r="D3578" s="2" t="s">
        <v>1873</v>
      </c>
      <c r="E3578" s="2" t="s">
        <v>1874</v>
      </c>
      <c r="F3578" s="14" t="s">
        <v>4203</v>
      </c>
      <c r="G3578" s="14" t="s">
        <v>4204</v>
      </c>
      <c r="H3578" s="2" t="s">
        <v>24</v>
      </c>
      <c r="I3578" s="2" t="s">
        <v>3491</v>
      </c>
      <c r="J3578" s="2">
        <v>1.0</v>
      </c>
      <c r="K3578" s="23" t="s">
        <v>4180</v>
      </c>
      <c r="L3578" s="11">
        <v>0.0</v>
      </c>
      <c r="N3578" s="2"/>
      <c r="O3578" s="2" t="b">
        <v>0</v>
      </c>
    </row>
    <row r="3579" hidden="1">
      <c r="A3579" s="8" t="s">
        <v>2800</v>
      </c>
      <c r="B3579" s="8" t="s">
        <v>2800</v>
      </c>
      <c r="C3579" s="13">
        <v>46059.60732638889</v>
      </c>
      <c r="D3579" s="2" t="s">
        <v>1975</v>
      </c>
      <c r="E3579" s="2" t="s">
        <v>1976</v>
      </c>
      <c r="F3579" s="14" t="s">
        <v>4203</v>
      </c>
      <c r="G3579" s="14" t="s">
        <v>4204</v>
      </c>
      <c r="H3579" s="2" t="s">
        <v>24</v>
      </c>
      <c r="I3579" s="2" t="s">
        <v>3491</v>
      </c>
      <c r="J3579" s="2">
        <v>2.0</v>
      </c>
      <c r="K3579" s="23" t="s">
        <v>6055</v>
      </c>
      <c r="L3579" s="11">
        <v>0.0</v>
      </c>
      <c r="N3579" s="2"/>
      <c r="O3579" s="2" t="b">
        <v>0</v>
      </c>
    </row>
    <row r="3580" hidden="1">
      <c r="A3580" s="8" t="s">
        <v>2800</v>
      </c>
      <c r="B3580" s="8" t="s">
        <v>2800</v>
      </c>
      <c r="C3580" s="13">
        <v>46059.60732638889</v>
      </c>
      <c r="D3580" s="2" t="s">
        <v>1975</v>
      </c>
      <c r="E3580" s="2" t="s">
        <v>1976</v>
      </c>
      <c r="F3580" s="14" t="s">
        <v>3486</v>
      </c>
      <c r="G3580" s="14" t="s">
        <v>3487</v>
      </c>
      <c r="H3580" s="2" t="s">
        <v>24</v>
      </c>
      <c r="I3580" s="2" t="s">
        <v>3491</v>
      </c>
      <c r="J3580" s="2">
        <v>1.0</v>
      </c>
      <c r="K3580" s="23" t="s">
        <v>4747</v>
      </c>
      <c r="L3580" s="11">
        <v>0.0</v>
      </c>
      <c r="N3580" s="2"/>
      <c r="O3580" s="2" t="b">
        <v>0</v>
      </c>
    </row>
    <row r="3581" hidden="1">
      <c r="A3581" s="8" t="s">
        <v>2801</v>
      </c>
      <c r="B3581" s="8" t="s">
        <v>2801</v>
      </c>
      <c r="C3581" s="13">
        <v>46059.62162037037</v>
      </c>
      <c r="D3581" s="2" t="s">
        <v>1993</v>
      </c>
      <c r="E3581" s="2" t="s">
        <v>1994</v>
      </c>
      <c r="F3581" s="14" t="s">
        <v>3486</v>
      </c>
      <c r="G3581" s="14" t="s">
        <v>3487</v>
      </c>
      <c r="H3581" s="2" t="s">
        <v>16</v>
      </c>
      <c r="I3581" s="2" t="s">
        <v>3488</v>
      </c>
      <c r="J3581" s="2">
        <v>5.0</v>
      </c>
      <c r="K3581" s="23" t="s">
        <v>6056</v>
      </c>
      <c r="L3581" s="11">
        <v>65000.0</v>
      </c>
      <c r="N3581" s="2"/>
      <c r="O3581" s="2" t="b">
        <v>0</v>
      </c>
    </row>
    <row r="3582" hidden="1">
      <c r="A3582" s="1"/>
      <c r="B3582" s="1"/>
      <c r="C3582" s="13"/>
      <c r="D3582" s="2"/>
      <c r="E3582" s="2"/>
      <c r="F3582" s="14"/>
      <c r="G3582" s="14"/>
      <c r="H3582" s="2"/>
      <c r="I3582" s="2"/>
      <c r="J3582" s="2"/>
      <c r="K3582" s="12"/>
      <c r="L3582" s="11"/>
      <c r="N3582" s="2"/>
      <c r="O3582" s="2"/>
    </row>
    <row r="3583" hidden="1">
      <c r="A3583" s="8" t="s">
        <v>2802</v>
      </c>
      <c r="B3583" s="8" t="s">
        <v>2802</v>
      </c>
      <c r="C3583" s="13">
        <v>46059.65482638889</v>
      </c>
      <c r="D3583" s="2" t="s">
        <v>2032</v>
      </c>
      <c r="E3583" s="2" t="s">
        <v>2033</v>
      </c>
      <c r="F3583" s="14" t="s">
        <v>3486</v>
      </c>
      <c r="G3583" s="14" t="s">
        <v>3487</v>
      </c>
      <c r="H3583" s="2" t="s">
        <v>16</v>
      </c>
      <c r="I3583" s="2" t="s">
        <v>3488</v>
      </c>
      <c r="J3583" s="2">
        <v>1.0</v>
      </c>
      <c r="K3583" s="23" t="s">
        <v>6057</v>
      </c>
      <c r="L3583" s="11">
        <v>60000.0</v>
      </c>
      <c r="N3583" s="2"/>
      <c r="O3583" s="2" t="b">
        <v>0</v>
      </c>
    </row>
    <row r="3584" hidden="1">
      <c r="A3584" s="8" t="s">
        <v>2804</v>
      </c>
      <c r="B3584" s="8" t="s">
        <v>2804</v>
      </c>
      <c r="C3584" s="13">
        <v>46059.69862268519</v>
      </c>
      <c r="D3584" s="2" t="s">
        <v>1993</v>
      </c>
      <c r="E3584" s="2" t="s">
        <v>1994</v>
      </c>
      <c r="F3584" s="14" t="s">
        <v>3486</v>
      </c>
      <c r="G3584" s="14" t="s">
        <v>3487</v>
      </c>
      <c r="H3584" s="2" t="s">
        <v>24</v>
      </c>
      <c r="I3584" s="2" t="s">
        <v>3491</v>
      </c>
      <c r="J3584" s="2">
        <v>6.0</v>
      </c>
      <c r="K3584" s="23" t="s">
        <v>6058</v>
      </c>
      <c r="L3584" s="11">
        <v>0.0</v>
      </c>
      <c r="N3584" s="2"/>
      <c r="O3584" s="2" t="b">
        <v>0</v>
      </c>
    </row>
    <row r="3585" hidden="1">
      <c r="A3585" s="8" t="s">
        <v>2805</v>
      </c>
      <c r="B3585" s="8" t="s">
        <v>2805</v>
      </c>
      <c r="C3585" s="13">
        <v>46059.6997337963</v>
      </c>
      <c r="D3585" s="2" t="s">
        <v>1889</v>
      </c>
      <c r="E3585" s="2" t="s">
        <v>1890</v>
      </c>
      <c r="F3585" s="14" t="s">
        <v>3486</v>
      </c>
      <c r="G3585" s="14" t="s">
        <v>3487</v>
      </c>
      <c r="H3585" s="2" t="s">
        <v>24</v>
      </c>
      <c r="I3585" s="2" t="s">
        <v>3491</v>
      </c>
      <c r="J3585" s="2">
        <v>2.0</v>
      </c>
      <c r="K3585" s="23" t="s">
        <v>6059</v>
      </c>
      <c r="L3585" s="11">
        <v>0.0</v>
      </c>
      <c r="N3585" s="2"/>
      <c r="O3585" s="2" t="b">
        <v>0</v>
      </c>
    </row>
    <row r="3586" hidden="1">
      <c r="A3586" s="8" t="s">
        <v>2805</v>
      </c>
      <c r="B3586" s="8" t="s">
        <v>2805</v>
      </c>
      <c r="C3586" s="13">
        <v>46059.6997337963</v>
      </c>
      <c r="D3586" s="2" t="s">
        <v>1889</v>
      </c>
      <c r="E3586" s="2" t="s">
        <v>1890</v>
      </c>
      <c r="F3586" s="14" t="s">
        <v>4203</v>
      </c>
      <c r="G3586" s="14" t="s">
        <v>4204</v>
      </c>
      <c r="H3586" s="2" t="s">
        <v>24</v>
      </c>
      <c r="I3586" s="2" t="s">
        <v>3491</v>
      </c>
      <c r="J3586" s="2">
        <v>1.0</v>
      </c>
      <c r="K3586" s="23" t="s">
        <v>3849</v>
      </c>
      <c r="L3586" s="11">
        <v>0.0</v>
      </c>
      <c r="N3586" s="2"/>
      <c r="O3586" s="2" t="b">
        <v>0</v>
      </c>
    </row>
    <row r="3587" hidden="1">
      <c r="A3587" s="8" t="s">
        <v>2806</v>
      </c>
      <c r="B3587" s="8" t="s">
        <v>2806</v>
      </c>
      <c r="C3587" s="13">
        <v>46059.70042824074</v>
      </c>
      <c r="D3587" s="2" t="s">
        <v>2640</v>
      </c>
      <c r="E3587" s="2" t="s">
        <v>2641</v>
      </c>
      <c r="F3587" s="14" t="s">
        <v>3486</v>
      </c>
      <c r="G3587" s="14" t="s">
        <v>3487</v>
      </c>
      <c r="H3587" s="2" t="s">
        <v>24</v>
      </c>
      <c r="I3587" s="2" t="s">
        <v>3491</v>
      </c>
      <c r="J3587" s="2">
        <v>2.0</v>
      </c>
      <c r="K3587" s="23" t="s">
        <v>6060</v>
      </c>
      <c r="L3587" s="11">
        <v>0.0</v>
      </c>
      <c r="N3587" s="2"/>
      <c r="O3587" s="2" t="b">
        <v>0</v>
      </c>
    </row>
    <row r="3588" hidden="1">
      <c r="A3588" s="8" t="s">
        <v>2806</v>
      </c>
      <c r="B3588" s="8" t="s">
        <v>2806</v>
      </c>
      <c r="C3588" s="13">
        <v>46059.70042824074</v>
      </c>
      <c r="D3588" s="2" t="s">
        <v>2640</v>
      </c>
      <c r="E3588" s="2" t="s">
        <v>2641</v>
      </c>
      <c r="F3588" s="14" t="s">
        <v>3516</v>
      </c>
      <c r="G3588" s="14" t="s">
        <v>3517</v>
      </c>
      <c r="H3588" s="2" t="s">
        <v>24</v>
      </c>
      <c r="I3588" s="2" t="s">
        <v>3491</v>
      </c>
      <c r="J3588" s="2">
        <v>4.0</v>
      </c>
      <c r="K3588" s="23" t="s">
        <v>6061</v>
      </c>
      <c r="L3588" s="11">
        <v>0.0</v>
      </c>
      <c r="N3588" s="2"/>
      <c r="O3588" s="2" t="b">
        <v>0</v>
      </c>
    </row>
    <row r="3589" hidden="1">
      <c r="A3589" s="8" t="s">
        <v>2807</v>
      </c>
      <c r="B3589" s="8" t="s">
        <v>2807</v>
      </c>
      <c r="C3589" s="13">
        <v>46060.59762731481</v>
      </c>
      <c r="D3589" s="2" t="s">
        <v>2005</v>
      </c>
      <c r="E3589" s="2" t="s">
        <v>2006</v>
      </c>
      <c r="F3589" s="14" t="s">
        <v>4203</v>
      </c>
      <c r="G3589" s="14" t="s">
        <v>4204</v>
      </c>
      <c r="H3589" s="2" t="s">
        <v>24</v>
      </c>
      <c r="I3589" s="2" t="s">
        <v>3491</v>
      </c>
      <c r="J3589" s="2">
        <v>6.0</v>
      </c>
      <c r="K3589" s="23" t="s">
        <v>6062</v>
      </c>
      <c r="L3589" s="11">
        <v>0.0</v>
      </c>
      <c r="N3589" s="2"/>
      <c r="O3589" s="2" t="b">
        <v>0</v>
      </c>
    </row>
    <row r="3590" hidden="1">
      <c r="A3590" s="8" t="s">
        <v>2808</v>
      </c>
      <c r="B3590" s="8" t="s">
        <v>2808</v>
      </c>
      <c r="C3590" s="13">
        <v>46060.605844907404</v>
      </c>
      <c r="D3590" s="2" t="s">
        <v>2081</v>
      </c>
      <c r="E3590" s="2" t="s">
        <v>2082</v>
      </c>
      <c r="F3590" s="14" t="s">
        <v>3486</v>
      </c>
      <c r="G3590" s="14" t="s">
        <v>3487</v>
      </c>
      <c r="H3590" s="2" t="s">
        <v>16</v>
      </c>
      <c r="I3590" s="2" t="s">
        <v>3488</v>
      </c>
      <c r="J3590" s="2">
        <v>5.0</v>
      </c>
      <c r="K3590" s="23" t="s">
        <v>6063</v>
      </c>
      <c r="L3590" s="11">
        <v>60000.0</v>
      </c>
      <c r="N3590" s="2"/>
      <c r="O3590" s="2" t="b">
        <v>0</v>
      </c>
    </row>
    <row r="3591" hidden="1">
      <c r="A3591" s="8" t="s">
        <v>2809</v>
      </c>
      <c r="B3591" s="8" t="s">
        <v>2809</v>
      </c>
      <c r="C3591" s="13">
        <v>46062.34626157407</v>
      </c>
      <c r="D3591" s="2" t="s">
        <v>2081</v>
      </c>
      <c r="E3591" s="2" t="s">
        <v>2082</v>
      </c>
      <c r="F3591" s="14" t="s">
        <v>3486</v>
      </c>
      <c r="G3591" s="14" t="s">
        <v>3487</v>
      </c>
      <c r="H3591" s="2" t="s">
        <v>24</v>
      </c>
      <c r="I3591" s="2" t="s">
        <v>3491</v>
      </c>
      <c r="J3591" s="2">
        <v>1.0</v>
      </c>
      <c r="K3591" s="23" t="s">
        <v>6064</v>
      </c>
      <c r="L3591" s="11">
        <v>0.0</v>
      </c>
      <c r="O3591" s="2" t="b">
        <v>0</v>
      </c>
    </row>
    <row r="3592" hidden="1">
      <c r="A3592" s="8" t="s">
        <v>2809</v>
      </c>
      <c r="B3592" s="8" t="s">
        <v>2809</v>
      </c>
      <c r="C3592" s="13">
        <v>46062.34626157407</v>
      </c>
      <c r="D3592" s="2" t="s">
        <v>2081</v>
      </c>
      <c r="E3592" s="2" t="s">
        <v>2082</v>
      </c>
      <c r="F3592" s="14" t="s">
        <v>3506</v>
      </c>
      <c r="G3592" s="14" t="s">
        <v>3507</v>
      </c>
      <c r="H3592" s="2" t="s">
        <v>24</v>
      </c>
      <c r="I3592" s="2" t="s">
        <v>3491</v>
      </c>
      <c r="J3592" s="2">
        <v>2.0</v>
      </c>
      <c r="K3592" s="12"/>
      <c r="L3592" s="11">
        <v>0.0</v>
      </c>
      <c r="O3592" s="2" t="b">
        <v>0</v>
      </c>
    </row>
    <row r="3593" hidden="1">
      <c r="A3593" s="8" t="s">
        <v>2811</v>
      </c>
      <c r="B3593" s="8" t="s">
        <v>2811</v>
      </c>
      <c r="C3593" s="13">
        <v>46062.35506944444</v>
      </c>
      <c r="D3593" s="2" t="s">
        <v>786</v>
      </c>
      <c r="E3593" s="2" t="s">
        <v>787</v>
      </c>
      <c r="F3593" s="14" t="s">
        <v>3486</v>
      </c>
      <c r="G3593" s="14" t="s">
        <v>3487</v>
      </c>
      <c r="H3593" s="2" t="s">
        <v>16</v>
      </c>
      <c r="I3593" s="2" t="s">
        <v>3488</v>
      </c>
      <c r="J3593" s="2">
        <v>3.0</v>
      </c>
      <c r="K3593" s="23" t="s">
        <v>6065</v>
      </c>
      <c r="L3593" s="11">
        <v>60000.0</v>
      </c>
      <c r="O3593" s="2" t="b">
        <v>0</v>
      </c>
    </row>
    <row r="3594" hidden="1">
      <c r="A3594" s="8" t="s">
        <v>2811</v>
      </c>
      <c r="B3594" s="8" t="s">
        <v>2811</v>
      </c>
      <c r="C3594" s="13">
        <v>46062.35506944444</v>
      </c>
      <c r="D3594" s="2" t="s">
        <v>786</v>
      </c>
      <c r="E3594" s="2" t="s">
        <v>787</v>
      </c>
      <c r="F3594" s="14" t="s">
        <v>3516</v>
      </c>
      <c r="G3594" s="14" t="s">
        <v>3517</v>
      </c>
      <c r="H3594" s="2" t="s">
        <v>16</v>
      </c>
      <c r="I3594" s="2" t="s">
        <v>3488</v>
      </c>
      <c r="J3594" s="2">
        <v>2.0</v>
      </c>
      <c r="K3594" s="23" t="s">
        <v>6066</v>
      </c>
      <c r="L3594" s="11">
        <v>180000.0</v>
      </c>
      <c r="O3594" s="2" t="b">
        <v>0</v>
      </c>
    </row>
    <row r="3595" hidden="1">
      <c r="A3595" s="8" t="s">
        <v>2812</v>
      </c>
      <c r="B3595" s="8" t="s">
        <v>2812</v>
      </c>
      <c r="C3595" s="13">
        <v>46062.35724537037</v>
      </c>
      <c r="D3595" s="2" t="s">
        <v>1705</v>
      </c>
      <c r="E3595" s="2" t="s">
        <v>1706</v>
      </c>
      <c r="F3595" s="14" t="s">
        <v>4203</v>
      </c>
      <c r="G3595" s="14" t="s">
        <v>4204</v>
      </c>
      <c r="H3595" s="2" t="s">
        <v>16</v>
      </c>
      <c r="I3595" s="2" t="s">
        <v>3488</v>
      </c>
      <c r="J3595" s="2">
        <v>2.0</v>
      </c>
      <c r="K3595" s="23" t="s">
        <v>6067</v>
      </c>
      <c r="L3595" s="11">
        <v>65000.0</v>
      </c>
      <c r="O3595" s="2" t="b">
        <v>0</v>
      </c>
    </row>
    <row r="3596" hidden="1">
      <c r="A3596" s="1"/>
      <c r="B3596" s="1"/>
      <c r="C3596" s="13"/>
      <c r="D3596" s="2"/>
      <c r="E3596" s="2"/>
      <c r="F3596" s="14"/>
      <c r="G3596" s="14"/>
      <c r="H3596" s="2"/>
      <c r="I3596" s="2"/>
      <c r="J3596" s="2"/>
      <c r="K3596" s="12"/>
      <c r="L3596" s="11"/>
      <c r="O3596" s="2"/>
    </row>
    <row r="3597" hidden="1">
      <c r="A3597" s="8" t="s">
        <v>2813</v>
      </c>
      <c r="B3597" s="8" t="s">
        <v>2813</v>
      </c>
      <c r="C3597" s="13">
        <v>46062.368472222224</v>
      </c>
      <c r="D3597" s="2" t="s">
        <v>2005</v>
      </c>
      <c r="E3597" s="2" t="s">
        <v>2006</v>
      </c>
      <c r="F3597" s="14" t="s">
        <v>3486</v>
      </c>
      <c r="G3597" s="14" t="s">
        <v>3487</v>
      </c>
      <c r="H3597" s="2" t="s">
        <v>16</v>
      </c>
      <c r="I3597" s="2" t="s">
        <v>3488</v>
      </c>
      <c r="J3597" s="2">
        <v>10.0</v>
      </c>
      <c r="K3597" s="23" t="s">
        <v>6068</v>
      </c>
      <c r="L3597" s="11">
        <v>60000.0</v>
      </c>
      <c r="O3597" s="2" t="b">
        <v>0</v>
      </c>
    </row>
    <row r="3598" hidden="1">
      <c r="A3598" s="8" t="s">
        <v>2813</v>
      </c>
      <c r="B3598" s="8" t="s">
        <v>2813</v>
      </c>
      <c r="C3598" s="13">
        <v>46062.368472222224</v>
      </c>
      <c r="D3598" s="2" t="s">
        <v>2005</v>
      </c>
      <c r="E3598" s="2" t="s">
        <v>2006</v>
      </c>
      <c r="F3598" s="14" t="s">
        <v>3493</v>
      </c>
      <c r="G3598" s="14" t="s">
        <v>3494</v>
      </c>
      <c r="H3598" s="2" t="s">
        <v>16</v>
      </c>
      <c r="I3598" s="2" t="s">
        <v>3488</v>
      </c>
      <c r="J3598" s="2">
        <v>2.0</v>
      </c>
      <c r="K3598" s="12" t="s">
        <v>6069</v>
      </c>
      <c r="L3598" s="11">
        <v>215000.0</v>
      </c>
      <c r="O3598" s="2" t="b">
        <v>0</v>
      </c>
    </row>
    <row r="3599" hidden="1">
      <c r="A3599" s="8" t="s">
        <v>2815</v>
      </c>
      <c r="B3599" s="8" t="s">
        <v>2815</v>
      </c>
      <c r="C3599" s="13">
        <v>46062.37032407407</v>
      </c>
      <c r="D3599" s="2" t="s">
        <v>1873</v>
      </c>
      <c r="E3599" s="2" t="s">
        <v>1874</v>
      </c>
      <c r="F3599" s="14" t="s">
        <v>4203</v>
      </c>
      <c r="G3599" s="14" t="s">
        <v>4204</v>
      </c>
      <c r="H3599" s="2" t="s">
        <v>16</v>
      </c>
      <c r="I3599" s="2" t="s">
        <v>3488</v>
      </c>
      <c r="J3599" s="2">
        <v>2.0</v>
      </c>
      <c r="K3599" s="23" t="s">
        <v>6070</v>
      </c>
      <c r="L3599" s="11">
        <v>70000.0</v>
      </c>
      <c r="O3599" s="2" t="b">
        <v>0</v>
      </c>
    </row>
    <row r="3600" hidden="1">
      <c r="A3600" s="8" t="s">
        <v>2816</v>
      </c>
      <c r="B3600" s="8" t="s">
        <v>2816</v>
      </c>
      <c r="C3600" s="13">
        <v>46062.507199074076</v>
      </c>
      <c r="D3600" s="2" t="s">
        <v>786</v>
      </c>
      <c r="E3600" s="2" t="s">
        <v>787</v>
      </c>
      <c r="F3600" s="14" t="s">
        <v>3516</v>
      </c>
      <c r="G3600" s="14" t="s">
        <v>3517</v>
      </c>
      <c r="H3600" s="2" t="s">
        <v>24</v>
      </c>
      <c r="I3600" s="2" t="s">
        <v>3491</v>
      </c>
      <c r="J3600" s="2">
        <v>1.0</v>
      </c>
      <c r="K3600" s="23" t="s">
        <v>6071</v>
      </c>
      <c r="L3600" s="11">
        <v>0.0</v>
      </c>
      <c r="O3600" s="2" t="b">
        <v>0</v>
      </c>
    </row>
    <row r="3601" hidden="1">
      <c r="A3601" s="8" t="s">
        <v>2816</v>
      </c>
      <c r="B3601" s="8" t="s">
        <v>2816</v>
      </c>
      <c r="C3601" s="13">
        <v>46062.507199074076</v>
      </c>
      <c r="D3601" s="2" t="s">
        <v>786</v>
      </c>
      <c r="E3601" s="2" t="s">
        <v>787</v>
      </c>
      <c r="F3601" s="14" t="s">
        <v>3486</v>
      </c>
      <c r="G3601" s="14" t="s">
        <v>3487</v>
      </c>
      <c r="H3601" s="2" t="s">
        <v>24</v>
      </c>
      <c r="I3601" s="2" t="s">
        <v>3491</v>
      </c>
      <c r="J3601" s="2">
        <v>7.0</v>
      </c>
      <c r="K3601" s="23" t="s">
        <v>6072</v>
      </c>
      <c r="L3601" s="11">
        <v>0.0</v>
      </c>
      <c r="O3601" s="2" t="b">
        <v>0</v>
      </c>
    </row>
    <row r="3602" hidden="1">
      <c r="A3602" s="8" t="s">
        <v>2816</v>
      </c>
      <c r="B3602" s="8" t="s">
        <v>2816</v>
      </c>
      <c r="C3602" s="13">
        <v>46062.507199074076</v>
      </c>
      <c r="D3602" s="2" t="s">
        <v>786</v>
      </c>
      <c r="E3602" s="2" t="s">
        <v>787</v>
      </c>
      <c r="F3602" s="14" t="s">
        <v>4203</v>
      </c>
      <c r="G3602" s="14" t="s">
        <v>4204</v>
      </c>
      <c r="H3602" s="2" t="s">
        <v>24</v>
      </c>
      <c r="I3602" s="2" t="s">
        <v>3491</v>
      </c>
      <c r="J3602" s="2">
        <v>3.0</v>
      </c>
      <c r="K3602" s="23" t="s">
        <v>6073</v>
      </c>
      <c r="L3602" s="11">
        <v>0.0</v>
      </c>
      <c r="O3602" s="2" t="b">
        <v>0</v>
      </c>
    </row>
    <row r="3603" hidden="1">
      <c r="A3603" s="8" t="s">
        <v>2817</v>
      </c>
      <c r="B3603" s="8" t="s">
        <v>2817</v>
      </c>
      <c r="C3603" s="13">
        <v>46062.510416666664</v>
      </c>
      <c r="D3603" s="2" t="s">
        <v>1838</v>
      </c>
      <c r="E3603" s="2" t="s">
        <v>1839</v>
      </c>
      <c r="F3603" s="14" t="s">
        <v>4203</v>
      </c>
      <c r="G3603" s="14" t="s">
        <v>4204</v>
      </c>
      <c r="H3603" s="2" t="s">
        <v>24</v>
      </c>
      <c r="I3603" s="2" t="s">
        <v>3491</v>
      </c>
      <c r="J3603" s="2">
        <v>1.0</v>
      </c>
      <c r="K3603" s="23" t="s">
        <v>5458</v>
      </c>
      <c r="L3603" s="11">
        <v>0.0</v>
      </c>
      <c r="O3603" s="2" t="b">
        <v>0</v>
      </c>
    </row>
    <row r="3604" hidden="1">
      <c r="A3604" s="8" t="s">
        <v>2818</v>
      </c>
      <c r="B3604" s="8" t="s">
        <v>2818</v>
      </c>
      <c r="C3604" s="13">
        <v>46062.51085648148</v>
      </c>
      <c r="D3604" s="2" t="s">
        <v>1705</v>
      </c>
      <c r="E3604" s="2" t="s">
        <v>1706</v>
      </c>
      <c r="F3604" s="14" t="s">
        <v>4203</v>
      </c>
      <c r="G3604" s="14" t="s">
        <v>4204</v>
      </c>
      <c r="H3604" s="2" t="s">
        <v>24</v>
      </c>
      <c r="I3604" s="2" t="s">
        <v>3491</v>
      </c>
      <c r="J3604" s="2">
        <v>1.0</v>
      </c>
      <c r="K3604" s="23" t="s">
        <v>6074</v>
      </c>
      <c r="L3604" s="11">
        <v>0.0</v>
      </c>
      <c r="O3604" s="2" t="b">
        <v>0</v>
      </c>
    </row>
    <row r="3605" hidden="1">
      <c r="A3605" s="8" t="s">
        <v>2819</v>
      </c>
      <c r="B3605" s="8" t="s">
        <v>2819</v>
      </c>
      <c r="C3605" s="13">
        <v>46062.511458333334</v>
      </c>
      <c r="D3605" s="2" t="s">
        <v>1873</v>
      </c>
      <c r="E3605" s="2" t="s">
        <v>1874</v>
      </c>
      <c r="F3605" s="14" t="s">
        <v>4203</v>
      </c>
      <c r="G3605" s="14" t="s">
        <v>4204</v>
      </c>
      <c r="H3605" s="2" t="s">
        <v>24</v>
      </c>
      <c r="I3605" s="2" t="s">
        <v>3491</v>
      </c>
      <c r="J3605" s="2">
        <v>2.0</v>
      </c>
      <c r="K3605" s="23" t="s">
        <v>6041</v>
      </c>
      <c r="L3605" s="11">
        <v>0.0</v>
      </c>
      <c r="O3605" s="2" t="b">
        <v>0</v>
      </c>
    </row>
    <row r="3606" hidden="1">
      <c r="A3606" s="8" t="s">
        <v>2820</v>
      </c>
      <c r="B3606" s="8" t="s">
        <v>2820</v>
      </c>
      <c r="C3606" s="13">
        <v>46062.58164351852</v>
      </c>
      <c r="D3606" s="2" t="s">
        <v>1975</v>
      </c>
      <c r="E3606" s="2" t="s">
        <v>1976</v>
      </c>
      <c r="F3606" s="14" t="s">
        <v>3486</v>
      </c>
      <c r="G3606" s="14" t="s">
        <v>3487</v>
      </c>
      <c r="H3606" s="2" t="s">
        <v>16</v>
      </c>
      <c r="I3606" s="2" t="s">
        <v>3488</v>
      </c>
      <c r="J3606" s="2">
        <v>10.0</v>
      </c>
      <c r="K3606" s="23" t="s">
        <v>6075</v>
      </c>
      <c r="L3606" s="11">
        <v>60000.0</v>
      </c>
      <c r="O3606" s="2" t="b">
        <v>0</v>
      </c>
    </row>
    <row r="3607" hidden="1">
      <c r="A3607" s="8" t="s">
        <v>2821</v>
      </c>
      <c r="B3607" s="8" t="s">
        <v>2821</v>
      </c>
      <c r="C3607" s="13">
        <v>46062.659467592595</v>
      </c>
      <c r="D3607" s="2" t="s">
        <v>2728</v>
      </c>
      <c r="E3607" s="2" t="s">
        <v>2729</v>
      </c>
      <c r="F3607" s="14" t="s">
        <v>3486</v>
      </c>
      <c r="G3607" s="14" t="s">
        <v>3487</v>
      </c>
      <c r="H3607" s="2" t="s">
        <v>16</v>
      </c>
      <c r="I3607" s="2" t="s">
        <v>3488</v>
      </c>
      <c r="J3607" s="2">
        <v>2.0</v>
      </c>
      <c r="K3607" s="23" t="s">
        <v>6076</v>
      </c>
      <c r="L3607" s="11">
        <v>100000.0</v>
      </c>
      <c r="O3607" s="2" t="b">
        <v>0</v>
      </c>
    </row>
    <row r="3608" hidden="1">
      <c r="A3608" s="8" t="s">
        <v>2822</v>
      </c>
      <c r="B3608" s="8" t="s">
        <v>2822</v>
      </c>
      <c r="C3608" s="13">
        <v>46063.34027777778</v>
      </c>
      <c r="D3608" s="2" t="s">
        <v>904</v>
      </c>
      <c r="E3608" s="2" t="s">
        <v>905</v>
      </c>
      <c r="F3608" s="14" t="s">
        <v>4203</v>
      </c>
      <c r="G3608" s="14" t="s">
        <v>4204</v>
      </c>
      <c r="H3608" s="2" t="s">
        <v>16</v>
      </c>
      <c r="I3608" s="2" t="s">
        <v>3488</v>
      </c>
      <c r="J3608" s="2">
        <v>2.0</v>
      </c>
      <c r="K3608" s="23" t="s">
        <v>6077</v>
      </c>
      <c r="L3608" s="11">
        <v>70000.0</v>
      </c>
      <c r="O3608" s="2" t="b">
        <v>0</v>
      </c>
    </row>
    <row r="3609" hidden="1">
      <c r="A3609" s="8" t="s">
        <v>2822</v>
      </c>
      <c r="B3609" s="8" t="s">
        <v>2822</v>
      </c>
      <c r="C3609" s="13">
        <v>46063.34027777778</v>
      </c>
      <c r="D3609" s="2" t="s">
        <v>904</v>
      </c>
      <c r="E3609" s="2" t="s">
        <v>905</v>
      </c>
      <c r="F3609" s="14" t="s">
        <v>3493</v>
      </c>
      <c r="G3609" s="14" t="s">
        <v>3494</v>
      </c>
      <c r="H3609" s="2" t="s">
        <v>16</v>
      </c>
      <c r="I3609" s="2" t="s">
        <v>3488</v>
      </c>
      <c r="J3609" s="2">
        <v>1.0</v>
      </c>
      <c r="K3609" s="12" t="s">
        <v>6078</v>
      </c>
      <c r="L3609" s="11">
        <v>200000.0</v>
      </c>
      <c r="O3609" s="2" t="b">
        <v>0</v>
      </c>
    </row>
    <row r="3610" hidden="1">
      <c r="A3610" s="8" t="s">
        <v>2823</v>
      </c>
      <c r="B3610" s="8" t="s">
        <v>2823</v>
      </c>
      <c r="C3610" s="13">
        <v>46062.688993055555</v>
      </c>
      <c r="D3610" s="2" t="s">
        <v>2728</v>
      </c>
      <c r="E3610" s="2" t="s">
        <v>2729</v>
      </c>
      <c r="F3610" s="14" t="s">
        <v>3486</v>
      </c>
      <c r="G3610" s="14" t="s">
        <v>3487</v>
      </c>
      <c r="H3610" s="2" t="s">
        <v>24</v>
      </c>
      <c r="I3610" s="2" t="s">
        <v>3491</v>
      </c>
      <c r="J3610" s="2">
        <v>1.0</v>
      </c>
      <c r="K3610" s="23" t="s">
        <v>6025</v>
      </c>
      <c r="L3610" s="11">
        <v>0.0</v>
      </c>
      <c r="O3610" s="2" t="b">
        <v>0</v>
      </c>
    </row>
    <row r="3611" hidden="1">
      <c r="A3611" s="8" t="s">
        <v>2824</v>
      </c>
      <c r="B3611" s="8" t="s">
        <v>2824</v>
      </c>
      <c r="C3611" s="13">
        <v>46063.36376157407</v>
      </c>
      <c r="D3611" s="2" t="s">
        <v>320</v>
      </c>
      <c r="E3611" s="2" t="s">
        <v>321</v>
      </c>
      <c r="F3611" s="14" t="s">
        <v>3486</v>
      </c>
      <c r="G3611" s="14" t="s">
        <v>3487</v>
      </c>
      <c r="H3611" s="2" t="s">
        <v>16</v>
      </c>
      <c r="I3611" s="2" t="s">
        <v>3488</v>
      </c>
      <c r="J3611" s="2">
        <v>1.0</v>
      </c>
      <c r="K3611" s="23" t="s">
        <v>4608</v>
      </c>
      <c r="L3611" s="11">
        <v>70000.0</v>
      </c>
      <c r="O3611" s="2" t="b">
        <v>0</v>
      </c>
    </row>
    <row r="3612" hidden="1">
      <c r="A3612" s="8" t="s">
        <v>2824</v>
      </c>
      <c r="B3612" s="8" t="s">
        <v>2824</v>
      </c>
      <c r="C3612" s="13">
        <v>46063.36376157407</v>
      </c>
      <c r="D3612" s="2" t="s">
        <v>320</v>
      </c>
      <c r="E3612" s="2" t="s">
        <v>321</v>
      </c>
      <c r="F3612" s="14" t="s">
        <v>4203</v>
      </c>
      <c r="G3612" s="14" t="s">
        <v>4204</v>
      </c>
      <c r="H3612" s="2" t="s">
        <v>16</v>
      </c>
      <c r="I3612" s="2" t="s">
        <v>3488</v>
      </c>
      <c r="J3612" s="2">
        <v>1.0</v>
      </c>
      <c r="K3612" s="23" t="s">
        <v>6079</v>
      </c>
      <c r="L3612" s="11">
        <v>70000.0</v>
      </c>
      <c r="O3612" s="2" t="b">
        <v>0</v>
      </c>
    </row>
    <row r="3613" hidden="1">
      <c r="A3613" s="8" t="s">
        <v>2825</v>
      </c>
      <c r="B3613" s="8" t="s">
        <v>2825</v>
      </c>
      <c r="C3613" s="13">
        <v>46063.390023148146</v>
      </c>
      <c r="D3613" s="2" t="s">
        <v>1203</v>
      </c>
      <c r="E3613" s="2" t="s">
        <v>1204</v>
      </c>
      <c r="F3613" s="14" t="s">
        <v>3547</v>
      </c>
      <c r="G3613" s="14" t="s">
        <v>3548</v>
      </c>
      <c r="H3613" s="2" t="s">
        <v>16</v>
      </c>
      <c r="I3613" s="2" t="s">
        <v>3488</v>
      </c>
      <c r="J3613" s="2">
        <v>3.0</v>
      </c>
      <c r="K3613" s="12" t="s">
        <v>6080</v>
      </c>
      <c r="L3613" s="11">
        <v>900000.0</v>
      </c>
      <c r="O3613" s="2" t="b">
        <v>0</v>
      </c>
    </row>
    <row r="3614" hidden="1">
      <c r="A3614" s="8" t="s">
        <v>2826</v>
      </c>
      <c r="B3614" s="8" t="s">
        <v>2826</v>
      </c>
      <c r="C3614" s="13">
        <v>46063.419641203705</v>
      </c>
      <c r="D3614" s="2" t="s">
        <v>943</v>
      </c>
      <c r="E3614" s="2" t="s">
        <v>944</v>
      </c>
      <c r="F3614" s="14" t="s">
        <v>3506</v>
      </c>
      <c r="G3614" s="14" t="s">
        <v>3507</v>
      </c>
      <c r="H3614" s="2" t="s">
        <v>16</v>
      </c>
      <c r="I3614" s="2" t="s">
        <v>3488</v>
      </c>
      <c r="J3614" s="2">
        <v>2.0</v>
      </c>
      <c r="K3614" s="12"/>
      <c r="L3614" s="11">
        <v>50000.0</v>
      </c>
      <c r="O3614" s="2" t="b">
        <v>0</v>
      </c>
    </row>
    <row r="3615" hidden="1">
      <c r="A3615" s="1"/>
      <c r="B3615" s="1"/>
      <c r="C3615" s="13"/>
      <c r="D3615" s="2"/>
      <c r="E3615" s="2"/>
      <c r="F3615" s="14"/>
      <c r="G3615" s="14"/>
      <c r="H3615" s="2"/>
      <c r="I3615" s="2"/>
      <c r="J3615" s="2"/>
      <c r="K3615" s="12"/>
      <c r="L3615" s="11"/>
      <c r="O3615" s="2"/>
    </row>
    <row r="3616" hidden="1">
      <c r="A3616" s="1"/>
      <c r="B3616" s="1"/>
      <c r="C3616" s="13"/>
      <c r="D3616" s="2"/>
      <c r="E3616" s="2"/>
      <c r="F3616" s="14"/>
      <c r="G3616" s="14"/>
      <c r="H3616" s="2"/>
      <c r="I3616" s="2"/>
      <c r="J3616" s="2"/>
      <c r="K3616" s="12"/>
      <c r="L3616" s="11"/>
      <c r="O3616" s="2"/>
    </row>
    <row r="3617" hidden="1">
      <c r="A3617" s="8" t="s">
        <v>2827</v>
      </c>
      <c r="B3617" s="8" t="s">
        <v>2827</v>
      </c>
      <c r="C3617" s="13">
        <v>46063.42853009259</v>
      </c>
      <c r="D3617" s="2" t="s">
        <v>2623</v>
      </c>
      <c r="E3617" s="2" t="s">
        <v>2624</v>
      </c>
      <c r="F3617" s="14" t="s">
        <v>3522</v>
      </c>
      <c r="G3617" s="14" t="s">
        <v>3523</v>
      </c>
      <c r="H3617" s="2" t="s">
        <v>16</v>
      </c>
      <c r="I3617" s="2" t="s">
        <v>3488</v>
      </c>
      <c r="J3617" s="2">
        <v>2.0</v>
      </c>
      <c r="K3617" s="23" t="s">
        <v>6081</v>
      </c>
      <c r="L3617" s="11">
        <v>225000.0</v>
      </c>
      <c r="O3617" s="2" t="b">
        <v>0</v>
      </c>
    </row>
    <row r="3618" hidden="1">
      <c r="A3618" s="8" t="s">
        <v>2828</v>
      </c>
      <c r="B3618" s="8" t="s">
        <v>2828</v>
      </c>
      <c r="C3618" s="13">
        <v>46063.43548611111</v>
      </c>
      <c r="D3618" s="2" t="s">
        <v>1203</v>
      </c>
      <c r="E3618" s="2" t="s">
        <v>1204</v>
      </c>
      <c r="F3618" s="14" t="s">
        <v>3547</v>
      </c>
      <c r="G3618" s="14" t="s">
        <v>3548</v>
      </c>
      <c r="H3618" s="2" t="s">
        <v>24</v>
      </c>
      <c r="I3618" s="2" t="s">
        <v>3491</v>
      </c>
      <c r="J3618" s="2">
        <v>2.0</v>
      </c>
      <c r="K3618" s="12" t="s">
        <v>6082</v>
      </c>
      <c r="L3618" s="11">
        <v>0.0</v>
      </c>
      <c r="O3618" s="2" t="b">
        <v>0</v>
      </c>
    </row>
    <row r="3619" hidden="1">
      <c r="A3619" s="8" t="s">
        <v>2829</v>
      </c>
      <c r="B3619" s="8" t="s">
        <v>2829</v>
      </c>
      <c r="C3619" s="13">
        <v>46063.512604166666</v>
      </c>
      <c r="D3619" s="2" t="s">
        <v>1014</v>
      </c>
      <c r="E3619" s="2" t="s">
        <v>1015</v>
      </c>
      <c r="F3619" s="14" t="s">
        <v>3486</v>
      </c>
      <c r="G3619" s="14" t="s">
        <v>3487</v>
      </c>
      <c r="H3619" s="2" t="s">
        <v>24</v>
      </c>
      <c r="I3619" s="2" t="s">
        <v>3491</v>
      </c>
      <c r="J3619" s="2">
        <v>2.0</v>
      </c>
      <c r="K3619" s="23" t="s">
        <v>6083</v>
      </c>
      <c r="L3619" s="11">
        <v>0.0</v>
      </c>
      <c r="O3619" s="2" t="b">
        <v>0</v>
      </c>
    </row>
    <row r="3620" hidden="1">
      <c r="A3620" s="8" t="s">
        <v>2830</v>
      </c>
      <c r="B3620" s="8" t="s">
        <v>2830</v>
      </c>
      <c r="C3620" s="13">
        <v>46063.51770833333</v>
      </c>
      <c r="D3620" s="2" t="s">
        <v>786</v>
      </c>
      <c r="E3620" s="2" t="s">
        <v>787</v>
      </c>
      <c r="F3620" s="14" t="s">
        <v>3486</v>
      </c>
      <c r="G3620" s="14" t="s">
        <v>3487</v>
      </c>
      <c r="H3620" s="2" t="s">
        <v>24</v>
      </c>
      <c r="I3620" s="2" t="s">
        <v>3491</v>
      </c>
      <c r="J3620" s="2">
        <v>2.0</v>
      </c>
      <c r="K3620" s="23" t="s">
        <v>6084</v>
      </c>
      <c r="L3620" s="11">
        <v>0.0</v>
      </c>
      <c r="O3620" s="2" t="b">
        <v>0</v>
      </c>
    </row>
    <row r="3621" hidden="1">
      <c r="A3621" s="8" t="s">
        <v>2830</v>
      </c>
      <c r="B3621" s="8" t="s">
        <v>2830</v>
      </c>
      <c r="C3621" s="13">
        <v>46063.51770833333</v>
      </c>
      <c r="D3621" s="2" t="s">
        <v>786</v>
      </c>
      <c r="E3621" s="2" t="s">
        <v>787</v>
      </c>
      <c r="F3621" s="14" t="s">
        <v>3516</v>
      </c>
      <c r="G3621" s="14" t="s">
        <v>3517</v>
      </c>
      <c r="H3621" s="2" t="s">
        <v>24</v>
      </c>
      <c r="I3621" s="2" t="s">
        <v>3491</v>
      </c>
      <c r="J3621" s="2">
        <v>2.0</v>
      </c>
      <c r="K3621" s="23" t="s">
        <v>6085</v>
      </c>
      <c r="L3621" s="11">
        <v>0.0</v>
      </c>
      <c r="O3621" s="2" t="b">
        <v>0</v>
      </c>
    </row>
    <row r="3622" hidden="1">
      <c r="A3622" s="8" t="s">
        <v>2831</v>
      </c>
      <c r="B3622" s="8" t="s">
        <v>2831</v>
      </c>
      <c r="C3622" s="13">
        <v>46063.51825231482</v>
      </c>
      <c r="D3622" s="2" t="s">
        <v>1975</v>
      </c>
      <c r="E3622" s="2" t="s">
        <v>1976</v>
      </c>
      <c r="F3622" s="14" t="s">
        <v>3486</v>
      </c>
      <c r="G3622" s="14" t="s">
        <v>3487</v>
      </c>
      <c r="H3622" s="2" t="s">
        <v>24</v>
      </c>
      <c r="I3622" s="2" t="s">
        <v>3491</v>
      </c>
      <c r="J3622" s="2">
        <v>3.0</v>
      </c>
      <c r="K3622" s="23" t="s">
        <v>6086</v>
      </c>
      <c r="L3622" s="11">
        <v>0.0</v>
      </c>
      <c r="O3622" s="2" t="b">
        <v>0</v>
      </c>
    </row>
    <row r="3623" hidden="1">
      <c r="A3623" s="8" t="s">
        <v>2831</v>
      </c>
      <c r="B3623" s="8" t="s">
        <v>2831</v>
      </c>
      <c r="C3623" s="13">
        <v>46063.51825231482</v>
      </c>
      <c r="D3623" s="2" t="s">
        <v>1975</v>
      </c>
      <c r="E3623" s="2" t="s">
        <v>1976</v>
      </c>
      <c r="F3623" s="14" t="s">
        <v>4203</v>
      </c>
      <c r="G3623" s="14" t="s">
        <v>4204</v>
      </c>
      <c r="H3623" s="2" t="s">
        <v>24</v>
      </c>
      <c r="I3623" s="2" t="s">
        <v>3491</v>
      </c>
      <c r="J3623" s="2">
        <v>4.0</v>
      </c>
      <c r="K3623" s="23" t="s">
        <v>6087</v>
      </c>
      <c r="L3623" s="11">
        <v>0.0</v>
      </c>
      <c r="O3623" s="2" t="b">
        <v>0</v>
      </c>
    </row>
    <row r="3624" hidden="1">
      <c r="A3624" s="8" t="s">
        <v>2832</v>
      </c>
      <c r="B3624" s="8" t="s">
        <v>2832</v>
      </c>
      <c r="C3624" s="13">
        <v>46063.520370370374</v>
      </c>
      <c r="D3624" s="2" t="s">
        <v>2640</v>
      </c>
      <c r="E3624" s="2" t="s">
        <v>2641</v>
      </c>
      <c r="F3624" s="14" t="s">
        <v>3486</v>
      </c>
      <c r="G3624" s="14" t="s">
        <v>3487</v>
      </c>
      <c r="H3624" s="2" t="s">
        <v>16</v>
      </c>
      <c r="I3624" s="2" t="s">
        <v>3488</v>
      </c>
      <c r="J3624" s="2">
        <v>5.0</v>
      </c>
      <c r="K3624" s="23" t="s">
        <v>6088</v>
      </c>
      <c r="L3624" s="11">
        <v>60000.0</v>
      </c>
      <c r="O3624" s="2" t="b">
        <v>0</v>
      </c>
    </row>
    <row r="3625" hidden="1">
      <c r="A3625" s="8" t="s">
        <v>2832</v>
      </c>
      <c r="B3625" s="8" t="s">
        <v>2832</v>
      </c>
      <c r="C3625" s="13">
        <v>46063.520370370374</v>
      </c>
      <c r="D3625" s="2" t="s">
        <v>2640</v>
      </c>
      <c r="E3625" s="2" t="s">
        <v>2641</v>
      </c>
      <c r="F3625" s="14" t="s">
        <v>3516</v>
      </c>
      <c r="G3625" s="14" t="s">
        <v>3517</v>
      </c>
      <c r="H3625" s="2" t="s">
        <v>16</v>
      </c>
      <c r="I3625" s="2" t="s">
        <v>3488</v>
      </c>
      <c r="J3625" s="2">
        <v>3.0</v>
      </c>
      <c r="K3625" s="23" t="s">
        <v>6089</v>
      </c>
      <c r="L3625" s="11">
        <v>190000.0</v>
      </c>
      <c r="O3625" s="2" t="b">
        <v>0</v>
      </c>
    </row>
    <row r="3626" hidden="1">
      <c r="A3626" s="8" t="s">
        <v>2832</v>
      </c>
      <c r="B3626" s="8" t="s">
        <v>2832</v>
      </c>
      <c r="C3626" s="13">
        <v>46063.520370370374</v>
      </c>
      <c r="D3626" s="2" t="s">
        <v>2640</v>
      </c>
      <c r="E3626" s="2" t="s">
        <v>2641</v>
      </c>
      <c r="F3626" s="14" t="s">
        <v>3493</v>
      </c>
      <c r="G3626" s="14" t="s">
        <v>3494</v>
      </c>
      <c r="H3626" s="2" t="s">
        <v>16</v>
      </c>
      <c r="I3626" s="2" t="s">
        <v>3488</v>
      </c>
      <c r="J3626" s="2">
        <v>1.0</v>
      </c>
      <c r="K3626" s="12" t="s">
        <v>6090</v>
      </c>
      <c r="L3626" s="11">
        <v>205000.0</v>
      </c>
      <c r="O3626" s="2" t="b">
        <v>0</v>
      </c>
    </row>
    <row r="3627" hidden="1">
      <c r="A3627" s="8" t="s">
        <v>2833</v>
      </c>
      <c r="B3627" s="8" t="s">
        <v>2833</v>
      </c>
      <c r="C3627" s="13">
        <v>46063.52175925926</v>
      </c>
      <c r="D3627" s="2" t="s">
        <v>786</v>
      </c>
      <c r="E3627" s="2" t="s">
        <v>787</v>
      </c>
      <c r="F3627" s="14" t="s">
        <v>4203</v>
      </c>
      <c r="G3627" s="14" t="s">
        <v>4204</v>
      </c>
      <c r="H3627" s="2" t="s">
        <v>16</v>
      </c>
      <c r="I3627" s="2" t="s">
        <v>3488</v>
      </c>
      <c r="J3627" s="2">
        <v>7.0</v>
      </c>
      <c r="K3627" s="23" t="s">
        <v>6091</v>
      </c>
      <c r="L3627" s="11">
        <v>60000.0</v>
      </c>
      <c r="O3627" s="2" t="b">
        <v>0</v>
      </c>
    </row>
    <row r="3628" hidden="1">
      <c r="A3628" s="8" t="s">
        <v>2834</v>
      </c>
      <c r="B3628" s="8" t="s">
        <v>2834</v>
      </c>
      <c r="C3628" s="13">
        <v>46063.56616898148</v>
      </c>
      <c r="D3628" s="2" t="s">
        <v>2835</v>
      </c>
      <c r="E3628" s="2" t="s">
        <v>2836</v>
      </c>
      <c r="F3628" s="14" t="s">
        <v>3486</v>
      </c>
      <c r="G3628" s="14" t="s">
        <v>3487</v>
      </c>
      <c r="H3628" s="2" t="s">
        <v>16</v>
      </c>
      <c r="I3628" s="2" t="s">
        <v>3488</v>
      </c>
      <c r="J3628" s="2">
        <v>1.0</v>
      </c>
      <c r="K3628" s="23" t="s">
        <v>6092</v>
      </c>
      <c r="L3628" s="11">
        <v>60000.0</v>
      </c>
      <c r="O3628" s="2" t="b">
        <v>0</v>
      </c>
    </row>
    <row r="3629" hidden="1">
      <c r="A3629" s="8" t="s">
        <v>2834</v>
      </c>
      <c r="B3629" s="8" t="s">
        <v>2834</v>
      </c>
      <c r="C3629" s="13">
        <v>46063.56616898148</v>
      </c>
      <c r="D3629" s="2" t="s">
        <v>2835</v>
      </c>
      <c r="E3629" s="2" t="s">
        <v>2836</v>
      </c>
      <c r="F3629" s="14" t="s">
        <v>4203</v>
      </c>
      <c r="G3629" s="14" t="s">
        <v>4204</v>
      </c>
      <c r="H3629" s="2" t="s">
        <v>16</v>
      </c>
      <c r="I3629" s="2" t="s">
        <v>3488</v>
      </c>
      <c r="J3629" s="2">
        <v>1.0</v>
      </c>
      <c r="K3629" s="23" t="s">
        <v>5695</v>
      </c>
      <c r="L3629" s="11">
        <v>60000.0</v>
      </c>
      <c r="O3629" s="2" t="b">
        <v>0</v>
      </c>
    </row>
    <row r="3630" hidden="1">
      <c r="A3630" s="8" t="s">
        <v>2838</v>
      </c>
      <c r="B3630" s="8" t="s">
        <v>2838</v>
      </c>
      <c r="C3630" s="13">
        <v>46063.62480324074</v>
      </c>
      <c r="D3630" s="2" t="s">
        <v>1904</v>
      </c>
      <c r="E3630" s="2" t="s">
        <v>1905</v>
      </c>
      <c r="F3630" s="14" t="s">
        <v>3486</v>
      </c>
      <c r="G3630" s="14" t="s">
        <v>3487</v>
      </c>
      <c r="H3630" s="2" t="s">
        <v>24</v>
      </c>
      <c r="I3630" s="2" t="s">
        <v>3491</v>
      </c>
      <c r="J3630" s="2">
        <v>1.0</v>
      </c>
      <c r="K3630" s="23" t="s">
        <v>3733</v>
      </c>
      <c r="L3630" s="11">
        <v>0.0</v>
      </c>
      <c r="O3630" s="2" t="b">
        <v>0</v>
      </c>
    </row>
    <row r="3631" hidden="1">
      <c r="A3631" s="8" t="s">
        <v>2838</v>
      </c>
      <c r="B3631" s="8" t="s">
        <v>2838</v>
      </c>
      <c r="C3631" s="13">
        <v>46063.62480324074</v>
      </c>
      <c r="D3631" s="2" t="s">
        <v>1904</v>
      </c>
      <c r="E3631" s="2" t="s">
        <v>1905</v>
      </c>
      <c r="F3631" s="14" t="s">
        <v>4203</v>
      </c>
      <c r="G3631" s="14" t="s">
        <v>4204</v>
      </c>
      <c r="H3631" s="2" t="s">
        <v>24</v>
      </c>
      <c r="I3631" s="2" t="s">
        <v>3491</v>
      </c>
      <c r="J3631" s="2">
        <v>1.0</v>
      </c>
      <c r="K3631" s="23" t="s">
        <v>6093</v>
      </c>
      <c r="L3631" s="11">
        <v>0.0</v>
      </c>
      <c r="O3631" s="2" t="b">
        <v>0</v>
      </c>
    </row>
    <row r="3632" hidden="1">
      <c r="A3632" s="8" t="s">
        <v>2838</v>
      </c>
      <c r="B3632" s="8" t="s">
        <v>2838</v>
      </c>
      <c r="C3632" s="13">
        <v>46063.62480324074</v>
      </c>
      <c r="D3632" s="2" t="s">
        <v>1904</v>
      </c>
      <c r="E3632" s="2" t="s">
        <v>1905</v>
      </c>
      <c r="F3632" s="14" t="s">
        <v>3516</v>
      </c>
      <c r="G3632" s="14" t="s">
        <v>3517</v>
      </c>
      <c r="H3632" s="2" t="s">
        <v>24</v>
      </c>
      <c r="I3632" s="2" t="s">
        <v>3491</v>
      </c>
      <c r="J3632" s="2">
        <v>1.0</v>
      </c>
      <c r="K3632" s="23" t="s">
        <v>6094</v>
      </c>
      <c r="L3632" s="11">
        <v>0.0</v>
      </c>
      <c r="O3632" s="2" t="b">
        <v>0</v>
      </c>
    </row>
    <row r="3633" hidden="1">
      <c r="A3633" s="8" t="s">
        <v>2839</v>
      </c>
      <c r="B3633" s="8" t="s">
        <v>2839</v>
      </c>
      <c r="C3633" s="13">
        <v>46063.62613425926</v>
      </c>
      <c r="D3633" s="2" t="s">
        <v>2640</v>
      </c>
      <c r="E3633" s="2" t="s">
        <v>2641</v>
      </c>
      <c r="F3633" s="14" t="s">
        <v>3486</v>
      </c>
      <c r="G3633" s="14" t="s">
        <v>3487</v>
      </c>
      <c r="H3633" s="2" t="s">
        <v>24</v>
      </c>
      <c r="I3633" s="2" t="s">
        <v>3491</v>
      </c>
      <c r="J3633" s="2">
        <v>3.0</v>
      </c>
      <c r="K3633" s="23" t="s">
        <v>6095</v>
      </c>
      <c r="L3633" s="11">
        <v>0.0</v>
      </c>
      <c r="O3633" s="2" t="b">
        <v>0</v>
      </c>
    </row>
    <row r="3634" hidden="1">
      <c r="A3634" s="8" t="s">
        <v>2839</v>
      </c>
      <c r="B3634" s="8" t="s">
        <v>2839</v>
      </c>
      <c r="C3634" s="13">
        <v>46063.62613425926</v>
      </c>
      <c r="D3634" s="2" t="s">
        <v>2640</v>
      </c>
      <c r="E3634" s="2" t="s">
        <v>2641</v>
      </c>
      <c r="F3634" s="14" t="s">
        <v>3516</v>
      </c>
      <c r="G3634" s="14" t="s">
        <v>3517</v>
      </c>
      <c r="H3634" s="2" t="s">
        <v>24</v>
      </c>
      <c r="I3634" s="2" t="s">
        <v>3491</v>
      </c>
      <c r="J3634" s="2">
        <v>2.0</v>
      </c>
      <c r="K3634" s="23" t="s">
        <v>6096</v>
      </c>
      <c r="L3634" s="11">
        <v>0.0</v>
      </c>
      <c r="O3634" s="2" t="b">
        <v>0</v>
      </c>
    </row>
    <row r="3635" hidden="1">
      <c r="A3635" s="8" t="s">
        <v>2839</v>
      </c>
      <c r="B3635" s="8" t="s">
        <v>2839</v>
      </c>
      <c r="C3635" s="13">
        <v>46063.62613425926</v>
      </c>
      <c r="D3635" s="2" t="s">
        <v>2640</v>
      </c>
      <c r="E3635" s="2" t="s">
        <v>2641</v>
      </c>
      <c r="F3635" s="14" t="s">
        <v>3493</v>
      </c>
      <c r="G3635" s="14" t="s">
        <v>3494</v>
      </c>
      <c r="H3635" s="2" t="s">
        <v>24</v>
      </c>
      <c r="I3635" s="2" t="s">
        <v>3491</v>
      </c>
      <c r="J3635" s="2">
        <v>1.0</v>
      </c>
      <c r="K3635" s="12" t="s">
        <v>5817</v>
      </c>
      <c r="L3635" s="11">
        <v>0.0</v>
      </c>
      <c r="O3635" s="2" t="b">
        <v>0</v>
      </c>
    </row>
    <row r="3636" hidden="1">
      <c r="A3636" s="8" t="s">
        <v>2840</v>
      </c>
      <c r="B3636" s="8" t="s">
        <v>2840</v>
      </c>
      <c r="C3636" s="13">
        <v>46063.726273148146</v>
      </c>
      <c r="D3636" s="2" t="s">
        <v>320</v>
      </c>
      <c r="E3636" s="2" t="s">
        <v>321</v>
      </c>
      <c r="F3636" s="14" t="s">
        <v>3486</v>
      </c>
      <c r="G3636" s="14" t="s">
        <v>3487</v>
      </c>
      <c r="H3636" s="2" t="s">
        <v>24</v>
      </c>
      <c r="I3636" s="2" t="s">
        <v>3491</v>
      </c>
      <c r="J3636" s="2">
        <v>1.0</v>
      </c>
      <c r="K3636" s="23" t="s">
        <v>4480</v>
      </c>
      <c r="L3636" s="11">
        <v>0.0</v>
      </c>
      <c r="O3636" s="2" t="b">
        <v>0</v>
      </c>
    </row>
    <row r="3637" hidden="1">
      <c r="A3637" s="8" t="s">
        <v>2840</v>
      </c>
      <c r="B3637" s="8" t="s">
        <v>2840</v>
      </c>
      <c r="C3637" s="13">
        <v>46063.726273148146</v>
      </c>
      <c r="D3637" s="2" t="s">
        <v>320</v>
      </c>
      <c r="E3637" s="2" t="s">
        <v>321</v>
      </c>
      <c r="F3637" s="14" t="s">
        <v>3516</v>
      </c>
      <c r="G3637" s="14" t="s">
        <v>3517</v>
      </c>
      <c r="H3637" s="2" t="s">
        <v>24</v>
      </c>
      <c r="I3637" s="2" t="s">
        <v>3491</v>
      </c>
      <c r="J3637" s="2">
        <v>2.0</v>
      </c>
      <c r="K3637" s="23" t="s">
        <v>6097</v>
      </c>
      <c r="L3637" s="11">
        <v>0.0</v>
      </c>
      <c r="O3637" s="2" t="b">
        <v>0</v>
      </c>
    </row>
    <row r="3638" hidden="1">
      <c r="A3638" s="8" t="s">
        <v>2841</v>
      </c>
      <c r="B3638" s="8" t="s">
        <v>2841</v>
      </c>
      <c r="C3638" s="13">
        <v>46063.726805555554</v>
      </c>
      <c r="D3638" s="2" t="s">
        <v>904</v>
      </c>
      <c r="E3638" s="2" t="s">
        <v>905</v>
      </c>
      <c r="F3638" s="14" t="s">
        <v>3493</v>
      </c>
      <c r="G3638" s="14" t="s">
        <v>3494</v>
      </c>
      <c r="H3638" s="2" t="s">
        <v>24</v>
      </c>
      <c r="I3638" s="2" t="s">
        <v>3491</v>
      </c>
      <c r="J3638" s="2">
        <v>1.0</v>
      </c>
      <c r="K3638" s="12" t="s">
        <v>6078</v>
      </c>
      <c r="L3638" s="11">
        <v>0.0</v>
      </c>
      <c r="O3638" s="2" t="b">
        <v>0</v>
      </c>
    </row>
    <row r="3639" hidden="1">
      <c r="A3639" s="8" t="s">
        <v>2842</v>
      </c>
      <c r="B3639" s="8" t="s">
        <v>2842</v>
      </c>
      <c r="C3639" s="13">
        <v>46063.727106481485</v>
      </c>
      <c r="D3639" s="2" t="s">
        <v>326</v>
      </c>
      <c r="E3639" s="2" t="s">
        <v>327</v>
      </c>
      <c r="F3639" s="14" t="s">
        <v>3486</v>
      </c>
      <c r="G3639" s="14" t="s">
        <v>3487</v>
      </c>
      <c r="H3639" s="2" t="s">
        <v>24</v>
      </c>
      <c r="I3639" s="2" t="s">
        <v>3491</v>
      </c>
      <c r="J3639" s="2">
        <v>3.0</v>
      </c>
      <c r="K3639" s="23" t="s">
        <v>6098</v>
      </c>
      <c r="L3639" s="11">
        <v>0.0</v>
      </c>
      <c r="O3639" s="2" t="b">
        <v>0</v>
      </c>
    </row>
    <row r="3640" hidden="1">
      <c r="A3640" s="8" t="s">
        <v>2843</v>
      </c>
      <c r="B3640" s="8" t="s">
        <v>2843</v>
      </c>
      <c r="C3640" s="13">
        <v>46064.359664351854</v>
      </c>
      <c r="D3640" s="2" t="s">
        <v>320</v>
      </c>
      <c r="E3640" s="2" t="s">
        <v>321</v>
      </c>
      <c r="F3640" s="14" t="s">
        <v>3516</v>
      </c>
      <c r="G3640" s="14" t="s">
        <v>3517</v>
      </c>
      <c r="H3640" s="2" t="s">
        <v>16</v>
      </c>
      <c r="I3640" s="2" t="s">
        <v>3488</v>
      </c>
      <c r="J3640" s="2">
        <v>2.0</v>
      </c>
      <c r="K3640" s="23" t="s">
        <v>6099</v>
      </c>
      <c r="L3640" s="11">
        <v>190000.0</v>
      </c>
      <c r="O3640" s="2" t="b">
        <v>0</v>
      </c>
    </row>
    <row r="3641" hidden="1">
      <c r="A3641" s="8" t="s">
        <v>2844</v>
      </c>
      <c r="B3641" s="8" t="s">
        <v>2844</v>
      </c>
      <c r="C3641" s="13">
        <v>46064.41303240741</v>
      </c>
      <c r="D3641" s="2" t="s">
        <v>320</v>
      </c>
      <c r="E3641" s="2" t="s">
        <v>321</v>
      </c>
      <c r="F3641" s="14" t="s">
        <v>3486</v>
      </c>
      <c r="G3641" s="14" t="s">
        <v>3487</v>
      </c>
      <c r="H3641" s="2" t="s">
        <v>24</v>
      </c>
      <c r="I3641" s="2" t="s">
        <v>3491</v>
      </c>
      <c r="J3641" s="2">
        <v>2.0</v>
      </c>
      <c r="K3641" s="23" t="s">
        <v>6100</v>
      </c>
      <c r="L3641" s="11">
        <v>0.0</v>
      </c>
      <c r="O3641" s="2" t="b">
        <v>0</v>
      </c>
    </row>
    <row r="3642" hidden="1">
      <c r="A3642" s="8" t="s">
        <v>2844</v>
      </c>
      <c r="B3642" s="8" t="s">
        <v>2844</v>
      </c>
      <c r="C3642" s="13">
        <v>46064.41303240741</v>
      </c>
      <c r="D3642" s="2" t="s">
        <v>320</v>
      </c>
      <c r="E3642" s="2" t="s">
        <v>321</v>
      </c>
      <c r="F3642" s="14" t="s">
        <v>3516</v>
      </c>
      <c r="G3642" s="14" t="s">
        <v>3517</v>
      </c>
      <c r="H3642" s="2" t="s">
        <v>24</v>
      </c>
      <c r="I3642" s="2" t="s">
        <v>3491</v>
      </c>
      <c r="J3642" s="2">
        <v>1.0</v>
      </c>
      <c r="K3642" s="23" t="s">
        <v>5471</v>
      </c>
      <c r="L3642" s="11">
        <v>0.0</v>
      </c>
      <c r="O3642" s="2" t="b">
        <v>0</v>
      </c>
    </row>
    <row r="3643" hidden="1">
      <c r="A3643" s="8" t="s">
        <v>2845</v>
      </c>
      <c r="B3643" s="8" t="s">
        <v>2845</v>
      </c>
      <c r="C3643" s="13">
        <v>46064.4174537037</v>
      </c>
      <c r="D3643" s="2" t="s">
        <v>2131</v>
      </c>
      <c r="E3643" s="2" t="s">
        <v>2132</v>
      </c>
      <c r="F3643" s="14" t="s">
        <v>4203</v>
      </c>
      <c r="G3643" s="14" t="s">
        <v>4204</v>
      </c>
      <c r="H3643" s="2" t="s">
        <v>16</v>
      </c>
      <c r="I3643" s="2" t="s">
        <v>3488</v>
      </c>
      <c r="J3643" s="2">
        <v>13.0</v>
      </c>
      <c r="K3643" s="23" t="s">
        <v>6101</v>
      </c>
      <c r="L3643" s="11">
        <v>60000.0</v>
      </c>
      <c r="O3643" s="2" t="b">
        <v>0</v>
      </c>
    </row>
    <row r="3644" hidden="1">
      <c r="A3644" s="8" t="s">
        <v>2845</v>
      </c>
      <c r="B3644" s="8" t="s">
        <v>2845</v>
      </c>
      <c r="C3644" s="13">
        <v>46064.4174537037</v>
      </c>
      <c r="D3644" s="2" t="s">
        <v>2131</v>
      </c>
      <c r="E3644" s="2" t="s">
        <v>2132</v>
      </c>
      <c r="F3644" s="14" t="s">
        <v>3486</v>
      </c>
      <c r="G3644" s="14" t="s">
        <v>3487</v>
      </c>
      <c r="H3644" s="2" t="s">
        <v>16</v>
      </c>
      <c r="I3644" s="2" t="s">
        <v>3488</v>
      </c>
      <c r="J3644" s="2">
        <v>12.0</v>
      </c>
      <c r="K3644" s="23" t="s">
        <v>6102</v>
      </c>
      <c r="L3644" s="11">
        <v>60000.0</v>
      </c>
      <c r="O3644" s="2" t="b">
        <v>0</v>
      </c>
    </row>
    <row r="3645" hidden="1">
      <c r="A3645" s="8" t="s">
        <v>2846</v>
      </c>
      <c r="B3645" s="8" t="s">
        <v>2846</v>
      </c>
      <c r="C3645" s="13">
        <v>46064.533101851855</v>
      </c>
      <c r="D3645" s="2" t="s">
        <v>1873</v>
      </c>
      <c r="E3645" s="2" t="s">
        <v>1874</v>
      </c>
      <c r="F3645" s="14" t="s">
        <v>3486</v>
      </c>
      <c r="G3645" s="14" t="s">
        <v>3487</v>
      </c>
      <c r="H3645" s="2" t="s">
        <v>16</v>
      </c>
      <c r="I3645" s="2" t="s">
        <v>3488</v>
      </c>
      <c r="J3645" s="2">
        <v>2.0</v>
      </c>
      <c r="K3645" s="23" t="s">
        <v>6103</v>
      </c>
      <c r="L3645" s="11">
        <v>70000.0</v>
      </c>
      <c r="O3645" s="2" t="b">
        <v>0</v>
      </c>
    </row>
    <row r="3646" hidden="1">
      <c r="A3646" s="8" t="s">
        <v>2847</v>
      </c>
      <c r="B3646" s="8" t="s">
        <v>2847</v>
      </c>
      <c r="C3646" s="13">
        <v>46064.53320601852</v>
      </c>
      <c r="D3646" s="2" t="s">
        <v>2270</v>
      </c>
      <c r="E3646" s="2" t="s">
        <v>2271</v>
      </c>
      <c r="F3646" s="14" t="s">
        <v>4203</v>
      </c>
      <c r="G3646" s="14" t="s">
        <v>4204</v>
      </c>
      <c r="H3646" s="2" t="s">
        <v>16</v>
      </c>
      <c r="I3646" s="2" t="s">
        <v>3488</v>
      </c>
      <c r="J3646" s="2">
        <v>1.0</v>
      </c>
      <c r="K3646" s="23" t="s">
        <v>4412</v>
      </c>
      <c r="L3646" s="11">
        <v>75000.0</v>
      </c>
      <c r="O3646" s="2" t="b">
        <v>0</v>
      </c>
    </row>
    <row r="3647" hidden="1">
      <c r="A3647" s="8" t="s">
        <v>2848</v>
      </c>
      <c r="B3647" s="8" t="s">
        <v>2848</v>
      </c>
      <c r="C3647" s="13">
        <v>46064.57944444445</v>
      </c>
      <c r="D3647" s="2" t="s">
        <v>2266</v>
      </c>
      <c r="E3647" s="2" t="s">
        <v>2267</v>
      </c>
      <c r="F3647" s="14" t="s">
        <v>3486</v>
      </c>
      <c r="G3647" s="14" t="s">
        <v>3487</v>
      </c>
      <c r="H3647" s="2" t="s">
        <v>16</v>
      </c>
      <c r="I3647" s="2" t="s">
        <v>3488</v>
      </c>
      <c r="J3647" s="2">
        <v>2.0</v>
      </c>
      <c r="K3647" s="23" t="s">
        <v>6104</v>
      </c>
      <c r="L3647" s="11">
        <v>65000.0</v>
      </c>
      <c r="O3647" s="2" t="b">
        <v>0</v>
      </c>
    </row>
    <row r="3648" hidden="1">
      <c r="A3648" s="8" t="s">
        <v>2849</v>
      </c>
      <c r="B3648" s="8" t="s">
        <v>2849</v>
      </c>
      <c r="C3648" s="13">
        <v>46064.581458333334</v>
      </c>
      <c r="D3648" s="2" t="s">
        <v>2081</v>
      </c>
      <c r="E3648" s="2" t="s">
        <v>2082</v>
      </c>
      <c r="F3648" s="14" t="s">
        <v>3506</v>
      </c>
      <c r="G3648" s="14" t="s">
        <v>3507</v>
      </c>
      <c r="H3648" s="2" t="s">
        <v>16</v>
      </c>
      <c r="I3648" s="2" t="s">
        <v>3488</v>
      </c>
      <c r="J3648" s="2">
        <v>2.0</v>
      </c>
      <c r="K3648" s="12"/>
      <c r="L3648" s="11">
        <v>55000.0</v>
      </c>
      <c r="O3648" s="2" t="b">
        <v>0</v>
      </c>
    </row>
    <row r="3649" hidden="1">
      <c r="A3649" s="8" t="s">
        <v>2850</v>
      </c>
      <c r="B3649" s="8" t="s">
        <v>2850</v>
      </c>
      <c r="C3649" s="13">
        <v>46065.35418981482</v>
      </c>
      <c r="D3649" s="2" t="s">
        <v>2266</v>
      </c>
      <c r="E3649" s="2" t="s">
        <v>2267</v>
      </c>
      <c r="F3649" s="14" t="s">
        <v>3486</v>
      </c>
      <c r="G3649" s="14" t="s">
        <v>3487</v>
      </c>
      <c r="H3649" s="2" t="s">
        <v>24</v>
      </c>
      <c r="I3649" s="2" t="s">
        <v>3491</v>
      </c>
      <c r="J3649" s="2">
        <v>1.0</v>
      </c>
      <c r="K3649" s="23" t="s">
        <v>4170</v>
      </c>
      <c r="L3649" s="11">
        <v>0.0</v>
      </c>
      <c r="O3649" s="2" t="b">
        <v>0</v>
      </c>
    </row>
    <row r="3650" hidden="1">
      <c r="A3650" s="8" t="s">
        <v>2850</v>
      </c>
      <c r="B3650" s="8" t="s">
        <v>2850</v>
      </c>
      <c r="C3650" s="13">
        <v>46065.35418981482</v>
      </c>
      <c r="D3650" s="2" t="s">
        <v>2266</v>
      </c>
      <c r="E3650" s="2" t="s">
        <v>2267</v>
      </c>
      <c r="F3650" s="14" t="s">
        <v>4203</v>
      </c>
      <c r="G3650" s="14" t="s">
        <v>4204</v>
      </c>
      <c r="H3650" s="2" t="s">
        <v>24</v>
      </c>
      <c r="I3650" s="2" t="s">
        <v>3491</v>
      </c>
      <c r="J3650" s="2">
        <v>1.0</v>
      </c>
      <c r="K3650" s="23" t="s">
        <v>5892</v>
      </c>
      <c r="L3650" s="11">
        <v>0.0</v>
      </c>
      <c r="O3650" s="2" t="b">
        <v>0</v>
      </c>
    </row>
    <row r="3651" hidden="1">
      <c r="A3651" s="8" t="s">
        <v>2851</v>
      </c>
      <c r="B3651" s="8" t="s">
        <v>2851</v>
      </c>
      <c r="C3651" s="13">
        <v>46065.357465277775</v>
      </c>
      <c r="D3651" s="2" t="s">
        <v>679</v>
      </c>
      <c r="E3651" s="2" t="s">
        <v>680</v>
      </c>
      <c r="F3651" s="14" t="s">
        <v>4203</v>
      </c>
      <c r="G3651" s="14" t="s">
        <v>4204</v>
      </c>
      <c r="H3651" s="2" t="s">
        <v>24</v>
      </c>
      <c r="I3651" s="2" t="s">
        <v>3491</v>
      </c>
      <c r="J3651" s="2">
        <v>1.0</v>
      </c>
      <c r="K3651" s="23" t="s">
        <v>6105</v>
      </c>
      <c r="L3651" s="11">
        <v>0.0</v>
      </c>
      <c r="O3651" s="2" t="b">
        <v>0</v>
      </c>
    </row>
    <row r="3652" hidden="1">
      <c r="A3652" s="8" t="s">
        <v>2852</v>
      </c>
      <c r="B3652" s="8" t="s">
        <v>2852</v>
      </c>
      <c r="C3652" s="13">
        <v>46065.357986111114</v>
      </c>
      <c r="D3652" s="2" t="s">
        <v>1873</v>
      </c>
      <c r="E3652" s="2" t="s">
        <v>1874</v>
      </c>
      <c r="F3652" s="14" t="s">
        <v>3486</v>
      </c>
      <c r="G3652" s="14" t="s">
        <v>3487</v>
      </c>
      <c r="H3652" s="2" t="s">
        <v>24</v>
      </c>
      <c r="I3652" s="2" t="s">
        <v>3491</v>
      </c>
      <c r="J3652" s="2">
        <v>1.0</v>
      </c>
      <c r="K3652" s="23" t="s">
        <v>5887</v>
      </c>
      <c r="L3652" s="11">
        <v>0.0</v>
      </c>
      <c r="O3652" s="2" t="b">
        <v>0</v>
      </c>
    </row>
    <row r="3653" hidden="1">
      <c r="A3653" s="8" t="s">
        <v>2852</v>
      </c>
      <c r="B3653" s="8" t="s">
        <v>2852</v>
      </c>
      <c r="C3653" s="13">
        <v>46065.357986111114</v>
      </c>
      <c r="D3653" s="2" t="s">
        <v>1873</v>
      </c>
      <c r="E3653" s="2" t="s">
        <v>1874</v>
      </c>
      <c r="F3653" s="14" t="s">
        <v>3486</v>
      </c>
      <c r="G3653" s="14" t="s">
        <v>3487</v>
      </c>
      <c r="H3653" s="2" t="s">
        <v>24</v>
      </c>
      <c r="I3653" s="2" t="s">
        <v>3491</v>
      </c>
      <c r="J3653" s="2">
        <v>1.0</v>
      </c>
      <c r="K3653" s="23" t="s">
        <v>6106</v>
      </c>
      <c r="L3653" s="11">
        <v>0.0</v>
      </c>
      <c r="O3653" s="2" t="b">
        <v>1</v>
      </c>
    </row>
    <row r="3654" hidden="1">
      <c r="A3654" s="8" t="s">
        <v>2853</v>
      </c>
      <c r="B3654" s="8" t="s">
        <v>2853</v>
      </c>
      <c r="C3654" s="13">
        <v>46065.35990740741</v>
      </c>
      <c r="D3654" s="2" t="s">
        <v>2270</v>
      </c>
      <c r="E3654" s="2" t="s">
        <v>2271</v>
      </c>
      <c r="F3654" s="14" t="s">
        <v>4203</v>
      </c>
      <c r="G3654" s="14" t="s">
        <v>4204</v>
      </c>
      <c r="H3654" s="2" t="s">
        <v>24</v>
      </c>
      <c r="I3654" s="2" t="s">
        <v>3491</v>
      </c>
      <c r="J3654" s="2">
        <v>1.0</v>
      </c>
      <c r="K3654" s="23" t="s">
        <v>5408</v>
      </c>
      <c r="L3654" s="11">
        <v>0.0</v>
      </c>
      <c r="O3654" s="2" t="b">
        <v>0</v>
      </c>
    </row>
    <row r="3655" hidden="1">
      <c r="A3655" s="8" t="s">
        <v>2854</v>
      </c>
      <c r="B3655" s="8" t="s">
        <v>2854</v>
      </c>
      <c r="C3655" s="13">
        <v>46065.36027777778</v>
      </c>
      <c r="D3655" s="2" t="s">
        <v>2081</v>
      </c>
      <c r="E3655" s="2" t="s">
        <v>2082</v>
      </c>
      <c r="F3655" s="14" t="s">
        <v>3486</v>
      </c>
      <c r="G3655" s="14" t="s">
        <v>3487</v>
      </c>
      <c r="H3655" s="2" t="s">
        <v>24</v>
      </c>
      <c r="I3655" s="2" t="s">
        <v>3491</v>
      </c>
      <c r="J3655" s="2">
        <v>1.0</v>
      </c>
      <c r="K3655" s="23" t="s">
        <v>4566</v>
      </c>
      <c r="L3655" s="11">
        <v>0.0</v>
      </c>
      <c r="O3655" s="2" t="b">
        <v>0</v>
      </c>
    </row>
    <row r="3656" hidden="1">
      <c r="A3656" s="8" t="s">
        <v>2855</v>
      </c>
      <c r="B3656" s="8" t="s">
        <v>2855</v>
      </c>
      <c r="C3656" s="13">
        <v>46065.38045138889</v>
      </c>
      <c r="D3656" s="2" t="s">
        <v>2640</v>
      </c>
      <c r="E3656" s="2" t="s">
        <v>2641</v>
      </c>
      <c r="F3656" s="14" t="s">
        <v>3486</v>
      </c>
      <c r="G3656" s="14" t="s">
        <v>3487</v>
      </c>
      <c r="H3656" s="2" t="s">
        <v>16</v>
      </c>
      <c r="I3656" s="2" t="s">
        <v>3488</v>
      </c>
      <c r="J3656" s="2">
        <v>5.0</v>
      </c>
      <c r="K3656" s="23" t="s">
        <v>6107</v>
      </c>
      <c r="L3656" s="11">
        <v>60000.0</v>
      </c>
      <c r="O3656" s="2" t="b">
        <v>0</v>
      </c>
    </row>
    <row r="3657" hidden="1">
      <c r="A3657" s="8" t="s">
        <v>2855</v>
      </c>
      <c r="B3657" s="8" t="s">
        <v>2855</v>
      </c>
      <c r="C3657" s="13">
        <v>46065.38045138889</v>
      </c>
      <c r="D3657" s="2" t="s">
        <v>2640</v>
      </c>
      <c r="E3657" s="2" t="s">
        <v>2641</v>
      </c>
      <c r="F3657" s="14" t="s">
        <v>3516</v>
      </c>
      <c r="G3657" s="14" t="s">
        <v>3517</v>
      </c>
      <c r="H3657" s="2" t="s">
        <v>16</v>
      </c>
      <c r="I3657" s="2" t="s">
        <v>3488</v>
      </c>
      <c r="J3657" s="2">
        <v>4.0</v>
      </c>
      <c r="K3657" s="23" t="s">
        <v>6108</v>
      </c>
      <c r="L3657" s="11">
        <v>190000.0</v>
      </c>
      <c r="O3657" s="2" t="b">
        <v>0</v>
      </c>
    </row>
    <row r="3658" hidden="1">
      <c r="A3658" s="8" t="s">
        <v>2856</v>
      </c>
      <c r="B3658" s="8" t="s">
        <v>2856</v>
      </c>
      <c r="C3658" s="13">
        <v>46065.434525462966</v>
      </c>
      <c r="D3658" s="2" t="s">
        <v>786</v>
      </c>
      <c r="E3658" s="2" t="s">
        <v>787</v>
      </c>
      <c r="F3658" s="14" t="s">
        <v>3486</v>
      </c>
      <c r="G3658" s="14" t="s">
        <v>3487</v>
      </c>
      <c r="H3658" s="2" t="s">
        <v>16</v>
      </c>
      <c r="I3658" s="2" t="s">
        <v>3488</v>
      </c>
      <c r="J3658" s="2">
        <v>3.0</v>
      </c>
      <c r="K3658" s="23" t="s">
        <v>6109</v>
      </c>
      <c r="L3658" s="11">
        <v>60000.0</v>
      </c>
      <c r="O3658" s="2" t="b">
        <v>0</v>
      </c>
    </row>
    <row r="3659" hidden="1">
      <c r="A3659" s="8" t="s">
        <v>2857</v>
      </c>
      <c r="B3659" s="8" t="s">
        <v>2857</v>
      </c>
      <c r="C3659" s="13">
        <v>46065.47414351852</v>
      </c>
      <c r="D3659" s="2" t="s">
        <v>1613</v>
      </c>
      <c r="E3659" s="2" t="s">
        <v>1614</v>
      </c>
      <c r="F3659" s="14" t="s">
        <v>3486</v>
      </c>
      <c r="G3659" s="14" t="s">
        <v>3487</v>
      </c>
      <c r="H3659" s="2" t="s">
        <v>16</v>
      </c>
      <c r="I3659" s="2" t="s">
        <v>3488</v>
      </c>
      <c r="J3659" s="2">
        <v>2.0</v>
      </c>
      <c r="K3659" s="23" t="s">
        <v>6110</v>
      </c>
      <c r="L3659" s="11">
        <v>65000.0</v>
      </c>
      <c r="O3659" s="2" t="b">
        <v>0</v>
      </c>
    </row>
    <row r="3660" hidden="1">
      <c r="A3660" s="8" t="s">
        <v>2856</v>
      </c>
      <c r="B3660" s="8" t="s">
        <v>2856</v>
      </c>
      <c r="C3660" s="13">
        <v>46065.434525462966</v>
      </c>
      <c r="D3660" s="2" t="s">
        <v>786</v>
      </c>
      <c r="E3660" s="2" t="s">
        <v>787</v>
      </c>
      <c r="F3660" s="14" t="s">
        <v>3516</v>
      </c>
      <c r="G3660" s="14" t="s">
        <v>3517</v>
      </c>
      <c r="H3660" s="2" t="s">
        <v>16</v>
      </c>
      <c r="I3660" s="2" t="s">
        <v>3488</v>
      </c>
      <c r="J3660" s="2">
        <v>2.0</v>
      </c>
      <c r="K3660" s="23" t="s">
        <v>6111</v>
      </c>
      <c r="L3660" s="11">
        <v>180000.0</v>
      </c>
      <c r="O3660" s="2" t="b">
        <v>0</v>
      </c>
    </row>
    <row r="3661" hidden="1">
      <c r="A3661" s="8" t="s">
        <v>2858</v>
      </c>
      <c r="B3661" s="8" t="s">
        <v>2858</v>
      </c>
      <c r="C3661" s="13">
        <v>46065.60965277778</v>
      </c>
      <c r="D3661" s="2" t="s">
        <v>951</v>
      </c>
      <c r="E3661" s="2" t="s">
        <v>952</v>
      </c>
      <c r="F3661" s="14" t="s">
        <v>3486</v>
      </c>
      <c r="G3661" s="14" t="s">
        <v>3487</v>
      </c>
      <c r="H3661" s="2" t="s">
        <v>16</v>
      </c>
      <c r="I3661" s="2" t="s">
        <v>3488</v>
      </c>
      <c r="J3661" s="2">
        <v>6.0</v>
      </c>
      <c r="K3661" s="23" t="s">
        <v>6112</v>
      </c>
      <c r="L3661" s="11">
        <v>55000.0</v>
      </c>
      <c r="O3661" s="2" t="b">
        <v>0</v>
      </c>
    </row>
    <row r="3662" hidden="1">
      <c r="A3662" s="8" t="s">
        <v>2859</v>
      </c>
      <c r="B3662" s="8" t="s">
        <v>2859</v>
      </c>
      <c r="C3662" s="13">
        <v>46065.70508101852</v>
      </c>
      <c r="D3662" s="2" t="s">
        <v>1613</v>
      </c>
      <c r="E3662" s="2" t="s">
        <v>1614</v>
      </c>
      <c r="F3662" s="14" t="s">
        <v>4203</v>
      </c>
      <c r="G3662" s="14" t="s">
        <v>4204</v>
      </c>
      <c r="H3662" s="2" t="s">
        <v>24</v>
      </c>
      <c r="I3662" s="2" t="s">
        <v>3491</v>
      </c>
      <c r="J3662" s="2">
        <v>1.0</v>
      </c>
      <c r="K3662" s="23" t="s">
        <v>5965</v>
      </c>
      <c r="L3662" s="11">
        <v>0.0</v>
      </c>
      <c r="O3662" s="2" t="b">
        <v>0</v>
      </c>
    </row>
    <row r="3663" hidden="1">
      <c r="A3663" s="8" t="s">
        <v>2860</v>
      </c>
      <c r="B3663" s="8" t="s">
        <v>2860</v>
      </c>
      <c r="C3663" s="13">
        <v>46065.70569444444</v>
      </c>
      <c r="D3663" s="2" t="s">
        <v>951</v>
      </c>
      <c r="E3663" s="2" t="s">
        <v>952</v>
      </c>
      <c r="F3663" s="14" t="s">
        <v>3486</v>
      </c>
      <c r="G3663" s="14" t="s">
        <v>3487</v>
      </c>
      <c r="H3663" s="2" t="s">
        <v>24</v>
      </c>
      <c r="I3663" s="2" t="s">
        <v>3491</v>
      </c>
      <c r="J3663" s="2">
        <v>6.0</v>
      </c>
      <c r="K3663" s="23" t="s">
        <v>6113</v>
      </c>
      <c r="L3663" s="11">
        <v>0.0</v>
      </c>
      <c r="O3663" s="2" t="b">
        <v>0</v>
      </c>
    </row>
    <row r="3664" hidden="1">
      <c r="A3664" s="8" t="s">
        <v>2860</v>
      </c>
      <c r="B3664" s="8" t="s">
        <v>2860</v>
      </c>
      <c r="C3664" s="13">
        <v>46065.70569444444</v>
      </c>
      <c r="D3664" s="2" t="s">
        <v>951</v>
      </c>
      <c r="E3664" s="2" t="s">
        <v>952</v>
      </c>
      <c r="F3664" s="14" t="s">
        <v>3516</v>
      </c>
      <c r="G3664" s="14" t="s">
        <v>3517</v>
      </c>
      <c r="H3664" s="2" t="s">
        <v>24</v>
      </c>
      <c r="I3664" s="2" t="s">
        <v>3491</v>
      </c>
      <c r="J3664" s="2">
        <v>2.0</v>
      </c>
      <c r="K3664" s="23" t="s">
        <v>6114</v>
      </c>
      <c r="L3664" s="11">
        <v>0.0</v>
      </c>
      <c r="O3664" s="2" t="b">
        <v>0</v>
      </c>
    </row>
    <row r="3665" hidden="1">
      <c r="A3665" s="8" t="s">
        <v>2861</v>
      </c>
      <c r="B3665" s="8" t="s">
        <v>2861</v>
      </c>
      <c r="C3665" s="13">
        <v>46065.71207175926</v>
      </c>
      <c r="D3665" s="2" t="s">
        <v>1993</v>
      </c>
      <c r="E3665" s="2" t="s">
        <v>1994</v>
      </c>
      <c r="F3665" s="14" t="s">
        <v>3516</v>
      </c>
      <c r="G3665" s="14" t="s">
        <v>3517</v>
      </c>
      <c r="H3665" s="2" t="s">
        <v>24</v>
      </c>
      <c r="I3665" s="2" t="s">
        <v>3491</v>
      </c>
      <c r="J3665" s="2">
        <v>2.0</v>
      </c>
      <c r="K3665" s="23" t="s">
        <v>6115</v>
      </c>
      <c r="L3665" s="11">
        <v>0.0</v>
      </c>
      <c r="O3665" s="2" t="b">
        <v>0</v>
      </c>
    </row>
    <row r="3666" hidden="1">
      <c r="A3666" s="8" t="s">
        <v>2861</v>
      </c>
      <c r="B3666" s="8" t="s">
        <v>2861</v>
      </c>
      <c r="C3666" s="13">
        <v>46065.71207175926</v>
      </c>
      <c r="D3666" s="2" t="s">
        <v>1993</v>
      </c>
      <c r="E3666" s="2" t="s">
        <v>1994</v>
      </c>
      <c r="F3666" s="14" t="s">
        <v>3486</v>
      </c>
      <c r="G3666" s="14" t="s">
        <v>3487</v>
      </c>
      <c r="H3666" s="2" t="s">
        <v>24</v>
      </c>
      <c r="I3666" s="2" t="s">
        <v>3491</v>
      </c>
      <c r="J3666" s="2">
        <v>5.0</v>
      </c>
      <c r="K3666" s="23" t="s">
        <v>6116</v>
      </c>
      <c r="L3666" s="11">
        <v>0.0</v>
      </c>
      <c r="O3666" s="2" t="b">
        <v>0</v>
      </c>
    </row>
    <row r="3667" hidden="1">
      <c r="A3667" s="8" t="s">
        <v>2862</v>
      </c>
      <c r="B3667" s="8" t="s">
        <v>2862</v>
      </c>
      <c r="C3667" s="13">
        <v>46065.71296296296</v>
      </c>
      <c r="D3667" s="2" t="s">
        <v>2640</v>
      </c>
      <c r="E3667" s="2" t="s">
        <v>2641</v>
      </c>
      <c r="F3667" s="14" t="s">
        <v>3486</v>
      </c>
      <c r="G3667" s="14" t="s">
        <v>3487</v>
      </c>
      <c r="H3667" s="2" t="s">
        <v>24</v>
      </c>
      <c r="I3667" s="2" t="s">
        <v>3491</v>
      </c>
      <c r="J3667" s="2">
        <v>4.0</v>
      </c>
      <c r="K3667" s="23" t="s">
        <v>6117</v>
      </c>
      <c r="L3667" s="11">
        <v>0.0</v>
      </c>
      <c r="O3667" s="2" t="b">
        <v>0</v>
      </c>
    </row>
    <row r="3668" hidden="1">
      <c r="A3668" s="8" t="s">
        <v>2862</v>
      </c>
      <c r="B3668" s="8" t="s">
        <v>2862</v>
      </c>
      <c r="C3668" s="13">
        <v>46065.71296296296</v>
      </c>
      <c r="D3668" s="2" t="s">
        <v>2640</v>
      </c>
      <c r="E3668" s="2" t="s">
        <v>2641</v>
      </c>
      <c r="F3668" s="14" t="s">
        <v>3516</v>
      </c>
      <c r="G3668" s="14" t="s">
        <v>3517</v>
      </c>
      <c r="H3668" s="2" t="s">
        <v>24</v>
      </c>
      <c r="I3668" s="2" t="s">
        <v>3491</v>
      </c>
      <c r="J3668" s="2">
        <v>2.0</v>
      </c>
      <c r="K3668" s="23" t="s">
        <v>6118</v>
      </c>
      <c r="L3668" s="11">
        <v>0.0</v>
      </c>
      <c r="O3668" s="2" t="b">
        <v>0</v>
      </c>
    </row>
    <row r="3669" hidden="1">
      <c r="A3669" s="8" t="s">
        <v>2863</v>
      </c>
      <c r="B3669" s="8" t="s">
        <v>2863</v>
      </c>
      <c r="C3669" s="13">
        <v>46065.713587962964</v>
      </c>
      <c r="D3669" s="2" t="s">
        <v>786</v>
      </c>
      <c r="E3669" s="2" t="s">
        <v>787</v>
      </c>
      <c r="F3669" s="14" t="s">
        <v>3486</v>
      </c>
      <c r="G3669" s="14" t="s">
        <v>3487</v>
      </c>
      <c r="H3669" s="2" t="s">
        <v>24</v>
      </c>
      <c r="I3669" s="2" t="s">
        <v>3491</v>
      </c>
      <c r="J3669" s="2">
        <v>6.0</v>
      </c>
      <c r="K3669" s="23" t="s">
        <v>6119</v>
      </c>
      <c r="L3669" s="11">
        <v>0.0</v>
      </c>
      <c r="O3669" s="2" t="b">
        <v>0</v>
      </c>
    </row>
    <row r="3670" hidden="1">
      <c r="A3670" s="8" t="s">
        <v>2863</v>
      </c>
      <c r="B3670" s="8" t="s">
        <v>2863</v>
      </c>
      <c r="C3670" s="13">
        <v>46065.713587962964</v>
      </c>
      <c r="D3670" s="2" t="s">
        <v>786</v>
      </c>
      <c r="E3670" s="2" t="s">
        <v>787</v>
      </c>
      <c r="F3670" s="14" t="s">
        <v>3516</v>
      </c>
      <c r="G3670" s="14" t="s">
        <v>3517</v>
      </c>
      <c r="H3670" s="2" t="s">
        <v>24</v>
      </c>
      <c r="I3670" s="2" t="s">
        <v>3491</v>
      </c>
      <c r="J3670" s="2">
        <v>1.0</v>
      </c>
      <c r="K3670" s="23" t="s">
        <v>6120</v>
      </c>
      <c r="L3670" s="11">
        <v>0.0</v>
      </c>
      <c r="O3670" s="2" t="b">
        <v>0</v>
      </c>
    </row>
    <row r="3671" hidden="1">
      <c r="A3671" s="8" t="s">
        <v>2864</v>
      </c>
      <c r="B3671" s="8" t="s">
        <v>2864</v>
      </c>
      <c r="C3671" s="13">
        <v>46066.35686342593</v>
      </c>
      <c r="D3671" s="2" t="s">
        <v>1873</v>
      </c>
      <c r="E3671" s="2" t="s">
        <v>1874</v>
      </c>
      <c r="F3671" s="14" t="s">
        <v>3486</v>
      </c>
      <c r="G3671" s="14" t="s">
        <v>3487</v>
      </c>
      <c r="H3671" s="2" t="s">
        <v>16</v>
      </c>
      <c r="I3671" s="2" t="s">
        <v>3488</v>
      </c>
      <c r="J3671" s="2">
        <v>2.0</v>
      </c>
      <c r="K3671" s="23" t="s">
        <v>6121</v>
      </c>
      <c r="L3671" s="11">
        <v>70000.0</v>
      </c>
      <c r="O3671" s="2" t="b">
        <v>0</v>
      </c>
    </row>
    <row r="3672" hidden="1">
      <c r="A3672" s="8" t="s">
        <v>2865</v>
      </c>
      <c r="B3672" s="8" t="s">
        <v>2865</v>
      </c>
      <c r="C3672" s="13">
        <v>46066.35747685185</v>
      </c>
      <c r="D3672" s="2" t="s">
        <v>951</v>
      </c>
      <c r="E3672" s="2" t="s">
        <v>952</v>
      </c>
      <c r="F3672" s="14" t="s">
        <v>3516</v>
      </c>
      <c r="G3672" s="14" t="s">
        <v>3517</v>
      </c>
      <c r="H3672" s="2" t="s">
        <v>16</v>
      </c>
      <c r="I3672" s="2" t="s">
        <v>3488</v>
      </c>
      <c r="J3672" s="2">
        <v>2.0</v>
      </c>
      <c r="K3672" s="23" t="s">
        <v>6122</v>
      </c>
      <c r="L3672" s="11">
        <v>175000.0</v>
      </c>
      <c r="O3672" s="2" t="b">
        <v>0</v>
      </c>
    </row>
    <row r="3673" hidden="1">
      <c r="A3673" s="8" t="s">
        <v>2868</v>
      </c>
      <c r="B3673" s="8" t="s">
        <v>2868</v>
      </c>
      <c r="C3673" s="13">
        <v>46066.405497685184</v>
      </c>
      <c r="D3673" s="2" t="s">
        <v>309</v>
      </c>
      <c r="E3673" s="2" t="s">
        <v>310</v>
      </c>
      <c r="F3673" s="14" t="s">
        <v>3493</v>
      </c>
      <c r="G3673" s="14" t="s">
        <v>3494</v>
      </c>
      <c r="H3673" s="2" t="s">
        <v>16</v>
      </c>
      <c r="I3673" s="2" t="s">
        <v>3488</v>
      </c>
      <c r="J3673" s="2">
        <v>3.0</v>
      </c>
      <c r="K3673" s="12" t="s">
        <v>6123</v>
      </c>
      <c r="L3673" s="11">
        <v>200000.0</v>
      </c>
      <c r="O3673" s="2" t="b">
        <v>0</v>
      </c>
    </row>
    <row r="3674" hidden="1">
      <c r="A3674" s="8" t="s">
        <v>2869</v>
      </c>
      <c r="B3674" s="8" t="s">
        <v>2869</v>
      </c>
      <c r="C3674" s="13">
        <v>46066.43284722222</v>
      </c>
      <c r="D3674" s="2" t="s">
        <v>1873</v>
      </c>
      <c r="E3674" s="2" t="s">
        <v>1874</v>
      </c>
      <c r="F3674" s="14" t="s">
        <v>4203</v>
      </c>
      <c r="G3674" s="14" t="s">
        <v>4204</v>
      </c>
      <c r="H3674" s="2" t="s">
        <v>16</v>
      </c>
      <c r="I3674" s="2" t="s">
        <v>3488</v>
      </c>
      <c r="J3674" s="2">
        <v>1.0</v>
      </c>
      <c r="K3674" s="23" t="s">
        <v>5408</v>
      </c>
      <c r="L3674" s="11">
        <v>70000.0</v>
      </c>
      <c r="O3674" s="2" t="b">
        <v>0</v>
      </c>
    </row>
    <row r="3675" hidden="1">
      <c r="A3675" s="1"/>
      <c r="B3675" s="1"/>
      <c r="C3675" s="13"/>
      <c r="D3675" s="2"/>
      <c r="E3675" s="2"/>
      <c r="F3675" s="14"/>
      <c r="G3675" s="14"/>
      <c r="H3675" s="2"/>
      <c r="I3675" s="2"/>
      <c r="J3675" s="2"/>
      <c r="K3675" s="12"/>
      <c r="L3675" s="11"/>
      <c r="O3675" s="2"/>
    </row>
    <row r="3676" hidden="1">
      <c r="A3676" s="8" t="s">
        <v>2861</v>
      </c>
      <c r="B3676" s="8" t="s">
        <v>2861</v>
      </c>
      <c r="C3676" s="13">
        <v>46065.71207175926</v>
      </c>
      <c r="D3676" s="2" t="s">
        <v>1993</v>
      </c>
      <c r="E3676" s="2" t="s">
        <v>1994</v>
      </c>
      <c r="F3676" s="14" t="s">
        <v>3493</v>
      </c>
      <c r="G3676" s="14" t="s">
        <v>3494</v>
      </c>
      <c r="H3676" s="2" t="s">
        <v>24</v>
      </c>
      <c r="I3676" s="2" t="s">
        <v>3491</v>
      </c>
      <c r="J3676" s="2">
        <v>2.0</v>
      </c>
      <c r="K3676" s="12"/>
      <c r="L3676" s="11">
        <v>0.0</v>
      </c>
      <c r="O3676" s="2" t="b">
        <v>0</v>
      </c>
    </row>
    <row r="3677" hidden="1">
      <c r="A3677" s="8" t="s">
        <v>2866</v>
      </c>
      <c r="B3677" s="8" t="s">
        <v>2866</v>
      </c>
      <c r="C3677" s="13">
        <v>46066.39770833333</v>
      </c>
      <c r="D3677" s="2" t="s">
        <v>49</v>
      </c>
      <c r="E3677" s="2" t="s">
        <v>50</v>
      </c>
      <c r="F3677" s="14" t="s">
        <v>3486</v>
      </c>
      <c r="G3677" s="14" t="s">
        <v>3487</v>
      </c>
      <c r="H3677" s="2" t="s">
        <v>16</v>
      </c>
      <c r="I3677" s="2" t="s">
        <v>3488</v>
      </c>
      <c r="J3677" s="2">
        <v>3.0</v>
      </c>
      <c r="K3677" s="23" t="s">
        <v>6124</v>
      </c>
      <c r="L3677" s="11">
        <v>60000.0</v>
      </c>
      <c r="O3677" s="2" t="b">
        <v>0</v>
      </c>
    </row>
    <row r="3678" hidden="1">
      <c r="A3678" s="8" t="s">
        <v>2870</v>
      </c>
      <c r="B3678" s="8" t="s">
        <v>2870</v>
      </c>
      <c r="C3678" s="13">
        <v>46066.436886574076</v>
      </c>
      <c r="D3678" s="2" t="s">
        <v>131</v>
      </c>
      <c r="E3678" s="2" t="s">
        <v>132</v>
      </c>
      <c r="F3678" s="14" t="s">
        <v>3516</v>
      </c>
      <c r="G3678" s="14" t="s">
        <v>3517</v>
      </c>
      <c r="H3678" s="2" t="s">
        <v>16</v>
      </c>
      <c r="I3678" s="2" t="s">
        <v>3488</v>
      </c>
      <c r="J3678" s="2">
        <v>5.0</v>
      </c>
      <c r="K3678" s="23" t="s">
        <v>6125</v>
      </c>
      <c r="L3678" s="11">
        <v>180000.0</v>
      </c>
      <c r="O3678" s="2" t="b">
        <v>0</v>
      </c>
    </row>
    <row r="3679" hidden="1">
      <c r="A3679" s="8" t="s">
        <v>2871</v>
      </c>
      <c r="B3679" s="8" t="s">
        <v>2871</v>
      </c>
      <c r="C3679" s="13">
        <v>46066.447800925926</v>
      </c>
      <c r="D3679" s="2" t="s">
        <v>1756</v>
      </c>
      <c r="E3679" s="2" t="s">
        <v>1757</v>
      </c>
      <c r="F3679" s="14" t="s">
        <v>3486</v>
      </c>
      <c r="G3679" s="14" t="s">
        <v>3487</v>
      </c>
      <c r="H3679" s="2" t="s">
        <v>16</v>
      </c>
      <c r="I3679" s="2" t="s">
        <v>3488</v>
      </c>
      <c r="J3679" s="2">
        <v>2.0</v>
      </c>
      <c r="K3679" s="23" t="s">
        <v>6126</v>
      </c>
      <c r="L3679" s="11">
        <v>65000.0</v>
      </c>
      <c r="O3679" s="2" t="b">
        <v>0</v>
      </c>
    </row>
    <row r="3680" hidden="1">
      <c r="A3680" s="8" t="s">
        <v>2872</v>
      </c>
      <c r="B3680" s="8" t="s">
        <v>2872</v>
      </c>
      <c r="C3680" s="13">
        <v>46066.52788194444</v>
      </c>
      <c r="D3680" s="2" t="s">
        <v>2640</v>
      </c>
      <c r="E3680" s="2" t="s">
        <v>2641</v>
      </c>
      <c r="F3680" s="14" t="s">
        <v>3493</v>
      </c>
      <c r="G3680" s="14" t="s">
        <v>3494</v>
      </c>
      <c r="H3680" s="2" t="s">
        <v>16</v>
      </c>
      <c r="I3680" s="2" t="s">
        <v>3488</v>
      </c>
      <c r="J3680" s="2">
        <v>1.0</v>
      </c>
      <c r="K3680" s="12"/>
      <c r="L3680" s="11">
        <v>205000.0</v>
      </c>
      <c r="O3680" s="2" t="b">
        <v>0</v>
      </c>
    </row>
    <row r="3681" hidden="1">
      <c r="A3681" s="8" t="s">
        <v>2873</v>
      </c>
      <c r="B3681" s="8" t="s">
        <v>2873</v>
      </c>
      <c r="C3681" s="13">
        <v>46066.56592592593</v>
      </c>
      <c r="D3681" s="2" t="s">
        <v>2543</v>
      </c>
      <c r="E3681" s="2" t="s">
        <v>2544</v>
      </c>
      <c r="F3681" s="14" t="s">
        <v>3516</v>
      </c>
      <c r="G3681" s="14" t="s">
        <v>3517</v>
      </c>
      <c r="H3681" s="2" t="s">
        <v>16</v>
      </c>
      <c r="I3681" s="2" t="s">
        <v>3488</v>
      </c>
      <c r="J3681" s="2">
        <v>2.0</v>
      </c>
      <c r="K3681" s="23" t="s">
        <v>6127</v>
      </c>
      <c r="L3681" s="11">
        <v>190000.0</v>
      </c>
      <c r="O3681" s="2" t="b">
        <v>0</v>
      </c>
    </row>
    <row r="3682" hidden="1">
      <c r="A3682" s="8" t="s">
        <v>2874</v>
      </c>
      <c r="B3682" s="8" t="s">
        <v>2874</v>
      </c>
      <c r="C3682" s="13">
        <v>46066.586018518516</v>
      </c>
      <c r="D3682" s="2" t="s">
        <v>1228</v>
      </c>
      <c r="E3682" s="2" t="s">
        <v>1229</v>
      </c>
      <c r="F3682" s="14" t="s">
        <v>3486</v>
      </c>
      <c r="G3682" s="14" t="s">
        <v>3487</v>
      </c>
      <c r="H3682" s="2" t="s">
        <v>24</v>
      </c>
      <c r="I3682" s="2" t="s">
        <v>3491</v>
      </c>
      <c r="J3682" s="2">
        <v>4.0</v>
      </c>
      <c r="K3682" s="23" t="s">
        <v>6128</v>
      </c>
      <c r="L3682" s="11">
        <v>0.0</v>
      </c>
      <c r="O3682" s="2" t="b">
        <v>0</v>
      </c>
    </row>
    <row r="3683" hidden="1">
      <c r="A3683" s="8" t="s">
        <v>2874</v>
      </c>
      <c r="B3683" s="8" t="s">
        <v>2874</v>
      </c>
      <c r="C3683" s="13">
        <v>46066.586018518516</v>
      </c>
      <c r="D3683" s="2" t="s">
        <v>1228</v>
      </c>
      <c r="E3683" s="2" t="s">
        <v>1229</v>
      </c>
      <c r="F3683" s="14" t="s">
        <v>3486</v>
      </c>
      <c r="G3683" s="14" t="s">
        <v>3487</v>
      </c>
      <c r="H3683" s="2" t="s">
        <v>24</v>
      </c>
      <c r="I3683" s="2" t="s">
        <v>3491</v>
      </c>
      <c r="J3683" s="2">
        <v>1.0</v>
      </c>
      <c r="K3683" s="23" t="s">
        <v>6129</v>
      </c>
      <c r="L3683" s="11">
        <v>0.0</v>
      </c>
      <c r="O3683" s="2" t="b">
        <v>1</v>
      </c>
    </row>
    <row r="3684" hidden="1">
      <c r="A3684" s="8" t="s">
        <v>2875</v>
      </c>
      <c r="B3684" s="8" t="s">
        <v>2875</v>
      </c>
      <c r="C3684" s="13">
        <v>46066.58856481482</v>
      </c>
      <c r="D3684" s="2" t="s">
        <v>309</v>
      </c>
      <c r="E3684" s="2" t="s">
        <v>310</v>
      </c>
      <c r="F3684" s="14" t="s">
        <v>3516</v>
      </c>
      <c r="G3684" s="14" t="s">
        <v>3517</v>
      </c>
      <c r="H3684" s="2" t="s">
        <v>24</v>
      </c>
      <c r="I3684" s="2" t="s">
        <v>3491</v>
      </c>
      <c r="J3684" s="2">
        <v>1.0</v>
      </c>
      <c r="K3684" s="23" t="s">
        <v>4671</v>
      </c>
      <c r="L3684" s="11">
        <v>0.0</v>
      </c>
      <c r="O3684" s="2" t="b">
        <v>0</v>
      </c>
    </row>
    <row r="3685" hidden="1">
      <c r="A3685" s="8" t="s">
        <v>2875</v>
      </c>
      <c r="B3685" s="8" t="s">
        <v>2875</v>
      </c>
      <c r="C3685" s="13">
        <v>46066.58856481482</v>
      </c>
      <c r="D3685" s="2" t="s">
        <v>309</v>
      </c>
      <c r="E3685" s="2" t="s">
        <v>310</v>
      </c>
      <c r="F3685" s="14" t="s">
        <v>4045</v>
      </c>
      <c r="G3685" s="14" t="s">
        <v>4046</v>
      </c>
      <c r="H3685" s="2" t="s">
        <v>24</v>
      </c>
      <c r="I3685" s="2" t="s">
        <v>3491</v>
      </c>
      <c r="J3685" s="2">
        <v>1.0</v>
      </c>
      <c r="K3685" s="12"/>
      <c r="L3685" s="11">
        <v>0.0</v>
      </c>
      <c r="O3685" s="2" t="b">
        <v>0</v>
      </c>
    </row>
    <row r="3686" hidden="1">
      <c r="A3686" s="8" t="s">
        <v>2875</v>
      </c>
      <c r="B3686" s="8" t="s">
        <v>2875</v>
      </c>
      <c r="C3686" s="13">
        <v>46066.58856481482</v>
      </c>
      <c r="D3686" s="2" t="s">
        <v>309</v>
      </c>
      <c r="E3686" s="2" t="s">
        <v>310</v>
      </c>
      <c r="F3686" s="14" t="s">
        <v>3506</v>
      </c>
      <c r="G3686" s="14" t="s">
        <v>3507</v>
      </c>
      <c r="H3686" s="2" t="s">
        <v>24</v>
      </c>
      <c r="I3686" s="2" t="s">
        <v>3491</v>
      </c>
      <c r="J3686" s="2">
        <v>15.0</v>
      </c>
      <c r="K3686" s="12"/>
      <c r="L3686" s="11">
        <v>0.0</v>
      </c>
      <c r="O3686" s="2" t="b">
        <v>0</v>
      </c>
    </row>
    <row r="3687" hidden="1">
      <c r="A3687" s="8" t="s">
        <v>2875</v>
      </c>
      <c r="B3687" s="8" t="s">
        <v>2875</v>
      </c>
      <c r="C3687" s="13">
        <v>46066.58856481482</v>
      </c>
      <c r="D3687" s="2" t="s">
        <v>309</v>
      </c>
      <c r="E3687" s="2" t="s">
        <v>310</v>
      </c>
      <c r="F3687" s="14" t="s">
        <v>3493</v>
      </c>
      <c r="G3687" s="14" t="s">
        <v>3494</v>
      </c>
      <c r="H3687" s="2" t="s">
        <v>24</v>
      </c>
      <c r="I3687" s="2" t="s">
        <v>3491</v>
      </c>
      <c r="J3687" s="2">
        <v>3.0</v>
      </c>
      <c r="K3687" s="12" t="s">
        <v>6130</v>
      </c>
      <c r="L3687" s="11">
        <v>0.0</v>
      </c>
      <c r="O3687" s="2" t="b">
        <v>0</v>
      </c>
    </row>
    <row r="3688" hidden="1">
      <c r="A3688" s="8" t="s">
        <v>2876</v>
      </c>
      <c r="B3688" s="8" t="s">
        <v>2876</v>
      </c>
      <c r="C3688" s="13">
        <v>46066.59055555556</v>
      </c>
      <c r="D3688" s="2" t="s">
        <v>213</v>
      </c>
      <c r="E3688" s="2" t="s">
        <v>214</v>
      </c>
      <c r="F3688" s="14" t="s">
        <v>3486</v>
      </c>
      <c r="G3688" s="14" t="s">
        <v>3487</v>
      </c>
      <c r="H3688" s="2" t="s">
        <v>24</v>
      </c>
      <c r="I3688" s="2" t="s">
        <v>3491</v>
      </c>
      <c r="J3688" s="2">
        <v>1.0</v>
      </c>
      <c r="K3688" s="23" t="s">
        <v>5327</v>
      </c>
      <c r="L3688" s="11">
        <v>0.0</v>
      </c>
      <c r="O3688" s="2" t="b">
        <v>0</v>
      </c>
    </row>
    <row r="3689" hidden="1">
      <c r="A3689" s="8" t="s">
        <v>2876</v>
      </c>
      <c r="B3689" s="8" t="s">
        <v>2876</v>
      </c>
      <c r="C3689" s="13">
        <v>46066.59055555556</v>
      </c>
      <c r="D3689" s="2" t="s">
        <v>213</v>
      </c>
      <c r="E3689" s="2" t="s">
        <v>214</v>
      </c>
      <c r="F3689" s="14" t="s">
        <v>4203</v>
      </c>
      <c r="G3689" s="14" t="s">
        <v>4204</v>
      </c>
      <c r="H3689" s="2" t="s">
        <v>24</v>
      </c>
      <c r="I3689" s="2" t="s">
        <v>3491</v>
      </c>
      <c r="J3689" s="2">
        <v>1.0</v>
      </c>
      <c r="K3689" s="23" t="s">
        <v>6131</v>
      </c>
      <c r="L3689" s="11">
        <v>0.0</v>
      </c>
      <c r="O3689" s="2" t="b">
        <v>0</v>
      </c>
    </row>
    <row r="3690" hidden="1">
      <c r="A3690" s="8" t="s">
        <v>2877</v>
      </c>
      <c r="B3690" s="8" t="s">
        <v>2877</v>
      </c>
      <c r="C3690" s="13">
        <v>46066.592511574076</v>
      </c>
      <c r="D3690" s="2" t="s">
        <v>1873</v>
      </c>
      <c r="E3690" s="2" t="s">
        <v>1874</v>
      </c>
      <c r="F3690" s="14" t="s">
        <v>4203</v>
      </c>
      <c r="G3690" s="14" t="s">
        <v>4204</v>
      </c>
      <c r="H3690" s="2" t="s">
        <v>24</v>
      </c>
      <c r="I3690" s="2" t="s">
        <v>3491</v>
      </c>
      <c r="J3690" s="2">
        <v>1.0</v>
      </c>
      <c r="K3690" s="23" t="s">
        <v>5576</v>
      </c>
      <c r="L3690" s="11">
        <v>0.0</v>
      </c>
      <c r="O3690" s="2" t="b">
        <v>0</v>
      </c>
    </row>
    <row r="3691" hidden="1">
      <c r="A3691" s="8" t="s">
        <v>2878</v>
      </c>
      <c r="B3691" s="8" t="s">
        <v>2878</v>
      </c>
      <c r="C3691" s="13">
        <v>46066.593043981484</v>
      </c>
      <c r="D3691" s="2" t="s">
        <v>49</v>
      </c>
      <c r="E3691" s="2" t="s">
        <v>50</v>
      </c>
      <c r="F3691" s="14" t="s">
        <v>3486</v>
      </c>
      <c r="G3691" s="14" t="s">
        <v>3487</v>
      </c>
      <c r="H3691" s="2" t="s">
        <v>24</v>
      </c>
      <c r="I3691" s="2" t="s">
        <v>3491</v>
      </c>
      <c r="J3691" s="2">
        <v>3.0</v>
      </c>
      <c r="K3691" s="23" t="s">
        <v>6132</v>
      </c>
      <c r="L3691" s="11">
        <v>0.0</v>
      </c>
      <c r="O3691" s="2" t="b">
        <v>0</v>
      </c>
    </row>
    <row r="3692" hidden="1">
      <c r="A3692" s="8" t="s">
        <v>2879</v>
      </c>
      <c r="B3692" s="8" t="s">
        <v>2879</v>
      </c>
      <c r="C3692" s="13">
        <v>46066.59354166667</v>
      </c>
      <c r="D3692" s="2" t="s">
        <v>131</v>
      </c>
      <c r="E3692" s="2" t="s">
        <v>132</v>
      </c>
      <c r="F3692" s="14" t="s">
        <v>4203</v>
      </c>
      <c r="G3692" s="14" t="s">
        <v>4204</v>
      </c>
      <c r="H3692" s="2" t="s">
        <v>24</v>
      </c>
      <c r="I3692" s="2" t="s">
        <v>3491</v>
      </c>
      <c r="J3692" s="2">
        <v>2.0</v>
      </c>
      <c r="K3692" s="23" t="s">
        <v>6133</v>
      </c>
      <c r="L3692" s="11">
        <v>0.0</v>
      </c>
      <c r="O3692" s="2" t="b">
        <v>0</v>
      </c>
    </row>
    <row r="3693" hidden="1">
      <c r="A3693" s="8" t="s">
        <v>2879</v>
      </c>
      <c r="B3693" s="8" t="s">
        <v>2879</v>
      </c>
      <c r="C3693" s="13">
        <v>46066.59354166667</v>
      </c>
      <c r="D3693" s="2" t="s">
        <v>131</v>
      </c>
      <c r="E3693" s="2" t="s">
        <v>132</v>
      </c>
      <c r="F3693" s="14" t="s">
        <v>3516</v>
      </c>
      <c r="G3693" s="14" t="s">
        <v>3517</v>
      </c>
      <c r="H3693" s="2" t="s">
        <v>24</v>
      </c>
      <c r="I3693" s="2" t="s">
        <v>3491</v>
      </c>
      <c r="J3693" s="2">
        <v>3.0</v>
      </c>
      <c r="K3693" s="23" t="s">
        <v>6134</v>
      </c>
      <c r="L3693" s="11">
        <v>0.0</v>
      </c>
      <c r="O3693" s="2" t="b">
        <v>0</v>
      </c>
    </row>
    <row r="3694" hidden="1">
      <c r="A3694" s="8" t="s">
        <v>2879</v>
      </c>
      <c r="B3694" s="8" t="s">
        <v>2879</v>
      </c>
      <c r="C3694" s="13">
        <v>46066.59354166667</v>
      </c>
      <c r="D3694" s="2" t="s">
        <v>131</v>
      </c>
      <c r="E3694" s="2" t="s">
        <v>132</v>
      </c>
      <c r="F3694" s="14" t="s">
        <v>3486</v>
      </c>
      <c r="G3694" s="14" t="s">
        <v>3487</v>
      </c>
      <c r="H3694" s="2" t="s">
        <v>24</v>
      </c>
      <c r="I3694" s="2" t="s">
        <v>3491</v>
      </c>
      <c r="J3694" s="2">
        <v>1.0</v>
      </c>
      <c r="K3694" s="23" t="s">
        <v>6135</v>
      </c>
      <c r="L3694" s="11">
        <v>0.0</v>
      </c>
      <c r="O3694" s="2" t="b">
        <v>0</v>
      </c>
    </row>
    <row r="3695" hidden="1">
      <c r="A3695" s="8" t="s">
        <v>2874</v>
      </c>
      <c r="B3695" s="8" t="s">
        <v>2874</v>
      </c>
      <c r="C3695" s="13">
        <v>46066.586018518516</v>
      </c>
      <c r="D3695" s="2" t="s">
        <v>1228</v>
      </c>
      <c r="E3695" s="2" t="s">
        <v>1229</v>
      </c>
      <c r="F3695" s="14" t="s">
        <v>3493</v>
      </c>
      <c r="G3695" s="14" t="s">
        <v>3494</v>
      </c>
      <c r="H3695" s="2" t="s">
        <v>24</v>
      </c>
      <c r="I3695" s="2" t="s">
        <v>3491</v>
      </c>
      <c r="J3695" s="2">
        <v>1.0</v>
      </c>
      <c r="K3695" s="12"/>
      <c r="L3695" s="11">
        <v>0.0</v>
      </c>
      <c r="O3695" s="2" t="b">
        <v>0</v>
      </c>
    </row>
    <row r="3696" hidden="1">
      <c r="A3696" s="8" t="s">
        <v>2880</v>
      </c>
      <c r="B3696" s="8" t="s">
        <v>2880</v>
      </c>
      <c r="C3696" s="13">
        <v>46066.619375</v>
      </c>
      <c r="D3696" s="2" t="s">
        <v>1084</v>
      </c>
      <c r="E3696" s="2" t="s">
        <v>1085</v>
      </c>
      <c r="F3696" s="14" t="s">
        <v>3486</v>
      </c>
      <c r="G3696" s="14" t="s">
        <v>3487</v>
      </c>
      <c r="H3696" s="2" t="s">
        <v>16</v>
      </c>
      <c r="I3696" s="2" t="s">
        <v>3488</v>
      </c>
      <c r="J3696" s="2">
        <v>10.0</v>
      </c>
      <c r="K3696" s="23" t="s">
        <v>6136</v>
      </c>
      <c r="L3696" s="11">
        <v>60000.0</v>
      </c>
      <c r="O3696" s="2" t="b">
        <v>0</v>
      </c>
    </row>
    <row r="3697" hidden="1">
      <c r="A3697" s="8" t="s">
        <v>2880</v>
      </c>
      <c r="B3697" s="8" t="s">
        <v>2880</v>
      </c>
      <c r="C3697" s="13">
        <v>46066.619375</v>
      </c>
      <c r="D3697" s="2" t="s">
        <v>1084</v>
      </c>
      <c r="E3697" s="2" t="s">
        <v>1085</v>
      </c>
      <c r="F3697" s="14" t="s">
        <v>3522</v>
      </c>
      <c r="G3697" s="14" t="s">
        <v>3523</v>
      </c>
      <c r="H3697" s="2" t="s">
        <v>16</v>
      </c>
      <c r="I3697" s="2" t="s">
        <v>3488</v>
      </c>
      <c r="J3697" s="2">
        <v>1.0</v>
      </c>
      <c r="K3697" s="23" t="s">
        <v>4026</v>
      </c>
      <c r="L3697" s="11">
        <v>220000.0</v>
      </c>
      <c r="O3697" s="2" t="b">
        <v>0</v>
      </c>
    </row>
    <row r="3698" hidden="1">
      <c r="A3698" s="8" t="s">
        <v>2881</v>
      </c>
      <c r="B3698" s="8" t="s">
        <v>2881</v>
      </c>
      <c r="C3698" s="13">
        <v>46066.657847222225</v>
      </c>
      <c r="D3698" s="2" t="s">
        <v>1587</v>
      </c>
      <c r="E3698" s="2" t="s">
        <v>1588</v>
      </c>
      <c r="F3698" s="14" t="s">
        <v>3776</v>
      </c>
      <c r="G3698" s="14" t="s">
        <v>3777</v>
      </c>
      <c r="H3698" s="2" t="s">
        <v>16</v>
      </c>
      <c r="I3698" s="2" t="s">
        <v>3488</v>
      </c>
      <c r="J3698" s="2">
        <v>1.0</v>
      </c>
      <c r="K3698" s="12"/>
      <c r="L3698" s="11">
        <v>1200000.0</v>
      </c>
      <c r="O3698" s="2" t="b">
        <v>0</v>
      </c>
    </row>
    <row r="3699" hidden="1">
      <c r="A3699" s="8" t="s">
        <v>2867</v>
      </c>
      <c r="B3699" s="8" t="s">
        <v>2867</v>
      </c>
      <c r="C3699" s="13">
        <v>46066.397893518515</v>
      </c>
      <c r="D3699" s="2" t="s">
        <v>1993</v>
      </c>
      <c r="E3699" s="2" t="s">
        <v>1994</v>
      </c>
      <c r="F3699" s="14" t="s">
        <v>3486</v>
      </c>
      <c r="G3699" s="14" t="s">
        <v>3487</v>
      </c>
      <c r="H3699" s="2" t="s">
        <v>16</v>
      </c>
      <c r="I3699" s="2" t="s">
        <v>3488</v>
      </c>
      <c r="J3699" s="2">
        <v>5.0</v>
      </c>
      <c r="K3699" s="23" t="s">
        <v>6137</v>
      </c>
      <c r="L3699" s="11">
        <v>65000.0</v>
      </c>
      <c r="O3699" s="2" t="b">
        <v>0</v>
      </c>
    </row>
    <row r="3700" hidden="1">
      <c r="A3700" s="8" t="s">
        <v>2882</v>
      </c>
      <c r="B3700" s="8" t="s">
        <v>2882</v>
      </c>
      <c r="C3700" s="13">
        <v>46066.68697916667</v>
      </c>
      <c r="D3700" s="2" t="s">
        <v>2728</v>
      </c>
      <c r="E3700" s="2" t="s">
        <v>2729</v>
      </c>
      <c r="F3700" s="14" t="s">
        <v>3522</v>
      </c>
      <c r="G3700" s="14" t="s">
        <v>3523</v>
      </c>
      <c r="H3700" s="2" t="s">
        <v>16</v>
      </c>
      <c r="I3700" s="2" t="s">
        <v>3488</v>
      </c>
      <c r="J3700" s="2">
        <v>1.0</v>
      </c>
      <c r="K3700" s="23" t="s">
        <v>6138</v>
      </c>
      <c r="L3700" s="11">
        <v>225000.0</v>
      </c>
      <c r="O3700" s="2" t="b">
        <v>0</v>
      </c>
    </row>
    <row r="3701" hidden="1">
      <c r="A3701" s="8" t="s">
        <v>2883</v>
      </c>
      <c r="B3701" s="8" t="s">
        <v>2883</v>
      </c>
      <c r="C3701" s="13">
        <v>46066.70428240741</v>
      </c>
      <c r="D3701" s="2" t="s">
        <v>1084</v>
      </c>
      <c r="E3701" s="2" t="s">
        <v>1085</v>
      </c>
      <c r="F3701" s="14" t="s">
        <v>3486</v>
      </c>
      <c r="G3701" s="14" t="s">
        <v>3487</v>
      </c>
      <c r="H3701" s="2" t="s">
        <v>24</v>
      </c>
      <c r="I3701" s="2" t="s">
        <v>3491</v>
      </c>
      <c r="J3701" s="2">
        <v>2.0</v>
      </c>
      <c r="K3701" s="23" t="s">
        <v>6139</v>
      </c>
      <c r="L3701" s="11">
        <v>0.0</v>
      </c>
      <c r="O3701" s="2" t="b">
        <v>0</v>
      </c>
    </row>
    <row r="3702" hidden="1">
      <c r="A3702" s="8" t="s">
        <v>2884</v>
      </c>
      <c r="B3702" s="8" t="s">
        <v>2884</v>
      </c>
      <c r="C3702" s="13">
        <v>46066.70476851852</v>
      </c>
      <c r="D3702" s="2" t="s">
        <v>1993</v>
      </c>
      <c r="E3702" s="2" t="s">
        <v>1994</v>
      </c>
      <c r="F3702" s="14" t="s">
        <v>3486</v>
      </c>
      <c r="G3702" s="14" t="s">
        <v>3487</v>
      </c>
      <c r="H3702" s="2" t="s">
        <v>24</v>
      </c>
      <c r="I3702" s="2" t="s">
        <v>3491</v>
      </c>
      <c r="J3702" s="2">
        <v>1.0</v>
      </c>
      <c r="K3702" s="23" t="s">
        <v>5161</v>
      </c>
      <c r="L3702" s="11">
        <v>0.0</v>
      </c>
      <c r="O3702" s="2" t="b">
        <v>0</v>
      </c>
    </row>
    <row r="3703" hidden="1">
      <c r="A3703" s="8" t="s">
        <v>2885</v>
      </c>
      <c r="B3703" s="8" t="s">
        <v>2885</v>
      </c>
      <c r="C3703" s="13">
        <v>46066.715995370374</v>
      </c>
      <c r="D3703" s="2" t="s">
        <v>2728</v>
      </c>
      <c r="E3703" s="2" t="s">
        <v>2729</v>
      </c>
      <c r="F3703" s="14" t="s">
        <v>3486</v>
      </c>
      <c r="G3703" s="14" t="s">
        <v>3487</v>
      </c>
      <c r="H3703" s="2" t="s">
        <v>24</v>
      </c>
      <c r="I3703" s="2" t="s">
        <v>3491</v>
      </c>
      <c r="J3703" s="2">
        <v>1.0</v>
      </c>
      <c r="K3703" s="23" t="s">
        <v>6140</v>
      </c>
      <c r="L3703" s="11">
        <v>0.0</v>
      </c>
      <c r="O3703" s="2" t="b">
        <v>0</v>
      </c>
    </row>
    <row r="3704" hidden="1">
      <c r="A3704" s="8" t="s">
        <v>2885</v>
      </c>
      <c r="B3704" s="8" t="s">
        <v>2885</v>
      </c>
      <c r="C3704" s="13">
        <v>46066.715995370374</v>
      </c>
      <c r="D3704" s="2" t="s">
        <v>2728</v>
      </c>
      <c r="E3704" s="2" t="s">
        <v>2729</v>
      </c>
      <c r="F3704" s="14" t="s">
        <v>3522</v>
      </c>
      <c r="G3704" s="14" t="s">
        <v>3523</v>
      </c>
      <c r="H3704" s="2" t="s">
        <v>24</v>
      </c>
      <c r="I3704" s="2" t="s">
        <v>3491</v>
      </c>
      <c r="J3704" s="2">
        <v>1.0</v>
      </c>
      <c r="K3704" s="23" t="s">
        <v>4433</v>
      </c>
      <c r="L3704" s="11">
        <v>0.0</v>
      </c>
      <c r="O3704" s="2" t="b">
        <v>0</v>
      </c>
    </row>
    <row r="3705" hidden="1">
      <c r="A3705" s="8" t="s">
        <v>2886</v>
      </c>
      <c r="B3705" s="8" t="s">
        <v>2886</v>
      </c>
      <c r="C3705" s="13">
        <v>46066.735659722224</v>
      </c>
      <c r="D3705" s="2" t="s">
        <v>1756</v>
      </c>
      <c r="E3705" s="2" t="s">
        <v>1757</v>
      </c>
      <c r="F3705" s="14" t="s">
        <v>3486</v>
      </c>
      <c r="G3705" s="14" t="s">
        <v>3487</v>
      </c>
      <c r="H3705" s="2" t="s">
        <v>24</v>
      </c>
      <c r="I3705" s="2" t="s">
        <v>3491</v>
      </c>
      <c r="J3705" s="2">
        <v>4.0</v>
      </c>
      <c r="K3705" s="23" t="s">
        <v>6141</v>
      </c>
      <c r="L3705" s="11">
        <v>0.0</v>
      </c>
      <c r="O3705" s="2" t="b">
        <v>0</v>
      </c>
    </row>
    <row r="3706" hidden="1">
      <c r="A3706" s="8" t="s">
        <v>2886</v>
      </c>
      <c r="B3706" s="8" t="s">
        <v>2886</v>
      </c>
      <c r="C3706" s="13">
        <v>46066.735659722224</v>
      </c>
      <c r="D3706" s="2" t="s">
        <v>1756</v>
      </c>
      <c r="E3706" s="2" t="s">
        <v>1757</v>
      </c>
      <c r="F3706" s="14" t="s">
        <v>4203</v>
      </c>
      <c r="G3706" s="14" t="s">
        <v>4204</v>
      </c>
      <c r="H3706" s="2" t="s">
        <v>24</v>
      </c>
      <c r="I3706" s="2" t="s">
        <v>3491</v>
      </c>
      <c r="J3706" s="2">
        <v>1.0</v>
      </c>
      <c r="K3706" s="23" t="s">
        <v>4945</v>
      </c>
      <c r="L3706" s="11">
        <v>0.0</v>
      </c>
      <c r="O3706" s="2" t="b">
        <v>0</v>
      </c>
    </row>
    <row r="3707" hidden="1">
      <c r="A3707" s="8" t="s">
        <v>2887</v>
      </c>
      <c r="B3707" s="8" t="s">
        <v>2887</v>
      </c>
      <c r="C3707" s="13">
        <v>46067.35681712963</v>
      </c>
      <c r="D3707" s="2" t="s">
        <v>1975</v>
      </c>
      <c r="E3707" s="2" t="s">
        <v>1976</v>
      </c>
      <c r="F3707" s="14" t="s">
        <v>3486</v>
      </c>
      <c r="G3707" s="14" t="s">
        <v>3487</v>
      </c>
      <c r="H3707" s="2" t="s">
        <v>16</v>
      </c>
      <c r="I3707" s="2" t="s">
        <v>3488</v>
      </c>
      <c r="J3707" s="2">
        <v>10.0</v>
      </c>
      <c r="K3707" s="23" t="s">
        <v>6142</v>
      </c>
      <c r="L3707" s="11">
        <v>60000.0</v>
      </c>
      <c r="O3707" s="2" t="b">
        <v>0</v>
      </c>
    </row>
    <row r="3708" hidden="1">
      <c r="A3708" s="8" t="s">
        <v>2888</v>
      </c>
      <c r="B3708" s="8" t="s">
        <v>2888</v>
      </c>
      <c r="C3708" s="13">
        <v>46067.365532407406</v>
      </c>
      <c r="D3708" s="2" t="s">
        <v>309</v>
      </c>
      <c r="E3708" s="2" t="s">
        <v>310</v>
      </c>
      <c r="F3708" s="14" t="s">
        <v>3506</v>
      </c>
      <c r="G3708" s="14" t="s">
        <v>3507</v>
      </c>
      <c r="H3708" s="2" t="s">
        <v>16</v>
      </c>
      <c r="I3708" s="2" t="s">
        <v>3488</v>
      </c>
      <c r="J3708" s="2">
        <v>15.0</v>
      </c>
      <c r="K3708" s="12"/>
      <c r="L3708" s="11">
        <v>55000.0</v>
      </c>
      <c r="O3708" s="2" t="b">
        <v>0</v>
      </c>
    </row>
    <row r="3709" hidden="1">
      <c r="A3709" s="8" t="s">
        <v>2888</v>
      </c>
      <c r="B3709" s="8" t="s">
        <v>2888</v>
      </c>
      <c r="C3709" s="13">
        <v>46067.365532407406</v>
      </c>
      <c r="D3709" s="2" t="s">
        <v>309</v>
      </c>
      <c r="E3709" s="2" t="s">
        <v>310</v>
      </c>
      <c r="F3709" s="14" t="s">
        <v>4045</v>
      </c>
      <c r="G3709" s="14" t="s">
        <v>4046</v>
      </c>
      <c r="H3709" s="2" t="s">
        <v>16</v>
      </c>
      <c r="I3709" s="2" t="s">
        <v>3488</v>
      </c>
      <c r="J3709" s="2">
        <v>1.0</v>
      </c>
      <c r="K3709" s="12"/>
      <c r="L3709" s="11">
        <v>160000.0</v>
      </c>
      <c r="O3709" s="2" t="b">
        <v>0</v>
      </c>
    </row>
    <row r="3710" hidden="1">
      <c r="A3710" s="8" t="s">
        <v>2889</v>
      </c>
      <c r="B3710" s="8" t="s">
        <v>2889</v>
      </c>
      <c r="C3710" s="13">
        <v>46067.36662037037</v>
      </c>
      <c r="D3710" s="2" t="s">
        <v>2503</v>
      </c>
      <c r="E3710" s="2" t="s">
        <v>2504</v>
      </c>
      <c r="F3710" s="14" t="s">
        <v>3486</v>
      </c>
      <c r="G3710" s="14" t="s">
        <v>3487</v>
      </c>
      <c r="H3710" s="2" t="s">
        <v>16</v>
      </c>
      <c r="I3710" s="2" t="s">
        <v>3488</v>
      </c>
      <c r="J3710" s="2">
        <v>4.0</v>
      </c>
      <c r="K3710" s="23" t="s">
        <v>6143</v>
      </c>
      <c r="L3710" s="11">
        <v>65000.0</v>
      </c>
      <c r="O3710" s="2" t="b">
        <v>0</v>
      </c>
    </row>
    <row r="3711" hidden="1">
      <c r="A3711" s="8" t="s">
        <v>2890</v>
      </c>
      <c r="B3711" s="8" t="s">
        <v>2890</v>
      </c>
      <c r="C3711" s="13">
        <v>46067.38037037037</v>
      </c>
      <c r="D3711" s="2" t="s">
        <v>1993</v>
      </c>
      <c r="E3711" s="2" t="s">
        <v>1994</v>
      </c>
      <c r="F3711" s="14" t="s">
        <v>3493</v>
      </c>
      <c r="G3711" s="14" t="s">
        <v>3494</v>
      </c>
      <c r="H3711" s="2" t="s">
        <v>16</v>
      </c>
      <c r="I3711" s="2" t="s">
        <v>3488</v>
      </c>
      <c r="J3711" s="2">
        <v>2.0</v>
      </c>
      <c r="K3711" s="12" t="s">
        <v>6144</v>
      </c>
      <c r="L3711" s="11">
        <v>200000.0</v>
      </c>
      <c r="O3711" s="2" t="b">
        <v>0</v>
      </c>
    </row>
    <row r="3712" hidden="1">
      <c r="A3712" s="8" t="s">
        <v>2894</v>
      </c>
      <c r="B3712" s="8" t="s">
        <v>2894</v>
      </c>
      <c r="C3712" s="13">
        <v>46067.42920138889</v>
      </c>
      <c r="D3712" s="2" t="s">
        <v>1838</v>
      </c>
      <c r="E3712" s="2" t="s">
        <v>1839</v>
      </c>
      <c r="F3712" s="14" t="s">
        <v>3835</v>
      </c>
      <c r="G3712" s="14" t="s">
        <v>3836</v>
      </c>
      <c r="H3712" s="2" t="s">
        <v>16</v>
      </c>
      <c r="I3712" s="2" t="s">
        <v>3488</v>
      </c>
      <c r="J3712" s="2">
        <v>1.0</v>
      </c>
      <c r="K3712" s="23" t="s">
        <v>6145</v>
      </c>
      <c r="L3712" s="11">
        <v>60000.0</v>
      </c>
      <c r="O3712" s="2" t="b">
        <v>0</v>
      </c>
    </row>
    <row r="3713" hidden="1">
      <c r="A3713" s="8" t="s">
        <v>2891</v>
      </c>
      <c r="B3713" s="8" t="s">
        <v>2891</v>
      </c>
      <c r="C3713" s="13">
        <v>46067.41357638889</v>
      </c>
      <c r="D3713" s="2" t="s">
        <v>2623</v>
      </c>
      <c r="E3713" s="2" t="s">
        <v>2892</v>
      </c>
      <c r="F3713" s="14" t="s">
        <v>3522</v>
      </c>
      <c r="G3713" s="14" t="s">
        <v>3523</v>
      </c>
      <c r="H3713" s="2" t="s">
        <v>16</v>
      </c>
      <c r="I3713" s="2" t="s">
        <v>3488</v>
      </c>
      <c r="J3713" s="2">
        <v>2.0</v>
      </c>
      <c r="K3713" s="23" t="s">
        <v>6146</v>
      </c>
      <c r="L3713" s="11">
        <v>225000.0</v>
      </c>
      <c r="O3713" s="2" t="b">
        <v>0</v>
      </c>
    </row>
    <row r="3714" hidden="1">
      <c r="A3714" s="8" t="s">
        <v>2895</v>
      </c>
      <c r="B3714" s="8" t="s">
        <v>2895</v>
      </c>
      <c r="C3714" s="13">
        <v>46067.52758101852</v>
      </c>
      <c r="D3714" s="2" t="s">
        <v>786</v>
      </c>
      <c r="E3714" s="2" t="s">
        <v>787</v>
      </c>
      <c r="F3714" s="14" t="s">
        <v>3486</v>
      </c>
      <c r="G3714" s="14" t="s">
        <v>3487</v>
      </c>
      <c r="H3714" s="2" t="s">
        <v>24</v>
      </c>
      <c r="I3714" s="2" t="s">
        <v>3491</v>
      </c>
      <c r="J3714" s="2">
        <v>1.0</v>
      </c>
      <c r="K3714" s="23" t="s">
        <v>4567</v>
      </c>
      <c r="L3714" s="11">
        <v>0.0</v>
      </c>
      <c r="O3714" s="2" t="b">
        <v>0</v>
      </c>
    </row>
    <row r="3715" hidden="1">
      <c r="A3715" s="8" t="s">
        <v>2895</v>
      </c>
      <c r="B3715" s="8" t="s">
        <v>2895</v>
      </c>
      <c r="C3715" s="13">
        <v>46067.52758101852</v>
      </c>
      <c r="D3715" s="2" t="s">
        <v>786</v>
      </c>
      <c r="E3715" s="2" t="s">
        <v>787</v>
      </c>
      <c r="F3715" s="14" t="s">
        <v>4203</v>
      </c>
      <c r="G3715" s="14" t="s">
        <v>4204</v>
      </c>
      <c r="H3715" s="2" t="s">
        <v>24</v>
      </c>
      <c r="I3715" s="2" t="s">
        <v>3491</v>
      </c>
      <c r="J3715" s="2">
        <v>1.0</v>
      </c>
      <c r="K3715" s="23" t="s">
        <v>5255</v>
      </c>
      <c r="L3715" s="11">
        <v>0.0</v>
      </c>
      <c r="O3715" s="2" t="b">
        <v>0</v>
      </c>
    </row>
    <row r="3716" hidden="1">
      <c r="A3716" s="8" t="s">
        <v>2895</v>
      </c>
      <c r="B3716" s="8" t="s">
        <v>2895</v>
      </c>
      <c r="C3716" s="13">
        <v>46067.52758101852</v>
      </c>
      <c r="D3716" s="2" t="s">
        <v>786</v>
      </c>
      <c r="E3716" s="2" t="s">
        <v>787</v>
      </c>
      <c r="F3716" s="14" t="s">
        <v>3516</v>
      </c>
      <c r="G3716" s="14" t="s">
        <v>3517</v>
      </c>
      <c r="H3716" s="2" t="s">
        <v>24</v>
      </c>
      <c r="I3716" s="2" t="s">
        <v>3491</v>
      </c>
      <c r="J3716" s="2">
        <v>1.0</v>
      </c>
      <c r="K3716" s="23" t="s">
        <v>6147</v>
      </c>
      <c r="L3716" s="11">
        <v>0.0</v>
      </c>
      <c r="O3716" s="2" t="b">
        <v>0</v>
      </c>
    </row>
    <row r="3717" hidden="1">
      <c r="A3717" s="8" t="s">
        <v>2893</v>
      </c>
      <c r="B3717" s="8" t="s">
        <v>2893</v>
      </c>
      <c r="C3717" s="13">
        <v>46067.4143287037</v>
      </c>
      <c r="D3717" s="2" t="s">
        <v>1084</v>
      </c>
      <c r="E3717" s="2" t="s">
        <v>1085</v>
      </c>
      <c r="F3717" s="14" t="s">
        <v>3516</v>
      </c>
      <c r="G3717" s="14" t="s">
        <v>3517</v>
      </c>
      <c r="H3717" s="2" t="s">
        <v>16</v>
      </c>
      <c r="I3717" s="2" t="s">
        <v>3488</v>
      </c>
      <c r="J3717" s="2">
        <v>4.0</v>
      </c>
      <c r="K3717" s="23" t="s">
        <v>6148</v>
      </c>
      <c r="L3717" s="11">
        <v>210000.0</v>
      </c>
      <c r="O3717" s="2" t="b">
        <v>0</v>
      </c>
    </row>
    <row r="3718" hidden="1">
      <c r="A3718" s="8" t="s">
        <v>2893</v>
      </c>
      <c r="B3718" s="8" t="s">
        <v>2893</v>
      </c>
      <c r="C3718" s="13">
        <v>46067.4143287037</v>
      </c>
      <c r="D3718" s="2" t="s">
        <v>1084</v>
      </c>
      <c r="E3718" s="2" t="s">
        <v>1085</v>
      </c>
      <c r="F3718" s="14" t="s">
        <v>3516</v>
      </c>
      <c r="G3718" s="14" t="s">
        <v>3517</v>
      </c>
      <c r="H3718" s="2" t="s">
        <v>16</v>
      </c>
      <c r="I3718" s="2" t="s">
        <v>3488</v>
      </c>
      <c r="J3718" s="2">
        <v>1.0</v>
      </c>
      <c r="K3718" s="23" t="s">
        <v>5781</v>
      </c>
      <c r="L3718" s="11">
        <v>210000.0</v>
      </c>
      <c r="O3718" s="2" t="b">
        <v>1</v>
      </c>
    </row>
    <row r="3719" hidden="1">
      <c r="A3719" s="8" t="s">
        <v>2896</v>
      </c>
      <c r="B3719" s="8" t="s">
        <v>2896</v>
      </c>
      <c r="C3719" s="13">
        <v>46067.52868055556</v>
      </c>
      <c r="D3719" s="2" t="s">
        <v>2543</v>
      </c>
      <c r="E3719" s="2" t="s">
        <v>2544</v>
      </c>
      <c r="F3719" s="14" t="s">
        <v>3516</v>
      </c>
      <c r="G3719" s="14" t="s">
        <v>3517</v>
      </c>
      <c r="H3719" s="2" t="s">
        <v>16</v>
      </c>
      <c r="I3719" s="2" t="s">
        <v>3488</v>
      </c>
      <c r="J3719" s="2">
        <v>1.0</v>
      </c>
      <c r="K3719" s="23" t="s">
        <v>4272</v>
      </c>
      <c r="L3719" s="11">
        <v>190000.0</v>
      </c>
      <c r="O3719" s="2" t="b">
        <v>0</v>
      </c>
    </row>
    <row r="3720" hidden="1">
      <c r="A3720" s="1"/>
      <c r="B3720" s="1"/>
      <c r="C3720" s="13"/>
      <c r="D3720" s="2"/>
      <c r="E3720" s="2"/>
      <c r="F3720" s="14"/>
      <c r="G3720" s="14"/>
      <c r="H3720" s="2"/>
      <c r="I3720" s="2"/>
      <c r="J3720" s="2"/>
      <c r="K3720" s="12"/>
      <c r="L3720" s="11"/>
      <c r="O3720" s="2"/>
    </row>
    <row r="3721" hidden="1">
      <c r="A3721" s="8" t="s">
        <v>2897</v>
      </c>
      <c r="B3721" s="8" t="s">
        <v>2897</v>
      </c>
      <c r="C3721" s="13">
        <v>46066.53392361111</v>
      </c>
      <c r="D3721" s="2" t="s">
        <v>2543</v>
      </c>
      <c r="E3721" s="2" t="s">
        <v>2544</v>
      </c>
      <c r="F3721" s="14" t="s">
        <v>3516</v>
      </c>
      <c r="G3721" s="14" t="s">
        <v>3517</v>
      </c>
      <c r="H3721" s="2" t="s">
        <v>24</v>
      </c>
      <c r="I3721" s="2" t="s">
        <v>3491</v>
      </c>
      <c r="J3721" s="2">
        <v>2.0</v>
      </c>
      <c r="K3721" s="23" t="s">
        <v>6149</v>
      </c>
      <c r="L3721" s="11">
        <v>0.0</v>
      </c>
      <c r="O3721" s="2" t="b">
        <v>0</v>
      </c>
    </row>
    <row r="3722" hidden="1">
      <c r="A3722" s="8" t="s">
        <v>2898</v>
      </c>
      <c r="B3722" s="8" t="s">
        <v>2898</v>
      </c>
      <c r="C3722" s="13">
        <v>46067.539976851855</v>
      </c>
      <c r="D3722" s="2" t="s">
        <v>1975</v>
      </c>
      <c r="E3722" s="2" t="s">
        <v>1976</v>
      </c>
      <c r="F3722" s="14" t="s">
        <v>3486</v>
      </c>
      <c r="G3722" s="14" t="s">
        <v>3487</v>
      </c>
      <c r="H3722" s="2" t="s">
        <v>24</v>
      </c>
      <c r="I3722" s="2" t="s">
        <v>3491</v>
      </c>
      <c r="J3722" s="2">
        <v>4.0</v>
      </c>
      <c r="K3722" s="23" t="s">
        <v>6150</v>
      </c>
      <c r="L3722" s="11">
        <v>0.0</v>
      </c>
      <c r="O3722" s="2" t="b">
        <v>0</v>
      </c>
    </row>
    <row r="3723" hidden="1">
      <c r="A3723" s="8" t="s">
        <v>2898</v>
      </c>
      <c r="B3723" s="8" t="s">
        <v>2898</v>
      </c>
      <c r="C3723" s="13">
        <v>46067.539976851855</v>
      </c>
      <c r="D3723" s="2" t="s">
        <v>1975</v>
      </c>
      <c r="E3723" s="2" t="s">
        <v>1976</v>
      </c>
      <c r="F3723" s="14" t="s">
        <v>4203</v>
      </c>
      <c r="G3723" s="14" t="s">
        <v>4204</v>
      </c>
      <c r="H3723" s="2" t="s">
        <v>24</v>
      </c>
      <c r="I3723" s="2" t="s">
        <v>3491</v>
      </c>
      <c r="J3723" s="2">
        <v>2.0</v>
      </c>
      <c r="K3723" s="23" t="s">
        <v>6151</v>
      </c>
      <c r="L3723" s="11">
        <v>0.0</v>
      </c>
      <c r="O3723" s="2" t="b">
        <v>0</v>
      </c>
    </row>
    <row r="3724" hidden="1">
      <c r="A3724" s="8" t="s">
        <v>2899</v>
      </c>
      <c r="B3724" s="8" t="s">
        <v>2899</v>
      </c>
      <c r="C3724" s="13">
        <v>46067.59230324074</v>
      </c>
      <c r="D3724" s="2" t="s">
        <v>2623</v>
      </c>
      <c r="E3724" s="2" t="s">
        <v>2892</v>
      </c>
      <c r="F3724" s="14" t="s">
        <v>3522</v>
      </c>
      <c r="G3724" s="14" t="s">
        <v>3523</v>
      </c>
      <c r="H3724" s="2" t="s">
        <v>24</v>
      </c>
      <c r="I3724" s="2" t="s">
        <v>3491</v>
      </c>
      <c r="J3724" s="2">
        <v>1.0</v>
      </c>
      <c r="K3724" s="23" t="s">
        <v>6152</v>
      </c>
      <c r="L3724" s="11">
        <v>0.0</v>
      </c>
      <c r="O3724" s="2" t="b">
        <v>0</v>
      </c>
    </row>
    <row r="3725" hidden="1">
      <c r="A3725" s="8" t="s">
        <v>2900</v>
      </c>
      <c r="B3725" s="8" t="s">
        <v>2900</v>
      </c>
      <c r="C3725" s="13">
        <v>46067.70607638889</v>
      </c>
      <c r="D3725" s="2" t="s">
        <v>2503</v>
      </c>
      <c r="E3725" s="2" t="s">
        <v>2504</v>
      </c>
      <c r="F3725" s="14" t="s">
        <v>3486</v>
      </c>
      <c r="G3725" s="14" t="s">
        <v>3487</v>
      </c>
      <c r="H3725" s="2" t="s">
        <v>24</v>
      </c>
      <c r="I3725" s="2" t="s">
        <v>3491</v>
      </c>
      <c r="J3725" s="2">
        <v>5.0</v>
      </c>
      <c r="K3725" s="23" t="s">
        <v>6153</v>
      </c>
      <c r="L3725" s="11">
        <v>0.0</v>
      </c>
      <c r="O3725" s="2" t="b">
        <v>0</v>
      </c>
    </row>
    <row r="3726" hidden="1">
      <c r="A3726" s="8" t="s">
        <v>2901</v>
      </c>
      <c r="B3726" s="8" t="s">
        <v>2901</v>
      </c>
      <c r="C3726" s="13">
        <v>46069.36896990741</v>
      </c>
      <c r="D3726" s="2" t="s">
        <v>2577</v>
      </c>
      <c r="E3726" s="2" t="s">
        <v>2578</v>
      </c>
      <c r="F3726" s="14" t="s">
        <v>3486</v>
      </c>
      <c r="G3726" s="14" t="s">
        <v>3487</v>
      </c>
      <c r="H3726" s="2" t="s">
        <v>16</v>
      </c>
      <c r="I3726" s="2" t="s">
        <v>3488</v>
      </c>
      <c r="J3726" s="2">
        <v>4.0</v>
      </c>
      <c r="K3726" s="23" t="s">
        <v>6154</v>
      </c>
      <c r="L3726" s="11">
        <v>58558.56</v>
      </c>
      <c r="O3726" s="2" t="b">
        <v>0</v>
      </c>
    </row>
    <row r="3727" hidden="1">
      <c r="A3727" s="8" t="s">
        <v>2901</v>
      </c>
      <c r="B3727" s="8" t="s">
        <v>2901</v>
      </c>
      <c r="C3727" s="13">
        <v>46069.36896990741</v>
      </c>
      <c r="D3727" s="2" t="s">
        <v>2577</v>
      </c>
      <c r="E3727" s="2" t="s">
        <v>2578</v>
      </c>
      <c r="F3727" s="14" t="s">
        <v>4203</v>
      </c>
      <c r="G3727" s="14" t="s">
        <v>4204</v>
      </c>
      <c r="H3727" s="2" t="s">
        <v>16</v>
      </c>
      <c r="I3727" s="2" t="s">
        <v>3488</v>
      </c>
      <c r="J3727" s="2">
        <v>6.0</v>
      </c>
      <c r="K3727" s="23" t="s">
        <v>6155</v>
      </c>
      <c r="L3727" s="11">
        <v>58558.56</v>
      </c>
      <c r="O3727" s="2" t="b">
        <v>0</v>
      </c>
    </row>
    <row r="3728" hidden="1">
      <c r="A3728" s="8" t="s">
        <v>2901</v>
      </c>
      <c r="B3728" s="8" t="s">
        <v>2901</v>
      </c>
      <c r="C3728" s="13">
        <v>46069.36896990741</v>
      </c>
      <c r="D3728" s="2" t="s">
        <v>2577</v>
      </c>
      <c r="E3728" s="2" t="s">
        <v>2578</v>
      </c>
      <c r="F3728" s="14" t="s">
        <v>3493</v>
      </c>
      <c r="G3728" s="14" t="s">
        <v>3494</v>
      </c>
      <c r="H3728" s="2" t="s">
        <v>16</v>
      </c>
      <c r="I3728" s="2" t="s">
        <v>3488</v>
      </c>
      <c r="J3728" s="2">
        <v>1.0</v>
      </c>
      <c r="K3728" s="12" t="s">
        <v>6156</v>
      </c>
      <c r="L3728" s="11">
        <v>205000.0</v>
      </c>
      <c r="O3728" s="2" t="b">
        <v>0</v>
      </c>
    </row>
    <row r="3729" hidden="1">
      <c r="A3729" s="8" t="s">
        <v>2902</v>
      </c>
      <c r="B3729" s="8" t="s">
        <v>2902</v>
      </c>
      <c r="C3729" s="13">
        <v>46069.53575231481</v>
      </c>
      <c r="D3729" s="2" t="s">
        <v>812</v>
      </c>
      <c r="E3729" s="2" t="s">
        <v>813</v>
      </c>
      <c r="F3729" s="14" t="s">
        <v>3506</v>
      </c>
      <c r="G3729" s="14" t="s">
        <v>3507</v>
      </c>
      <c r="H3729" s="2" t="s">
        <v>24</v>
      </c>
      <c r="I3729" s="2" t="s">
        <v>3491</v>
      </c>
      <c r="J3729" s="2">
        <v>37.0</v>
      </c>
      <c r="K3729" s="12"/>
      <c r="L3729" s="11">
        <v>0.0</v>
      </c>
      <c r="O3729" s="2" t="b">
        <v>0</v>
      </c>
    </row>
    <row r="3730" hidden="1">
      <c r="A3730" s="8" t="s">
        <v>2903</v>
      </c>
      <c r="B3730" s="8" t="s">
        <v>2903</v>
      </c>
      <c r="C3730" s="13">
        <v>46069.53619212963</v>
      </c>
      <c r="D3730" s="2" t="s">
        <v>812</v>
      </c>
      <c r="E3730" s="2" t="s">
        <v>813</v>
      </c>
      <c r="F3730" s="14" t="s">
        <v>3506</v>
      </c>
      <c r="G3730" s="14" t="s">
        <v>3507</v>
      </c>
      <c r="H3730" s="2" t="s">
        <v>16</v>
      </c>
      <c r="I3730" s="2" t="s">
        <v>3488</v>
      </c>
      <c r="J3730" s="2">
        <v>37.0</v>
      </c>
      <c r="K3730" s="12"/>
      <c r="L3730" s="11">
        <v>50000.0</v>
      </c>
      <c r="O3730" s="2" t="b">
        <v>0</v>
      </c>
    </row>
    <row r="3731" hidden="1">
      <c r="A3731" s="8" t="s">
        <v>2904</v>
      </c>
      <c r="B3731" s="8" t="s">
        <v>2904</v>
      </c>
      <c r="C3731" s="13">
        <v>46069.5390162037</v>
      </c>
      <c r="D3731" s="2" t="s">
        <v>2005</v>
      </c>
      <c r="E3731" s="2" t="s">
        <v>2006</v>
      </c>
      <c r="F3731" s="14" t="s">
        <v>3486</v>
      </c>
      <c r="G3731" s="14" t="s">
        <v>3487</v>
      </c>
      <c r="H3731" s="2" t="s">
        <v>24</v>
      </c>
      <c r="I3731" s="2" t="s">
        <v>3491</v>
      </c>
      <c r="J3731" s="2">
        <v>11.0</v>
      </c>
      <c r="K3731" s="23" t="s">
        <v>6157</v>
      </c>
      <c r="L3731" s="11">
        <v>0.0</v>
      </c>
      <c r="O3731" s="2" t="b">
        <v>0</v>
      </c>
    </row>
    <row r="3732" hidden="1">
      <c r="A3732" s="1"/>
      <c r="B3732" s="1"/>
      <c r="C3732" s="13"/>
      <c r="D3732" s="2"/>
      <c r="E3732" s="2"/>
      <c r="F3732" s="14"/>
      <c r="G3732" s="14"/>
      <c r="H3732" s="2"/>
      <c r="I3732" s="2"/>
      <c r="J3732" s="2"/>
      <c r="K3732" s="12"/>
      <c r="L3732" s="11"/>
      <c r="O3732" s="2"/>
    </row>
    <row r="3733" hidden="1">
      <c r="A3733" s="8" t="s">
        <v>2905</v>
      </c>
      <c r="B3733" s="8" t="s">
        <v>2905</v>
      </c>
      <c r="C3733" s="13">
        <v>46069.541608796295</v>
      </c>
      <c r="D3733" s="2" t="s">
        <v>2577</v>
      </c>
      <c r="E3733" s="2" t="s">
        <v>2578</v>
      </c>
      <c r="F3733" s="14" t="s">
        <v>3486</v>
      </c>
      <c r="G3733" s="14" t="s">
        <v>3487</v>
      </c>
      <c r="H3733" s="2" t="s">
        <v>24</v>
      </c>
      <c r="I3733" s="2" t="s">
        <v>3491</v>
      </c>
      <c r="J3733" s="2">
        <v>1.0</v>
      </c>
      <c r="K3733" s="23" t="s">
        <v>6158</v>
      </c>
      <c r="L3733" s="11">
        <v>0.0</v>
      </c>
      <c r="O3733" s="2" t="b">
        <v>0</v>
      </c>
    </row>
    <row r="3734" hidden="1">
      <c r="A3734" s="8" t="s">
        <v>2905</v>
      </c>
      <c r="B3734" s="8" t="s">
        <v>2905</v>
      </c>
      <c r="C3734" s="13">
        <v>46069.541608796295</v>
      </c>
      <c r="D3734" s="2" t="s">
        <v>2577</v>
      </c>
      <c r="E3734" s="2" t="s">
        <v>2578</v>
      </c>
      <c r="F3734" s="14" t="s">
        <v>4203</v>
      </c>
      <c r="G3734" s="14" t="s">
        <v>4204</v>
      </c>
      <c r="H3734" s="2" t="s">
        <v>24</v>
      </c>
      <c r="I3734" s="2" t="s">
        <v>3491</v>
      </c>
      <c r="J3734" s="2">
        <v>5.0</v>
      </c>
      <c r="K3734" s="23" t="s">
        <v>6159</v>
      </c>
      <c r="L3734" s="11">
        <v>0.0</v>
      </c>
      <c r="O3734" s="2" t="b">
        <v>0</v>
      </c>
    </row>
    <row r="3735" hidden="1">
      <c r="A3735" s="8" t="s">
        <v>2904</v>
      </c>
      <c r="B3735" s="8" t="s">
        <v>2904</v>
      </c>
      <c r="C3735" s="13">
        <v>46069.5390162037</v>
      </c>
      <c r="D3735" s="2" t="s">
        <v>2005</v>
      </c>
      <c r="E3735" s="2" t="s">
        <v>2006</v>
      </c>
      <c r="F3735" s="14" t="s">
        <v>3493</v>
      </c>
      <c r="G3735" s="14" t="s">
        <v>3494</v>
      </c>
      <c r="H3735" s="2" t="s">
        <v>24</v>
      </c>
      <c r="I3735" s="2" t="s">
        <v>3491</v>
      </c>
      <c r="J3735" s="2">
        <v>4.0</v>
      </c>
      <c r="K3735" s="12" t="s">
        <v>6160</v>
      </c>
      <c r="L3735" s="11">
        <v>0.0</v>
      </c>
      <c r="O3735" s="2" t="b">
        <v>0</v>
      </c>
    </row>
    <row r="3736" hidden="1">
      <c r="A3736" s="8" t="s">
        <v>2906</v>
      </c>
      <c r="B3736" s="8" t="s">
        <v>2906</v>
      </c>
      <c r="C3736" s="13">
        <v>46069.54677083333</v>
      </c>
      <c r="D3736" s="2" t="s">
        <v>786</v>
      </c>
      <c r="E3736" s="2" t="s">
        <v>787</v>
      </c>
      <c r="F3736" s="14" t="s">
        <v>3486</v>
      </c>
      <c r="G3736" s="14" t="s">
        <v>3487</v>
      </c>
      <c r="H3736" s="2" t="s">
        <v>16</v>
      </c>
      <c r="I3736" s="2" t="s">
        <v>3488</v>
      </c>
      <c r="J3736" s="2">
        <v>4.0</v>
      </c>
      <c r="K3736" s="23" t="s">
        <v>6161</v>
      </c>
      <c r="L3736" s="11">
        <v>60000.0</v>
      </c>
      <c r="O3736" s="2" t="b">
        <v>0</v>
      </c>
    </row>
    <row r="3737" hidden="1">
      <c r="A3737" s="8" t="s">
        <v>2907</v>
      </c>
      <c r="B3737" s="8" t="s">
        <v>2907</v>
      </c>
      <c r="C3737" s="13">
        <v>46069.671944444446</v>
      </c>
      <c r="D3737" s="2" t="s">
        <v>786</v>
      </c>
      <c r="E3737" s="2" t="s">
        <v>787</v>
      </c>
      <c r="F3737" s="14" t="s">
        <v>3486</v>
      </c>
      <c r="G3737" s="14" t="s">
        <v>3487</v>
      </c>
      <c r="H3737" s="2" t="s">
        <v>24</v>
      </c>
      <c r="I3737" s="2" t="s">
        <v>3491</v>
      </c>
      <c r="J3737" s="2">
        <v>1.0</v>
      </c>
      <c r="K3737" s="23" t="s">
        <v>6020</v>
      </c>
      <c r="L3737" s="11">
        <v>0.0</v>
      </c>
      <c r="O3737" s="2" t="b">
        <v>0</v>
      </c>
    </row>
    <row r="3738" hidden="1">
      <c r="A3738" s="8" t="s">
        <v>2907</v>
      </c>
      <c r="B3738" s="8" t="s">
        <v>2907</v>
      </c>
      <c r="C3738" s="13">
        <v>46069.671944444446</v>
      </c>
      <c r="D3738" s="2" t="s">
        <v>786</v>
      </c>
      <c r="E3738" s="2" t="s">
        <v>787</v>
      </c>
      <c r="F3738" s="14" t="s">
        <v>4203</v>
      </c>
      <c r="G3738" s="14" t="s">
        <v>4204</v>
      </c>
      <c r="H3738" s="2" t="s">
        <v>24</v>
      </c>
      <c r="I3738" s="2" t="s">
        <v>3491</v>
      </c>
      <c r="J3738" s="2">
        <v>1.0</v>
      </c>
      <c r="K3738" s="23" t="s">
        <v>5045</v>
      </c>
      <c r="L3738" s="11">
        <v>0.0</v>
      </c>
      <c r="O3738" s="2" t="b">
        <v>0</v>
      </c>
    </row>
    <row r="3739" hidden="1">
      <c r="A3739" s="8" t="s">
        <v>2907</v>
      </c>
      <c r="B3739" s="8" t="s">
        <v>2907</v>
      </c>
      <c r="C3739" s="13">
        <v>46069.671944444446</v>
      </c>
      <c r="D3739" s="2" t="s">
        <v>786</v>
      </c>
      <c r="E3739" s="2" t="s">
        <v>787</v>
      </c>
      <c r="F3739" s="14" t="s">
        <v>3516</v>
      </c>
      <c r="G3739" s="14" t="s">
        <v>3517</v>
      </c>
      <c r="H3739" s="2" t="s">
        <v>24</v>
      </c>
      <c r="I3739" s="2" t="s">
        <v>3491</v>
      </c>
      <c r="J3739" s="2">
        <v>1.0</v>
      </c>
      <c r="K3739" s="23" t="s">
        <v>6162</v>
      </c>
      <c r="L3739" s="11">
        <v>0.0</v>
      </c>
      <c r="O3739" s="2" t="b">
        <v>0</v>
      </c>
    </row>
    <row r="3740" hidden="1">
      <c r="A3740" s="8" t="s">
        <v>2908</v>
      </c>
      <c r="B3740" s="8" t="s">
        <v>2908</v>
      </c>
      <c r="C3740" s="13">
        <v>46071.378275462965</v>
      </c>
      <c r="D3740" s="2" t="s">
        <v>2909</v>
      </c>
      <c r="E3740" s="2" t="s">
        <v>2910</v>
      </c>
      <c r="F3740" s="14" t="s">
        <v>4203</v>
      </c>
      <c r="G3740" s="14" t="s">
        <v>4204</v>
      </c>
      <c r="H3740" s="2" t="s">
        <v>16</v>
      </c>
      <c r="I3740" s="2" t="s">
        <v>3488</v>
      </c>
      <c r="J3740" s="2">
        <v>10.0</v>
      </c>
      <c r="K3740" s="23" t="s">
        <v>6163</v>
      </c>
      <c r="L3740" s="11">
        <v>60000.0</v>
      </c>
      <c r="O3740" s="2" t="b">
        <v>0</v>
      </c>
    </row>
    <row r="3741" hidden="1">
      <c r="A3741" s="8" t="s">
        <v>2908</v>
      </c>
      <c r="B3741" s="8" t="s">
        <v>2908</v>
      </c>
      <c r="C3741" s="13">
        <v>46071.378275462965</v>
      </c>
      <c r="D3741" s="2" t="s">
        <v>2909</v>
      </c>
      <c r="E3741" s="2" t="s">
        <v>2910</v>
      </c>
      <c r="F3741" s="14" t="s">
        <v>3516</v>
      </c>
      <c r="G3741" s="14" t="s">
        <v>3517</v>
      </c>
      <c r="H3741" s="2" t="s">
        <v>16</v>
      </c>
      <c r="I3741" s="2" t="s">
        <v>3488</v>
      </c>
      <c r="J3741" s="2">
        <v>3.0</v>
      </c>
      <c r="K3741" s="23" t="s">
        <v>6164</v>
      </c>
      <c r="L3741" s="11">
        <v>210000.0</v>
      </c>
      <c r="O3741" s="2" t="b">
        <v>0</v>
      </c>
    </row>
    <row r="3742" hidden="1">
      <c r="A3742" s="8" t="s">
        <v>2908</v>
      </c>
      <c r="B3742" s="8" t="s">
        <v>2908</v>
      </c>
      <c r="C3742" s="13">
        <v>46071.378275462965</v>
      </c>
      <c r="D3742" s="2" t="s">
        <v>2909</v>
      </c>
      <c r="E3742" s="2" t="s">
        <v>2910</v>
      </c>
      <c r="F3742" s="14" t="s">
        <v>3547</v>
      </c>
      <c r="G3742" s="14" t="s">
        <v>3548</v>
      </c>
      <c r="H3742" s="2" t="s">
        <v>16</v>
      </c>
      <c r="I3742" s="2" t="s">
        <v>3488</v>
      </c>
      <c r="J3742" s="2">
        <v>1.0</v>
      </c>
      <c r="K3742" s="12" t="s">
        <v>6165</v>
      </c>
      <c r="L3742" s="11">
        <v>1000000.0</v>
      </c>
      <c r="O3742" s="2" t="b">
        <v>0</v>
      </c>
    </row>
    <row r="3743" hidden="1">
      <c r="A3743" s="8" t="s">
        <v>2912</v>
      </c>
      <c r="B3743" s="8" t="s">
        <v>2912</v>
      </c>
      <c r="C3743" s="13">
        <v>46071.410844907405</v>
      </c>
      <c r="D3743" s="2" t="s">
        <v>2913</v>
      </c>
      <c r="E3743" s="2" t="s">
        <v>2914</v>
      </c>
      <c r="F3743" s="14" t="s">
        <v>3486</v>
      </c>
      <c r="G3743" s="14" t="s">
        <v>3487</v>
      </c>
      <c r="H3743" s="2" t="s">
        <v>16</v>
      </c>
      <c r="I3743" s="2" t="s">
        <v>3488</v>
      </c>
      <c r="J3743" s="2">
        <v>5.0</v>
      </c>
      <c r="K3743" s="23" t="s">
        <v>6166</v>
      </c>
      <c r="L3743" s="11">
        <v>50000.0</v>
      </c>
      <c r="O3743" s="2" t="b">
        <v>0</v>
      </c>
    </row>
    <row r="3744" hidden="1">
      <c r="A3744" s="8" t="s">
        <v>2904</v>
      </c>
      <c r="B3744" s="8" t="s">
        <v>2904</v>
      </c>
      <c r="C3744" s="13">
        <v>46069.5390162037</v>
      </c>
      <c r="D3744" s="2" t="s">
        <v>2005</v>
      </c>
      <c r="E3744" s="2" t="s">
        <v>2006</v>
      </c>
      <c r="F3744" s="14" t="s">
        <v>4203</v>
      </c>
      <c r="G3744" s="14" t="s">
        <v>4204</v>
      </c>
      <c r="H3744" s="2" t="s">
        <v>24</v>
      </c>
      <c r="I3744" s="2" t="s">
        <v>3491</v>
      </c>
      <c r="J3744" s="2">
        <v>3.0</v>
      </c>
      <c r="K3744" s="23" t="s">
        <v>6167</v>
      </c>
      <c r="L3744" s="11">
        <v>0.0</v>
      </c>
      <c r="O3744" s="2" t="b">
        <v>1</v>
      </c>
    </row>
    <row r="3745" hidden="1">
      <c r="A3745" s="8" t="s">
        <v>2916</v>
      </c>
      <c r="B3745" s="8" t="s">
        <v>2916</v>
      </c>
      <c r="C3745" s="13">
        <v>46071.48837962963</v>
      </c>
      <c r="D3745" s="2" t="s">
        <v>1745</v>
      </c>
      <c r="E3745" s="2" t="s">
        <v>1746</v>
      </c>
      <c r="F3745" s="14" t="s">
        <v>3486</v>
      </c>
      <c r="G3745" s="14" t="s">
        <v>3487</v>
      </c>
      <c r="H3745" s="2" t="s">
        <v>16</v>
      </c>
      <c r="I3745" s="2" t="s">
        <v>3488</v>
      </c>
      <c r="J3745" s="2">
        <v>2.0</v>
      </c>
      <c r="K3745" s="23" t="s">
        <v>6168</v>
      </c>
      <c r="L3745" s="11">
        <v>65000.0</v>
      </c>
      <c r="O3745" s="2" t="b">
        <v>0</v>
      </c>
    </row>
    <row r="3746" hidden="1">
      <c r="A3746" s="8" t="s">
        <v>2916</v>
      </c>
      <c r="B3746" s="8" t="s">
        <v>2916</v>
      </c>
      <c r="C3746" s="13">
        <v>46071.48837962963</v>
      </c>
      <c r="D3746" s="2" t="s">
        <v>1745</v>
      </c>
      <c r="E3746" s="2" t="s">
        <v>1746</v>
      </c>
      <c r="F3746" s="14" t="s">
        <v>3493</v>
      </c>
      <c r="G3746" s="14" t="s">
        <v>3494</v>
      </c>
      <c r="H3746" s="2" t="s">
        <v>16</v>
      </c>
      <c r="I3746" s="2" t="s">
        <v>3488</v>
      </c>
      <c r="J3746" s="2">
        <v>1.0</v>
      </c>
      <c r="K3746" s="12" t="s">
        <v>5783</v>
      </c>
      <c r="L3746" s="11">
        <v>215000.0</v>
      </c>
      <c r="O3746" s="2" t="b">
        <v>0</v>
      </c>
    </row>
    <row r="3747" hidden="1">
      <c r="A3747" s="8" t="s">
        <v>2918</v>
      </c>
      <c r="B3747" s="8" t="s">
        <v>2918</v>
      </c>
      <c r="C3747" s="13">
        <v>46071.51802083333</v>
      </c>
      <c r="D3747" s="2" t="s">
        <v>326</v>
      </c>
      <c r="E3747" s="2" t="s">
        <v>327</v>
      </c>
      <c r="F3747" s="14" t="s">
        <v>3486</v>
      </c>
      <c r="G3747" s="14" t="s">
        <v>3487</v>
      </c>
      <c r="H3747" s="2" t="s">
        <v>24</v>
      </c>
      <c r="I3747" s="2" t="s">
        <v>3491</v>
      </c>
      <c r="J3747" s="2">
        <v>1.0</v>
      </c>
      <c r="K3747" s="23" t="s">
        <v>6169</v>
      </c>
      <c r="L3747" s="11">
        <v>0.0</v>
      </c>
      <c r="O3747" s="2" t="b">
        <v>0</v>
      </c>
    </row>
    <row r="3748" hidden="1">
      <c r="A3748" s="8" t="s">
        <v>2917</v>
      </c>
      <c r="B3748" s="8" t="s">
        <v>2917</v>
      </c>
      <c r="C3748" s="13">
        <v>46071.4975</v>
      </c>
      <c r="D3748" s="2" t="s">
        <v>2728</v>
      </c>
      <c r="E3748" s="2" t="s">
        <v>2729</v>
      </c>
      <c r="F3748" s="14" t="s">
        <v>3486</v>
      </c>
      <c r="G3748" s="14" t="s">
        <v>3487</v>
      </c>
      <c r="H3748" s="2" t="s">
        <v>16</v>
      </c>
      <c r="I3748" s="2" t="s">
        <v>3488</v>
      </c>
      <c r="J3748" s="2">
        <v>1.0</v>
      </c>
      <c r="K3748" s="23" t="s">
        <v>6170</v>
      </c>
      <c r="L3748" s="11">
        <v>100000.0</v>
      </c>
      <c r="O3748" s="2" t="b">
        <v>0</v>
      </c>
    </row>
    <row r="3749" hidden="1">
      <c r="A3749" s="8" t="s">
        <v>2919</v>
      </c>
      <c r="B3749" s="8" t="s">
        <v>2919</v>
      </c>
      <c r="C3749" s="13">
        <v>46071.61168981482</v>
      </c>
      <c r="D3749" s="2" t="s">
        <v>1745</v>
      </c>
      <c r="E3749" s="2" t="s">
        <v>1746</v>
      </c>
      <c r="F3749" s="14" t="s">
        <v>3493</v>
      </c>
      <c r="G3749" s="14" t="s">
        <v>3494</v>
      </c>
      <c r="H3749" s="2" t="s">
        <v>24</v>
      </c>
      <c r="I3749" s="2" t="s">
        <v>3491</v>
      </c>
      <c r="J3749" s="2">
        <v>1.0</v>
      </c>
      <c r="K3749" s="12" t="s">
        <v>5783</v>
      </c>
      <c r="L3749" s="11">
        <v>0.0</v>
      </c>
      <c r="O3749" s="2" t="b">
        <v>0</v>
      </c>
    </row>
    <row r="3750" hidden="1">
      <c r="A3750" s="8" t="s">
        <v>2920</v>
      </c>
      <c r="B3750" s="8" t="s">
        <v>2920</v>
      </c>
      <c r="C3750" s="13">
        <v>46071.61362268519</v>
      </c>
      <c r="D3750" s="2" t="s">
        <v>2623</v>
      </c>
      <c r="E3750" s="2" t="s">
        <v>2624</v>
      </c>
      <c r="F3750" s="14" t="s">
        <v>3522</v>
      </c>
      <c r="G3750" s="14" t="s">
        <v>3523</v>
      </c>
      <c r="H3750" s="2" t="s">
        <v>16</v>
      </c>
      <c r="I3750" s="2" t="s">
        <v>3488</v>
      </c>
      <c r="J3750" s="2">
        <v>2.0</v>
      </c>
      <c r="K3750" s="23" t="s">
        <v>6171</v>
      </c>
      <c r="L3750" s="11">
        <v>225000.0</v>
      </c>
      <c r="O3750" s="2" t="b">
        <v>0</v>
      </c>
    </row>
    <row r="3751" hidden="1">
      <c r="A3751" s="8" t="s">
        <v>2921</v>
      </c>
      <c r="B3751" s="8" t="s">
        <v>2921</v>
      </c>
      <c r="C3751" s="13">
        <v>46072.3565625</v>
      </c>
      <c r="D3751" s="2" t="s">
        <v>131</v>
      </c>
      <c r="E3751" s="2" t="s">
        <v>132</v>
      </c>
      <c r="F3751" s="14" t="s">
        <v>3486</v>
      </c>
      <c r="G3751" s="14" t="s">
        <v>3487</v>
      </c>
      <c r="H3751" s="2" t="s">
        <v>24</v>
      </c>
      <c r="I3751" s="2" t="s">
        <v>3491</v>
      </c>
      <c r="J3751" s="2">
        <v>3.0</v>
      </c>
      <c r="K3751" s="23" t="s">
        <v>6172</v>
      </c>
      <c r="L3751" s="11">
        <v>0.0</v>
      </c>
      <c r="O3751" s="2" t="b">
        <v>0</v>
      </c>
    </row>
    <row r="3752" hidden="1">
      <c r="A3752" s="8" t="s">
        <v>2921</v>
      </c>
      <c r="B3752" s="8" t="s">
        <v>2921</v>
      </c>
      <c r="C3752" s="13">
        <v>46072.3565625</v>
      </c>
      <c r="D3752" s="2" t="s">
        <v>131</v>
      </c>
      <c r="E3752" s="2" t="s">
        <v>132</v>
      </c>
      <c r="F3752" s="14" t="s">
        <v>3516</v>
      </c>
      <c r="G3752" s="14" t="s">
        <v>3517</v>
      </c>
      <c r="H3752" s="2" t="s">
        <v>24</v>
      </c>
      <c r="I3752" s="2" t="s">
        <v>3491</v>
      </c>
      <c r="J3752" s="2">
        <v>1.0</v>
      </c>
      <c r="K3752" s="23" t="s">
        <v>6120</v>
      </c>
      <c r="L3752" s="11">
        <v>0.0</v>
      </c>
      <c r="O3752" s="2" t="b">
        <v>0</v>
      </c>
    </row>
    <row r="3753" hidden="1">
      <c r="A3753" s="8" t="s">
        <v>2922</v>
      </c>
      <c r="B3753" s="8" t="s">
        <v>2922</v>
      </c>
      <c r="C3753" s="13">
        <v>46072.35724537037</v>
      </c>
      <c r="D3753" s="2" t="s">
        <v>109</v>
      </c>
      <c r="E3753" s="2" t="s">
        <v>110</v>
      </c>
      <c r="F3753" s="14" t="s">
        <v>3522</v>
      </c>
      <c r="G3753" s="14" t="s">
        <v>3523</v>
      </c>
      <c r="H3753" s="2" t="s">
        <v>24</v>
      </c>
      <c r="I3753" s="2" t="s">
        <v>3491</v>
      </c>
      <c r="J3753" s="2">
        <v>1.0</v>
      </c>
      <c r="K3753" s="23" t="s">
        <v>6173</v>
      </c>
      <c r="L3753" s="11">
        <v>0.0</v>
      </c>
      <c r="O3753" s="2" t="b">
        <v>0</v>
      </c>
    </row>
    <row r="3754" hidden="1">
      <c r="A3754" s="8" t="s">
        <v>2923</v>
      </c>
      <c r="B3754" s="8" t="s">
        <v>2923</v>
      </c>
      <c r="C3754" s="13">
        <v>46072.35755787037</v>
      </c>
      <c r="D3754" s="2" t="s">
        <v>1618</v>
      </c>
      <c r="E3754" s="2" t="s">
        <v>1619</v>
      </c>
      <c r="F3754" s="14" t="s">
        <v>3516</v>
      </c>
      <c r="G3754" s="14" t="s">
        <v>3517</v>
      </c>
      <c r="H3754" s="2" t="s">
        <v>24</v>
      </c>
      <c r="I3754" s="2" t="s">
        <v>3491</v>
      </c>
      <c r="J3754" s="2">
        <v>7.0</v>
      </c>
      <c r="K3754" s="23" t="s">
        <v>6174</v>
      </c>
      <c r="L3754" s="11">
        <v>0.0</v>
      </c>
      <c r="O3754" s="2" t="b">
        <v>0</v>
      </c>
    </row>
    <row r="3755" hidden="1">
      <c r="A3755" s="8" t="s">
        <v>2924</v>
      </c>
      <c r="B3755" s="8" t="s">
        <v>2924</v>
      </c>
      <c r="C3755" s="13">
        <v>46072.35818287037</v>
      </c>
      <c r="D3755" s="2" t="s">
        <v>2640</v>
      </c>
      <c r="E3755" s="2" t="s">
        <v>2641</v>
      </c>
      <c r="F3755" s="14" t="s">
        <v>3486</v>
      </c>
      <c r="G3755" s="14" t="s">
        <v>3487</v>
      </c>
      <c r="H3755" s="2" t="s">
        <v>24</v>
      </c>
      <c r="I3755" s="2" t="s">
        <v>3491</v>
      </c>
      <c r="J3755" s="2">
        <v>3.0</v>
      </c>
      <c r="K3755" s="23" t="s">
        <v>6175</v>
      </c>
      <c r="L3755" s="11">
        <v>0.0</v>
      </c>
      <c r="O3755" s="2" t="b">
        <v>0</v>
      </c>
    </row>
    <row r="3756" hidden="1">
      <c r="A3756" s="8" t="s">
        <v>2924</v>
      </c>
      <c r="B3756" s="8" t="s">
        <v>2924</v>
      </c>
      <c r="C3756" s="13">
        <v>46072.35818287037</v>
      </c>
      <c r="D3756" s="2" t="s">
        <v>2640</v>
      </c>
      <c r="E3756" s="2" t="s">
        <v>2641</v>
      </c>
      <c r="F3756" s="14" t="s">
        <v>3516</v>
      </c>
      <c r="G3756" s="14" t="s">
        <v>3517</v>
      </c>
      <c r="H3756" s="2" t="s">
        <v>24</v>
      </c>
      <c r="I3756" s="2" t="s">
        <v>3491</v>
      </c>
      <c r="J3756" s="2">
        <v>5.0</v>
      </c>
      <c r="K3756" s="23" t="s">
        <v>6176</v>
      </c>
      <c r="L3756" s="11">
        <v>0.0</v>
      </c>
      <c r="O3756" s="2" t="b">
        <v>0</v>
      </c>
    </row>
    <row r="3757" hidden="1">
      <c r="A3757" s="8" t="s">
        <v>2925</v>
      </c>
      <c r="B3757" s="8" t="s">
        <v>2925</v>
      </c>
      <c r="C3757" s="13">
        <v>46072.36738425926</v>
      </c>
      <c r="D3757" s="2" t="s">
        <v>320</v>
      </c>
      <c r="E3757" s="2" t="s">
        <v>321</v>
      </c>
      <c r="F3757" s="14" t="s">
        <v>3516</v>
      </c>
      <c r="G3757" s="14" t="s">
        <v>3517</v>
      </c>
      <c r="H3757" s="2" t="s">
        <v>16</v>
      </c>
      <c r="I3757" s="2" t="s">
        <v>3488</v>
      </c>
      <c r="J3757" s="2">
        <v>2.0</v>
      </c>
      <c r="K3757" s="23" t="s">
        <v>6177</v>
      </c>
      <c r="L3757" s="11">
        <v>190000.0</v>
      </c>
      <c r="O3757" s="2" t="b">
        <v>0</v>
      </c>
    </row>
    <row r="3758" hidden="1">
      <c r="A3758" s="8" t="s">
        <v>2926</v>
      </c>
      <c r="B3758" s="8" t="s">
        <v>2926</v>
      </c>
      <c r="C3758" s="13">
        <v>46072.367731481485</v>
      </c>
      <c r="D3758" s="2" t="s">
        <v>951</v>
      </c>
      <c r="E3758" s="2" t="s">
        <v>952</v>
      </c>
      <c r="F3758" s="14" t="s">
        <v>3486</v>
      </c>
      <c r="G3758" s="14" t="s">
        <v>3487</v>
      </c>
      <c r="H3758" s="2" t="s">
        <v>16</v>
      </c>
      <c r="I3758" s="2" t="s">
        <v>3488</v>
      </c>
      <c r="J3758" s="2">
        <v>4.0</v>
      </c>
      <c r="K3758" s="23" t="s">
        <v>6178</v>
      </c>
      <c r="L3758" s="11">
        <v>55000.0</v>
      </c>
      <c r="O3758" s="2" t="b">
        <v>0</v>
      </c>
    </row>
    <row r="3759" hidden="1">
      <c r="A3759" s="8" t="s">
        <v>2928</v>
      </c>
      <c r="B3759" s="8" t="s">
        <v>2928</v>
      </c>
      <c r="C3759" s="13">
        <v>46072.42563657407</v>
      </c>
      <c r="D3759" s="2" t="s">
        <v>326</v>
      </c>
      <c r="E3759" s="2" t="s">
        <v>327</v>
      </c>
      <c r="F3759" s="14" t="s">
        <v>3486</v>
      </c>
      <c r="G3759" s="14" t="s">
        <v>3487</v>
      </c>
      <c r="H3759" s="2" t="s">
        <v>16</v>
      </c>
      <c r="I3759" s="2" t="s">
        <v>3488</v>
      </c>
      <c r="J3759" s="2">
        <v>10.0</v>
      </c>
      <c r="K3759" s="23" t="s">
        <v>6179</v>
      </c>
      <c r="L3759" s="11">
        <v>45000.0</v>
      </c>
      <c r="O3759" s="2" t="b">
        <v>0</v>
      </c>
    </row>
    <row r="3760" hidden="1">
      <c r="A3760" s="8" t="s">
        <v>2928</v>
      </c>
      <c r="B3760" s="8" t="s">
        <v>2928</v>
      </c>
      <c r="C3760" s="13">
        <v>46072.42563657407</v>
      </c>
      <c r="D3760" s="2" t="s">
        <v>326</v>
      </c>
      <c r="E3760" s="2" t="s">
        <v>327</v>
      </c>
      <c r="F3760" s="14" t="s">
        <v>3522</v>
      </c>
      <c r="G3760" s="14" t="s">
        <v>3523</v>
      </c>
      <c r="H3760" s="2" t="s">
        <v>16</v>
      </c>
      <c r="I3760" s="2" t="s">
        <v>3488</v>
      </c>
      <c r="J3760" s="2">
        <v>2.0</v>
      </c>
      <c r="K3760" s="23" t="s">
        <v>6180</v>
      </c>
      <c r="L3760" s="11">
        <v>200000.0</v>
      </c>
      <c r="O3760" s="2" t="b">
        <v>0</v>
      </c>
    </row>
    <row r="3761" hidden="1">
      <c r="A3761" s="8" t="s">
        <v>2927</v>
      </c>
      <c r="B3761" s="8" t="s">
        <v>2927</v>
      </c>
      <c r="C3761" s="13">
        <v>46072.42556712963</v>
      </c>
      <c r="D3761" s="2" t="s">
        <v>786</v>
      </c>
      <c r="E3761" s="2" t="s">
        <v>787</v>
      </c>
      <c r="F3761" s="14" t="s">
        <v>3486</v>
      </c>
      <c r="G3761" s="14" t="s">
        <v>3487</v>
      </c>
      <c r="H3761" s="2" t="s">
        <v>16</v>
      </c>
      <c r="I3761" s="2" t="s">
        <v>3488</v>
      </c>
      <c r="J3761" s="2">
        <v>5.0</v>
      </c>
      <c r="K3761" s="23" t="s">
        <v>6181</v>
      </c>
      <c r="L3761" s="11">
        <v>60000.0</v>
      </c>
      <c r="O3761" s="2" t="b">
        <v>0</v>
      </c>
    </row>
    <row r="3762" hidden="1">
      <c r="A3762" s="8" t="s">
        <v>2929</v>
      </c>
      <c r="B3762" s="8" t="s">
        <v>2929</v>
      </c>
      <c r="C3762" s="13">
        <v>46072.438125</v>
      </c>
      <c r="D3762" s="2" t="s">
        <v>320</v>
      </c>
      <c r="E3762" s="2" t="s">
        <v>321</v>
      </c>
      <c r="F3762" s="14" t="s">
        <v>3516</v>
      </c>
      <c r="G3762" s="14" t="s">
        <v>3517</v>
      </c>
      <c r="H3762" s="2" t="s">
        <v>24</v>
      </c>
      <c r="I3762" s="2" t="s">
        <v>3491</v>
      </c>
      <c r="J3762" s="2">
        <v>3.0</v>
      </c>
      <c r="K3762" s="23" t="s">
        <v>6182</v>
      </c>
      <c r="L3762" s="11">
        <v>0.0</v>
      </c>
      <c r="O3762" s="2" t="b">
        <v>0</v>
      </c>
    </row>
    <row r="3763" hidden="1">
      <c r="A3763" s="8" t="s">
        <v>2930</v>
      </c>
      <c r="B3763" s="8" t="s">
        <v>2930</v>
      </c>
      <c r="C3763" s="13">
        <v>46072.43850694445</v>
      </c>
      <c r="D3763" s="2" t="s">
        <v>951</v>
      </c>
      <c r="E3763" s="2" t="s">
        <v>952</v>
      </c>
      <c r="F3763" s="14" t="s">
        <v>3486</v>
      </c>
      <c r="G3763" s="14" t="s">
        <v>3487</v>
      </c>
      <c r="H3763" s="2" t="s">
        <v>24</v>
      </c>
      <c r="I3763" s="2" t="s">
        <v>3491</v>
      </c>
      <c r="J3763" s="2">
        <v>4.0</v>
      </c>
      <c r="K3763" s="23" t="s">
        <v>6183</v>
      </c>
      <c r="L3763" s="11">
        <v>0.0</v>
      </c>
      <c r="O3763" s="2" t="b">
        <v>0</v>
      </c>
    </row>
    <row r="3764" hidden="1">
      <c r="A3764" s="8" t="s">
        <v>2931</v>
      </c>
      <c r="B3764" s="8" t="s">
        <v>2931</v>
      </c>
      <c r="C3764" s="13">
        <v>46072.50965277778</v>
      </c>
      <c r="D3764" s="2" t="s">
        <v>1203</v>
      </c>
      <c r="E3764" s="2" t="s">
        <v>1204</v>
      </c>
      <c r="F3764" s="14" t="s">
        <v>3547</v>
      </c>
      <c r="G3764" s="14" t="s">
        <v>3548</v>
      </c>
      <c r="H3764" s="2" t="s">
        <v>16</v>
      </c>
      <c r="I3764" s="2" t="s">
        <v>3488</v>
      </c>
      <c r="J3764" s="2">
        <v>3.0</v>
      </c>
      <c r="K3764" s="12" t="s">
        <v>6184</v>
      </c>
      <c r="L3764" s="11">
        <v>925000.0</v>
      </c>
      <c r="O3764" s="2" t="b">
        <v>0</v>
      </c>
    </row>
    <row r="3765" hidden="1">
      <c r="A3765" s="8" t="s">
        <v>2932</v>
      </c>
      <c r="B3765" s="8" t="s">
        <v>2932</v>
      </c>
      <c r="C3765" s="13">
        <v>46072.51162037037</v>
      </c>
      <c r="D3765" s="2" t="s">
        <v>2081</v>
      </c>
      <c r="E3765" s="2" t="s">
        <v>2082</v>
      </c>
      <c r="F3765" s="14" t="s">
        <v>3486</v>
      </c>
      <c r="G3765" s="14" t="s">
        <v>3487</v>
      </c>
      <c r="H3765" s="2" t="s">
        <v>16</v>
      </c>
      <c r="I3765" s="2" t="s">
        <v>3488</v>
      </c>
      <c r="J3765" s="2">
        <v>2.0</v>
      </c>
      <c r="K3765" s="23" t="s">
        <v>6185</v>
      </c>
      <c r="L3765" s="11">
        <v>60000.0</v>
      </c>
      <c r="O3765" s="2" t="b">
        <v>0</v>
      </c>
    </row>
    <row r="3766" hidden="1">
      <c r="A3766" s="8" t="s">
        <v>2932</v>
      </c>
      <c r="B3766" s="8" t="s">
        <v>2932</v>
      </c>
      <c r="C3766" s="13">
        <v>46072.51162037037</v>
      </c>
      <c r="D3766" s="2" t="s">
        <v>2081</v>
      </c>
      <c r="E3766" s="2" t="s">
        <v>2082</v>
      </c>
      <c r="F3766" s="14" t="s">
        <v>3493</v>
      </c>
      <c r="G3766" s="14" t="s">
        <v>3494</v>
      </c>
      <c r="H3766" s="2" t="s">
        <v>16</v>
      </c>
      <c r="I3766" s="2" t="s">
        <v>3488</v>
      </c>
      <c r="J3766" s="2">
        <v>1.0</v>
      </c>
      <c r="K3766" s="12" t="s">
        <v>5783</v>
      </c>
      <c r="L3766" s="11">
        <v>210000.0</v>
      </c>
      <c r="O3766" s="2" t="b">
        <v>0</v>
      </c>
    </row>
    <row r="3767" hidden="1">
      <c r="A3767" s="8" t="s">
        <v>2934</v>
      </c>
      <c r="B3767" s="8" t="s">
        <v>2934</v>
      </c>
      <c r="C3767" s="13">
        <v>46072.511828703704</v>
      </c>
      <c r="D3767" s="2" t="s">
        <v>320</v>
      </c>
      <c r="E3767" s="2" t="s">
        <v>321</v>
      </c>
      <c r="F3767" s="14" t="s">
        <v>3486</v>
      </c>
      <c r="G3767" s="14" t="s">
        <v>3487</v>
      </c>
      <c r="H3767" s="2" t="s">
        <v>16</v>
      </c>
      <c r="I3767" s="2" t="s">
        <v>3488</v>
      </c>
      <c r="J3767" s="2">
        <v>2.0</v>
      </c>
      <c r="K3767" s="23" t="s">
        <v>6186</v>
      </c>
      <c r="L3767" s="11">
        <v>70000.0</v>
      </c>
      <c r="O3767" s="2" t="b">
        <v>0</v>
      </c>
    </row>
    <row r="3768" hidden="1">
      <c r="A3768" s="8" t="s">
        <v>2933</v>
      </c>
      <c r="B3768" s="8" t="s">
        <v>2933</v>
      </c>
      <c r="C3768" s="13">
        <v>46072.51174768519</v>
      </c>
      <c r="D3768" s="2" t="s">
        <v>2640</v>
      </c>
      <c r="E3768" s="2" t="s">
        <v>2641</v>
      </c>
      <c r="F3768" s="14" t="s">
        <v>3486</v>
      </c>
      <c r="G3768" s="14" t="s">
        <v>3487</v>
      </c>
      <c r="H3768" s="2" t="s">
        <v>16</v>
      </c>
      <c r="I3768" s="2" t="s">
        <v>3488</v>
      </c>
      <c r="J3768" s="2">
        <v>4.0</v>
      </c>
      <c r="K3768" s="23" t="s">
        <v>6187</v>
      </c>
      <c r="L3768" s="11">
        <v>60000.0</v>
      </c>
      <c r="O3768" s="2" t="b">
        <v>0</v>
      </c>
    </row>
    <row r="3769" hidden="1">
      <c r="A3769" s="8" t="s">
        <v>2933</v>
      </c>
      <c r="B3769" s="8" t="s">
        <v>2933</v>
      </c>
      <c r="C3769" s="13">
        <v>46072.51174768519</v>
      </c>
      <c r="D3769" s="2" t="s">
        <v>2640</v>
      </c>
      <c r="E3769" s="2" t="s">
        <v>2641</v>
      </c>
      <c r="F3769" s="14" t="s">
        <v>3516</v>
      </c>
      <c r="G3769" s="14" t="s">
        <v>3517</v>
      </c>
      <c r="H3769" s="2" t="s">
        <v>16</v>
      </c>
      <c r="I3769" s="2" t="s">
        <v>3488</v>
      </c>
      <c r="J3769" s="2">
        <v>4.0</v>
      </c>
      <c r="K3769" s="23" t="s">
        <v>6188</v>
      </c>
      <c r="L3769" s="11">
        <v>190000.0</v>
      </c>
      <c r="O3769" s="2" t="b">
        <v>0</v>
      </c>
    </row>
    <row r="3770" hidden="1">
      <c r="A3770" s="8" t="s">
        <v>2935</v>
      </c>
      <c r="B3770" s="8" t="s">
        <v>2935</v>
      </c>
      <c r="C3770" s="13">
        <v>46072.57886574074</v>
      </c>
      <c r="D3770" s="2" t="s">
        <v>1203</v>
      </c>
      <c r="E3770" s="2" t="s">
        <v>1204</v>
      </c>
      <c r="F3770" s="14" t="s">
        <v>3547</v>
      </c>
      <c r="G3770" s="14" t="s">
        <v>3548</v>
      </c>
      <c r="H3770" s="2" t="s">
        <v>24</v>
      </c>
      <c r="I3770" s="2" t="s">
        <v>3491</v>
      </c>
      <c r="J3770" s="2">
        <v>3.0</v>
      </c>
      <c r="K3770" s="12" t="s">
        <v>6189</v>
      </c>
      <c r="L3770" s="11">
        <v>0.0</v>
      </c>
      <c r="O3770" s="2" t="b">
        <v>0</v>
      </c>
    </row>
    <row r="3771" hidden="1">
      <c r="A3771" s="8" t="s">
        <v>2936</v>
      </c>
      <c r="B3771" s="8" t="s">
        <v>2936</v>
      </c>
      <c r="C3771" s="13">
        <v>46072.628796296296</v>
      </c>
      <c r="D3771" s="2" t="s">
        <v>786</v>
      </c>
      <c r="E3771" s="2" t="s">
        <v>787</v>
      </c>
      <c r="F3771" s="14" t="s">
        <v>3486</v>
      </c>
      <c r="G3771" s="14" t="s">
        <v>3487</v>
      </c>
      <c r="H3771" s="2" t="s">
        <v>24</v>
      </c>
      <c r="I3771" s="2" t="s">
        <v>3491</v>
      </c>
      <c r="J3771" s="2">
        <v>2.0</v>
      </c>
      <c r="K3771" s="23" t="s">
        <v>6190</v>
      </c>
      <c r="L3771" s="11">
        <v>0.0</v>
      </c>
      <c r="O3771" s="2" t="b">
        <v>0</v>
      </c>
    </row>
    <row r="3772" hidden="1">
      <c r="A3772" s="8" t="s">
        <v>2936</v>
      </c>
      <c r="B3772" s="8" t="s">
        <v>2936</v>
      </c>
      <c r="C3772" s="13">
        <v>46072.628796296296</v>
      </c>
      <c r="D3772" s="2" t="s">
        <v>786</v>
      </c>
      <c r="E3772" s="2" t="s">
        <v>787</v>
      </c>
      <c r="F3772" s="14" t="s">
        <v>4203</v>
      </c>
      <c r="G3772" s="14" t="s">
        <v>4204</v>
      </c>
      <c r="H3772" s="2" t="s">
        <v>24</v>
      </c>
      <c r="I3772" s="2" t="s">
        <v>3491</v>
      </c>
      <c r="J3772" s="2">
        <v>3.0</v>
      </c>
      <c r="K3772" s="23" t="s">
        <v>6191</v>
      </c>
      <c r="L3772" s="11">
        <v>0.0</v>
      </c>
      <c r="O3772" s="2" t="b">
        <v>0</v>
      </c>
    </row>
    <row r="3773" hidden="1">
      <c r="A3773" s="8" t="s">
        <v>2937</v>
      </c>
      <c r="B3773" s="8" t="s">
        <v>2937</v>
      </c>
      <c r="C3773" s="13">
        <v>46072.62962962963</v>
      </c>
      <c r="D3773" s="2" t="s">
        <v>326</v>
      </c>
      <c r="E3773" s="2" t="s">
        <v>327</v>
      </c>
      <c r="F3773" s="14" t="s">
        <v>3522</v>
      </c>
      <c r="G3773" s="14" t="s">
        <v>3523</v>
      </c>
      <c r="H3773" s="2" t="s">
        <v>24</v>
      </c>
      <c r="I3773" s="2" t="s">
        <v>3491</v>
      </c>
      <c r="J3773" s="2">
        <v>1.0</v>
      </c>
      <c r="K3773" s="23" t="s">
        <v>4339</v>
      </c>
      <c r="L3773" s="11">
        <v>0.0</v>
      </c>
      <c r="O3773" s="2" t="b">
        <v>0</v>
      </c>
    </row>
    <row r="3774" hidden="1">
      <c r="A3774" s="8" t="s">
        <v>2937</v>
      </c>
      <c r="B3774" s="8" t="s">
        <v>2937</v>
      </c>
      <c r="C3774" s="13">
        <v>46072.62962962963</v>
      </c>
      <c r="D3774" s="2" t="s">
        <v>326</v>
      </c>
      <c r="E3774" s="2" t="s">
        <v>327</v>
      </c>
      <c r="F3774" s="14" t="s">
        <v>3486</v>
      </c>
      <c r="G3774" s="14" t="s">
        <v>3487</v>
      </c>
      <c r="H3774" s="2" t="s">
        <v>24</v>
      </c>
      <c r="I3774" s="2" t="s">
        <v>3491</v>
      </c>
      <c r="J3774" s="2">
        <v>1.0</v>
      </c>
      <c r="K3774" s="23" t="s">
        <v>6192</v>
      </c>
      <c r="L3774" s="11">
        <v>0.0</v>
      </c>
      <c r="O3774" s="2" t="b">
        <v>1</v>
      </c>
    </row>
    <row r="3775" hidden="1">
      <c r="A3775" s="8" t="s">
        <v>2938</v>
      </c>
      <c r="B3775" s="8" t="s">
        <v>2938</v>
      </c>
      <c r="C3775" s="13">
        <v>46072.65796296296</v>
      </c>
      <c r="D3775" s="2" t="s">
        <v>1776</v>
      </c>
      <c r="E3775" s="2" t="s">
        <v>1777</v>
      </c>
      <c r="F3775" s="14" t="s">
        <v>4203</v>
      </c>
      <c r="G3775" s="14" t="s">
        <v>4204</v>
      </c>
      <c r="H3775" s="2" t="s">
        <v>16</v>
      </c>
      <c r="I3775" s="2" t="s">
        <v>3488</v>
      </c>
      <c r="J3775" s="2">
        <v>1.0</v>
      </c>
      <c r="K3775" s="23" t="s">
        <v>4724</v>
      </c>
      <c r="L3775" s="11">
        <v>80000.0</v>
      </c>
      <c r="O3775" s="2" t="b">
        <v>0</v>
      </c>
    </row>
    <row r="3776" hidden="1">
      <c r="A3776" s="8" t="s">
        <v>2939</v>
      </c>
      <c r="B3776" s="8" t="s">
        <v>2939</v>
      </c>
      <c r="C3776" s="13">
        <v>46072.667974537035</v>
      </c>
      <c r="D3776" s="2" t="s">
        <v>2640</v>
      </c>
      <c r="E3776" s="2" t="s">
        <v>2641</v>
      </c>
      <c r="F3776" s="14" t="s">
        <v>3516</v>
      </c>
      <c r="G3776" s="14" t="s">
        <v>3517</v>
      </c>
      <c r="H3776" s="2" t="s">
        <v>24</v>
      </c>
      <c r="I3776" s="2" t="s">
        <v>3491</v>
      </c>
      <c r="J3776" s="2">
        <v>2.0</v>
      </c>
      <c r="K3776" s="23" t="s">
        <v>6193</v>
      </c>
      <c r="L3776" s="11">
        <v>0.0</v>
      </c>
      <c r="O3776" s="2" t="b">
        <v>0</v>
      </c>
    </row>
    <row r="3777" hidden="1">
      <c r="A3777" s="8" t="s">
        <v>2940</v>
      </c>
      <c r="B3777" s="8" t="s">
        <v>2940</v>
      </c>
      <c r="C3777" s="13">
        <v>46072.675208333334</v>
      </c>
      <c r="D3777" s="2" t="s">
        <v>1776</v>
      </c>
      <c r="E3777" s="2" t="s">
        <v>1777</v>
      </c>
      <c r="F3777" s="14" t="s">
        <v>4203</v>
      </c>
      <c r="G3777" s="14" t="s">
        <v>4204</v>
      </c>
      <c r="H3777" s="2" t="s">
        <v>24</v>
      </c>
      <c r="I3777" s="2" t="s">
        <v>3491</v>
      </c>
      <c r="J3777" s="2">
        <v>3.0</v>
      </c>
      <c r="K3777" s="23" t="s">
        <v>6194</v>
      </c>
      <c r="L3777" s="11">
        <v>0.0</v>
      </c>
      <c r="O3777" s="2" t="b">
        <v>0</v>
      </c>
    </row>
    <row r="3778" hidden="1">
      <c r="A3778" s="8" t="s">
        <v>2941</v>
      </c>
      <c r="B3778" s="8" t="s">
        <v>2941</v>
      </c>
      <c r="C3778" s="13">
        <v>46073.36922453704</v>
      </c>
      <c r="D3778" s="2" t="s">
        <v>1613</v>
      </c>
      <c r="E3778" s="2" t="s">
        <v>1614</v>
      </c>
      <c r="F3778" s="14" t="s">
        <v>4203</v>
      </c>
      <c r="G3778" s="14" t="s">
        <v>4204</v>
      </c>
      <c r="H3778" s="2" t="s">
        <v>16</v>
      </c>
      <c r="I3778" s="2" t="s">
        <v>3488</v>
      </c>
      <c r="J3778" s="2">
        <v>1.0</v>
      </c>
      <c r="K3778" s="23" t="s">
        <v>5577</v>
      </c>
      <c r="L3778" s="11">
        <v>65000.0</v>
      </c>
      <c r="O3778" s="2" t="b">
        <v>0</v>
      </c>
    </row>
    <row r="3779" hidden="1">
      <c r="A3779" s="1"/>
      <c r="B3779" s="1"/>
      <c r="C3779" s="13"/>
      <c r="D3779" s="2"/>
      <c r="E3779" s="2"/>
      <c r="F3779" s="14"/>
      <c r="G3779" s="14"/>
      <c r="H3779" s="2"/>
      <c r="I3779" s="2"/>
      <c r="J3779" s="2"/>
      <c r="K3779" s="12"/>
      <c r="L3779" s="11"/>
      <c r="O3779" s="2"/>
    </row>
    <row r="3780" hidden="1">
      <c r="A3780" s="8" t="s">
        <v>2943</v>
      </c>
      <c r="B3780" s="8" t="s">
        <v>2943</v>
      </c>
      <c r="C3780" s="13">
        <v>46073.41997685185</v>
      </c>
      <c r="D3780" s="2" t="s">
        <v>392</v>
      </c>
      <c r="E3780" s="2" t="s">
        <v>393</v>
      </c>
      <c r="F3780" s="14" t="s">
        <v>3506</v>
      </c>
      <c r="G3780" s="14" t="s">
        <v>3507</v>
      </c>
      <c r="H3780" s="2" t="s">
        <v>24</v>
      </c>
      <c r="I3780" s="2" t="s">
        <v>3491</v>
      </c>
      <c r="J3780" s="2">
        <v>5.0</v>
      </c>
      <c r="K3780" s="12"/>
      <c r="L3780" s="11">
        <v>0.0</v>
      </c>
      <c r="O3780" s="2" t="b">
        <v>0</v>
      </c>
    </row>
    <row r="3781" hidden="1">
      <c r="A3781" s="8" t="s">
        <v>2944</v>
      </c>
      <c r="B3781" s="8" t="s">
        <v>2944</v>
      </c>
      <c r="C3781" s="13">
        <v>46073.43446759259</v>
      </c>
      <c r="D3781" s="2" t="s">
        <v>1776</v>
      </c>
      <c r="E3781" s="2" t="s">
        <v>1777</v>
      </c>
      <c r="F3781" s="14" t="s">
        <v>3493</v>
      </c>
      <c r="G3781" s="14" t="s">
        <v>3494</v>
      </c>
      <c r="H3781" s="2" t="s">
        <v>16</v>
      </c>
      <c r="I3781" s="2" t="s">
        <v>3488</v>
      </c>
      <c r="J3781" s="2">
        <v>1.0</v>
      </c>
      <c r="K3781" s="12" t="s">
        <v>6195</v>
      </c>
      <c r="L3781" s="11">
        <v>215000.0</v>
      </c>
      <c r="O3781" s="2" t="b">
        <v>0</v>
      </c>
    </row>
    <row r="3782" hidden="1">
      <c r="A3782" s="8" t="s">
        <v>2945</v>
      </c>
      <c r="B3782" s="8" t="s">
        <v>2945</v>
      </c>
      <c r="C3782" s="13">
        <v>46073.65456018518</v>
      </c>
      <c r="D3782" s="2" t="s">
        <v>2913</v>
      </c>
      <c r="E3782" s="2" t="s">
        <v>2914</v>
      </c>
      <c r="F3782" s="14" t="s">
        <v>3486</v>
      </c>
      <c r="G3782" s="14" t="s">
        <v>3487</v>
      </c>
      <c r="H3782" s="2" t="s">
        <v>16</v>
      </c>
      <c r="I3782" s="2" t="s">
        <v>3488</v>
      </c>
      <c r="J3782" s="2">
        <v>5.0</v>
      </c>
      <c r="K3782" s="23" t="s">
        <v>6196</v>
      </c>
      <c r="L3782" s="11">
        <v>50000.0</v>
      </c>
      <c r="O3782" s="2" t="b">
        <v>0</v>
      </c>
    </row>
    <row r="3783" hidden="1">
      <c r="A3783" s="8" t="s">
        <v>2945</v>
      </c>
      <c r="B3783" s="8" t="s">
        <v>2945</v>
      </c>
      <c r="C3783" s="13">
        <v>46073.65456018518</v>
      </c>
      <c r="D3783" s="2" t="s">
        <v>2913</v>
      </c>
      <c r="E3783" s="2" t="s">
        <v>2914</v>
      </c>
      <c r="F3783" s="14" t="s">
        <v>5765</v>
      </c>
      <c r="G3783" s="14" t="s">
        <v>5766</v>
      </c>
      <c r="H3783" s="2" t="s">
        <v>16</v>
      </c>
      <c r="I3783" s="2" t="s">
        <v>3488</v>
      </c>
      <c r="J3783" s="2">
        <v>3.0</v>
      </c>
      <c r="K3783" s="23" t="s">
        <v>6197</v>
      </c>
      <c r="L3783" s="11">
        <v>75000.0</v>
      </c>
      <c r="O3783" s="2" t="b">
        <v>0</v>
      </c>
    </row>
    <row r="3784" hidden="1">
      <c r="A3784" s="8" t="s">
        <v>2946</v>
      </c>
      <c r="B3784" s="8" t="s">
        <v>2946</v>
      </c>
      <c r="C3784" s="13">
        <v>46073.66195601852</v>
      </c>
      <c r="D3784" s="2" t="s">
        <v>2913</v>
      </c>
      <c r="E3784" s="2" t="s">
        <v>2914</v>
      </c>
      <c r="F3784" s="14" t="s">
        <v>3486</v>
      </c>
      <c r="G3784" s="14" t="s">
        <v>3487</v>
      </c>
      <c r="H3784" s="2" t="s">
        <v>24</v>
      </c>
      <c r="I3784" s="2" t="s">
        <v>3491</v>
      </c>
      <c r="J3784" s="2">
        <v>2.0</v>
      </c>
      <c r="K3784" s="23" t="s">
        <v>6198</v>
      </c>
      <c r="L3784" s="11">
        <v>0.0</v>
      </c>
      <c r="O3784" s="2" t="b">
        <v>0</v>
      </c>
    </row>
    <row r="3785" hidden="1">
      <c r="A3785" s="8" t="s">
        <v>2947</v>
      </c>
      <c r="B3785" s="8" t="s">
        <v>2947</v>
      </c>
      <c r="C3785" s="13">
        <v>46074.3471875</v>
      </c>
      <c r="D3785" s="2" t="s">
        <v>2543</v>
      </c>
      <c r="E3785" s="2" t="s">
        <v>2544</v>
      </c>
      <c r="F3785" s="14" t="s">
        <v>3516</v>
      </c>
      <c r="G3785" s="14" t="s">
        <v>3517</v>
      </c>
      <c r="H3785" s="2" t="s">
        <v>16</v>
      </c>
      <c r="I3785" s="2" t="s">
        <v>3488</v>
      </c>
      <c r="J3785" s="2">
        <v>3.0</v>
      </c>
      <c r="K3785" s="23" t="s">
        <v>6199</v>
      </c>
      <c r="L3785" s="11">
        <v>190000.0</v>
      </c>
      <c r="O3785" s="2" t="b">
        <v>0</v>
      </c>
    </row>
    <row r="3786" hidden="1">
      <c r="A3786" s="8" t="s">
        <v>2947</v>
      </c>
      <c r="B3786" s="8" t="s">
        <v>2947</v>
      </c>
      <c r="C3786" s="13">
        <v>46074.3471875</v>
      </c>
      <c r="D3786" s="2" t="s">
        <v>2543</v>
      </c>
      <c r="E3786" s="2" t="s">
        <v>2544</v>
      </c>
      <c r="F3786" s="14" t="s">
        <v>3585</v>
      </c>
      <c r="G3786" s="14" t="s">
        <v>3586</v>
      </c>
      <c r="H3786" s="2" t="s">
        <v>16</v>
      </c>
      <c r="I3786" s="2" t="s">
        <v>3488</v>
      </c>
      <c r="J3786" s="2">
        <v>1.0</v>
      </c>
      <c r="K3786" s="23" t="s">
        <v>6200</v>
      </c>
      <c r="L3786" s="11">
        <v>485000.0</v>
      </c>
      <c r="O3786" s="2" t="b">
        <v>0</v>
      </c>
    </row>
    <row r="3787" hidden="1">
      <c r="A3787" s="8" t="s">
        <v>2947</v>
      </c>
      <c r="B3787" s="8" t="s">
        <v>2947</v>
      </c>
      <c r="C3787" s="13">
        <v>46074.3471875</v>
      </c>
      <c r="D3787" s="2" t="s">
        <v>2543</v>
      </c>
      <c r="E3787" s="2" t="s">
        <v>2544</v>
      </c>
      <c r="F3787" s="14" t="s">
        <v>3486</v>
      </c>
      <c r="G3787" s="14" t="s">
        <v>3487</v>
      </c>
      <c r="H3787" s="2" t="s">
        <v>16</v>
      </c>
      <c r="I3787" s="2" t="s">
        <v>3488</v>
      </c>
      <c r="J3787" s="2">
        <v>2.0</v>
      </c>
      <c r="K3787" s="23" t="s">
        <v>6201</v>
      </c>
      <c r="L3787" s="11">
        <v>60000.0</v>
      </c>
      <c r="O3787" s="2" t="b">
        <v>0</v>
      </c>
    </row>
    <row r="3788" hidden="1">
      <c r="A3788" s="8" t="s">
        <v>2948</v>
      </c>
      <c r="B3788" s="8" t="s">
        <v>2948</v>
      </c>
      <c r="C3788" s="13">
        <v>46074.35065972222</v>
      </c>
      <c r="D3788" s="2" t="s">
        <v>392</v>
      </c>
      <c r="E3788" s="2" t="s">
        <v>393</v>
      </c>
      <c r="F3788" s="14" t="s">
        <v>3506</v>
      </c>
      <c r="G3788" s="14" t="s">
        <v>3507</v>
      </c>
      <c r="H3788" s="2" t="s">
        <v>16</v>
      </c>
      <c r="I3788" s="2" t="s">
        <v>3488</v>
      </c>
      <c r="J3788" s="2">
        <v>5.0</v>
      </c>
      <c r="K3788" s="12"/>
      <c r="L3788" s="11">
        <v>50000.0</v>
      </c>
      <c r="O3788" s="2" t="b">
        <v>0</v>
      </c>
    </row>
    <row r="3789" hidden="1">
      <c r="A3789" s="8" t="s">
        <v>2949</v>
      </c>
      <c r="B3789" s="8" t="s">
        <v>2949</v>
      </c>
      <c r="C3789" s="13">
        <v>46074.46244212963</v>
      </c>
      <c r="D3789" s="2" t="s">
        <v>2577</v>
      </c>
      <c r="E3789" s="2" t="s">
        <v>2578</v>
      </c>
      <c r="F3789" s="14" t="s">
        <v>4203</v>
      </c>
      <c r="G3789" s="14" t="s">
        <v>4204</v>
      </c>
      <c r="H3789" s="2" t="s">
        <v>24</v>
      </c>
      <c r="I3789" s="2" t="s">
        <v>3491</v>
      </c>
      <c r="J3789" s="2">
        <v>4.0</v>
      </c>
      <c r="K3789" s="23" t="s">
        <v>6202</v>
      </c>
      <c r="L3789" s="11">
        <v>0.0</v>
      </c>
      <c r="O3789" s="2" t="b">
        <v>0</v>
      </c>
    </row>
    <row r="3790" hidden="1">
      <c r="A3790" s="8" t="s">
        <v>2949</v>
      </c>
      <c r="B3790" s="8" t="s">
        <v>2949</v>
      </c>
      <c r="C3790" s="13">
        <v>46074.46244212963</v>
      </c>
      <c r="D3790" s="2" t="s">
        <v>2577</v>
      </c>
      <c r="E3790" s="2" t="s">
        <v>2578</v>
      </c>
      <c r="F3790" s="14" t="s">
        <v>3486</v>
      </c>
      <c r="G3790" s="14" t="s">
        <v>3487</v>
      </c>
      <c r="H3790" s="2" t="s">
        <v>24</v>
      </c>
      <c r="I3790" s="2" t="s">
        <v>3491</v>
      </c>
      <c r="J3790" s="2">
        <v>1.0</v>
      </c>
      <c r="K3790" s="23" t="s">
        <v>3926</v>
      </c>
      <c r="L3790" s="11">
        <v>0.0</v>
      </c>
      <c r="O3790" s="2" t="b">
        <v>0</v>
      </c>
    </row>
    <row r="3791" hidden="1">
      <c r="A3791" s="8" t="s">
        <v>2950</v>
      </c>
      <c r="B3791" s="8" t="s">
        <v>2950</v>
      </c>
      <c r="C3791" s="13">
        <v>46074.46361111111</v>
      </c>
      <c r="D3791" s="2" t="s">
        <v>2543</v>
      </c>
      <c r="E3791" s="2" t="s">
        <v>2544</v>
      </c>
      <c r="F3791" s="14" t="s">
        <v>3516</v>
      </c>
      <c r="G3791" s="14" t="s">
        <v>3517</v>
      </c>
      <c r="H3791" s="2" t="s">
        <v>24</v>
      </c>
      <c r="I3791" s="2" t="s">
        <v>3491</v>
      </c>
      <c r="J3791" s="2">
        <v>2.0</v>
      </c>
      <c r="K3791" s="23" t="s">
        <v>6203</v>
      </c>
      <c r="L3791" s="11">
        <v>0.0</v>
      </c>
      <c r="O3791" s="2" t="b">
        <v>0</v>
      </c>
    </row>
    <row r="3792" hidden="1">
      <c r="A3792" s="8" t="s">
        <v>2951</v>
      </c>
      <c r="B3792" s="8" t="s">
        <v>2951</v>
      </c>
      <c r="C3792" s="13">
        <v>46074.47605324074</v>
      </c>
      <c r="D3792" s="2" t="s">
        <v>1975</v>
      </c>
      <c r="E3792" s="2" t="s">
        <v>1976</v>
      </c>
      <c r="F3792" s="14" t="s">
        <v>4203</v>
      </c>
      <c r="G3792" s="14" t="s">
        <v>4204</v>
      </c>
      <c r="H3792" s="2" t="s">
        <v>16</v>
      </c>
      <c r="I3792" s="2" t="s">
        <v>3488</v>
      </c>
      <c r="J3792" s="2">
        <v>5.0</v>
      </c>
      <c r="K3792" s="23" t="s">
        <v>6204</v>
      </c>
      <c r="L3792" s="11">
        <v>60000.0</v>
      </c>
      <c r="O3792" s="2" t="b">
        <v>0</v>
      </c>
    </row>
    <row r="3793" hidden="1">
      <c r="A3793" s="8" t="s">
        <v>2951</v>
      </c>
      <c r="B3793" s="8" t="s">
        <v>2951</v>
      </c>
      <c r="C3793" s="13">
        <v>46074.47605324074</v>
      </c>
      <c r="D3793" s="2" t="s">
        <v>1975</v>
      </c>
      <c r="E3793" s="2" t="s">
        <v>1976</v>
      </c>
      <c r="F3793" s="14" t="s">
        <v>3486</v>
      </c>
      <c r="G3793" s="14" t="s">
        <v>3487</v>
      </c>
      <c r="H3793" s="2" t="s">
        <v>16</v>
      </c>
      <c r="I3793" s="2" t="s">
        <v>3488</v>
      </c>
      <c r="J3793" s="2">
        <v>4.0</v>
      </c>
      <c r="K3793" s="23" t="s">
        <v>6205</v>
      </c>
      <c r="L3793" s="11">
        <v>60000.0</v>
      </c>
      <c r="O3793" s="2" t="b">
        <v>0</v>
      </c>
    </row>
    <row r="3794" hidden="1">
      <c r="A3794" s="8" t="s">
        <v>2942</v>
      </c>
      <c r="B3794" s="8" t="s">
        <v>2942</v>
      </c>
      <c r="C3794" s="13">
        <v>46073.419652777775</v>
      </c>
      <c r="D3794" s="2" t="s">
        <v>1613</v>
      </c>
      <c r="E3794" s="2" t="s">
        <v>1614</v>
      </c>
      <c r="F3794" s="14" t="s">
        <v>3486</v>
      </c>
      <c r="G3794" s="14" t="s">
        <v>3487</v>
      </c>
      <c r="H3794" s="2" t="s">
        <v>24</v>
      </c>
      <c r="I3794" s="2" t="s">
        <v>3491</v>
      </c>
      <c r="J3794" s="2">
        <v>1.0</v>
      </c>
      <c r="K3794" s="23" t="s">
        <v>6206</v>
      </c>
      <c r="L3794" s="11">
        <v>0.0</v>
      </c>
      <c r="O3794" s="2" t="b">
        <v>0</v>
      </c>
    </row>
    <row r="3795" hidden="1">
      <c r="A3795" s="8" t="s">
        <v>2942</v>
      </c>
      <c r="B3795" s="8" t="s">
        <v>2942</v>
      </c>
      <c r="C3795" s="13">
        <v>46073.419652777775</v>
      </c>
      <c r="D3795" s="2" t="s">
        <v>1613</v>
      </c>
      <c r="E3795" s="2" t="s">
        <v>1614</v>
      </c>
      <c r="F3795" s="14" t="s">
        <v>4203</v>
      </c>
      <c r="G3795" s="14" t="s">
        <v>4204</v>
      </c>
      <c r="H3795" s="2" t="s">
        <v>24</v>
      </c>
      <c r="I3795" s="2" t="s">
        <v>3491</v>
      </c>
      <c r="J3795" s="2">
        <v>1.0</v>
      </c>
      <c r="K3795" s="23" t="s">
        <v>5959</v>
      </c>
      <c r="L3795" s="11">
        <v>0.0</v>
      </c>
      <c r="O3795" s="2" t="b">
        <v>1</v>
      </c>
    </row>
    <row r="3796" hidden="1">
      <c r="A3796" s="8" t="s">
        <v>2951</v>
      </c>
      <c r="B3796" s="8" t="s">
        <v>2951</v>
      </c>
      <c r="C3796" s="13">
        <v>46074.47605324074</v>
      </c>
      <c r="D3796" s="2" t="s">
        <v>1975</v>
      </c>
      <c r="E3796" s="2" t="s">
        <v>1976</v>
      </c>
      <c r="F3796" s="14" t="s">
        <v>3486</v>
      </c>
      <c r="G3796" s="14" t="s">
        <v>3487</v>
      </c>
      <c r="H3796" s="2" t="s">
        <v>16</v>
      </c>
      <c r="I3796" s="2" t="s">
        <v>3488</v>
      </c>
      <c r="J3796" s="2">
        <v>1.0</v>
      </c>
      <c r="K3796" s="23" t="s">
        <v>6206</v>
      </c>
      <c r="L3796" s="11">
        <v>60000.0</v>
      </c>
      <c r="O3796" s="2" t="b">
        <v>1</v>
      </c>
    </row>
    <row r="3797" hidden="1">
      <c r="A3797" s="8" t="s">
        <v>2952</v>
      </c>
      <c r="B3797" s="8" t="s">
        <v>2952</v>
      </c>
      <c r="C3797" s="13">
        <v>46074.484305555554</v>
      </c>
      <c r="D3797" s="2" t="s">
        <v>320</v>
      </c>
      <c r="E3797" s="2" t="s">
        <v>321</v>
      </c>
      <c r="F3797" s="14" t="s">
        <v>4203</v>
      </c>
      <c r="G3797" s="14" t="s">
        <v>4204</v>
      </c>
      <c r="H3797" s="2" t="s">
        <v>16</v>
      </c>
      <c r="I3797" s="2" t="s">
        <v>3488</v>
      </c>
      <c r="J3797" s="2">
        <v>2.0</v>
      </c>
      <c r="K3797" s="23" t="s">
        <v>6207</v>
      </c>
      <c r="L3797" s="11">
        <v>70000.0</v>
      </c>
      <c r="O3797" s="2" t="b">
        <v>0</v>
      </c>
    </row>
    <row r="3798">
      <c r="A3798" s="8" t="s">
        <v>2953</v>
      </c>
      <c r="B3798" s="8" t="s">
        <v>2953</v>
      </c>
      <c r="C3798" s="13">
        <v>46074.61376157407</v>
      </c>
      <c r="D3798" s="2" t="s">
        <v>45</v>
      </c>
      <c r="E3798" s="2" t="s">
        <v>46</v>
      </c>
      <c r="F3798" s="14" t="s">
        <v>3522</v>
      </c>
      <c r="G3798" s="14" t="s">
        <v>3523</v>
      </c>
      <c r="H3798" s="2" t="s">
        <v>16</v>
      </c>
      <c r="I3798" s="2" t="s">
        <v>3488</v>
      </c>
      <c r="J3798" s="2">
        <v>8.0</v>
      </c>
      <c r="K3798" s="23" t="s">
        <v>6208</v>
      </c>
      <c r="L3798" s="11">
        <v>200000.0</v>
      </c>
      <c r="O3798" s="2" t="b">
        <v>0</v>
      </c>
    </row>
    <row r="3799" hidden="1">
      <c r="A3799" s="8" t="s">
        <v>2955</v>
      </c>
      <c r="B3799" s="8" t="s">
        <v>2955</v>
      </c>
      <c r="C3799" s="13">
        <v>46074.62530092592</v>
      </c>
      <c r="D3799" s="2" t="s">
        <v>320</v>
      </c>
      <c r="E3799" s="2" t="s">
        <v>321</v>
      </c>
      <c r="F3799" s="14" t="s">
        <v>4203</v>
      </c>
      <c r="G3799" s="14" t="s">
        <v>4204</v>
      </c>
      <c r="H3799" s="2" t="s">
        <v>24</v>
      </c>
      <c r="I3799" s="2" t="s">
        <v>3491</v>
      </c>
      <c r="J3799" s="2">
        <v>1.0</v>
      </c>
      <c r="K3799" s="23" t="s">
        <v>6079</v>
      </c>
      <c r="L3799" s="11">
        <v>0.0</v>
      </c>
      <c r="O3799" s="2" t="b">
        <v>0</v>
      </c>
    </row>
    <row r="3800" hidden="1">
      <c r="A3800" s="8" t="s">
        <v>2955</v>
      </c>
      <c r="B3800" s="8" t="s">
        <v>2955</v>
      </c>
      <c r="C3800" s="13">
        <v>46074.62530092592</v>
      </c>
      <c r="D3800" s="2" t="s">
        <v>320</v>
      </c>
      <c r="E3800" s="2" t="s">
        <v>321</v>
      </c>
      <c r="F3800" s="14" t="s">
        <v>3486</v>
      </c>
      <c r="G3800" s="14" t="s">
        <v>3487</v>
      </c>
      <c r="H3800" s="2" t="s">
        <v>24</v>
      </c>
      <c r="I3800" s="2" t="s">
        <v>3491</v>
      </c>
      <c r="J3800" s="2">
        <v>1.0</v>
      </c>
      <c r="K3800" s="23" t="s">
        <v>4608</v>
      </c>
      <c r="L3800" s="11">
        <v>0.0</v>
      </c>
      <c r="O3800" s="2" t="b">
        <v>0</v>
      </c>
    </row>
    <row r="3801" hidden="1">
      <c r="A3801" s="8" t="s">
        <v>2956</v>
      </c>
      <c r="B3801" s="8" t="s">
        <v>2956</v>
      </c>
      <c r="C3801" s="13">
        <v>46074.6258912037</v>
      </c>
      <c r="D3801" s="2" t="s">
        <v>1975</v>
      </c>
      <c r="E3801" s="2" t="s">
        <v>1976</v>
      </c>
      <c r="F3801" s="14" t="s">
        <v>3486</v>
      </c>
      <c r="G3801" s="14" t="s">
        <v>3487</v>
      </c>
      <c r="H3801" s="2" t="s">
        <v>24</v>
      </c>
      <c r="I3801" s="2" t="s">
        <v>3491</v>
      </c>
      <c r="J3801" s="2">
        <v>9.0</v>
      </c>
      <c r="K3801" s="23" t="s">
        <v>6209</v>
      </c>
      <c r="L3801" s="11">
        <v>0.0</v>
      </c>
      <c r="O3801" s="2" t="b">
        <v>0</v>
      </c>
    </row>
    <row r="3802" hidden="1">
      <c r="A3802" s="8" t="s">
        <v>2956</v>
      </c>
      <c r="B3802" s="8" t="s">
        <v>2956</v>
      </c>
      <c r="C3802" s="13">
        <v>46074.6258912037</v>
      </c>
      <c r="D3802" s="2" t="s">
        <v>1975</v>
      </c>
      <c r="E3802" s="2" t="s">
        <v>1976</v>
      </c>
      <c r="F3802" s="14" t="s">
        <v>4203</v>
      </c>
      <c r="G3802" s="14" t="s">
        <v>4204</v>
      </c>
      <c r="H3802" s="2" t="s">
        <v>24</v>
      </c>
      <c r="I3802" s="2" t="s">
        <v>3491</v>
      </c>
      <c r="J3802" s="2">
        <v>1.0</v>
      </c>
      <c r="K3802" s="23" t="s">
        <v>5162</v>
      </c>
      <c r="L3802" s="11">
        <v>0.0</v>
      </c>
      <c r="O3802" s="2" t="b">
        <v>0</v>
      </c>
    </row>
    <row r="3803" hidden="1">
      <c r="A3803" s="8" t="s">
        <v>2957</v>
      </c>
      <c r="B3803" s="8" t="s">
        <v>2957</v>
      </c>
      <c r="C3803" s="13">
        <v>46074.6408912037</v>
      </c>
      <c r="D3803" s="2" t="s">
        <v>2623</v>
      </c>
      <c r="E3803" s="2" t="s">
        <v>2624</v>
      </c>
      <c r="F3803" s="14" t="s">
        <v>3522</v>
      </c>
      <c r="G3803" s="14" t="s">
        <v>3523</v>
      </c>
      <c r="H3803" s="2" t="s">
        <v>24</v>
      </c>
      <c r="I3803" s="2" t="s">
        <v>3491</v>
      </c>
      <c r="J3803" s="2">
        <v>2.0</v>
      </c>
      <c r="K3803" s="23" t="s">
        <v>6210</v>
      </c>
      <c r="L3803" s="11">
        <v>0.0</v>
      </c>
      <c r="O3803" s="2" t="b">
        <v>0</v>
      </c>
    </row>
    <row r="3804" hidden="1">
      <c r="A3804" s="8" t="s">
        <v>2958</v>
      </c>
      <c r="B3804" s="8" t="s">
        <v>2958</v>
      </c>
      <c r="C3804" s="13">
        <v>46074.641168981485</v>
      </c>
      <c r="D3804" s="2" t="s">
        <v>1084</v>
      </c>
      <c r="E3804" s="2" t="s">
        <v>1085</v>
      </c>
      <c r="F3804" s="14" t="s">
        <v>4203</v>
      </c>
      <c r="G3804" s="14" t="s">
        <v>4204</v>
      </c>
      <c r="H3804" s="2" t="s">
        <v>24</v>
      </c>
      <c r="I3804" s="2" t="s">
        <v>3491</v>
      </c>
      <c r="J3804" s="2">
        <v>1.0</v>
      </c>
      <c r="K3804" s="23" t="s">
        <v>6211</v>
      </c>
      <c r="L3804" s="11">
        <v>0.0</v>
      </c>
      <c r="O3804" s="2" t="b">
        <v>0</v>
      </c>
    </row>
    <row r="3805" hidden="1">
      <c r="A3805" s="8" t="s">
        <v>2959</v>
      </c>
      <c r="B3805" s="8" t="s">
        <v>2959</v>
      </c>
      <c r="C3805" s="13">
        <v>46074.51693287037</v>
      </c>
      <c r="D3805" s="2" t="s">
        <v>786</v>
      </c>
      <c r="E3805" s="2" t="s">
        <v>787</v>
      </c>
      <c r="F3805" s="14" t="s">
        <v>3486</v>
      </c>
      <c r="G3805" s="14" t="s">
        <v>3487</v>
      </c>
      <c r="H3805" s="2" t="s">
        <v>24</v>
      </c>
      <c r="I3805" s="2" t="s">
        <v>3491</v>
      </c>
      <c r="J3805" s="2">
        <v>4.0</v>
      </c>
      <c r="K3805" s="23" t="s">
        <v>6212</v>
      </c>
      <c r="L3805" s="11">
        <v>0.0</v>
      </c>
      <c r="O3805" s="2" t="b">
        <v>0</v>
      </c>
    </row>
    <row r="3806" hidden="1">
      <c r="A3806" s="8" t="s">
        <v>2959</v>
      </c>
      <c r="B3806" s="8" t="s">
        <v>2959</v>
      </c>
      <c r="C3806" s="13">
        <v>46074.51693287037</v>
      </c>
      <c r="D3806" s="2" t="s">
        <v>786</v>
      </c>
      <c r="E3806" s="2" t="s">
        <v>787</v>
      </c>
      <c r="F3806" s="14" t="s">
        <v>3516</v>
      </c>
      <c r="G3806" s="14" t="s">
        <v>3517</v>
      </c>
      <c r="H3806" s="2" t="s">
        <v>24</v>
      </c>
      <c r="I3806" s="2" t="s">
        <v>3491</v>
      </c>
      <c r="J3806" s="2">
        <v>1.0</v>
      </c>
      <c r="K3806" s="23" t="s">
        <v>5504</v>
      </c>
      <c r="L3806" s="11">
        <v>0.0</v>
      </c>
      <c r="O3806" s="2" t="b">
        <v>0</v>
      </c>
    </row>
    <row r="3807" hidden="1">
      <c r="A3807" s="8" t="s">
        <v>2954</v>
      </c>
      <c r="B3807" s="8" t="s">
        <v>2954</v>
      </c>
      <c r="C3807" s="13">
        <v>46074.614016203705</v>
      </c>
      <c r="D3807" s="2" t="s">
        <v>951</v>
      </c>
      <c r="E3807" s="2" t="s">
        <v>952</v>
      </c>
      <c r="F3807" s="14" t="s">
        <v>3486</v>
      </c>
      <c r="G3807" s="14" t="s">
        <v>3487</v>
      </c>
      <c r="H3807" s="2" t="s">
        <v>16</v>
      </c>
      <c r="I3807" s="2" t="s">
        <v>3488</v>
      </c>
      <c r="J3807" s="2">
        <v>5.0</v>
      </c>
      <c r="K3807" s="23" t="s">
        <v>6213</v>
      </c>
      <c r="L3807" s="11">
        <v>55000.0</v>
      </c>
      <c r="O3807" s="2" t="b">
        <v>0</v>
      </c>
    </row>
    <row r="3808" hidden="1">
      <c r="A3808" s="8" t="s">
        <v>2954</v>
      </c>
      <c r="B3808" s="8" t="s">
        <v>2954</v>
      </c>
      <c r="C3808" s="13">
        <v>46074.614016203705</v>
      </c>
      <c r="D3808" s="2" t="s">
        <v>951</v>
      </c>
      <c r="E3808" s="2" t="s">
        <v>952</v>
      </c>
      <c r="F3808" s="14" t="s">
        <v>3516</v>
      </c>
      <c r="G3808" s="14" t="s">
        <v>3517</v>
      </c>
      <c r="H3808" s="2" t="s">
        <v>16</v>
      </c>
      <c r="I3808" s="2" t="s">
        <v>3488</v>
      </c>
      <c r="J3808" s="2">
        <v>1.0</v>
      </c>
      <c r="K3808" s="23" t="s">
        <v>4391</v>
      </c>
      <c r="L3808" s="11">
        <v>175000.0</v>
      </c>
      <c r="O3808" s="2" t="b">
        <v>0</v>
      </c>
    </row>
    <row r="3809" hidden="1">
      <c r="A3809" s="8" t="s">
        <v>2960</v>
      </c>
      <c r="B3809" s="8" t="s">
        <v>2960</v>
      </c>
      <c r="C3809" s="13">
        <v>46076.350590277776</v>
      </c>
      <c r="D3809" s="2" t="s">
        <v>951</v>
      </c>
      <c r="E3809" s="2" t="s">
        <v>952</v>
      </c>
      <c r="F3809" s="14" t="s">
        <v>3486</v>
      </c>
      <c r="G3809" s="14" t="s">
        <v>3487</v>
      </c>
      <c r="H3809" s="2" t="s">
        <v>24</v>
      </c>
      <c r="I3809" s="2" t="s">
        <v>3491</v>
      </c>
      <c r="J3809" s="2">
        <v>5.0</v>
      </c>
      <c r="K3809" s="23" t="s">
        <v>6214</v>
      </c>
      <c r="L3809" s="11">
        <v>0.0</v>
      </c>
      <c r="O3809" s="2" t="b">
        <v>0</v>
      </c>
    </row>
    <row r="3810" hidden="1">
      <c r="A3810" s="8" t="s">
        <v>2960</v>
      </c>
      <c r="B3810" s="8" t="s">
        <v>2960</v>
      </c>
      <c r="C3810" s="13">
        <v>46076.350590277776</v>
      </c>
      <c r="D3810" s="2" t="s">
        <v>951</v>
      </c>
      <c r="E3810" s="2" t="s">
        <v>952</v>
      </c>
      <c r="F3810" s="14" t="s">
        <v>3516</v>
      </c>
      <c r="G3810" s="14" t="s">
        <v>3517</v>
      </c>
      <c r="H3810" s="2" t="s">
        <v>24</v>
      </c>
      <c r="I3810" s="2" t="s">
        <v>3491</v>
      </c>
      <c r="J3810" s="2">
        <v>1.0</v>
      </c>
      <c r="K3810" s="23" t="s">
        <v>4505</v>
      </c>
      <c r="L3810" s="11">
        <v>0.0</v>
      </c>
      <c r="O3810" s="2" t="b">
        <v>0</v>
      </c>
    </row>
    <row r="3811" hidden="1">
      <c r="A3811" s="8" t="s">
        <v>2961</v>
      </c>
      <c r="B3811" s="8" t="s">
        <v>2961</v>
      </c>
      <c r="C3811" s="13">
        <v>46076.3765162037</v>
      </c>
      <c r="D3811" s="2" t="s">
        <v>131</v>
      </c>
      <c r="E3811" s="2" t="s">
        <v>132</v>
      </c>
      <c r="F3811" s="14" t="s">
        <v>4203</v>
      </c>
      <c r="G3811" s="14" t="s">
        <v>4204</v>
      </c>
      <c r="H3811" s="2" t="s">
        <v>16</v>
      </c>
      <c r="I3811" s="2" t="s">
        <v>3488</v>
      </c>
      <c r="J3811" s="2">
        <v>2.0</v>
      </c>
      <c r="K3811" s="23" t="s">
        <v>6215</v>
      </c>
      <c r="L3811" s="11">
        <v>60000.0</v>
      </c>
      <c r="O3811" s="2" t="b">
        <v>0</v>
      </c>
    </row>
    <row r="3812" hidden="1">
      <c r="A3812" s="8" t="s">
        <v>2961</v>
      </c>
      <c r="B3812" s="8" t="s">
        <v>2961</v>
      </c>
      <c r="C3812" s="13">
        <v>46076.3765162037</v>
      </c>
      <c r="D3812" s="2" t="s">
        <v>131</v>
      </c>
      <c r="E3812" s="2" t="s">
        <v>132</v>
      </c>
      <c r="F3812" s="14" t="s">
        <v>3486</v>
      </c>
      <c r="G3812" s="14" t="s">
        <v>3487</v>
      </c>
      <c r="H3812" s="2" t="s">
        <v>16</v>
      </c>
      <c r="I3812" s="2" t="s">
        <v>3488</v>
      </c>
      <c r="J3812" s="2">
        <v>2.0</v>
      </c>
      <c r="K3812" s="23" t="s">
        <v>6216</v>
      </c>
      <c r="L3812" s="11">
        <v>60000.0</v>
      </c>
      <c r="O3812" s="2" t="b">
        <v>0</v>
      </c>
    </row>
    <row r="3813" hidden="1">
      <c r="A3813" s="8" t="s">
        <v>2961</v>
      </c>
      <c r="B3813" s="8" t="s">
        <v>2961</v>
      </c>
      <c r="C3813" s="13">
        <v>46076.3765162037</v>
      </c>
      <c r="D3813" s="2" t="s">
        <v>131</v>
      </c>
      <c r="E3813" s="2" t="s">
        <v>132</v>
      </c>
      <c r="F3813" s="14" t="s">
        <v>3516</v>
      </c>
      <c r="G3813" s="14" t="s">
        <v>3517</v>
      </c>
      <c r="H3813" s="2" t="s">
        <v>16</v>
      </c>
      <c r="I3813" s="2" t="s">
        <v>3488</v>
      </c>
      <c r="J3813" s="2">
        <v>4.0</v>
      </c>
      <c r="K3813" s="23" t="s">
        <v>6217</v>
      </c>
      <c r="L3813" s="11">
        <v>180000.0</v>
      </c>
      <c r="O3813" s="2" t="b">
        <v>0</v>
      </c>
    </row>
    <row r="3814" hidden="1">
      <c r="A3814" s="8" t="s">
        <v>2962</v>
      </c>
      <c r="B3814" s="8" t="s">
        <v>2962</v>
      </c>
      <c r="C3814" s="13">
        <v>46076.381747685184</v>
      </c>
      <c r="D3814" s="2" t="s">
        <v>1618</v>
      </c>
      <c r="E3814" s="2" t="s">
        <v>1619</v>
      </c>
      <c r="F3814" s="14" t="s">
        <v>3516</v>
      </c>
      <c r="G3814" s="14" t="s">
        <v>3517</v>
      </c>
      <c r="H3814" s="2" t="s">
        <v>16</v>
      </c>
      <c r="I3814" s="2" t="s">
        <v>3488</v>
      </c>
      <c r="J3814" s="2">
        <v>6.0</v>
      </c>
      <c r="K3814" s="23" t="s">
        <v>6218</v>
      </c>
      <c r="L3814" s="11">
        <v>190000.0</v>
      </c>
      <c r="O3814" s="2" t="b">
        <v>0</v>
      </c>
    </row>
    <row r="3815" hidden="1">
      <c r="A3815" s="8" t="s">
        <v>2963</v>
      </c>
      <c r="B3815" s="8" t="s">
        <v>2963</v>
      </c>
      <c r="C3815" s="13">
        <v>46076.404641203706</v>
      </c>
      <c r="D3815" s="2" t="s">
        <v>131</v>
      </c>
      <c r="E3815" s="2" t="s">
        <v>132</v>
      </c>
      <c r="F3815" s="14" t="s">
        <v>3486</v>
      </c>
      <c r="G3815" s="14" t="s">
        <v>3487</v>
      </c>
      <c r="H3815" s="2" t="s">
        <v>24</v>
      </c>
      <c r="I3815" s="2" t="s">
        <v>3491</v>
      </c>
      <c r="J3815" s="2">
        <v>1.0</v>
      </c>
      <c r="K3815" s="23" t="s">
        <v>5096</v>
      </c>
      <c r="L3815" s="11">
        <v>0.0</v>
      </c>
      <c r="O3815" s="2" t="b">
        <v>0</v>
      </c>
    </row>
    <row r="3816" hidden="1">
      <c r="A3816" s="8" t="s">
        <v>2963</v>
      </c>
      <c r="B3816" s="8" t="s">
        <v>2963</v>
      </c>
      <c r="C3816" s="13">
        <v>46076.404641203706</v>
      </c>
      <c r="D3816" s="2" t="s">
        <v>131</v>
      </c>
      <c r="E3816" s="2" t="s">
        <v>132</v>
      </c>
      <c r="F3816" s="14" t="s">
        <v>3516</v>
      </c>
      <c r="G3816" s="14" t="s">
        <v>3517</v>
      </c>
      <c r="H3816" s="2" t="s">
        <v>24</v>
      </c>
      <c r="I3816" s="2" t="s">
        <v>3491</v>
      </c>
      <c r="J3816" s="2">
        <v>3.0</v>
      </c>
      <c r="K3816" s="23" t="s">
        <v>6219</v>
      </c>
      <c r="L3816" s="11">
        <v>0.0</v>
      </c>
      <c r="O3816" s="2" t="b">
        <v>0</v>
      </c>
    </row>
    <row r="3817" hidden="1">
      <c r="A3817" s="8" t="s">
        <v>2964</v>
      </c>
      <c r="B3817" s="8" t="s">
        <v>2964</v>
      </c>
      <c r="C3817" s="13">
        <v>46076.40516203704</v>
      </c>
      <c r="D3817" s="2" t="s">
        <v>885</v>
      </c>
      <c r="E3817" s="2" t="s">
        <v>886</v>
      </c>
      <c r="F3817" s="14" t="s">
        <v>3522</v>
      </c>
      <c r="G3817" s="14" t="s">
        <v>3523</v>
      </c>
      <c r="H3817" s="2" t="s">
        <v>24</v>
      </c>
      <c r="I3817" s="2" t="s">
        <v>3491</v>
      </c>
      <c r="J3817" s="2">
        <v>1.0</v>
      </c>
      <c r="K3817" s="23" t="s">
        <v>3618</v>
      </c>
      <c r="L3817" s="11">
        <v>0.0</v>
      </c>
      <c r="O3817" s="2" t="b">
        <v>0</v>
      </c>
    </row>
    <row r="3818" hidden="1">
      <c r="A3818" s="8" t="s">
        <v>2964</v>
      </c>
      <c r="B3818" s="8" t="s">
        <v>2964</v>
      </c>
      <c r="C3818" s="13">
        <v>46076.40516203704</v>
      </c>
      <c r="D3818" s="2" t="s">
        <v>885</v>
      </c>
      <c r="E3818" s="2" t="s">
        <v>886</v>
      </c>
      <c r="F3818" s="14" t="s">
        <v>3522</v>
      </c>
      <c r="G3818" s="14" t="s">
        <v>3523</v>
      </c>
      <c r="H3818" s="2" t="s">
        <v>24</v>
      </c>
      <c r="I3818" s="2" t="s">
        <v>3491</v>
      </c>
      <c r="J3818" s="2">
        <v>1.0</v>
      </c>
      <c r="K3818" s="23" t="s">
        <v>4330</v>
      </c>
      <c r="L3818" s="11">
        <v>0.0</v>
      </c>
      <c r="O3818" s="2" t="b">
        <v>1</v>
      </c>
    </row>
    <row r="3819" hidden="1">
      <c r="A3819" s="8" t="s">
        <v>2965</v>
      </c>
      <c r="B3819" s="8" t="s">
        <v>2965</v>
      </c>
      <c r="C3819" s="13">
        <v>46076.45712962963</v>
      </c>
      <c r="D3819" s="2" t="s">
        <v>1618</v>
      </c>
      <c r="E3819" s="2" t="s">
        <v>1619</v>
      </c>
      <c r="F3819" s="14" t="s">
        <v>3516</v>
      </c>
      <c r="G3819" s="14" t="s">
        <v>3517</v>
      </c>
      <c r="H3819" s="2" t="s">
        <v>24</v>
      </c>
      <c r="I3819" s="2" t="s">
        <v>3491</v>
      </c>
      <c r="J3819" s="2">
        <v>1.0</v>
      </c>
      <c r="K3819" s="23" t="s">
        <v>5788</v>
      </c>
      <c r="L3819" s="11">
        <v>0.0</v>
      </c>
      <c r="O3819" s="2" t="b">
        <v>0</v>
      </c>
    </row>
    <row r="3820" hidden="1">
      <c r="A3820" s="8" t="s">
        <v>2966</v>
      </c>
      <c r="B3820" s="8" t="s">
        <v>2966</v>
      </c>
      <c r="C3820" s="13">
        <v>46076.45744212963</v>
      </c>
      <c r="D3820" s="2" t="s">
        <v>1889</v>
      </c>
      <c r="E3820" s="2" t="s">
        <v>1890</v>
      </c>
      <c r="F3820" s="14" t="s">
        <v>3486</v>
      </c>
      <c r="G3820" s="14" t="s">
        <v>3487</v>
      </c>
      <c r="H3820" s="2" t="s">
        <v>24</v>
      </c>
      <c r="I3820" s="2" t="s">
        <v>3491</v>
      </c>
      <c r="J3820" s="2">
        <v>1.0</v>
      </c>
      <c r="K3820" s="23" t="s">
        <v>6220</v>
      </c>
      <c r="L3820" s="11">
        <v>0.0</v>
      </c>
      <c r="O3820" s="2" t="b">
        <v>0</v>
      </c>
    </row>
    <row r="3821" hidden="1">
      <c r="A3821" s="8" t="s">
        <v>2967</v>
      </c>
      <c r="B3821" s="8" t="s">
        <v>2967</v>
      </c>
      <c r="C3821" s="13">
        <v>46076.458020833335</v>
      </c>
      <c r="D3821" s="2" t="s">
        <v>786</v>
      </c>
      <c r="E3821" s="2" t="s">
        <v>787</v>
      </c>
      <c r="F3821" s="14" t="s">
        <v>3486</v>
      </c>
      <c r="G3821" s="14" t="s">
        <v>3487</v>
      </c>
      <c r="H3821" s="2" t="s">
        <v>16</v>
      </c>
      <c r="I3821" s="2" t="s">
        <v>3488</v>
      </c>
      <c r="J3821" s="2">
        <v>4.0</v>
      </c>
      <c r="K3821" s="23" t="s">
        <v>6221</v>
      </c>
      <c r="L3821" s="11">
        <v>60000.0</v>
      </c>
      <c r="O3821" s="2" t="b">
        <v>0</v>
      </c>
    </row>
    <row r="3822" hidden="1">
      <c r="A3822" s="8" t="s">
        <v>2968</v>
      </c>
      <c r="B3822" s="8" t="s">
        <v>2968</v>
      </c>
      <c r="C3822" s="13">
        <v>46076.458333333336</v>
      </c>
      <c r="D3822" s="2" t="s">
        <v>1756</v>
      </c>
      <c r="E3822" s="2" t="s">
        <v>1757</v>
      </c>
      <c r="F3822" s="14" t="s">
        <v>3486</v>
      </c>
      <c r="G3822" s="14" t="s">
        <v>3487</v>
      </c>
      <c r="H3822" s="2" t="s">
        <v>16</v>
      </c>
      <c r="I3822" s="2" t="s">
        <v>3488</v>
      </c>
      <c r="J3822" s="2">
        <v>2.0</v>
      </c>
      <c r="K3822" s="23" t="s">
        <v>6222</v>
      </c>
      <c r="L3822" s="11">
        <v>65000.0</v>
      </c>
      <c r="O3822" s="2" t="b">
        <v>0</v>
      </c>
    </row>
    <row r="3823" hidden="1">
      <c r="A3823" s="8" t="s">
        <v>2969</v>
      </c>
      <c r="B3823" s="8" t="s">
        <v>2969</v>
      </c>
      <c r="C3823" s="13">
        <v>46076.49717592593</v>
      </c>
      <c r="D3823" s="2" t="s">
        <v>1993</v>
      </c>
      <c r="E3823" s="2" t="s">
        <v>1994</v>
      </c>
      <c r="F3823" s="14" t="s">
        <v>3486</v>
      </c>
      <c r="G3823" s="14" t="s">
        <v>3487</v>
      </c>
      <c r="H3823" s="2" t="s">
        <v>24</v>
      </c>
      <c r="I3823" s="2" t="s">
        <v>3491</v>
      </c>
      <c r="J3823" s="2">
        <v>6.0</v>
      </c>
      <c r="K3823" s="23" t="s">
        <v>6223</v>
      </c>
      <c r="L3823" s="11">
        <v>0.0</v>
      </c>
      <c r="O3823" s="2" t="b">
        <v>0</v>
      </c>
    </row>
    <row r="3824" hidden="1">
      <c r="A3824" s="8" t="s">
        <v>2970</v>
      </c>
      <c r="B3824" s="8" t="s">
        <v>2970</v>
      </c>
      <c r="C3824" s="13">
        <v>46076.49798611111</v>
      </c>
      <c r="D3824" s="2" t="s">
        <v>49</v>
      </c>
      <c r="E3824" s="2" t="s">
        <v>50</v>
      </c>
      <c r="F3824" s="14" t="s">
        <v>3486</v>
      </c>
      <c r="G3824" s="14" t="s">
        <v>3487</v>
      </c>
      <c r="H3824" s="2" t="s">
        <v>24</v>
      </c>
      <c r="I3824" s="2" t="s">
        <v>3491</v>
      </c>
      <c r="J3824" s="2">
        <v>3.0</v>
      </c>
      <c r="K3824" s="23" t="s">
        <v>6224</v>
      </c>
      <c r="L3824" s="11">
        <v>0.0</v>
      </c>
      <c r="O3824" s="2" t="b">
        <v>0</v>
      </c>
    </row>
    <row r="3825" hidden="1">
      <c r="A3825" s="8" t="s">
        <v>2971</v>
      </c>
      <c r="B3825" s="8" t="s">
        <v>2971</v>
      </c>
      <c r="C3825" s="13">
        <v>46076.499375</v>
      </c>
      <c r="D3825" s="2" t="s">
        <v>2081</v>
      </c>
      <c r="E3825" s="2" t="s">
        <v>2082</v>
      </c>
      <c r="F3825" s="14" t="s">
        <v>3486</v>
      </c>
      <c r="G3825" s="14" t="s">
        <v>3487</v>
      </c>
      <c r="H3825" s="2" t="s">
        <v>16</v>
      </c>
      <c r="I3825" s="2" t="s">
        <v>3488</v>
      </c>
      <c r="J3825" s="2">
        <v>1.0</v>
      </c>
      <c r="K3825" s="23" t="s">
        <v>4995</v>
      </c>
      <c r="L3825" s="11">
        <v>60000.0</v>
      </c>
      <c r="O3825" s="2" t="b">
        <v>0</v>
      </c>
    </row>
    <row r="3826" hidden="1">
      <c r="A3826" s="8" t="s">
        <v>2972</v>
      </c>
      <c r="B3826" s="8" t="s">
        <v>2972</v>
      </c>
      <c r="C3826" s="13">
        <v>46076.507210648146</v>
      </c>
      <c r="D3826" s="2" t="s">
        <v>1573</v>
      </c>
      <c r="E3826" s="2" t="s">
        <v>1574</v>
      </c>
      <c r="F3826" s="14" t="s">
        <v>3910</v>
      </c>
      <c r="G3826" s="14" t="s">
        <v>3911</v>
      </c>
      <c r="H3826" s="2" t="s">
        <v>16</v>
      </c>
      <c r="I3826" s="2" t="s">
        <v>3488</v>
      </c>
      <c r="J3826" s="2">
        <v>1.0</v>
      </c>
      <c r="K3826" s="12"/>
      <c r="L3826" s="11">
        <v>50000.0</v>
      </c>
      <c r="O3826" s="2" t="b">
        <v>0</v>
      </c>
    </row>
    <row r="3827" hidden="1">
      <c r="A3827" s="8" t="s">
        <v>2973</v>
      </c>
      <c r="B3827" s="8" t="s">
        <v>2973</v>
      </c>
      <c r="C3827" s="13">
        <v>46076.66722222222</v>
      </c>
      <c r="D3827" s="2" t="s">
        <v>786</v>
      </c>
      <c r="E3827" s="2" t="s">
        <v>787</v>
      </c>
      <c r="F3827" s="14" t="s">
        <v>3486</v>
      </c>
      <c r="G3827" s="14" t="s">
        <v>3487</v>
      </c>
      <c r="H3827" s="2" t="s">
        <v>24</v>
      </c>
      <c r="I3827" s="2" t="s">
        <v>3491</v>
      </c>
      <c r="J3827" s="2">
        <v>1.0</v>
      </c>
      <c r="K3827" s="23" t="s">
        <v>4099</v>
      </c>
      <c r="L3827" s="11">
        <v>0.0</v>
      </c>
      <c r="O3827" s="2" t="b">
        <v>0</v>
      </c>
    </row>
    <row r="3828" hidden="1">
      <c r="A3828" s="8" t="s">
        <v>2974</v>
      </c>
      <c r="B3828" s="8" t="s">
        <v>2974</v>
      </c>
      <c r="C3828" s="13">
        <v>46076.66753472222</v>
      </c>
      <c r="D3828" s="2" t="s">
        <v>2081</v>
      </c>
      <c r="E3828" s="2" t="s">
        <v>2082</v>
      </c>
      <c r="F3828" s="14" t="s">
        <v>3486</v>
      </c>
      <c r="G3828" s="14" t="s">
        <v>3487</v>
      </c>
      <c r="H3828" s="2" t="s">
        <v>24</v>
      </c>
      <c r="I3828" s="2" t="s">
        <v>3491</v>
      </c>
      <c r="J3828" s="2">
        <v>4.0</v>
      </c>
      <c r="K3828" s="23" t="s">
        <v>6225</v>
      </c>
      <c r="L3828" s="11">
        <v>0.0</v>
      </c>
      <c r="O3828" s="2" t="b">
        <v>0</v>
      </c>
    </row>
    <row r="3829" hidden="1">
      <c r="A3829" s="8" t="s">
        <v>2974</v>
      </c>
      <c r="B3829" s="8" t="s">
        <v>2974</v>
      </c>
      <c r="C3829" s="13">
        <v>46076.66753472222</v>
      </c>
      <c r="D3829" s="2" t="s">
        <v>2081</v>
      </c>
      <c r="E3829" s="2" t="s">
        <v>2082</v>
      </c>
      <c r="F3829" s="14" t="s">
        <v>3506</v>
      </c>
      <c r="G3829" s="14" t="s">
        <v>3507</v>
      </c>
      <c r="H3829" s="2" t="s">
        <v>24</v>
      </c>
      <c r="I3829" s="2" t="s">
        <v>3491</v>
      </c>
      <c r="J3829" s="2">
        <v>1.0</v>
      </c>
      <c r="K3829" s="12"/>
      <c r="L3829" s="11">
        <v>0.0</v>
      </c>
      <c r="O3829" s="2" t="b">
        <v>0</v>
      </c>
    </row>
    <row r="3830" hidden="1">
      <c r="A3830" s="8" t="s">
        <v>2975</v>
      </c>
      <c r="B3830" s="8" t="s">
        <v>2975</v>
      </c>
      <c r="C3830" s="13">
        <v>46076.70144675926</v>
      </c>
      <c r="D3830" s="2" t="s">
        <v>1573</v>
      </c>
      <c r="E3830" s="2" t="s">
        <v>1574</v>
      </c>
      <c r="F3830" s="14" t="s">
        <v>3835</v>
      </c>
      <c r="G3830" s="14" t="s">
        <v>3836</v>
      </c>
      <c r="H3830" s="2" t="s">
        <v>24</v>
      </c>
      <c r="I3830" s="2" t="s">
        <v>3491</v>
      </c>
      <c r="J3830" s="2">
        <v>1.0</v>
      </c>
      <c r="K3830" s="23" t="s">
        <v>5770</v>
      </c>
      <c r="L3830" s="11">
        <v>0.0</v>
      </c>
      <c r="O3830" s="2" t="b">
        <v>0</v>
      </c>
    </row>
    <row r="3831" hidden="1">
      <c r="A3831" s="8" t="s">
        <v>2975</v>
      </c>
      <c r="B3831" s="8" t="s">
        <v>2975</v>
      </c>
      <c r="C3831" s="13">
        <v>46076.70144675926</v>
      </c>
      <c r="D3831" s="2" t="s">
        <v>1573</v>
      </c>
      <c r="E3831" s="2" t="s">
        <v>1574</v>
      </c>
      <c r="F3831" s="14" t="s">
        <v>3486</v>
      </c>
      <c r="G3831" s="14" t="s">
        <v>3487</v>
      </c>
      <c r="H3831" s="2" t="s">
        <v>24</v>
      </c>
      <c r="I3831" s="2" t="s">
        <v>3491</v>
      </c>
      <c r="J3831" s="2">
        <v>1.0</v>
      </c>
      <c r="K3831" s="23" t="s">
        <v>5441</v>
      </c>
      <c r="L3831" s="11">
        <v>0.0</v>
      </c>
      <c r="O3831" s="2" t="b">
        <v>0</v>
      </c>
    </row>
    <row r="3832" hidden="1">
      <c r="A3832" s="8" t="s">
        <v>2976</v>
      </c>
      <c r="B3832" s="8" t="s">
        <v>2976</v>
      </c>
      <c r="C3832" s="13">
        <v>46076.70214120371</v>
      </c>
      <c r="D3832" s="2" t="s">
        <v>2640</v>
      </c>
      <c r="E3832" s="2" t="s">
        <v>2641</v>
      </c>
      <c r="F3832" s="14" t="s">
        <v>3486</v>
      </c>
      <c r="G3832" s="14" t="s">
        <v>3487</v>
      </c>
      <c r="H3832" s="2" t="s">
        <v>24</v>
      </c>
      <c r="I3832" s="2" t="s">
        <v>3491</v>
      </c>
      <c r="J3832" s="2">
        <v>7.0</v>
      </c>
      <c r="K3832" s="23" t="s">
        <v>6226</v>
      </c>
      <c r="L3832" s="11">
        <v>0.0</v>
      </c>
      <c r="O3832" s="2" t="b">
        <v>0</v>
      </c>
    </row>
    <row r="3833" hidden="1">
      <c r="A3833" s="8" t="s">
        <v>2976</v>
      </c>
      <c r="B3833" s="8" t="s">
        <v>2976</v>
      </c>
      <c r="C3833" s="13">
        <v>46076.70214120371</v>
      </c>
      <c r="D3833" s="2" t="s">
        <v>2640</v>
      </c>
      <c r="E3833" s="2" t="s">
        <v>2641</v>
      </c>
      <c r="F3833" s="14" t="s">
        <v>3516</v>
      </c>
      <c r="G3833" s="14" t="s">
        <v>3517</v>
      </c>
      <c r="H3833" s="2" t="s">
        <v>24</v>
      </c>
      <c r="I3833" s="2" t="s">
        <v>3491</v>
      </c>
      <c r="J3833" s="2">
        <v>1.0</v>
      </c>
      <c r="K3833" s="23" t="s">
        <v>6053</v>
      </c>
      <c r="L3833" s="11">
        <v>0.0</v>
      </c>
      <c r="O3833" s="2" t="b">
        <v>0</v>
      </c>
    </row>
    <row r="3834" hidden="1">
      <c r="A3834" s="8" t="s">
        <v>2977</v>
      </c>
      <c r="B3834" s="8" t="s">
        <v>2977</v>
      </c>
      <c r="C3834" s="13">
        <v>46077.358298611114</v>
      </c>
      <c r="D3834" s="2" t="s">
        <v>904</v>
      </c>
      <c r="E3834" s="2" t="s">
        <v>905</v>
      </c>
      <c r="F3834" s="14" t="s">
        <v>4203</v>
      </c>
      <c r="G3834" s="14" t="s">
        <v>4204</v>
      </c>
      <c r="H3834" s="2" t="s">
        <v>16</v>
      </c>
      <c r="I3834" s="2" t="s">
        <v>3488</v>
      </c>
      <c r="J3834" s="2">
        <v>2.0</v>
      </c>
      <c r="K3834" s="23" t="s">
        <v>6227</v>
      </c>
      <c r="L3834" s="11">
        <v>70000.0</v>
      </c>
      <c r="O3834" s="2" t="b">
        <v>0</v>
      </c>
    </row>
    <row r="3835">
      <c r="A3835" s="8" t="s">
        <v>2978</v>
      </c>
      <c r="B3835" s="8" t="s">
        <v>2978</v>
      </c>
      <c r="C3835" s="13">
        <v>46077.364375</v>
      </c>
      <c r="D3835" s="2" t="s">
        <v>45</v>
      </c>
      <c r="E3835" s="2" t="s">
        <v>46</v>
      </c>
      <c r="F3835" s="14" t="s">
        <v>3486</v>
      </c>
      <c r="G3835" s="14" t="s">
        <v>3487</v>
      </c>
      <c r="H3835" s="2" t="s">
        <v>16</v>
      </c>
      <c r="I3835" s="2" t="s">
        <v>3488</v>
      </c>
      <c r="J3835" s="2">
        <v>5.0</v>
      </c>
      <c r="K3835" s="23" t="s">
        <v>6228</v>
      </c>
      <c r="L3835" s="11">
        <v>60000.0</v>
      </c>
      <c r="O3835" s="2" t="b">
        <v>0</v>
      </c>
    </row>
    <row r="3836" hidden="1">
      <c r="A3836" s="8" t="s">
        <v>2979</v>
      </c>
      <c r="B3836" s="8" t="s">
        <v>2979</v>
      </c>
      <c r="C3836" s="13">
        <v>46077.365381944444</v>
      </c>
      <c r="D3836" s="2" t="s">
        <v>2640</v>
      </c>
      <c r="E3836" s="2" t="s">
        <v>2641</v>
      </c>
      <c r="F3836" s="14" t="s">
        <v>3486</v>
      </c>
      <c r="G3836" s="14" t="s">
        <v>3487</v>
      </c>
      <c r="H3836" s="2" t="s">
        <v>16</v>
      </c>
      <c r="I3836" s="2" t="s">
        <v>3488</v>
      </c>
      <c r="J3836" s="2">
        <v>5.0</v>
      </c>
      <c r="K3836" s="23" t="s">
        <v>6229</v>
      </c>
      <c r="L3836" s="11">
        <v>60000.0</v>
      </c>
      <c r="O3836" s="2" t="b">
        <v>0</v>
      </c>
    </row>
    <row r="3837" hidden="1">
      <c r="A3837" s="8" t="s">
        <v>2979</v>
      </c>
      <c r="B3837" s="8" t="s">
        <v>2979</v>
      </c>
      <c r="C3837" s="13">
        <v>46077.365381944444</v>
      </c>
      <c r="D3837" s="2" t="s">
        <v>2640</v>
      </c>
      <c r="E3837" s="2" t="s">
        <v>2641</v>
      </c>
      <c r="F3837" s="14" t="s">
        <v>3493</v>
      </c>
      <c r="G3837" s="14" t="s">
        <v>3494</v>
      </c>
      <c r="H3837" s="2" t="s">
        <v>16</v>
      </c>
      <c r="I3837" s="2" t="s">
        <v>3488</v>
      </c>
      <c r="J3837" s="2">
        <v>1.0</v>
      </c>
      <c r="K3837" s="12" t="s">
        <v>6230</v>
      </c>
      <c r="L3837" s="11">
        <v>205000.0</v>
      </c>
      <c r="O3837" s="2" t="b">
        <v>0</v>
      </c>
    </row>
    <row r="3838" hidden="1">
      <c r="A3838" s="8" t="s">
        <v>2980</v>
      </c>
      <c r="B3838" s="8" t="s">
        <v>2980</v>
      </c>
      <c r="C3838" s="13">
        <v>46077.42931712963</v>
      </c>
      <c r="D3838" s="2" t="s">
        <v>2081</v>
      </c>
      <c r="E3838" s="2" t="s">
        <v>2082</v>
      </c>
      <c r="F3838" s="14" t="s">
        <v>3506</v>
      </c>
      <c r="G3838" s="14" t="s">
        <v>3507</v>
      </c>
      <c r="H3838" s="2" t="s">
        <v>16</v>
      </c>
      <c r="I3838" s="2" t="s">
        <v>3488</v>
      </c>
      <c r="J3838" s="2">
        <v>1.0</v>
      </c>
      <c r="K3838" s="12"/>
      <c r="L3838" s="11">
        <v>55000.0</v>
      </c>
      <c r="O3838" s="2" t="b">
        <v>0</v>
      </c>
    </row>
    <row r="3839" hidden="1">
      <c r="A3839" s="8" t="s">
        <v>2981</v>
      </c>
      <c r="B3839" s="8" t="s">
        <v>2981</v>
      </c>
      <c r="C3839" s="13">
        <v>46077.43116898148</v>
      </c>
      <c r="D3839" s="2" t="s">
        <v>1745</v>
      </c>
      <c r="E3839" s="2" t="s">
        <v>1746</v>
      </c>
      <c r="F3839" s="14" t="s">
        <v>3486</v>
      </c>
      <c r="G3839" s="14" t="s">
        <v>3487</v>
      </c>
      <c r="H3839" s="2" t="s">
        <v>16</v>
      </c>
      <c r="I3839" s="2" t="s">
        <v>3488</v>
      </c>
      <c r="J3839" s="2">
        <v>3.0</v>
      </c>
      <c r="K3839" s="23" t="s">
        <v>6231</v>
      </c>
      <c r="L3839" s="11">
        <v>65000.0</v>
      </c>
      <c r="O3839" s="2" t="b">
        <v>0</v>
      </c>
    </row>
    <row r="3840" hidden="1">
      <c r="A3840" s="8" t="s">
        <v>2982</v>
      </c>
      <c r="B3840" s="8" t="s">
        <v>2982</v>
      </c>
      <c r="C3840" s="13">
        <v>46077.43273148148</v>
      </c>
      <c r="D3840" s="2" t="s">
        <v>2032</v>
      </c>
      <c r="E3840" s="2" t="s">
        <v>2033</v>
      </c>
      <c r="F3840" s="14" t="s">
        <v>3486</v>
      </c>
      <c r="G3840" s="14" t="s">
        <v>3487</v>
      </c>
      <c r="H3840" s="2" t="s">
        <v>16</v>
      </c>
      <c r="I3840" s="2" t="s">
        <v>3488</v>
      </c>
      <c r="J3840" s="2">
        <v>1.0</v>
      </c>
      <c r="K3840" s="23" t="s">
        <v>6232</v>
      </c>
      <c r="L3840" s="11">
        <v>60000.0</v>
      </c>
      <c r="O3840" s="2" t="b">
        <v>0</v>
      </c>
    </row>
    <row r="3841" hidden="1">
      <c r="A3841" s="8" t="s">
        <v>2983</v>
      </c>
      <c r="B3841" s="8" t="s">
        <v>2983</v>
      </c>
      <c r="C3841" s="13">
        <v>46077.44616898148</v>
      </c>
      <c r="D3841" s="2" t="s">
        <v>2640</v>
      </c>
      <c r="E3841" s="2" t="s">
        <v>2641</v>
      </c>
      <c r="F3841" s="14" t="s">
        <v>3486</v>
      </c>
      <c r="G3841" s="14" t="s">
        <v>3487</v>
      </c>
      <c r="H3841" s="2" t="s">
        <v>24</v>
      </c>
      <c r="I3841" s="2" t="s">
        <v>3491</v>
      </c>
      <c r="J3841" s="2">
        <v>2.0</v>
      </c>
      <c r="K3841" s="23" t="s">
        <v>6233</v>
      </c>
      <c r="L3841" s="11">
        <v>0.0</v>
      </c>
      <c r="O3841" s="2" t="b">
        <v>0</v>
      </c>
    </row>
    <row r="3842" hidden="1">
      <c r="A3842" s="8" t="s">
        <v>2983</v>
      </c>
      <c r="B3842" s="8" t="s">
        <v>2983</v>
      </c>
      <c r="C3842" s="13">
        <v>46077.44616898148</v>
      </c>
      <c r="D3842" s="2" t="s">
        <v>2640</v>
      </c>
      <c r="E3842" s="2" t="s">
        <v>2641</v>
      </c>
      <c r="F3842" s="14" t="s">
        <v>3516</v>
      </c>
      <c r="G3842" s="14" t="s">
        <v>3517</v>
      </c>
      <c r="H3842" s="2" t="s">
        <v>24</v>
      </c>
      <c r="I3842" s="2" t="s">
        <v>3491</v>
      </c>
      <c r="J3842" s="2">
        <v>1.0</v>
      </c>
      <c r="K3842" s="23" t="s">
        <v>5047</v>
      </c>
      <c r="L3842" s="11">
        <v>0.0</v>
      </c>
      <c r="O3842" s="2" t="b">
        <v>0</v>
      </c>
    </row>
    <row r="3843" hidden="1">
      <c r="A3843" s="8" t="s">
        <v>2983</v>
      </c>
      <c r="B3843" s="8" t="s">
        <v>2983</v>
      </c>
      <c r="C3843" s="13">
        <v>46077.44616898148</v>
      </c>
      <c r="D3843" s="2" t="s">
        <v>2640</v>
      </c>
      <c r="E3843" s="2" t="s">
        <v>2641</v>
      </c>
      <c r="F3843" s="14" t="s">
        <v>3493</v>
      </c>
      <c r="G3843" s="14" t="s">
        <v>3494</v>
      </c>
      <c r="H3843" s="2" t="s">
        <v>24</v>
      </c>
      <c r="I3843" s="2" t="s">
        <v>3491</v>
      </c>
      <c r="J3843" s="2">
        <v>1.0</v>
      </c>
      <c r="K3843" s="12" t="s">
        <v>6090</v>
      </c>
      <c r="L3843" s="11">
        <v>0.0</v>
      </c>
      <c r="O3843" s="2" t="b">
        <v>0</v>
      </c>
    </row>
    <row r="3844" hidden="1">
      <c r="A3844" s="8" t="s">
        <v>2984</v>
      </c>
      <c r="B3844" s="8" t="s">
        <v>2984</v>
      </c>
      <c r="C3844" s="13">
        <v>46077.6066087963</v>
      </c>
      <c r="D3844" s="2" t="s">
        <v>904</v>
      </c>
      <c r="E3844" s="2" t="s">
        <v>905</v>
      </c>
      <c r="F3844" s="14" t="s">
        <v>4203</v>
      </c>
      <c r="G3844" s="14" t="s">
        <v>4204</v>
      </c>
      <c r="H3844" s="2" t="s">
        <v>24</v>
      </c>
      <c r="I3844" s="2" t="s">
        <v>3491</v>
      </c>
      <c r="J3844" s="2">
        <v>3.0</v>
      </c>
      <c r="K3844" s="23" t="s">
        <v>6234</v>
      </c>
      <c r="L3844" s="11">
        <v>0.0</v>
      </c>
      <c r="O3844" s="2" t="b">
        <v>0</v>
      </c>
    </row>
    <row r="3845" hidden="1">
      <c r="A3845" s="8" t="s">
        <v>2985</v>
      </c>
      <c r="B3845" s="8" t="s">
        <v>2985</v>
      </c>
      <c r="C3845" s="13">
        <v>46077.607199074075</v>
      </c>
      <c r="D3845" s="2" t="s">
        <v>1371</v>
      </c>
      <c r="E3845" s="2" t="s">
        <v>1372</v>
      </c>
      <c r="F3845" s="14" t="s">
        <v>3486</v>
      </c>
      <c r="G3845" s="14" t="s">
        <v>3487</v>
      </c>
      <c r="H3845" s="2" t="s">
        <v>24</v>
      </c>
      <c r="I3845" s="2" t="s">
        <v>3491</v>
      </c>
      <c r="J3845" s="2">
        <v>3.0</v>
      </c>
      <c r="K3845" s="23" t="s">
        <v>6235</v>
      </c>
      <c r="L3845" s="11">
        <v>0.0</v>
      </c>
      <c r="O3845" s="2" t="b">
        <v>0</v>
      </c>
    </row>
    <row r="3846" hidden="1">
      <c r="A3846" s="8" t="s">
        <v>2986</v>
      </c>
      <c r="B3846" s="8" t="s">
        <v>2986</v>
      </c>
      <c r="C3846" s="13">
        <v>46077.60765046296</v>
      </c>
      <c r="D3846" s="2" t="s">
        <v>2032</v>
      </c>
      <c r="E3846" s="2" t="s">
        <v>2033</v>
      </c>
      <c r="F3846" s="14" t="s">
        <v>3486</v>
      </c>
      <c r="G3846" s="14" t="s">
        <v>3487</v>
      </c>
      <c r="H3846" s="2" t="s">
        <v>24</v>
      </c>
      <c r="I3846" s="2" t="s">
        <v>3491</v>
      </c>
      <c r="J3846" s="2">
        <v>1.0</v>
      </c>
      <c r="K3846" s="23" t="s">
        <v>6057</v>
      </c>
      <c r="L3846" s="11">
        <v>0.0</v>
      </c>
      <c r="O3846" s="2" t="b">
        <v>0</v>
      </c>
    </row>
    <row r="3847" hidden="1">
      <c r="A3847" s="8" t="s">
        <v>2987</v>
      </c>
      <c r="B3847" s="8" t="s">
        <v>2987</v>
      </c>
      <c r="C3847" s="13">
        <v>46077.60811342593</v>
      </c>
      <c r="D3847" s="2" t="s">
        <v>1745</v>
      </c>
      <c r="E3847" s="2" t="s">
        <v>1746</v>
      </c>
      <c r="F3847" s="14" t="s">
        <v>3486</v>
      </c>
      <c r="G3847" s="14" t="s">
        <v>3487</v>
      </c>
      <c r="H3847" s="2" t="s">
        <v>24</v>
      </c>
      <c r="I3847" s="2" t="s">
        <v>3491</v>
      </c>
      <c r="J3847" s="2">
        <v>2.0</v>
      </c>
      <c r="K3847" s="23" t="s">
        <v>6236</v>
      </c>
      <c r="L3847" s="11">
        <v>0.0</v>
      </c>
      <c r="O3847" s="2" t="b">
        <v>0</v>
      </c>
    </row>
    <row r="3848" hidden="1">
      <c r="A3848" s="8" t="s">
        <v>2988</v>
      </c>
      <c r="B3848" s="8" t="s">
        <v>2988</v>
      </c>
      <c r="C3848" s="13">
        <v>46077.608622685184</v>
      </c>
      <c r="D3848" s="2" t="s">
        <v>2913</v>
      </c>
      <c r="E3848" s="2" t="s">
        <v>2914</v>
      </c>
      <c r="F3848" s="14" t="s">
        <v>5765</v>
      </c>
      <c r="G3848" s="14" t="s">
        <v>5766</v>
      </c>
      <c r="H3848" s="2" t="s">
        <v>24</v>
      </c>
      <c r="I3848" s="2" t="s">
        <v>3491</v>
      </c>
      <c r="J3848" s="2">
        <v>3.0</v>
      </c>
      <c r="K3848" s="23" t="s">
        <v>6237</v>
      </c>
      <c r="L3848" s="11">
        <v>0.0</v>
      </c>
      <c r="O3848" s="2" t="b">
        <v>0</v>
      </c>
    </row>
    <row r="3849" hidden="1">
      <c r="A3849" s="8" t="s">
        <v>2988</v>
      </c>
      <c r="B3849" s="8" t="s">
        <v>2988</v>
      </c>
      <c r="C3849" s="13">
        <v>46077.608622685184</v>
      </c>
      <c r="D3849" s="2" t="s">
        <v>2913</v>
      </c>
      <c r="E3849" s="2" t="s">
        <v>2914</v>
      </c>
      <c r="F3849" s="14" t="s">
        <v>3486</v>
      </c>
      <c r="G3849" s="14" t="s">
        <v>3487</v>
      </c>
      <c r="H3849" s="2" t="s">
        <v>24</v>
      </c>
      <c r="I3849" s="2" t="s">
        <v>3491</v>
      </c>
      <c r="J3849" s="2">
        <v>2.0</v>
      </c>
      <c r="K3849" s="23" t="s">
        <v>6238</v>
      </c>
      <c r="L3849" s="11">
        <v>0.0</v>
      </c>
      <c r="O3849" s="2" t="b">
        <v>0</v>
      </c>
    </row>
    <row r="3850" hidden="1">
      <c r="A3850" s="8" t="s">
        <v>2988</v>
      </c>
      <c r="B3850" s="8" t="s">
        <v>2988</v>
      </c>
      <c r="C3850" s="13">
        <v>46077.608622685184</v>
      </c>
      <c r="D3850" s="2" t="s">
        <v>2913</v>
      </c>
      <c r="E3850" s="2" t="s">
        <v>2914</v>
      </c>
      <c r="F3850" s="14" t="s">
        <v>3486</v>
      </c>
      <c r="G3850" s="14" t="s">
        <v>3487</v>
      </c>
      <c r="H3850" s="2" t="s">
        <v>24</v>
      </c>
      <c r="I3850" s="2" t="s">
        <v>3491</v>
      </c>
      <c r="J3850" s="2">
        <v>1.0</v>
      </c>
      <c r="K3850" s="23" t="s">
        <v>6239</v>
      </c>
      <c r="L3850" s="11">
        <v>0.0</v>
      </c>
      <c r="O3850" s="2" t="b">
        <v>1</v>
      </c>
    </row>
    <row r="3851">
      <c r="A3851" s="8" t="s">
        <v>2989</v>
      </c>
      <c r="B3851" s="8" t="s">
        <v>2989</v>
      </c>
      <c r="C3851" s="13">
        <v>46078.34818287037</v>
      </c>
      <c r="D3851" s="2" t="s">
        <v>45</v>
      </c>
      <c r="E3851" s="2" t="s">
        <v>46</v>
      </c>
      <c r="F3851" s="14" t="s">
        <v>3486</v>
      </c>
      <c r="G3851" s="14" t="s">
        <v>3487</v>
      </c>
      <c r="H3851" s="2" t="s">
        <v>24</v>
      </c>
      <c r="I3851" s="2" t="s">
        <v>3491</v>
      </c>
      <c r="J3851" s="2">
        <v>10.0</v>
      </c>
      <c r="K3851" s="23" t="s">
        <v>6240</v>
      </c>
      <c r="L3851" s="11">
        <v>0.0</v>
      </c>
      <c r="O3851" s="2" t="b">
        <v>0</v>
      </c>
    </row>
    <row r="3852">
      <c r="A3852" s="8" t="s">
        <v>2989</v>
      </c>
      <c r="B3852" s="8" t="s">
        <v>2989</v>
      </c>
      <c r="C3852" s="13">
        <v>46078.34818287037</v>
      </c>
      <c r="D3852" s="2" t="s">
        <v>45</v>
      </c>
      <c r="E3852" s="2" t="s">
        <v>46</v>
      </c>
      <c r="F3852" s="14" t="s">
        <v>4203</v>
      </c>
      <c r="G3852" s="14" t="s">
        <v>4204</v>
      </c>
      <c r="H3852" s="2" t="s">
        <v>24</v>
      </c>
      <c r="I3852" s="2" t="s">
        <v>3491</v>
      </c>
      <c r="J3852" s="2">
        <v>1.0</v>
      </c>
      <c r="K3852" s="23" t="s">
        <v>5862</v>
      </c>
      <c r="L3852" s="11">
        <v>0.0</v>
      </c>
      <c r="O3852" s="2" t="b">
        <v>0</v>
      </c>
    </row>
    <row r="3853">
      <c r="A3853" s="8" t="s">
        <v>2989</v>
      </c>
      <c r="B3853" s="8" t="s">
        <v>2989</v>
      </c>
      <c r="C3853" s="13">
        <v>46078.34818287037</v>
      </c>
      <c r="D3853" s="2" t="s">
        <v>45</v>
      </c>
      <c r="E3853" s="2" t="s">
        <v>46</v>
      </c>
      <c r="F3853" s="14" t="s">
        <v>3486</v>
      </c>
      <c r="G3853" s="14" t="s">
        <v>3487</v>
      </c>
      <c r="H3853" s="2" t="s">
        <v>24</v>
      </c>
      <c r="I3853" s="2" t="s">
        <v>3491</v>
      </c>
      <c r="J3853" s="2">
        <v>1.0</v>
      </c>
      <c r="K3853" s="23" t="s">
        <v>3731</v>
      </c>
      <c r="L3853" s="11">
        <v>0.0</v>
      </c>
      <c r="O3853" s="2" t="b">
        <v>1</v>
      </c>
    </row>
    <row r="3854">
      <c r="A3854" s="8" t="s">
        <v>2989</v>
      </c>
      <c r="B3854" s="8" t="s">
        <v>2989</v>
      </c>
      <c r="C3854" s="13">
        <v>46078.34818287037</v>
      </c>
      <c r="D3854" s="2" t="s">
        <v>45</v>
      </c>
      <c r="E3854" s="2" t="s">
        <v>46</v>
      </c>
      <c r="F3854" s="14" t="s">
        <v>3522</v>
      </c>
      <c r="G3854" s="14" t="s">
        <v>3523</v>
      </c>
      <c r="H3854" s="2" t="s">
        <v>24</v>
      </c>
      <c r="I3854" s="2" t="s">
        <v>3491</v>
      </c>
      <c r="J3854" s="2">
        <v>8.0</v>
      </c>
      <c r="K3854" s="23" t="s">
        <v>6241</v>
      </c>
      <c r="L3854" s="11">
        <v>0.0</v>
      </c>
      <c r="O3854" s="2" t="b">
        <v>0</v>
      </c>
    </row>
    <row r="3855" hidden="1">
      <c r="A3855" s="8" t="s">
        <v>2990</v>
      </c>
      <c r="B3855" s="8" t="s">
        <v>2990</v>
      </c>
      <c r="C3855" s="13">
        <v>46078.39969907407</v>
      </c>
      <c r="D3855" s="2" t="s">
        <v>320</v>
      </c>
      <c r="E3855" s="2" t="s">
        <v>321</v>
      </c>
      <c r="F3855" s="14" t="s">
        <v>3516</v>
      </c>
      <c r="G3855" s="14" t="s">
        <v>3517</v>
      </c>
      <c r="H3855" s="2" t="s">
        <v>16</v>
      </c>
      <c r="I3855" s="2" t="s">
        <v>3488</v>
      </c>
      <c r="J3855" s="2">
        <v>2.0</v>
      </c>
      <c r="K3855" s="23" t="s">
        <v>6242</v>
      </c>
      <c r="L3855" s="11">
        <v>190000.0</v>
      </c>
      <c r="O3855" s="2" t="b">
        <v>0</v>
      </c>
    </row>
    <row r="3856" hidden="1">
      <c r="A3856" s="8" t="s">
        <v>2991</v>
      </c>
      <c r="B3856" s="8" t="s">
        <v>2991</v>
      </c>
      <c r="C3856" s="13">
        <v>46078.41131944444</v>
      </c>
      <c r="D3856" s="2" t="s">
        <v>1993</v>
      </c>
      <c r="E3856" s="2" t="s">
        <v>1994</v>
      </c>
      <c r="F3856" s="14" t="s">
        <v>3486</v>
      </c>
      <c r="G3856" s="14" t="s">
        <v>3487</v>
      </c>
      <c r="H3856" s="2" t="s">
        <v>16</v>
      </c>
      <c r="I3856" s="2" t="s">
        <v>3488</v>
      </c>
      <c r="J3856" s="2">
        <v>5.0</v>
      </c>
      <c r="K3856" s="23" t="s">
        <v>6243</v>
      </c>
      <c r="L3856" s="11">
        <v>65000.0</v>
      </c>
      <c r="O3856" s="2" t="b">
        <v>0</v>
      </c>
    </row>
    <row r="3857" hidden="1">
      <c r="A3857" s="8" t="s">
        <v>2992</v>
      </c>
      <c r="B3857" s="8" t="s">
        <v>2992</v>
      </c>
      <c r="C3857" s="13">
        <v>46078.46363425926</v>
      </c>
      <c r="D3857" s="2" t="s">
        <v>55</v>
      </c>
      <c r="E3857" s="2" t="s">
        <v>56</v>
      </c>
      <c r="F3857" s="14" t="s">
        <v>3486</v>
      </c>
      <c r="G3857" s="14" t="s">
        <v>3487</v>
      </c>
      <c r="H3857" s="2" t="s">
        <v>24</v>
      </c>
      <c r="I3857" s="2" t="s">
        <v>3491</v>
      </c>
      <c r="J3857" s="2">
        <v>1.0</v>
      </c>
      <c r="K3857" s="23" t="s">
        <v>5225</v>
      </c>
      <c r="L3857" s="11">
        <v>0.0</v>
      </c>
      <c r="O3857" s="2" t="b">
        <v>0</v>
      </c>
    </row>
    <row r="3858" hidden="1">
      <c r="A3858" s="8" t="s">
        <v>2992</v>
      </c>
      <c r="B3858" s="8" t="s">
        <v>2992</v>
      </c>
      <c r="C3858" s="13">
        <v>46078.46363425926</v>
      </c>
      <c r="D3858" s="2" t="s">
        <v>55</v>
      </c>
      <c r="E3858" s="2" t="s">
        <v>56</v>
      </c>
      <c r="F3858" s="14" t="s">
        <v>3516</v>
      </c>
      <c r="G3858" s="14" t="s">
        <v>3517</v>
      </c>
      <c r="H3858" s="2" t="s">
        <v>24</v>
      </c>
      <c r="I3858" s="2" t="s">
        <v>3491</v>
      </c>
      <c r="J3858" s="2">
        <v>1.0</v>
      </c>
      <c r="K3858" s="23" t="s">
        <v>6244</v>
      </c>
      <c r="L3858" s="11">
        <v>0.0</v>
      </c>
      <c r="O3858" s="2" t="b">
        <v>0</v>
      </c>
    </row>
    <row r="3859" hidden="1">
      <c r="A3859" s="8" t="s">
        <v>2992</v>
      </c>
      <c r="B3859" s="8" t="s">
        <v>2992</v>
      </c>
      <c r="C3859" s="13">
        <v>46078.46363425926</v>
      </c>
      <c r="D3859" s="2" t="s">
        <v>55</v>
      </c>
      <c r="E3859" s="2" t="s">
        <v>56</v>
      </c>
      <c r="F3859" s="14" t="s">
        <v>3486</v>
      </c>
      <c r="G3859" s="14" t="s">
        <v>3487</v>
      </c>
      <c r="H3859" s="2" t="s">
        <v>24</v>
      </c>
      <c r="I3859" s="2" t="s">
        <v>3491</v>
      </c>
      <c r="J3859" s="2">
        <v>1.0</v>
      </c>
      <c r="K3859" s="23" t="s">
        <v>6245</v>
      </c>
      <c r="L3859" s="11">
        <v>0.0</v>
      </c>
      <c r="O3859" s="2" t="b">
        <v>1</v>
      </c>
    </row>
    <row r="3860" hidden="1">
      <c r="A3860" s="8" t="s">
        <v>2993</v>
      </c>
      <c r="B3860" s="8" t="s">
        <v>2993</v>
      </c>
      <c r="C3860" s="13">
        <v>46078.464594907404</v>
      </c>
      <c r="D3860" s="2" t="s">
        <v>109</v>
      </c>
      <c r="E3860" s="2" t="s">
        <v>110</v>
      </c>
      <c r="F3860" s="14" t="s">
        <v>3486</v>
      </c>
      <c r="G3860" s="14" t="s">
        <v>3487</v>
      </c>
      <c r="H3860" s="2" t="s">
        <v>24</v>
      </c>
      <c r="I3860" s="2" t="s">
        <v>3491</v>
      </c>
      <c r="J3860" s="2">
        <v>2.0</v>
      </c>
      <c r="K3860" s="23" t="s">
        <v>6246</v>
      </c>
      <c r="L3860" s="11">
        <v>0.0</v>
      </c>
      <c r="O3860" s="2" t="b">
        <v>0</v>
      </c>
    </row>
    <row r="3861" hidden="1">
      <c r="A3861" s="8" t="s">
        <v>2993</v>
      </c>
      <c r="B3861" s="8" t="s">
        <v>2993</v>
      </c>
      <c r="C3861" s="13">
        <v>46078.464594907404</v>
      </c>
      <c r="D3861" s="2" t="s">
        <v>109</v>
      </c>
      <c r="E3861" s="2" t="s">
        <v>110</v>
      </c>
      <c r="F3861" s="14" t="s">
        <v>3522</v>
      </c>
      <c r="G3861" s="14" t="s">
        <v>3523</v>
      </c>
      <c r="H3861" s="2" t="s">
        <v>24</v>
      </c>
      <c r="I3861" s="2" t="s">
        <v>3491</v>
      </c>
      <c r="J3861" s="2">
        <v>4.0</v>
      </c>
      <c r="K3861" s="23" t="s">
        <v>6247</v>
      </c>
      <c r="L3861" s="11">
        <v>0.0</v>
      </c>
      <c r="O3861" s="2" t="b">
        <v>0</v>
      </c>
    </row>
    <row r="3862" hidden="1">
      <c r="A3862" s="8" t="s">
        <v>2994</v>
      </c>
      <c r="B3862" s="8" t="s">
        <v>2994</v>
      </c>
      <c r="C3862" s="13">
        <v>46078.46517361111</v>
      </c>
      <c r="D3862" s="2" t="s">
        <v>320</v>
      </c>
      <c r="E3862" s="2" t="s">
        <v>321</v>
      </c>
      <c r="F3862" s="14" t="s">
        <v>3486</v>
      </c>
      <c r="G3862" s="14" t="s">
        <v>3487</v>
      </c>
      <c r="H3862" s="2" t="s">
        <v>24</v>
      </c>
      <c r="I3862" s="2" t="s">
        <v>3491</v>
      </c>
      <c r="J3862" s="2">
        <v>1.0</v>
      </c>
      <c r="K3862" s="23" t="s">
        <v>4359</v>
      </c>
      <c r="L3862" s="11">
        <v>0.0</v>
      </c>
      <c r="O3862" s="2" t="b">
        <v>0</v>
      </c>
    </row>
    <row r="3863" hidden="1">
      <c r="A3863" s="8" t="s">
        <v>2994</v>
      </c>
      <c r="B3863" s="8" t="s">
        <v>2994</v>
      </c>
      <c r="C3863" s="13">
        <v>46078.46517361111</v>
      </c>
      <c r="D3863" s="2" t="s">
        <v>320</v>
      </c>
      <c r="E3863" s="2" t="s">
        <v>321</v>
      </c>
      <c r="F3863" s="14" t="s">
        <v>3516</v>
      </c>
      <c r="G3863" s="14" t="s">
        <v>3517</v>
      </c>
      <c r="H3863" s="2" t="s">
        <v>24</v>
      </c>
      <c r="I3863" s="2" t="s">
        <v>3491</v>
      </c>
      <c r="J3863" s="2">
        <v>1.0</v>
      </c>
      <c r="K3863" s="23" t="s">
        <v>5871</v>
      </c>
      <c r="L3863" s="11">
        <v>0.0</v>
      </c>
      <c r="O3863" s="2" t="b">
        <v>0</v>
      </c>
    </row>
    <row r="3864" hidden="1">
      <c r="A3864" s="8" t="s">
        <v>2995</v>
      </c>
      <c r="B3864" s="8" t="s">
        <v>2995</v>
      </c>
      <c r="C3864" s="13">
        <v>46078.465578703705</v>
      </c>
      <c r="D3864" s="2" t="s">
        <v>1889</v>
      </c>
      <c r="E3864" s="2" t="s">
        <v>1890</v>
      </c>
      <c r="F3864" s="14" t="s">
        <v>3486</v>
      </c>
      <c r="G3864" s="14" t="s">
        <v>3487</v>
      </c>
      <c r="H3864" s="2" t="s">
        <v>24</v>
      </c>
      <c r="I3864" s="2" t="s">
        <v>3491</v>
      </c>
      <c r="J3864" s="2">
        <v>1.0</v>
      </c>
      <c r="K3864" s="23" t="s">
        <v>5831</v>
      </c>
      <c r="L3864" s="11">
        <v>0.0</v>
      </c>
      <c r="O3864" s="2" t="b">
        <v>0</v>
      </c>
    </row>
    <row r="3865" hidden="1">
      <c r="A3865" s="8" t="s">
        <v>2996</v>
      </c>
      <c r="B3865" s="8" t="s">
        <v>2996</v>
      </c>
      <c r="C3865" s="13">
        <v>46078.475694444445</v>
      </c>
      <c r="D3865" s="2" t="s">
        <v>2005</v>
      </c>
      <c r="E3865" s="2" t="s">
        <v>2006</v>
      </c>
      <c r="F3865" s="14" t="s">
        <v>3486</v>
      </c>
      <c r="G3865" s="14" t="s">
        <v>3487</v>
      </c>
      <c r="H3865" s="2" t="s">
        <v>16</v>
      </c>
      <c r="I3865" s="2" t="s">
        <v>3488</v>
      </c>
      <c r="J3865" s="2">
        <v>5.0</v>
      </c>
      <c r="K3865" s="23" t="s">
        <v>6248</v>
      </c>
      <c r="L3865" s="11">
        <v>60000.0</v>
      </c>
      <c r="O3865" s="2" t="b">
        <v>0</v>
      </c>
    </row>
    <row r="3866" hidden="1">
      <c r="A3866" s="8" t="s">
        <v>2996</v>
      </c>
      <c r="B3866" s="8" t="s">
        <v>2996</v>
      </c>
      <c r="C3866" s="13">
        <v>46078.475694444445</v>
      </c>
      <c r="D3866" s="2" t="s">
        <v>2005</v>
      </c>
      <c r="E3866" s="2" t="s">
        <v>2006</v>
      </c>
      <c r="F3866" s="14" t="s">
        <v>3493</v>
      </c>
      <c r="G3866" s="14" t="s">
        <v>3494</v>
      </c>
      <c r="H3866" s="2" t="s">
        <v>16</v>
      </c>
      <c r="I3866" s="2" t="s">
        <v>3488</v>
      </c>
      <c r="J3866" s="2">
        <v>1.0</v>
      </c>
      <c r="K3866" s="12" t="s">
        <v>6090</v>
      </c>
      <c r="L3866" s="11">
        <v>215000.0</v>
      </c>
      <c r="O3866" s="2" t="b">
        <v>0</v>
      </c>
    </row>
    <row r="3867" hidden="1">
      <c r="A3867" s="8" t="s">
        <v>2997</v>
      </c>
      <c r="B3867" s="8" t="s">
        <v>2997</v>
      </c>
      <c r="C3867" s="13">
        <v>46078.59746527778</v>
      </c>
      <c r="D3867" s="2" t="s">
        <v>2005</v>
      </c>
      <c r="E3867" s="2" t="s">
        <v>2006</v>
      </c>
      <c r="F3867" s="14" t="s">
        <v>3486</v>
      </c>
      <c r="G3867" s="14" t="s">
        <v>3487</v>
      </c>
      <c r="H3867" s="2" t="s">
        <v>24</v>
      </c>
      <c r="I3867" s="2" t="s">
        <v>3491</v>
      </c>
      <c r="J3867" s="2">
        <v>8.0</v>
      </c>
      <c r="K3867" s="23" t="s">
        <v>6249</v>
      </c>
      <c r="L3867" s="11">
        <v>0.0</v>
      </c>
      <c r="O3867" s="2" t="b">
        <v>0</v>
      </c>
    </row>
    <row r="3868" hidden="1">
      <c r="A3868" s="8" t="s">
        <v>2997</v>
      </c>
      <c r="B3868" s="8" t="s">
        <v>2997</v>
      </c>
      <c r="C3868" s="13">
        <v>46078.59746527778</v>
      </c>
      <c r="D3868" s="2" t="s">
        <v>2005</v>
      </c>
      <c r="E3868" s="2" t="s">
        <v>2006</v>
      </c>
      <c r="F3868" s="14" t="s">
        <v>4203</v>
      </c>
      <c r="G3868" s="14" t="s">
        <v>4204</v>
      </c>
      <c r="H3868" s="2" t="s">
        <v>24</v>
      </c>
      <c r="I3868" s="2" t="s">
        <v>3491</v>
      </c>
      <c r="J3868" s="2">
        <v>1.0</v>
      </c>
      <c r="K3868" s="23" t="s">
        <v>5349</v>
      </c>
      <c r="L3868" s="11">
        <v>0.0</v>
      </c>
      <c r="O3868" s="2" t="b">
        <v>1</v>
      </c>
    </row>
    <row r="3869" hidden="1">
      <c r="A3869" s="8" t="s">
        <v>2997</v>
      </c>
      <c r="B3869" s="8" t="s">
        <v>2997</v>
      </c>
      <c r="C3869" s="13">
        <v>46078.59746527778</v>
      </c>
      <c r="D3869" s="2" t="s">
        <v>2005</v>
      </c>
      <c r="E3869" s="2" t="s">
        <v>2006</v>
      </c>
      <c r="F3869" s="14" t="s">
        <v>3493</v>
      </c>
      <c r="G3869" s="14" t="s">
        <v>3494</v>
      </c>
      <c r="H3869" s="2" t="s">
        <v>24</v>
      </c>
      <c r="I3869" s="2" t="s">
        <v>3491</v>
      </c>
      <c r="J3869" s="2">
        <v>1.0</v>
      </c>
      <c r="K3869" s="12" t="s">
        <v>6090</v>
      </c>
      <c r="L3869" s="11">
        <v>0.0</v>
      </c>
      <c r="O3869" s="2" t="b">
        <v>0</v>
      </c>
    </row>
    <row r="3870" hidden="1">
      <c r="A3870" s="8" t="s">
        <v>2998</v>
      </c>
      <c r="B3870" s="8" t="s">
        <v>2998</v>
      </c>
      <c r="C3870" s="13">
        <v>46079.359664351854</v>
      </c>
      <c r="D3870" s="2" t="s">
        <v>2913</v>
      </c>
      <c r="E3870" s="2" t="s">
        <v>2914</v>
      </c>
      <c r="F3870" s="14" t="s">
        <v>3486</v>
      </c>
      <c r="G3870" s="14" t="s">
        <v>3487</v>
      </c>
      <c r="H3870" s="2" t="s">
        <v>16</v>
      </c>
      <c r="I3870" s="2" t="s">
        <v>3488</v>
      </c>
      <c r="J3870" s="2">
        <v>6.0</v>
      </c>
      <c r="K3870" s="23" t="s">
        <v>6250</v>
      </c>
      <c r="L3870" s="11">
        <v>50000.0</v>
      </c>
      <c r="O3870" s="2" t="b">
        <v>0</v>
      </c>
    </row>
    <row r="3871" hidden="1">
      <c r="A3871" s="8" t="s">
        <v>2999</v>
      </c>
      <c r="B3871" s="8" t="s">
        <v>2999</v>
      </c>
      <c r="C3871" s="13">
        <v>46079.35974537037</v>
      </c>
      <c r="D3871" s="2" t="s">
        <v>786</v>
      </c>
      <c r="E3871" s="2" t="s">
        <v>787</v>
      </c>
      <c r="F3871" s="14" t="s">
        <v>3486</v>
      </c>
      <c r="G3871" s="14" t="s">
        <v>3487</v>
      </c>
      <c r="H3871" s="2" t="s">
        <v>16</v>
      </c>
      <c r="I3871" s="2" t="s">
        <v>3488</v>
      </c>
      <c r="J3871" s="2">
        <v>5.0</v>
      </c>
      <c r="K3871" s="23" t="s">
        <v>6251</v>
      </c>
      <c r="L3871" s="11">
        <v>60000.0</v>
      </c>
      <c r="O3871" s="2" t="b">
        <v>0</v>
      </c>
    </row>
    <row r="3872" hidden="1">
      <c r="A3872" s="8" t="s">
        <v>3000</v>
      </c>
      <c r="B3872" s="8" t="s">
        <v>3000</v>
      </c>
      <c r="C3872" s="13">
        <v>46079.36482638889</v>
      </c>
      <c r="D3872" s="2" t="s">
        <v>2640</v>
      </c>
      <c r="E3872" s="2" t="s">
        <v>2641</v>
      </c>
      <c r="F3872" s="14" t="s">
        <v>3516</v>
      </c>
      <c r="G3872" s="14" t="s">
        <v>3517</v>
      </c>
      <c r="H3872" s="2" t="s">
        <v>16</v>
      </c>
      <c r="I3872" s="2" t="s">
        <v>3488</v>
      </c>
      <c r="J3872" s="2">
        <v>5.0</v>
      </c>
      <c r="K3872" s="23" t="s">
        <v>6252</v>
      </c>
      <c r="L3872" s="11">
        <v>190000.0</v>
      </c>
      <c r="O3872" s="2" t="b">
        <v>0</v>
      </c>
    </row>
    <row r="3873" hidden="1">
      <c r="A3873" s="8" t="s">
        <v>3000</v>
      </c>
      <c r="B3873" s="8" t="s">
        <v>3000</v>
      </c>
      <c r="C3873" s="13">
        <v>46079.36482638889</v>
      </c>
      <c r="D3873" s="2" t="s">
        <v>2640</v>
      </c>
      <c r="E3873" s="2" t="s">
        <v>2641</v>
      </c>
      <c r="F3873" s="14" t="s">
        <v>3486</v>
      </c>
      <c r="G3873" s="14" t="s">
        <v>3487</v>
      </c>
      <c r="H3873" s="2" t="s">
        <v>16</v>
      </c>
      <c r="I3873" s="2" t="s">
        <v>3488</v>
      </c>
      <c r="J3873" s="2">
        <v>5.0</v>
      </c>
      <c r="K3873" s="23" t="s">
        <v>6253</v>
      </c>
      <c r="L3873" s="11">
        <v>60000.0</v>
      </c>
      <c r="O3873" s="2" t="b">
        <v>0</v>
      </c>
    </row>
    <row r="3874" hidden="1">
      <c r="A3874" s="8" t="s">
        <v>3001</v>
      </c>
      <c r="B3874" s="8" t="s">
        <v>3001</v>
      </c>
      <c r="C3874" s="13">
        <v>46079.39561342593</v>
      </c>
      <c r="D3874" s="2" t="s">
        <v>1705</v>
      </c>
      <c r="E3874" s="2" t="s">
        <v>1706</v>
      </c>
      <c r="F3874" s="14" t="s">
        <v>4203</v>
      </c>
      <c r="G3874" s="14" t="s">
        <v>4204</v>
      </c>
      <c r="H3874" s="2" t="s">
        <v>16</v>
      </c>
      <c r="I3874" s="2" t="s">
        <v>3488</v>
      </c>
      <c r="J3874" s="2">
        <v>2.0</v>
      </c>
      <c r="K3874" s="23" t="s">
        <v>6254</v>
      </c>
      <c r="L3874" s="11">
        <v>65000.0</v>
      </c>
      <c r="O3874" s="2" t="b">
        <v>0</v>
      </c>
    </row>
    <row r="3875" hidden="1">
      <c r="A3875" s="8" t="s">
        <v>3002</v>
      </c>
      <c r="B3875" s="8" t="s">
        <v>3002</v>
      </c>
      <c r="C3875" s="13">
        <v>46079.41789351852</v>
      </c>
      <c r="D3875" s="2" t="s">
        <v>2543</v>
      </c>
      <c r="E3875" s="2" t="s">
        <v>2544</v>
      </c>
      <c r="F3875" s="14" t="s">
        <v>3486</v>
      </c>
      <c r="G3875" s="14" t="s">
        <v>3487</v>
      </c>
      <c r="H3875" s="2" t="s">
        <v>24</v>
      </c>
      <c r="I3875" s="2" t="s">
        <v>3491</v>
      </c>
      <c r="J3875" s="2">
        <v>1.0</v>
      </c>
      <c r="K3875" s="23" t="s">
        <v>5240</v>
      </c>
      <c r="L3875" s="11">
        <v>0.0</v>
      </c>
      <c r="O3875" s="2" t="b">
        <v>0</v>
      </c>
    </row>
    <row r="3876" hidden="1">
      <c r="A3876" s="8" t="s">
        <v>3002</v>
      </c>
      <c r="B3876" s="8" t="s">
        <v>3002</v>
      </c>
      <c r="C3876" s="13">
        <v>46079.41789351852</v>
      </c>
      <c r="D3876" s="2" t="s">
        <v>2543</v>
      </c>
      <c r="E3876" s="2" t="s">
        <v>2544</v>
      </c>
      <c r="F3876" s="14" t="s">
        <v>3516</v>
      </c>
      <c r="G3876" s="14" t="s">
        <v>3517</v>
      </c>
      <c r="H3876" s="2" t="s">
        <v>24</v>
      </c>
      <c r="I3876" s="2" t="s">
        <v>3491</v>
      </c>
      <c r="J3876" s="2">
        <v>2.0</v>
      </c>
      <c r="K3876" s="23" t="s">
        <v>6255</v>
      </c>
      <c r="L3876" s="11">
        <v>0.0</v>
      </c>
      <c r="O3876" s="2" t="b">
        <v>0</v>
      </c>
    </row>
    <row r="3877" hidden="1">
      <c r="A3877" s="8" t="s">
        <v>3003</v>
      </c>
      <c r="B3877" s="8" t="s">
        <v>3003</v>
      </c>
      <c r="C3877" s="13">
        <v>46079.41835648148</v>
      </c>
      <c r="D3877" s="2" t="s">
        <v>951</v>
      </c>
      <c r="E3877" s="2" t="s">
        <v>952</v>
      </c>
      <c r="F3877" s="14" t="s">
        <v>3486</v>
      </c>
      <c r="G3877" s="14" t="s">
        <v>3487</v>
      </c>
      <c r="H3877" s="2" t="s">
        <v>24</v>
      </c>
      <c r="I3877" s="2" t="s">
        <v>3491</v>
      </c>
      <c r="J3877" s="2">
        <v>2.0</v>
      </c>
      <c r="K3877" s="23" t="s">
        <v>6256</v>
      </c>
      <c r="L3877" s="11">
        <v>0.0</v>
      </c>
      <c r="O3877" s="2" t="b">
        <v>0</v>
      </c>
    </row>
    <row r="3878" hidden="1">
      <c r="A3878" s="8" t="s">
        <v>3003</v>
      </c>
      <c r="B3878" s="8" t="s">
        <v>3003</v>
      </c>
      <c r="C3878" s="13">
        <v>46079.41835648148</v>
      </c>
      <c r="D3878" s="2" t="s">
        <v>951</v>
      </c>
      <c r="E3878" s="2" t="s">
        <v>952</v>
      </c>
      <c r="F3878" s="14" t="s">
        <v>3516</v>
      </c>
      <c r="G3878" s="14" t="s">
        <v>3517</v>
      </c>
      <c r="H3878" s="2" t="s">
        <v>24</v>
      </c>
      <c r="I3878" s="2" t="s">
        <v>3491</v>
      </c>
      <c r="J3878" s="2">
        <v>1.0</v>
      </c>
      <c r="K3878" s="23" t="s">
        <v>5471</v>
      </c>
      <c r="L3878" s="11">
        <v>0.0</v>
      </c>
      <c r="O3878" s="2" t="b">
        <v>0</v>
      </c>
    </row>
    <row r="3879" hidden="1">
      <c r="A3879" s="8" t="s">
        <v>3003</v>
      </c>
      <c r="B3879" s="8" t="s">
        <v>3003</v>
      </c>
      <c r="C3879" s="13">
        <v>46079.41835648148</v>
      </c>
      <c r="D3879" s="2" t="s">
        <v>951</v>
      </c>
      <c r="E3879" s="2" t="s">
        <v>952</v>
      </c>
      <c r="F3879" s="14" t="s">
        <v>3486</v>
      </c>
      <c r="G3879" s="14" t="s">
        <v>3487</v>
      </c>
      <c r="H3879" s="2" t="s">
        <v>24</v>
      </c>
      <c r="I3879" s="2" t="s">
        <v>3491</v>
      </c>
      <c r="J3879" s="2">
        <v>1.0</v>
      </c>
      <c r="K3879" s="23" t="s">
        <v>6257</v>
      </c>
      <c r="L3879" s="11">
        <v>0.0</v>
      </c>
      <c r="O3879" s="2" t="b">
        <v>1</v>
      </c>
    </row>
    <row r="3880" hidden="1">
      <c r="A3880" s="8" t="s">
        <v>3004</v>
      </c>
      <c r="B3880" s="8" t="s">
        <v>3004</v>
      </c>
      <c r="C3880" s="13">
        <v>46079.42039351852</v>
      </c>
      <c r="D3880" s="2" t="s">
        <v>131</v>
      </c>
      <c r="E3880" s="2" t="s">
        <v>132</v>
      </c>
      <c r="F3880" s="14" t="s">
        <v>3516</v>
      </c>
      <c r="G3880" s="14" t="s">
        <v>3517</v>
      </c>
      <c r="H3880" s="2" t="s">
        <v>24</v>
      </c>
      <c r="I3880" s="2" t="s">
        <v>3491</v>
      </c>
      <c r="J3880" s="2">
        <v>2.0</v>
      </c>
      <c r="K3880" s="23" t="s">
        <v>6258</v>
      </c>
      <c r="L3880" s="11">
        <v>0.0</v>
      </c>
      <c r="O3880" s="2" t="b">
        <v>0</v>
      </c>
    </row>
    <row r="3881" hidden="1">
      <c r="A3881" s="8" t="s">
        <v>3005</v>
      </c>
      <c r="B3881" s="8" t="s">
        <v>3005</v>
      </c>
      <c r="C3881" s="13">
        <v>46079.440983796296</v>
      </c>
      <c r="D3881" s="2" t="s">
        <v>2640</v>
      </c>
      <c r="E3881" s="2" t="s">
        <v>2641</v>
      </c>
      <c r="F3881" s="14" t="s">
        <v>3486</v>
      </c>
      <c r="G3881" s="14" t="s">
        <v>3487</v>
      </c>
      <c r="H3881" s="2" t="s">
        <v>24</v>
      </c>
      <c r="I3881" s="2" t="s">
        <v>3491</v>
      </c>
      <c r="J3881" s="2">
        <v>5.0</v>
      </c>
      <c r="K3881" s="23" t="s">
        <v>6259</v>
      </c>
      <c r="L3881" s="11">
        <v>0.0</v>
      </c>
      <c r="O3881" s="2" t="b">
        <v>0</v>
      </c>
    </row>
    <row r="3882" hidden="1">
      <c r="A3882" s="8" t="s">
        <v>3005</v>
      </c>
      <c r="B3882" s="8" t="s">
        <v>3005</v>
      </c>
      <c r="C3882" s="13">
        <v>46079.440983796296</v>
      </c>
      <c r="D3882" s="2" t="s">
        <v>2640</v>
      </c>
      <c r="E3882" s="2" t="s">
        <v>2641</v>
      </c>
      <c r="F3882" s="14" t="s">
        <v>3516</v>
      </c>
      <c r="G3882" s="14" t="s">
        <v>3517</v>
      </c>
      <c r="H3882" s="2" t="s">
        <v>24</v>
      </c>
      <c r="I3882" s="2" t="s">
        <v>3491</v>
      </c>
      <c r="J3882" s="2">
        <v>2.0</v>
      </c>
      <c r="K3882" s="23" t="s">
        <v>6260</v>
      </c>
      <c r="L3882" s="11">
        <v>0.0</v>
      </c>
      <c r="O3882" s="2" t="b">
        <v>0</v>
      </c>
    </row>
    <row r="3883" hidden="1">
      <c r="A3883" s="8" t="s">
        <v>3006</v>
      </c>
      <c r="B3883" s="8" t="s">
        <v>3006</v>
      </c>
      <c r="C3883" s="13">
        <v>46079.441655092596</v>
      </c>
      <c r="D3883" s="2" t="s">
        <v>2913</v>
      </c>
      <c r="E3883" s="2" t="s">
        <v>2914</v>
      </c>
      <c r="F3883" s="14" t="s">
        <v>3486</v>
      </c>
      <c r="G3883" s="14" t="s">
        <v>3487</v>
      </c>
      <c r="H3883" s="2" t="s">
        <v>24</v>
      </c>
      <c r="I3883" s="2" t="s">
        <v>3491</v>
      </c>
      <c r="J3883" s="2">
        <v>3.0</v>
      </c>
      <c r="K3883" s="23" t="s">
        <v>6261</v>
      </c>
      <c r="L3883" s="11">
        <v>0.0</v>
      </c>
      <c r="O3883" s="2" t="b">
        <v>0</v>
      </c>
    </row>
    <row r="3884" hidden="1">
      <c r="A3884" s="8" t="s">
        <v>3007</v>
      </c>
      <c r="B3884" s="8" t="s">
        <v>3007</v>
      </c>
      <c r="C3884" s="13">
        <v>46079.49256944445</v>
      </c>
      <c r="D3884" s="2" t="s">
        <v>2543</v>
      </c>
      <c r="E3884" s="2" t="s">
        <v>2544</v>
      </c>
      <c r="F3884" s="14" t="s">
        <v>3516</v>
      </c>
      <c r="G3884" s="14" t="s">
        <v>3517</v>
      </c>
      <c r="H3884" s="2" t="s">
        <v>16</v>
      </c>
      <c r="I3884" s="2" t="s">
        <v>3488</v>
      </c>
      <c r="J3884" s="2">
        <v>3.0</v>
      </c>
      <c r="K3884" s="23" t="s">
        <v>6262</v>
      </c>
      <c r="L3884" s="11">
        <v>190000.0</v>
      </c>
      <c r="O3884" s="2" t="b">
        <v>0</v>
      </c>
    </row>
    <row r="3885" hidden="1">
      <c r="A3885" s="8" t="s">
        <v>3007</v>
      </c>
      <c r="B3885" s="8" t="s">
        <v>3007</v>
      </c>
      <c r="C3885" s="13">
        <v>46079.49256944445</v>
      </c>
      <c r="D3885" s="2" t="s">
        <v>2543</v>
      </c>
      <c r="E3885" s="2" t="s">
        <v>2544</v>
      </c>
      <c r="F3885" s="14" t="s">
        <v>3585</v>
      </c>
      <c r="G3885" s="14" t="s">
        <v>3586</v>
      </c>
      <c r="H3885" s="2" t="s">
        <v>16</v>
      </c>
      <c r="I3885" s="2" t="s">
        <v>3488</v>
      </c>
      <c r="J3885" s="2">
        <v>1.0</v>
      </c>
      <c r="K3885" s="23" t="s">
        <v>6263</v>
      </c>
      <c r="L3885" s="11">
        <v>485000.0</v>
      </c>
      <c r="O3885" s="2" t="b">
        <v>0</v>
      </c>
    </row>
    <row r="3886" hidden="1">
      <c r="A3886" s="8" t="s">
        <v>3008</v>
      </c>
      <c r="B3886" s="8" t="s">
        <v>3008</v>
      </c>
      <c r="C3886" s="13">
        <v>46079.51744212963</v>
      </c>
      <c r="D3886" s="2" t="s">
        <v>1838</v>
      </c>
      <c r="E3886" s="2" t="s">
        <v>1839</v>
      </c>
      <c r="F3886" s="14" t="s">
        <v>3835</v>
      </c>
      <c r="G3886" s="14" t="s">
        <v>3836</v>
      </c>
      <c r="H3886" s="2" t="s">
        <v>24</v>
      </c>
      <c r="I3886" s="2" t="s">
        <v>3491</v>
      </c>
      <c r="J3886" s="2">
        <v>1.0</v>
      </c>
      <c r="K3886" s="23" t="s">
        <v>6145</v>
      </c>
      <c r="L3886" s="11">
        <v>0.0</v>
      </c>
      <c r="O3886" s="2" t="b">
        <v>0</v>
      </c>
    </row>
    <row r="3887" hidden="1">
      <c r="A3887" s="8" t="s">
        <v>3009</v>
      </c>
      <c r="B3887" s="8" t="s">
        <v>3009</v>
      </c>
      <c r="C3887" s="13">
        <v>46079.51770833333</v>
      </c>
      <c r="D3887" s="2" t="s">
        <v>1838</v>
      </c>
      <c r="E3887" s="2" t="s">
        <v>1839</v>
      </c>
      <c r="F3887" s="14" t="s">
        <v>3910</v>
      </c>
      <c r="G3887" s="14" t="s">
        <v>3911</v>
      </c>
      <c r="H3887" s="2" t="s">
        <v>16</v>
      </c>
      <c r="I3887" s="2" t="s">
        <v>3488</v>
      </c>
      <c r="J3887" s="2">
        <v>1.0</v>
      </c>
      <c r="K3887" s="12"/>
      <c r="L3887" s="11">
        <v>60000.0</v>
      </c>
      <c r="O3887" s="2" t="b">
        <v>0</v>
      </c>
    </row>
    <row r="3888" hidden="1">
      <c r="A3888" s="8" t="s">
        <v>3010</v>
      </c>
      <c r="B3888" s="8" t="s">
        <v>3010</v>
      </c>
      <c r="C3888" s="13">
        <v>46079.61856481482</v>
      </c>
      <c r="D3888" s="2" t="s">
        <v>786</v>
      </c>
      <c r="E3888" s="2" t="s">
        <v>787</v>
      </c>
      <c r="F3888" s="14" t="s">
        <v>3486</v>
      </c>
      <c r="G3888" s="14" t="s">
        <v>3487</v>
      </c>
      <c r="H3888" s="2" t="s">
        <v>24</v>
      </c>
      <c r="I3888" s="2" t="s">
        <v>3491</v>
      </c>
      <c r="J3888" s="2">
        <v>4.0</v>
      </c>
      <c r="K3888" s="23" t="s">
        <v>6264</v>
      </c>
      <c r="L3888" s="11">
        <v>0.0</v>
      </c>
      <c r="O3888" s="2" t="b">
        <v>0</v>
      </c>
    </row>
    <row r="3889" hidden="1">
      <c r="A3889" s="8" t="s">
        <v>3010</v>
      </c>
      <c r="B3889" s="8" t="s">
        <v>3010</v>
      </c>
      <c r="C3889" s="13">
        <v>46079.61856481482</v>
      </c>
      <c r="D3889" s="2" t="s">
        <v>786</v>
      </c>
      <c r="E3889" s="2" t="s">
        <v>787</v>
      </c>
      <c r="F3889" s="14" t="s">
        <v>4203</v>
      </c>
      <c r="G3889" s="14" t="s">
        <v>4204</v>
      </c>
      <c r="H3889" s="2" t="s">
        <v>24</v>
      </c>
      <c r="I3889" s="2" t="s">
        <v>3491</v>
      </c>
      <c r="J3889" s="2">
        <v>1.0</v>
      </c>
      <c r="K3889" s="23" t="s">
        <v>3897</v>
      </c>
      <c r="L3889" s="11">
        <v>0.0</v>
      </c>
      <c r="O3889" s="2" t="b">
        <v>0</v>
      </c>
    </row>
    <row r="3890" hidden="1">
      <c r="A3890" s="8" t="s">
        <v>3010</v>
      </c>
      <c r="B3890" s="8" t="s">
        <v>3010</v>
      </c>
      <c r="C3890" s="13">
        <v>46079.61856481482</v>
      </c>
      <c r="D3890" s="2" t="s">
        <v>786</v>
      </c>
      <c r="E3890" s="2" t="s">
        <v>787</v>
      </c>
      <c r="F3890" s="14" t="s">
        <v>3486</v>
      </c>
      <c r="G3890" s="14" t="s">
        <v>3487</v>
      </c>
      <c r="H3890" s="2" t="s">
        <v>24</v>
      </c>
      <c r="I3890" s="2" t="s">
        <v>3491</v>
      </c>
      <c r="J3890" s="2">
        <v>1.0</v>
      </c>
      <c r="K3890" s="23" t="s">
        <v>4918</v>
      </c>
      <c r="L3890" s="11">
        <v>0.0</v>
      </c>
      <c r="O3890" s="2" t="b">
        <v>1</v>
      </c>
    </row>
    <row r="3891" hidden="1">
      <c r="A3891" s="8" t="s">
        <v>3011</v>
      </c>
      <c r="B3891" s="8" t="s">
        <v>3011</v>
      </c>
      <c r="C3891" s="13">
        <v>46079.62079861111</v>
      </c>
      <c r="D3891" s="2" t="s">
        <v>1975</v>
      </c>
      <c r="E3891" s="2" t="s">
        <v>1976</v>
      </c>
      <c r="F3891" s="14" t="s">
        <v>3486</v>
      </c>
      <c r="G3891" s="14" t="s">
        <v>3487</v>
      </c>
      <c r="H3891" s="2" t="s">
        <v>24</v>
      </c>
      <c r="I3891" s="2" t="s">
        <v>3491</v>
      </c>
      <c r="J3891" s="2">
        <v>3.0</v>
      </c>
      <c r="K3891" s="23" t="s">
        <v>6265</v>
      </c>
      <c r="L3891" s="11">
        <v>0.0</v>
      </c>
      <c r="O3891" s="2" t="b">
        <v>0</v>
      </c>
    </row>
    <row r="3892" hidden="1">
      <c r="A3892" s="8" t="s">
        <v>3011</v>
      </c>
      <c r="B3892" s="8" t="s">
        <v>3011</v>
      </c>
      <c r="C3892" s="13">
        <v>46079.62079861111</v>
      </c>
      <c r="D3892" s="2" t="s">
        <v>1975</v>
      </c>
      <c r="E3892" s="2" t="s">
        <v>1976</v>
      </c>
      <c r="F3892" s="14" t="s">
        <v>4203</v>
      </c>
      <c r="G3892" s="14" t="s">
        <v>4204</v>
      </c>
      <c r="H3892" s="2" t="s">
        <v>24</v>
      </c>
      <c r="I3892" s="2" t="s">
        <v>3491</v>
      </c>
      <c r="J3892" s="2">
        <v>2.0</v>
      </c>
      <c r="K3892" s="23" t="s">
        <v>6266</v>
      </c>
      <c r="L3892" s="11">
        <v>0.0</v>
      </c>
      <c r="O3892" s="2" t="b">
        <v>0</v>
      </c>
    </row>
    <row r="3893" hidden="1">
      <c r="A3893" s="8" t="s">
        <v>3012</v>
      </c>
      <c r="B3893" s="8" t="s">
        <v>3012</v>
      </c>
      <c r="C3893" s="13">
        <v>46079.62186342593</v>
      </c>
      <c r="D3893" s="2" t="s">
        <v>1705</v>
      </c>
      <c r="E3893" s="2" t="s">
        <v>1706</v>
      </c>
      <c r="F3893" s="14" t="s">
        <v>4203</v>
      </c>
      <c r="G3893" s="14" t="s">
        <v>4204</v>
      </c>
      <c r="H3893" s="2" t="s">
        <v>24</v>
      </c>
      <c r="I3893" s="2" t="s">
        <v>3491</v>
      </c>
      <c r="J3893" s="2">
        <v>2.0</v>
      </c>
      <c r="K3893" s="23" t="s">
        <v>6067</v>
      </c>
      <c r="L3893" s="11">
        <v>0.0</v>
      </c>
      <c r="O3893" s="2" t="b">
        <v>0</v>
      </c>
    </row>
    <row r="3894" hidden="1">
      <c r="A3894" s="8" t="s">
        <v>3013</v>
      </c>
      <c r="B3894" s="8" t="s">
        <v>3013</v>
      </c>
      <c r="C3894" s="13">
        <v>46079.67333333333</v>
      </c>
      <c r="D3894" s="2" t="s">
        <v>464</v>
      </c>
      <c r="E3894" s="2" t="s">
        <v>465</v>
      </c>
      <c r="F3894" s="14" t="s">
        <v>4203</v>
      </c>
      <c r="G3894" s="14" t="s">
        <v>4204</v>
      </c>
      <c r="H3894" s="2" t="s">
        <v>24</v>
      </c>
      <c r="I3894" s="2" t="s">
        <v>3491</v>
      </c>
      <c r="J3894" s="2">
        <v>2.0</v>
      </c>
      <c r="K3894" s="23" t="s">
        <v>6267</v>
      </c>
      <c r="L3894" s="11">
        <v>0.0</v>
      </c>
      <c r="O3894" s="2" t="b">
        <v>0</v>
      </c>
    </row>
    <row r="3895" hidden="1">
      <c r="A3895" s="8" t="s">
        <v>3013</v>
      </c>
      <c r="B3895" s="8" t="s">
        <v>3013</v>
      </c>
      <c r="C3895" s="13">
        <v>46079.67333333333</v>
      </c>
      <c r="D3895" s="2" t="s">
        <v>464</v>
      </c>
      <c r="E3895" s="2" t="s">
        <v>465</v>
      </c>
      <c r="F3895" s="14" t="s">
        <v>3506</v>
      </c>
      <c r="G3895" s="14" t="s">
        <v>3507</v>
      </c>
      <c r="H3895" s="2" t="s">
        <v>24</v>
      </c>
      <c r="I3895" s="2" t="s">
        <v>3491</v>
      </c>
      <c r="J3895" s="2">
        <v>2.0</v>
      </c>
      <c r="K3895" s="12"/>
      <c r="L3895" s="11">
        <v>0.0</v>
      </c>
      <c r="O3895" s="2" t="b">
        <v>0</v>
      </c>
    </row>
    <row r="3896" hidden="1">
      <c r="A3896" s="8" t="s">
        <v>3013</v>
      </c>
      <c r="B3896" s="8" t="s">
        <v>3013</v>
      </c>
      <c r="C3896" s="13">
        <v>46079.67333333333</v>
      </c>
      <c r="D3896" s="2" t="s">
        <v>464</v>
      </c>
      <c r="E3896" s="2" t="s">
        <v>465</v>
      </c>
      <c r="F3896" s="14" t="s">
        <v>3493</v>
      </c>
      <c r="G3896" s="14" t="s">
        <v>3494</v>
      </c>
      <c r="H3896" s="2" t="s">
        <v>24</v>
      </c>
      <c r="I3896" s="2" t="s">
        <v>3491</v>
      </c>
      <c r="J3896" s="2">
        <v>1.0</v>
      </c>
      <c r="K3896" s="12"/>
      <c r="L3896" s="11">
        <v>0.0</v>
      </c>
      <c r="O3896" s="2" t="b">
        <v>0</v>
      </c>
    </row>
    <row r="3897" hidden="1">
      <c r="A3897" s="8" t="s">
        <v>3014</v>
      </c>
      <c r="B3897" s="8" t="s">
        <v>3014</v>
      </c>
      <c r="C3897" s="13">
        <v>46079.674097222225</v>
      </c>
      <c r="D3897" s="2" t="s">
        <v>326</v>
      </c>
      <c r="E3897" s="2" t="s">
        <v>327</v>
      </c>
      <c r="F3897" s="14" t="s">
        <v>3486</v>
      </c>
      <c r="G3897" s="14" t="s">
        <v>3487</v>
      </c>
      <c r="H3897" s="2" t="s">
        <v>24</v>
      </c>
      <c r="I3897" s="2" t="s">
        <v>3491</v>
      </c>
      <c r="J3897" s="2">
        <v>3.0</v>
      </c>
      <c r="K3897" s="23" t="s">
        <v>6268</v>
      </c>
      <c r="L3897" s="11">
        <v>0.0</v>
      </c>
      <c r="O3897" s="2" t="b">
        <v>0</v>
      </c>
    </row>
    <row r="3898" hidden="1">
      <c r="A3898" s="8" t="s">
        <v>3015</v>
      </c>
      <c r="B3898" s="8" t="s">
        <v>3015</v>
      </c>
      <c r="C3898" s="13">
        <v>46080.378287037034</v>
      </c>
      <c r="D3898" s="2" t="s">
        <v>320</v>
      </c>
      <c r="E3898" s="2" t="s">
        <v>321</v>
      </c>
      <c r="F3898" s="14" t="s">
        <v>3486</v>
      </c>
      <c r="G3898" s="14" t="s">
        <v>3487</v>
      </c>
      <c r="H3898" s="2" t="s">
        <v>16</v>
      </c>
      <c r="I3898" s="2" t="s">
        <v>3488</v>
      </c>
      <c r="J3898" s="2">
        <v>2.0</v>
      </c>
      <c r="K3898" s="23" t="s">
        <v>6269</v>
      </c>
      <c r="L3898" s="11">
        <v>70000.0</v>
      </c>
      <c r="O3898" s="2" t="b">
        <v>0</v>
      </c>
    </row>
    <row r="3899" hidden="1">
      <c r="A3899" s="8" t="s">
        <v>3016</v>
      </c>
      <c r="B3899" s="8" t="s">
        <v>3016</v>
      </c>
      <c r="C3899" s="13">
        <v>46080.37844907407</v>
      </c>
      <c r="D3899" s="2" t="s">
        <v>2623</v>
      </c>
      <c r="E3899" s="2" t="s">
        <v>2624</v>
      </c>
      <c r="F3899" s="14" t="s">
        <v>3522</v>
      </c>
      <c r="G3899" s="14" t="s">
        <v>3523</v>
      </c>
      <c r="H3899" s="2" t="s">
        <v>16</v>
      </c>
      <c r="I3899" s="2" t="s">
        <v>3488</v>
      </c>
      <c r="J3899" s="2">
        <v>2.0</v>
      </c>
      <c r="K3899" s="23" t="s">
        <v>6270</v>
      </c>
      <c r="L3899" s="11">
        <v>225000.0</v>
      </c>
      <c r="O3899" s="2" t="b">
        <v>0</v>
      </c>
    </row>
    <row r="3900" hidden="1">
      <c r="A3900" s="1"/>
      <c r="B3900" s="1"/>
      <c r="C3900" s="13"/>
      <c r="D3900" s="2"/>
      <c r="E3900" s="2"/>
      <c r="F3900" s="14"/>
      <c r="G3900" s="14"/>
      <c r="H3900" s="2"/>
      <c r="I3900" s="2"/>
      <c r="J3900" s="2"/>
      <c r="K3900" s="12"/>
      <c r="L3900" s="11"/>
      <c r="O3900" s="2"/>
    </row>
    <row r="3901" hidden="1">
      <c r="A3901" s="8" t="s">
        <v>3017</v>
      </c>
      <c r="B3901" s="8" t="s">
        <v>3017</v>
      </c>
      <c r="C3901" s="13">
        <v>46080.38028935185</v>
      </c>
      <c r="D3901" s="2" t="s">
        <v>1228</v>
      </c>
      <c r="E3901" s="2" t="s">
        <v>1229</v>
      </c>
      <c r="F3901" s="14" t="s">
        <v>3486</v>
      </c>
      <c r="G3901" s="14" t="s">
        <v>3487</v>
      </c>
      <c r="H3901" s="2" t="s">
        <v>16</v>
      </c>
      <c r="I3901" s="2" t="s">
        <v>3488</v>
      </c>
      <c r="J3901" s="2">
        <v>5.0</v>
      </c>
      <c r="K3901" s="23" t="s">
        <v>6271</v>
      </c>
      <c r="L3901" s="11">
        <v>55000.0</v>
      </c>
      <c r="O3901" s="2" t="b">
        <v>0</v>
      </c>
    </row>
    <row r="3902" hidden="1">
      <c r="A3902" s="8" t="s">
        <v>2985</v>
      </c>
      <c r="B3902" s="8" t="s">
        <v>2985</v>
      </c>
      <c r="C3902" s="13">
        <v>46077.607199074075</v>
      </c>
      <c r="D3902" s="2" t="s">
        <v>1371</v>
      </c>
      <c r="E3902" s="2" t="s">
        <v>1372</v>
      </c>
      <c r="F3902" s="14" t="s">
        <v>3486</v>
      </c>
      <c r="G3902" s="14" t="s">
        <v>3487</v>
      </c>
      <c r="H3902" s="2" t="s">
        <v>24</v>
      </c>
      <c r="I3902" s="2" t="s">
        <v>3491</v>
      </c>
      <c r="J3902" s="2">
        <v>1.0</v>
      </c>
      <c r="K3902" s="23" t="s">
        <v>6272</v>
      </c>
      <c r="L3902" s="11">
        <v>0.0</v>
      </c>
      <c r="O3902" s="2" t="b">
        <v>0</v>
      </c>
    </row>
    <row r="3903" hidden="1">
      <c r="A3903" s="8" t="s">
        <v>3018</v>
      </c>
      <c r="B3903" s="8" t="s">
        <v>3018</v>
      </c>
      <c r="C3903" s="13">
        <v>46080.57131944445</v>
      </c>
      <c r="D3903" s="2" t="s">
        <v>1873</v>
      </c>
      <c r="E3903" s="2" t="s">
        <v>1874</v>
      </c>
      <c r="F3903" s="14" t="s">
        <v>3486</v>
      </c>
      <c r="G3903" s="14" t="s">
        <v>3487</v>
      </c>
      <c r="H3903" s="2" t="s">
        <v>16</v>
      </c>
      <c r="I3903" s="2" t="s">
        <v>3488</v>
      </c>
      <c r="J3903" s="2">
        <v>1.0</v>
      </c>
      <c r="K3903" s="23" t="s">
        <v>6272</v>
      </c>
      <c r="L3903" s="11">
        <v>70000.0</v>
      </c>
      <c r="O3903" s="2" t="b">
        <v>0</v>
      </c>
    </row>
    <row r="3904" hidden="1">
      <c r="A3904" s="8" t="s">
        <v>3019</v>
      </c>
      <c r="B3904" s="8" t="s">
        <v>3019</v>
      </c>
      <c r="C3904" s="13">
        <v>46080.632835648146</v>
      </c>
      <c r="D3904" s="2" t="s">
        <v>786</v>
      </c>
      <c r="E3904" s="2" t="s">
        <v>787</v>
      </c>
      <c r="F3904" s="14" t="s">
        <v>3486</v>
      </c>
      <c r="G3904" s="14" t="s">
        <v>3487</v>
      </c>
      <c r="H3904" s="2" t="s">
        <v>24</v>
      </c>
      <c r="I3904" s="2" t="s">
        <v>3491</v>
      </c>
      <c r="J3904" s="2">
        <v>1.0</v>
      </c>
      <c r="K3904" s="23" t="s">
        <v>4953</v>
      </c>
      <c r="L3904" s="11">
        <v>0.0</v>
      </c>
      <c r="O3904" s="2" t="b">
        <v>1</v>
      </c>
    </row>
    <row r="3905" hidden="1">
      <c r="A3905" s="8" t="s">
        <v>3020</v>
      </c>
      <c r="B3905" s="8" t="s">
        <v>3020</v>
      </c>
      <c r="C3905" s="13">
        <v>46080.63392361111</v>
      </c>
      <c r="D3905" s="2" t="s">
        <v>2623</v>
      </c>
      <c r="E3905" s="2" t="s">
        <v>2624</v>
      </c>
      <c r="F3905" s="14" t="s">
        <v>3522</v>
      </c>
      <c r="G3905" s="14" t="s">
        <v>3523</v>
      </c>
      <c r="H3905" s="2" t="s">
        <v>24</v>
      </c>
      <c r="I3905" s="2" t="s">
        <v>3491</v>
      </c>
      <c r="J3905" s="2">
        <v>1.0</v>
      </c>
      <c r="K3905" s="23" t="s">
        <v>6273</v>
      </c>
      <c r="L3905" s="11">
        <v>0.0</v>
      </c>
      <c r="O3905" s="2" t="b">
        <v>0</v>
      </c>
    </row>
    <row r="3906" hidden="1">
      <c r="A3906" s="8" t="s">
        <v>3021</v>
      </c>
      <c r="B3906" s="8" t="s">
        <v>3021</v>
      </c>
      <c r="C3906" s="13">
        <v>46080.634201388886</v>
      </c>
      <c r="D3906" s="2" t="s">
        <v>1756</v>
      </c>
      <c r="E3906" s="2" t="s">
        <v>1757</v>
      </c>
      <c r="F3906" s="14" t="s">
        <v>3486</v>
      </c>
      <c r="G3906" s="14" t="s">
        <v>3487</v>
      </c>
      <c r="H3906" s="2" t="s">
        <v>24</v>
      </c>
      <c r="I3906" s="2" t="s">
        <v>3491</v>
      </c>
      <c r="J3906" s="2">
        <v>5.0</v>
      </c>
      <c r="K3906" s="23" t="s">
        <v>6274</v>
      </c>
      <c r="L3906" s="11">
        <v>0.0</v>
      </c>
      <c r="O3906" s="2" t="b">
        <v>0</v>
      </c>
    </row>
    <row r="3907" hidden="1">
      <c r="A3907" s="8" t="s">
        <v>3022</v>
      </c>
      <c r="B3907" s="8" t="s">
        <v>3022</v>
      </c>
      <c r="C3907" s="13">
        <v>46080.37835648148</v>
      </c>
      <c r="D3907" s="2" t="s">
        <v>1756</v>
      </c>
      <c r="E3907" s="2" t="s">
        <v>1757</v>
      </c>
      <c r="F3907" s="14" t="s">
        <v>3486</v>
      </c>
      <c r="G3907" s="14" t="s">
        <v>3487</v>
      </c>
      <c r="H3907" s="2" t="s">
        <v>16</v>
      </c>
      <c r="I3907" s="2" t="s">
        <v>3488</v>
      </c>
      <c r="J3907" s="2">
        <v>4.0</v>
      </c>
      <c r="K3907" s="23" t="s">
        <v>6275</v>
      </c>
      <c r="L3907" s="11">
        <v>65000.0</v>
      </c>
      <c r="O3907" s="2" t="b">
        <v>0</v>
      </c>
    </row>
    <row r="3908" hidden="1">
      <c r="A3908" s="8" t="s">
        <v>3023</v>
      </c>
      <c r="B3908" s="8" t="s">
        <v>3023</v>
      </c>
      <c r="C3908" s="13">
        <v>46080.677511574075</v>
      </c>
      <c r="D3908" s="2" t="s">
        <v>2577</v>
      </c>
      <c r="E3908" s="2" t="s">
        <v>2578</v>
      </c>
      <c r="F3908" s="14" t="s">
        <v>4203</v>
      </c>
      <c r="G3908" s="14" t="s">
        <v>4204</v>
      </c>
      <c r="H3908" s="2" t="s">
        <v>24</v>
      </c>
      <c r="I3908" s="2" t="s">
        <v>3491</v>
      </c>
      <c r="J3908" s="2">
        <v>5.0</v>
      </c>
      <c r="K3908" s="23" t="s">
        <v>6276</v>
      </c>
      <c r="L3908" s="11">
        <v>0.0</v>
      </c>
      <c r="O3908" s="2" t="b">
        <v>0</v>
      </c>
    </row>
    <row r="3909" hidden="1">
      <c r="A3909" s="8" t="s">
        <v>3023</v>
      </c>
      <c r="B3909" s="8" t="s">
        <v>3023</v>
      </c>
      <c r="C3909" s="13">
        <v>46080.677511574075</v>
      </c>
      <c r="D3909" s="2" t="s">
        <v>2577</v>
      </c>
      <c r="E3909" s="2" t="s">
        <v>2578</v>
      </c>
      <c r="F3909" s="14" t="s">
        <v>3486</v>
      </c>
      <c r="G3909" s="14" t="s">
        <v>3487</v>
      </c>
      <c r="H3909" s="2" t="s">
        <v>24</v>
      </c>
      <c r="I3909" s="2" t="s">
        <v>3491</v>
      </c>
      <c r="J3909" s="2">
        <v>2.0</v>
      </c>
      <c r="K3909" s="23" t="s">
        <v>6277</v>
      </c>
      <c r="L3909" s="11">
        <v>0.0</v>
      </c>
      <c r="O3909" s="2" t="b">
        <v>0</v>
      </c>
    </row>
    <row r="3910" hidden="1">
      <c r="A3910" s="8" t="s">
        <v>3024</v>
      </c>
      <c r="B3910" s="8" t="s">
        <v>3024</v>
      </c>
      <c r="C3910" s="13">
        <v>46080.67851851852</v>
      </c>
      <c r="D3910" s="2" t="s">
        <v>1873</v>
      </c>
      <c r="E3910" s="2" t="s">
        <v>1874</v>
      </c>
      <c r="F3910" s="14" t="s">
        <v>3486</v>
      </c>
      <c r="G3910" s="14" t="s">
        <v>3487</v>
      </c>
      <c r="H3910" s="2" t="s">
        <v>24</v>
      </c>
      <c r="I3910" s="2" t="s">
        <v>3491</v>
      </c>
      <c r="J3910" s="2">
        <v>4.0</v>
      </c>
      <c r="K3910" s="23" t="s">
        <v>6278</v>
      </c>
      <c r="L3910" s="11">
        <v>0.0</v>
      </c>
      <c r="O3910" s="2" t="b">
        <v>0</v>
      </c>
    </row>
    <row r="3911" hidden="1">
      <c r="A3911" s="8" t="s">
        <v>3025</v>
      </c>
      <c r="B3911" s="8" t="s">
        <v>3025</v>
      </c>
      <c r="C3911" s="13">
        <v>46081.368125</v>
      </c>
      <c r="D3911" s="2" t="s">
        <v>1889</v>
      </c>
      <c r="E3911" s="2" t="s">
        <v>1890</v>
      </c>
      <c r="F3911" s="14" t="s">
        <v>3486</v>
      </c>
      <c r="G3911" s="14" t="s">
        <v>3487</v>
      </c>
      <c r="H3911" s="2" t="s">
        <v>16</v>
      </c>
      <c r="I3911" s="2" t="s">
        <v>3488</v>
      </c>
      <c r="J3911" s="2">
        <v>1.0</v>
      </c>
      <c r="K3911" s="23" t="s">
        <v>4608</v>
      </c>
      <c r="L3911" s="11">
        <v>60000.0</v>
      </c>
      <c r="O3911" s="2" t="b">
        <v>0</v>
      </c>
    </row>
    <row r="3912" hidden="1">
      <c r="A3912" s="8" t="s">
        <v>3026</v>
      </c>
      <c r="B3912" s="8" t="s">
        <v>3026</v>
      </c>
      <c r="C3912" s="13">
        <v>46081.37037037037</v>
      </c>
      <c r="D3912" s="2" t="s">
        <v>786</v>
      </c>
      <c r="E3912" s="2" t="s">
        <v>787</v>
      </c>
      <c r="F3912" s="14" t="s">
        <v>3486</v>
      </c>
      <c r="G3912" s="14" t="s">
        <v>3487</v>
      </c>
      <c r="H3912" s="2" t="s">
        <v>16</v>
      </c>
      <c r="I3912" s="2" t="s">
        <v>3488</v>
      </c>
      <c r="J3912" s="2">
        <v>5.0</v>
      </c>
      <c r="K3912" s="23" t="s">
        <v>6279</v>
      </c>
      <c r="L3912" s="11">
        <v>60000.0</v>
      </c>
      <c r="O3912" s="2" t="b">
        <v>0</v>
      </c>
    </row>
    <row r="3913" hidden="1">
      <c r="A3913" s="8" t="s">
        <v>3026</v>
      </c>
      <c r="B3913" s="8" t="s">
        <v>3026</v>
      </c>
      <c r="C3913" s="13">
        <v>46081.37037037037</v>
      </c>
      <c r="D3913" s="2" t="s">
        <v>786</v>
      </c>
      <c r="E3913" s="2" t="s">
        <v>787</v>
      </c>
      <c r="F3913" s="14" t="s">
        <v>3516</v>
      </c>
      <c r="G3913" s="14" t="s">
        <v>3517</v>
      </c>
      <c r="H3913" s="2" t="s">
        <v>16</v>
      </c>
      <c r="I3913" s="2" t="s">
        <v>3488</v>
      </c>
      <c r="J3913" s="2">
        <v>2.0</v>
      </c>
      <c r="K3913" s="23" t="s">
        <v>5495</v>
      </c>
      <c r="L3913" s="11">
        <v>180000.0</v>
      </c>
      <c r="O3913" s="2" t="b">
        <v>0</v>
      </c>
    </row>
    <row r="3914" hidden="1">
      <c r="A3914" s="8" t="s">
        <v>3027</v>
      </c>
      <c r="B3914" s="8" t="s">
        <v>3027</v>
      </c>
      <c r="C3914" s="13">
        <v>46081.37091435185</v>
      </c>
      <c r="D3914" s="2" t="s">
        <v>2913</v>
      </c>
      <c r="E3914" s="2" t="s">
        <v>2914</v>
      </c>
      <c r="F3914" s="14" t="s">
        <v>3486</v>
      </c>
      <c r="G3914" s="14" t="s">
        <v>3487</v>
      </c>
      <c r="H3914" s="2" t="s">
        <v>16</v>
      </c>
      <c r="I3914" s="2" t="s">
        <v>3488</v>
      </c>
      <c r="J3914" s="2">
        <v>7.0</v>
      </c>
      <c r="K3914" s="23" t="s">
        <v>6280</v>
      </c>
      <c r="L3914" s="11">
        <v>50000.0</v>
      </c>
      <c r="O3914" s="2" t="b">
        <v>0</v>
      </c>
    </row>
    <row r="3915" hidden="1">
      <c r="A3915" s="8" t="s">
        <v>3028</v>
      </c>
      <c r="B3915" s="8" t="s">
        <v>3028</v>
      </c>
      <c r="C3915" s="13">
        <v>46081.416666666664</v>
      </c>
      <c r="D3915" s="2" t="s">
        <v>55</v>
      </c>
      <c r="E3915" s="2" t="s">
        <v>56</v>
      </c>
      <c r="F3915" s="14" t="s">
        <v>3516</v>
      </c>
      <c r="G3915" s="14" t="s">
        <v>3517</v>
      </c>
      <c r="H3915" s="2" t="s">
        <v>16</v>
      </c>
      <c r="I3915" s="2" t="s">
        <v>3488</v>
      </c>
      <c r="J3915" s="2">
        <v>3.0</v>
      </c>
      <c r="K3915" s="23" t="s">
        <v>6281</v>
      </c>
      <c r="L3915" s="11">
        <v>190000.0</v>
      </c>
      <c r="O3915" s="2" t="b">
        <v>0</v>
      </c>
    </row>
    <row r="3916" hidden="1">
      <c r="A3916" s="8" t="s">
        <v>3028</v>
      </c>
      <c r="B3916" s="8" t="s">
        <v>3028</v>
      </c>
      <c r="C3916" s="13">
        <v>46081.416666666664</v>
      </c>
      <c r="D3916" s="2" t="s">
        <v>55</v>
      </c>
      <c r="E3916" s="2" t="s">
        <v>56</v>
      </c>
      <c r="F3916" s="14" t="s">
        <v>4203</v>
      </c>
      <c r="G3916" s="14" t="s">
        <v>4204</v>
      </c>
      <c r="H3916" s="2" t="s">
        <v>16</v>
      </c>
      <c r="I3916" s="2" t="s">
        <v>3488</v>
      </c>
      <c r="J3916" s="2">
        <v>1.0</v>
      </c>
      <c r="K3916" s="23" t="s">
        <v>5162</v>
      </c>
      <c r="L3916" s="11">
        <v>60000.0</v>
      </c>
      <c r="O3916" s="2" t="b">
        <v>0</v>
      </c>
    </row>
    <row r="3917" hidden="1">
      <c r="A3917" s="8" t="s">
        <v>3029</v>
      </c>
      <c r="B3917" s="8" t="s">
        <v>3029</v>
      </c>
      <c r="C3917" s="13">
        <v>46081.48181712963</v>
      </c>
      <c r="D3917" s="2" t="s">
        <v>2640</v>
      </c>
      <c r="E3917" s="2" t="s">
        <v>2641</v>
      </c>
      <c r="F3917" s="14" t="s">
        <v>3486</v>
      </c>
      <c r="G3917" s="14" t="s">
        <v>3487</v>
      </c>
      <c r="H3917" s="2" t="s">
        <v>24</v>
      </c>
      <c r="I3917" s="2" t="s">
        <v>3491</v>
      </c>
      <c r="J3917" s="2">
        <v>2.0</v>
      </c>
      <c r="K3917" s="23" t="s">
        <v>6282</v>
      </c>
      <c r="L3917" s="11">
        <v>0.0</v>
      </c>
      <c r="O3917" s="2" t="b">
        <v>0</v>
      </c>
    </row>
    <row r="3918" hidden="1">
      <c r="A3918" s="8" t="s">
        <v>3030</v>
      </c>
      <c r="B3918" s="8" t="s">
        <v>3030</v>
      </c>
      <c r="C3918" s="13">
        <v>46081.48224537037</v>
      </c>
      <c r="D3918" s="2" t="s">
        <v>55</v>
      </c>
      <c r="E3918" s="2" t="s">
        <v>56</v>
      </c>
      <c r="F3918" s="14" t="s">
        <v>3516</v>
      </c>
      <c r="G3918" s="14" t="s">
        <v>3517</v>
      </c>
      <c r="H3918" s="2" t="s">
        <v>24</v>
      </c>
      <c r="I3918" s="2" t="s">
        <v>3491</v>
      </c>
      <c r="J3918" s="2">
        <v>2.0</v>
      </c>
      <c r="K3918" s="23" t="s">
        <v>6283</v>
      </c>
      <c r="L3918" s="11">
        <v>0.0</v>
      </c>
      <c r="O3918" s="2" t="b">
        <v>0</v>
      </c>
    </row>
    <row r="3919" hidden="1">
      <c r="A3919" s="8" t="s">
        <v>3031</v>
      </c>
      <c r="B3919" s="8" t="s">
        <v>3031</v>
      </c>
      <c r="C3919" s="13">
        <v>46081.482615740744</v>
      </c>
      <c r="D3919" s="2" t="s">
        <v>2913</v>
      </c>
      <c r="E3919" s="2" t="s">
        <v>2914</v>
      </c>
      <c r="F3919" s="14" t="s">
        <v>3486</v>
      </c>
      <c r="G3919" s="14" t="s">
        <v>3487</v>
      </c>
      <c r="H3919" s="2" t="s">
        <v>24</v>
      </c>
      <c r="I3919" s="2" t="s">
        <v>3491</v>
      </c>
      <c r="J3919" s="2">
        <v>6.0</v>
      </c>
      <c r="K3919" s="23" t="s">
        <v>6284</v>
      </c>
      <c r="L3919" s="11">
        <v>0.0</v>
      </c>
      <c r="O3919" s="2" t="b">
        <v>0</v>
      </c>
    </row>
    <row r="3920" hidden="1">
      <c r="A3920" s="8" t="s">
        <v>3032</v>
      </c>
      <c r="B3920" s="8" t="s">
        <v>3032</v>
      </c>
      <c r="C3920" s="13">
        <v>46081.59123842593</v>
      </c>
      <c r="D3920" s="2" t="s">
        <v>951</v>
      </c>
      <c r="E3920" s="2" t="s">
        <v>952</v>
      </c>
      <c r="F3920" s="14" t="s">
        <v>3486</v>
      </c>
      <c r="G3920" s="14" t="s">
        <v>3487</v>
      </c>
      <c r="H3920" s="2" t="s">
        <v>16</v>
      </c>
      <c r="I3920" s="2" t="s">
        <v>3488</v>
      </c>
      <c r="J3920" s="2">
        <v>5.0</v>
      </c>
      <c r="K3920" s="23" t="s">
        <v>6285</v>
      </c>
      <c r="L3920" s="11">
        <v>55000.0</v>
      </c>
      <c r="O3920" s="2" t="b">
        <v>0</v>
      </c>
    </row>
    <row r="3921" hidden="1">
      <c r="A3921" s="8" t="s">
        <v>3033</v>
      </c>
      <c r="B3921" s="8" t="s">
        <v>3033</v>
      </c>
      <c r="C3921" s="13">
        <v>46081.63217592592</v>
      </c>
      <c r="D3921" s="2" t="s">
        <v>1084</v>
      </c>
      <c r="E3921" s="2" t="s">
        <v>1085</v>
      </c>
      <c r="F3921" s="14" t="s">
        <v>3486</v>
      </c>
      <c r="G3921" s="14" t="s">
        <v>3487</v>
      </c>
      <c r="H3921" s="2" t="s">
        <v>24</v>
      </c>
      <c r="I3921" s="2" t="s">
        <v>3491</v>
      </c>
      <c r="J3921" s="2">
        <v>5.0</v>
      </c>
      <c r="K3921" s="23" t="s">
        <v>6286</v>
      </c>
      <c r="L3921" s="11">
        <v>0.0</v>
      </c>
      <c r="O3921" s="2" t="b">
        <v>0</v>
      </c>
    </row>
    <row r="3922" hidden="1">
      <c r="A3922" s="8" t="s">
        <v>3034</v>
      </c>
      <c r="B3922" s="8" t="s">
        <v>3034</v>
      </c>
      <c r="C3922" s="13">
        <v>46081.6328125</v>
      </c>
      <c r="D3922" s="2" t="s">
        <v>786</v>
      </c>
      <c r="E3922" s="2" t="s">
        <v>787</v>
      </c>
      <c r="F3922" s="14" t="s">
        <v>3486</v>
      </c>
      <c r="G3922" s="14" t="s">
        <v>3487</v>
      </c>
      <c r="H3922" s="2" t="s">
        <v>24</v>
      </c>
      <c r="I3922" s="2" t="s">
        <v>3491</v>
      </c>
      <c r="J3922" s="2">
        <v>1.0</v>
      </c>
      <c r="K3922" s="23" t="s">
        <v>6287</v>
      </c>
      <c r="L3922" s="11">
        <v>0.0</v>
      </c>
      <c r="O3922" s="2" t="b">
        <v>0</v>
      </c>
    </row>
    <row r="3923" hidden="1">
      <c r="A3923" s="8" t="s">
        <v>3034</v>
      </c>
      <c r="B3923" s="8" t="s">
        <v>3034</v>
      </c>
      <c r="C3923" s="13">
        <v>46081.6328125</v>
      </c>
      <c r="D3923" s="2" t="s">
        <v>786</v>
      </c>
      <c r="E3923" s="2" t="s">
        <v>787</v>
      </c>
      <c r="F3923" s="14" t="s">
        <v>3516</v>
      </c>
      <c r="G3923" s="14" t="s">
        <v>3517</v>
      </c>
      <c r="H3923" s="2" t="s">
        <v>24</v>
      </c>
      <c r="I3923" s="2" t="s">
        <v>3491</v>
      </c>
      <c r="J3923" s="2">
        <v>1.0</v>
      </c>
      <c r="K3923" s="23" t="s">
        <v>5383</v>
      </c>
      <c r="L3923" s="11">
        <v>0.0</v>
      </c>
      <c r="O3923" s="2" t="b">
        <v>0</v>
      </c>
    </row>
    <row r="3924" hidden="1">
      <c r="A3924" s="8" t="s">
        <v>3035</v>
      </c>
      <c r="B3924" s="8" t="s">
        <v>3035</v>
      </c>
      <c r="C3924" s="13">
        <v>46081.63319444445</v>
      </c>
      <c r="D3924" s="2" t="s">
        <v>1889</v>
      </c>
      <c r="E3924" s="2" t="s">
        <v>1890</v>
      </c>
      <c r="F3924" s="14" t="s">
        <v>3486</v>
      </c>
      <c r="G3924" s="14" t="s">
        <v>3487</v>
      </c>
      <c r="H3924" s="2" t="s">
        <v>24</v>
      </c>
      <c r="I3924" s="2" t="s">
        <v>3491</v>
      </c>
      <c r="J3924" s="2">
        <v>1.0</v>
      </c>
      <c r="K3924" s="23" t="s">
        <v>6288</v>
      </c>
      <c r="L3924" s="11">
        <v>0.0</v>
      </c>
      <c r="O3924" s="2" t="b">
        <v>0</v>
      </c>
    </row>
    <row r="3925" hidden="1">
      <c r="A3925" s="8" t="s">
        <v>3036</v>
      </c>
      <c r="B3925" s="8" t="s">
        <v>3036</v>
      </c>
      <c r="C3925" s="13">
        <v>46081.63350694445</v>
      </c>
      <c r="D3925" s="2" t="s">
        <v>951</v>
      </c>
      <c r="E3925" s="2" t="s">
        <v>952</v>
      </c>
      <c r="F3925" s="14" t="s">
        <v>3486</v>
      </c>
      <c r="G3925" s="14" t="s">
        <v>3487</v>
      </c>
      <c r="H3925" s="2" t="s">
        <v>24</v>
      </c>
      <c r="I3925" s="2" t="s">
        <v>3491</v>
      </c>
      <c r="J3925" s="2">
        <v>2.0</v>
      </c>
      <c r="K3925" s="23" t="s">
        <v>6289</v>
      </c>
      <c r="L3925" s="11">
        <v>0.0</v>
      </c>
      <c r="O3925" s="2" t="b">
        <v>0</v>
      </c>
    </row>
    <row r="3926">
      <c r="A3926" s="8" t="s">
        <v>3037</v>
      </c>
      <c r="B3926" s="8" t="s">
        <v>3037</v>
      </c>
      <c r="C3926" s="13">
        <v>46083.355671296296</v>
      </c>
      <c r="D3926" s="2" t="s">
        <v>2005</v>
      </c>
      <c r="E3926" s="2" t="s">
        <v>2006</v>
      </c>
      <c r="F3926" s="14" t="s">
        <v>4203</v>
      </c>
      <c r="G3926" s="14" t="s">
        <v>4204</v>
      </c>
      <c r="H3926" s="2" t="s">
        <v>16</v>
      </c>
      <c r="I3926" s="2" t="s">
        <v>3488</v>
      </c>
      <c r="J3926" s="2">
        <v>10.0</v>
      </c>
      <c r="K3926" s="23" t="s">
        <v>6290</v>
      </c>
      <c r="L3926" s="11">
        <v>65000.0</v>
      </c>
      <c r="O3926" s="2" t="b">
        <v>0</v>
      </c>
    </row>
    <row r="3927">
      <c r="A3927" s="8" t="s">
        <v>3037</v>
      </c>
      <c r="B3927" s="8" t="s">
        <v>3037</v>
      </c>
      <c r="C3927" s="13">
        <v>46083.355671296296</v>
      </c>
      <c r="D3927" s="2" t="s">
        <v>2005</v>
      </c>
      <c r="E3927" s="2" t="s">
        <v>2006</v>
      </c>
      <c r="F3927" s="14" t="s">
        <v>3493</v>
      </c>
      <c r="G3927" s="14" t="s">
        <v>3494</v>
      </c>
      <c r="H3927" s="2" t="s">
        <v>16</v>
      </c>
      <c r="I3927" s="2" t="s">
        <v>3488</v>
      </c>
      <c r="J3927" s="2">
        <v>2.0</v>
      </c>
      <c r="K3927" s="12" t="s">
        <v>6291</v>
      </c>
      <c r="L3927" s="11">
        <v>215000.0</v>
      </c>
      <c r="O3927" s="2" t="b">
        <v>0</v>
      </c>
    </row>
    <row r="3928">
      <c r="A3928" s="8" t="s">
        <v>3038</v>
      </c>
      <c r="B3928" s="8" t="s">
        <v>3038</v>
      </c>
      <c r="C3928" s="13">
        <v>46083.42190972222</v>
      </c>
      <c r="D3928" s="2" t="s">
        <v>1228</v>
      </c>
      <c r="E3928" s="2" t="s">
        <v>1229</v>
      </c>
      <c r="F3928" s="14" t="s">
        <v>3493</v>
      </c>
      <c r="G3928" s="14" t="s">
        <v>3494</v>
      </c>
      <c r="H3928" s="2" t="s">
        <v>16</v>
      </c>
      <c r="I3928" s="2" t="s">
        <v>3488</v>
      </c>
      <c r="J3928" s="2">
        <v>1.0</v>
      </c>
      <c r="K3928" s="12" t="s">
        <v>6090</v>
      </c>
      <c r="L3928" s="11">
        <v>210000.0</v>
      </c>
      <c r="O3928" s="2" t="b">
        <v>0</v>
      </c>
    </row>
    <row r="3929">
      <c r="A3929" s="8" t="s">
        <v>3039</v>
      </c>
      <c r="B3929" s="8" t="s">
        <v>3039</v>
      </c>
      <c r="C3929" s="13">
        <v>46083.49466435185</v>
      </c>
      <c r="D3929" s="2" t="s">
        <v>2005</v>
      </c>
      <c r="E3929" s="2" t="s">
        <v>2006</v>
      </c>
      <c r="F3929" s="14" t="s">
        <v>3486</v>
      </c>
      <c r="G3929" s="14" t="s">
        <v>3487</v>
      </c>
      <c r="H3929" s="2" t="s">
        <v>24</v>
      </c>
      <c r="I3929" s="2" t="s">
        <v>3491</v>
      </c>
      <c r="J3929" s="2">
        <v>2.0</v>
      </c>
      <c r="K3929" s="23" t="s">
        <v>6292</v>
      </c>
      <c r="L3929" s="11">
        <v>0.0</v>
      </c>
      <c r="O3929" s="2" t="b">
        <v>0</v>
      </c>
    </row>
    <row r="3930">
      <c r="A3930" s="8" t="s">
        <v>3040</v>
      </c>
      <c r="B3930" s="8" t="s">
        <v>3040</v>
      </c>
      <c r="C3930" s="13">
        <v>46083.55143518518</v>
      </c>
      <c r="D3930" s="2" t="s">
        <v>786</v>
      </c>
      <c r="E3930" s="2" t="s">
        <v>787</v>
      </c>
      <c r="F3930" s="14" t="s">
        <v>3486</v>
      </c>
      <c r="G3930" s="14" t="s">
        <v>3487</v>
      </c>
      <c r="H3930" s="2" t="s">
        <v>24</v>
      </c>
      <c r="I3930" s="2" t="s">
        <v>3491</v>
      </c>
      <c r="J3930" s="2">
        <v>2.0</v>
      </c>
      <c r="K3930" s="23" t="s">
        <v>6293</v>
      </c>
      <c r="L3930" s="11">
        <v>0.0</v>
      </c>
      <c r="O3930" s="2" t="b">
        <v>0</v>
      </c>
    </row>
    <row r="3931">
      <c r="A3931" s="8" t="s">
        <v>3041</v>
      </c>
      <c r="B3931" s="8" t="s">
        <v>3041</v>
      </c>
      <c r="C3931" s="13">
        <v>46083.558020833334</v>
      </c>
      <c r="D3931" s="2" t="s">
        <v>2623</v>
      </c>
      <c r="E3931" s="2" t="s">
        <v>2624</v>
      </c>
      <c r="F3931" s="14" t="s">
        <v>3522</v>
      </c>
      <c r="G3931" s="14" t="s">
        <v>3523</v>
      </c>
      <c r="H3931" s="2" t="s">
        <v>16</v>
      </c>
      <c r="I3931" s="2" t="s">
        <v>3488</v>
      </c>
      <c r="J3931" s="2">
        <v>3.0</v>
      </c>
      <c r="K3931" s="23" t="s">
        <v>6294</v>
      </c>
      <c r="L3931" s="11">
        <v>225000.0</v>
      </c>
      <c r="O3931" s="2" t="b">
        <v>0</v>
      </c>
    </row>
    <row r="3932">
      <c r="A3932" s="8" t="s">
        <v>3042</v>
      </c>
      <c r="B3932" s="8" t="s">
        <v>3042</v>
      </c>
      <c r="C3932" s="13">
        <v>46083.591944444444</v>
      </c>
      <c r="D3932" s="2" t="s">
        <v>1228</v>
      </c>
      <c r="E3932" s="2" t="s">
        <v>1229</v>
      </c>
      <c r="F3932" s="14" t="s">
        <v>3486</v>
      </c>
      <c r="G3932" s="14" t="s">
        <v>3487</v>
      </c>
      <c r="H3932" s="2" t="s">
        <v>24</v>
      </c>
      <c r="I3932" s="2" t="s">
        <v>3491</v>
      </c>
      <c r="J3932" s="2">
        <v>6.0</v>
      </c>
      <c r="K3932" s="23" t="s">
        <v>6295</v>
      </c>
      <c r="L3932" s="11">
        <v>0.0</v>
      </c>
      <c r="O3932" s="2" t="b">
        <v>0</v>
      </c>
    </row>
    <row r="3933">
      <c r="A3933" s="8" t="s">
        <v>3043</v>
      </c>
      <c r="B3933" s="8" t="s">
        <v>3043</v>
      </c>
      <c r="C3933" s="13">
        <v>46083.592523148145</v>
      </c>
      <c r="D3933" s="2" t="s">
        <v>213</v>
      </c>
      <c r="E3933" s="2" t="s">
        <v>214</v>
      </c>
      <c r="F3933" s="14" t="s">
        <v>3486</v>
      </c>
      <c r="G3933" s="14" t="s">
        <v>3487</v>
      </c>
      <c r="H3933" s="2" t="s">
        <v>24</v>
      </c>
      <c r="I3933" s="2" t="s">
        <v>3491</v>
      </c>
      <c r="J3933" s="2">
        <v>3.0</v>
      </c>
      <c r="K3933" s="23" t="s">
        <v>6296</v>
      </c>
      <c r="L3933" s="11">
        <v>0.0</v>
      </c>
      <c r="O3933" s="2" t="b">
        <v>0</v>
      </c>
    </row>
    <row r="3934">
      <c r="A3934" s="8" t="s">
        <v>3044</v>
      </c>
      <c r="B3934" s="8" t="s">
        <v>3044</v>
      </c>
      <c r="C3934" s="13">
        <v>46083.59295138889</v>
      </c>
      <c r="D3934" s="2" t="s">
        <v>2131</v>
      </c>
      <c r="E3934" s="2" t="s">
        <v>2132</v>
      </c>
      <c r="F3934" s="14" t="s">
        <v>3486</v>
      </c>
      <c r="G3934" s="14" t="s">
        <v>3487</v>
      </c>
      <c r="H3934" s="2" t="s">
        <v>24</v>
      </c>
      <c r="I3934" s="2" t="s">
        <v>3491</v>
      </c>
      <c r="J3934" s="2">
        <v>1.0</v>
      </c>
      <c r="K3934" s="23" t="s">
        <v>5934</v>
      </c>
      <c r="L3934" s="11">
        <v>0.0</v>
      </c>
      <c r="N3934" s="2" t="s">
        <v>6297</v>
      </c>
      <c r="O3934" s="2" t="b">
        <v>0</v>
      </c>
    </row>
    <row r="3935">
      <c r="A3935" s="8" t="s">
        <v>3044</v>
      </c>
      <c r="B3935" s="8" t="s">
        <v>3044</v>
      </c>
      <c r="C3935" s="13">
        <v>46083.59295138889</v>
      </c>
      <c r="D3935" s="2" t="s">
        <v>2131</v>
      </c>
      <c r="E3935" s="2" t="s">
        <v>2132</v>
      </c>
      <c r="F3935" s="14" t="s">
        <v>3486</v>
      </c>
      <c r="G3935" s="14" t="s">
        <v>3487</v>
      </c>
      <c r="H3935" s="2" t="s">
        <v>24</v>
      </c>
      <c r="I3935" s="2" t="s">
        <v>3614</v>
      </c>
      <c r="J3935" s="2">
        <v>11.0</v>
      </c>
      <c r="K3935" s="23" t="s">
        <v>6298</v>
      </c>
      <c r="L3935" s="11">
        <v>0.0</v>
      </c>
      <c r="N3935" s="2" t="s">
        <v>6299</v>
      </c>
      <c r="O3935" s="2" t="b">
        <v>0</v>
      </c>
    </row>
    <row r="3936">
      <c r="A3936" s="8" t="s">
        <v>3044</v>
      </c>
      <c r="B3936" s="8" t="s">
        <v>3044</v>
      </c>
      <c r="C3936" s="13">
        <v>46083.59295138889</v>
      </c>
      <c r="D3936" s="2" t="s">
        <v>2131</v>
      </c>
      <c r="E3936" s="2" t="s">
        <v>2132</v>
      </c>
      <c r="F3936" s="14" t="s">
        <v>4203</v>
      </c>
      <c r="G3936" s="14" t="s">
        <v>4204</v>
      </c>
      <c r="H3936" s="2" t="s">
        <v>24</v>
      </c>
      <c r="I3936" s="2" t="s">
        <v>3614</v>
      </c>
      <c r="J3936" s="2">
        <v>12.0</v>
      </c>
      <c r="K3936" s="23" t="s">
        <v>6300</v>
      </c>
      <c r="L3936" s="11">
        <v>0.0</v>
      </c>
      <c r="N3936" s="2" t="s">
        <v>6301</v>
      </c>
      <c r="O3936" s="2" t="b">
        <v>0</v>
      </c>
    </row>
    <row r="3937">
      <c r="A3937" s="8" t="s">
        <v>3044</v>
      </c>
      <c r="B3937" s="8" t="s">
        <v>3044</v>
      </c>
      <c r="C3937" s="13">
        <v>46083.59295138889</v>
      </c>
      <c r="D3937" s="2" t="s">
        <v>2131</v>
      </c>
      <c r="E3937" s="2" t="s">
        <v>2132</v>
      </c>
      <c r="F3937" s="14" t="s">
        <v>4203</v>
      </c>
      <c r="G3937" s="14" t="s">
        <v>4204</v>
      </c>
      <c r="H3937" s="2" t="s">
        <v>24</v>
      </c>
      <c r="I3937" s="2" t="s">
        <v>3614</v>
      </c>
      <c r="J3937" s="2">
        <v>1.0</v>
      </c>
      <c r="K3937" s="23" t="s">
        <v>5338</v>
      </c>
      <c r="L3937" s="11">
        <v>0.0</v>
      </c>
      <c r="N3937" s="2" t="s">
        <v>6299</v>
      </c>
      <c r="O3937" s="2" t="b">
        <v>1</v>
      </c>
    </row>
    <row r="3938">
      <c r="A3938" s="8" t="s">
        <v>3045</v>
      </c>
      <c r="B3938" s="8" t="s">
        <v>3045</v>
      </c>
      <c r="C3938" s="13">
        <v>46083.62048611111</v>
      </c>
      <c r="D3938" s="2" t="s">
        <v>1975</v>
      </c>
      <c r="E3938" s="2" t="s">
        <v>1976</v>
      </c>
      <c r="F3938" s="14" t="s">
        <v>3486</v>
      </c>
      <c r="G3938" s="14" t="s">
        <v>3487</v>
      </c>
      <c r="H3938" s="2" t="s">
        <v>16</v>
      </c>
      <c r="I3938" s="2" t="s">
        <v>3488</v>
      </c>
      <c r="J3938" s="2">
        <v>8.0</v>
      </c>
      <c r="K3938" s="23" t="s">
        <v>6302</v>
      </c>
      <c r="L3938" s="11">
        <v>60000.0</v>
      </c>
      <c r="N3938" s="2"/>
      <c r="O3938" s="2" t="b">
        <v>0</v>
      </c>
    </row>
    <row r="3939">
      <c r="A3939" s="8" t="s">
        <v>3045</v>
      </c>
      <c r="B3939" s="8" t="s">
        <v>3045</v>
      </c>
      <c r="C3939" s="13">
        <v>46083.62048611111</v>
      </c>
      <c r="D3939" s="2" t="s">
        <v>1975</v>
      </c>
      <c r="E3939" s="2" t="s">
        <v>1976</v>
      </c>
      <c r="F3939" s="14" t="s">
        <v>4203</v>
      </c>
      <c r="G3939" s="14" t="s">
        <v>4204</v>
      </c>
      <c r="H3939" s="2" t="s">
        <v>16</v>
      </c>
      <c r="I3939" s="2" t="s">
        <v>3488</v>
      </c>
      <c r="J3939" s="2">
        <v>2.0</v>
      </c>
      <c r="K3939" s="23" t="s">
        <v>6303</v>
      </c>
      <c r="L3939" s="11">
        <v>60000.0</v>
      </c>
      <c r="N3939" s="2"/>
      <c r="O3939" s="2" t="b">
        <v>0</v>
      </c>
    </row>
    <row r="3940">
      <c r="A3940" s="8" t="s">
        <v>3046</v>
      </c>
      <c r="B3940" s="8" t="s">
        <v>3046</v>
      </c>
      <c r="C3940" s="13">
        <v>46083.700590277775</v>
      </c>
      <c r="D3940" s="2" t="s">
        <v>1975</v>
      </c>
      <c r="E3940" s="2" t="s">
        <v>1976</v>
      </c>
      <c r="F3940" s="14" t="s">
        <v>3486</v>
      </c>
      <c r="G3940" s="14" t="s">
        <v>3487</v>
      </c>
      <c r="H3940" s="2" t="s">
        <v>24</v>
      </c>
      <c r="I3940" s="2" t="s">
        <v>3491</v>
      </c>
      <c r="J3940" s="2">
        <v>6.0</v>
      </c>
      <c r="K3940" s="23" t="s">
        <v>6304</v>
      </c>
      <c r="L3940" s="11">
        <v>0.0</v>
      </c>
      <c r="N3940" s="2"/>
      <c r="O3940" s="2" t="b">
        <v>0</v>
      </c>
    </row>
    <row r="3941">
      <c r="A3941" s="8" t="s">
        <v>3046</v>
      </c>
      <c r="B3941" s="8" t="s">
        <v>3046</v>
      </c>
      <c r="C3941" s="13">
        <v>46083.700590277775</v>
      </c>
      <c r="D3941" s="2" t="s">
        <v>1975</v>
      </c>
      <c r="E3941" s="2" t="s">
        <v>1976</v>
      </c>
      <c r="F3941" s="14" t="s">
        <v>4203</v>
      </c>
      <c r="G3941" s="14" t="s">
        <v>4204</v>
      </c>
      <c r="H3941" s="2" t="s">
        <v>24</v>
      </c>
      <c r="I3941" s="2" t="s">
        <v>3491</v>
      </c>
      <c r="J3941" s="2">
        <v>3.0</v>
      </c>
      <c r="K3941" s="23" t="s">
        <v>6305</v>
      </c>
      <c r="L3941" s="11">
        <v>0.0</v>
      </c>
      <c r="N3941" s="2"/>
      <c r="O3941" s="2" t="b">
        <v>0</v>
      </c>
    </row>
    <row r="3942">
      <c r="A3942" s="8" t="s">
        <v>3046</v>
      </c>
      <c r="B3942" s="8" t="s">
        <v>3046</v>
      </c>
      <c r="C3942" s="13">
        <v>46083.700590277775</v>
      </c>
      <c r="D3942" s="2" t="s">
        <v>1975</v>
      </c>
      <c r="E3942" s="2" t="s">
        <v>1976</v>
      </c>
      <c r="F3942" s="14" t="s">
        <v>3486</v>
      </c>
      <c r="G3942" s="14" t="s">
        <v>3487</v>
      </c>
      <c r="H3942" s="2" t="s">
        <v>24</v>
      </c>
      <c r="I3942" s="2" t="s">
        <v>3491</v>
      </c>
      <c r="J3942" s="2">
        <v>1.0</v>
      </c>
      <c r="K3942" s="23" t="s">
        <v>6306</v>
      </c>
      <c r="L3942" s="11">
        <v>0.0</v>
      </c>
      <c r="N3942" s="2"/>
      <c r="O3942" s="2" t="b">
        <v>1</v>
      </c>
    </row>
    <row r="3943">
      <c r="A3943" s="8" t="s">
        <v>3047</v>
      </c>
      <c r="B3943" s="8" t="s">
        <v>3047</v>
      </c>
      <c r="C3943" s="13">
        <v>46083.70888888889</v>
      </c>
      <c r="D3943" s="2" t="s">
        <v>2623</v>
      </c>
      <c r="E3943" s="2" t="s">
        <v>2624</v>
      </c>
      <c r="F3943" s="14" t="s">
        <v>3522</v>
      </c>
      <c r="G3943" s="14" t="s">
        <v>3523</v>
      </c>
      <c r="H3943" s="2" t="s">
        <v>24</v>
      </c>
      <c r="I3943" s="2" t="s">
        <v>3491</v>
      </c>
      <c r="J3943" s="2">
        <v>2.0</v>
      </c>
      <c r="K3943" s="23" t="s">
        <v>6171</v>
      </c>
      <c r="L3943" s="11">
        <v>0.0</v>
      </c>
      <c r="N3943" s="2"/>
      <c r="O3943" s="2" t="b">
        <v>0</v>
      </c>
    </row>
    <row r="3944">
      <c r="A3944" s="8" t="s">
        <v>3048</v>
      </c>
      <c r="B3944" s="8" t="s">
        <v>3048</v>
      </c>
      <c r="C3944" s="13">
        <v>46084.35869212963</v>
      </c>
      <c r="D3944" s="2" t="s">
        <v>1993</v>
      </c>
      <c r="E3944" s="2" t="s">
        <v>1994</v>
      </c>
      <c r="F3944" s="14" t="s">
        <v>3486</v>
      </c>
      <c r="G3944" s="14" t="s">
        <v>3487</v>
      </c>
      <c r="H3944" s="2" t="s">
        <v>16</v>
      </c>
      <c r="I3944" s="2" t="s">
        <v>3488</v>
      </c>
      <c r="J3944" s="2">
        <v>10.0</v>
      </c>
      <c r="K3944" s="23" t="s">
        <v>6307</v>
      </c>
      <c r="L3944" s="11">
        <v>65000.0</v>
      </c>
      <c r="N3944" s="2"/>
      <c r="O3944" s="2" t="b">
        <v>0</v>
      </c>
    </row>
    <row r="3945">
      <c r="A3945" s="8" t="s">
        <v>3048</v>
      </c>
      <c r="B3945" s="8" t="s">
        <v>3048</v>
      </c>
      <c r="C3945" s="13">
        <v>46084.35869212963</v>
      </c>
      <c r="D3945" s="2" t="s">
        <v>1993</v>
      </c>
      <c r="E3945" s="2" t="s">
        <v>1994</v>
      </c>
      <c r="F3945" s="14" t="s">
        <v>3493</v>
      </c>
      <c r="G3945" s="14" t="s">
        <v>3494</v>
      </c>
      <c r="H3945" s="2" t="s">
        <v>16</v>
      </c>
      <c r="I3945" s="2" t="s">
        <v>3488</v>
      </c>
      <c r="J3945" s="2">
        <v>3.0</v>
      </c>
      <c r="K3945" s="12"/>
      <c r="L3945" s="11">
        <v>200000.0</v>
      </c>
      <c r="N3945" s="2"/>
      <c r="O3945" s="2" t="b">
        <v>0</v>
      </c>
    </row>
    <row r="3946">
      <c r="A3946" s="8" t="s">
        <v>3049</v>
      </c>
      <c r="B3946" s="8" t="s">
        <v>3049</v>
      </c>
      <c r="C3946" s="13">
        <v>46084.37415509259</v>
      </c>
      <c r="D3946" s="2" t="s">
        <v>2913</v>
      </c>
      <c r="E3946" s="2" t="s">
        <v>2914</v>
      </c>
      <c r="F3946" s="14" t="s">
        <v>3486</v>
      </c>
      <c r="G3946" s="14" t="s">
        <v>3487</v>
      </c>
      <c r="H3946" s="2" t="s">
        <v>16</v>
      </c>
      <c r="I3946" s="2" t="s">
        <v>3488</v>
      </c>
      <c r="J3946" s="2">
        <v>5.0</v>
      </c>
      <c r="K3946" s="23" t="s">
        <v>6308</v>
      </c>
      <c r="L3946" s="11">
        <v>50000.0</v>
      </c>
      <c r="N3946" s="2"/>
      <c r="O3946" s="2" t="b">
        <v>0</v>
      </c>
    </row>
    <row r="3947">
      <c r="A3947" s="8" t="s">
        <v>3050</v>
      </c>
      <c r="B3947" s="8" t="s">
        <v>3050</v>
      </c>
      <c r="C3947" s="13">
        <v>46084.374756944446</v>
      </c>
      <c r="D3947" s="2" t="s">
        <v>2543</v>
      </c>
      <c r="E3947" s="2" t="s">
        <v>2544</v>
      </c>
      <c r="F3947" s="14" t="s">
        <v>3486</v>
      </c>
      <c r="G3947" s="14" t="s">
        <v>3487</v>
      </c>
      <c r="H3947" s="2" t="s">
        <v>16</v>
      </c>
      <c r="I3947" s="2" t="s">
        <v>3488</v>
      </c>
      <c r="J3947" s="2">
        <v>4.0</v>
      </c>
      <c r="K3947" s="23" t="s">
        <v>6309</v>
      </c>
      <c r="L3947" s="11">
        <v>60000.0</v>
      </c>
      <c r="N3947" s="2"/>
      <c r="O3947" s="2" t="b">
        <v>0</v>
      </c>
    </row>
    <row r="3948">
      <c r="A3948" s="8" t="s">
        <v>3051</v>
      </c>
      <c r="B3948" s="8" t="s">
        <v>3051</v>
      </c>
      <c r="C3948" s="13">
        <v>46084.38140046296</v>
      </c>
      <c r="D3948" s="2" t="s">
        <v>786</v>
      </c>
      <c r="E3948" s="2" t="s">
        <v>787</v>
      </c>
      <c r="F3948" s="14" t="s">
        <v>3486</v>
      </c>
      <c r="G3948" s="14" t="s">
        <v>3487</v>
      </c>
      <c r="H3948" s="2" t="s">
        <v>16</v>
      </c>
      <c r="I3948" s="2" t="s">
        <v>3488</v>
      </c>
      <c r="J3948" s="2">
        <v>5.0</v>
      </c>
      <c r="K3948" s="23" t="s">
        <v>6310</v>
      </c>
      <c r="L3948" s="11">
        <v>60000.0</v>
      </c>
      <c r="N3948" s="2"/>
      <c r="O3948" s="2" t="b">
        <v>0</v>
      </c>
    </row>
    <row r="3949">
      <c r="A3949" s="8" t="s">
        <v>3051</v>
      </c>
      <c r="B3949" s="8" t="s">
        <v>3051</v>
      </c>
      <c r="C3949" s="13">
        <v>46084.38140046296</v>
      </c>
      <c r="D3949" s="2" t="s">
        <v>786</v>
      </c>
      <c r="E3949" s="2" t="s">
        <v>787</v>
      </c>
      <c r="F3949" s="14" t="s">
        <v>3516</v>
      </c>
      <c r="G3949" s="14" t="s">
        <v>3517</v>
      </c>
      <c r="H3949" s="2" t="s">
        <v>16</v>
      </c>
      <c r="I3949" s="2" t="s">
        <v>3488</v>
      </c>
      <c r="J3949" s="2">
        <v>3.0</v>
      </c>
      <c r="K3949" s="23" t="s">
        <v>6311</v>
      </c>
      <c r="L3949" s="11">
        <v>180000.0</v>
      </c>
      <c r="N3949" s="2"/>
      <c r="O3949" s="2" t="b">
        <v>0</v>
      </c>
    </row>
    <row r="3950">
      <c r="A3950" s="8" t="s">
        <v>3052</v>
      </c>
      <c r="B3950" s="8" t="s">
        <v>3052</v>
      </c>
      <c r="C3950" s="13">
        <v>46084.477326388886</v>
      </c>
      <c r="D3950" s="2" t="s">
        <v>2543</v>
      </c>
      <c r="E3950" s="2" t="s">
        <v>2544</v>
      </c>
      <c r="F3950" s="14" t="s">
        <v>3516</v>
      </c>
      <c r="G3950" s="14" t="s">
        <v>3517</v>
      </c>
      <c r="H3950" s="2" t="s">
        <v>16</v>
      </c>
      <c r="I3950" s="2" t="s">
        <v>3488</v>
      </c>
      <c r="J3950" s="2">
        <v>1.0</v>
      </c>
      <c r="K3950" s="23" t="s">
        <v>5383</v>
      </c>
      <c r="L3950" s="11">
        <v>190000.0</v>
      </c>
      <c r="N3950" s="2"/>
      <c r="O3950" s="2" t="b">
        <v>0</v>
      </c>
    </row>
    <row r="3951">
      <c r="A3951" s="8" t="s">
        <v>3053</v>
      </c>
      <c r="B3951" s="8" t="s">
        <v>3053</v>
      </c>
      <c r="C3951" s="13">
        <v>46084.58086805556</v>
      </c>
      <c r="D3951" s="2" t="s">
        <v>1745</v>
      </c>
      <c r="E3951" s="2" t="s">
        <v>1746</v>
      </c>
      <c r="F3951" s="14" t="s">
        <v>3486</v>
      </c>
      <c r="G3951" s="14" t="s">
        <v>3487</v>
      </c>
      <c r="H3951" s="2" t="s">
        <v>16</v>
      </c>
      <c r="I3951" s="2" t="s">
        <v>3488</v>
      </c>
      <c r="J3951" s="2">
        <v>3.0</v>
      </c>
      <c r="K3951" s="23" t="s">
        <v>6312</v>
      </c>
      <c r="L3951" s="11">
        <v>65000.0</v>
      </c>
      <c r="N3951" s="2"/>
      <c r="O3951" s="2" t="b">
        <v>0</v>
      </c>
    </row>
    <row r="3952">
      <c r="A3952" s="8" t="s">
        <v>3054</v>
      </c>
      <c r="B3952" s="8" t="s">
        <v>3054</v>
      </c>
      <c r="C3952" s="13">
        <v>46084.58215277778</v>
      </c>
      <c r="D3952" s="2" t="s">
        <v>1904</v>
      </c>
      <c r="E3952" s="2" t="s">
        <v>1905</v>
      </c>
      <c r="F3952" s="14" t="s">
        <v>4203</v>
      </c>
      <c r="G3952" s="14" t="s">
        <v>4204</v>
      </c>
      <c r="H3952" s="2" t="s">
        <v>16</v>
      </c>
      <c r="I3952" s="2" t="s">
        <v>3488</v>
      </c>
      <c r="J3952" s="2">
        <v>10.0</v>
      </c>
      <c r="K3952" s="23" t="s">
        <v>6313</v>
      </c>
      <c r="L3952" s="11">
        <v>50000.0</v>
      </c>
      <c r="N3952" s="2"/>
      <c r="O3952" s="2" t="b">
        <v>0</v>
      </c>
    </row>
    <row r="3953">
      <c r="A3953" s="8" t="s">
        <v>3056</v>
      </c>
      <c r="B3953" s="8" t="s">
        <v>3056</v>
      </c>
      <c r="C3953" s="13">
        <v>46085.38214120371</v>
      </c>
      <c r="D3953" s="2" t="s">
        <v>2577</v>
      </c>
      <c r="E3953" s="2" t="s">
        <v>2578</v>
      </c>
      <c r="F3953" s="14" t="s">
        <v>4203</v>
      </c>
      <c r="G3953" s="14" t="s">
        <v>4204</v>
      </c>
      <c r="H3953" s="2" t="s">
        <v>16</v>
      </c>
      <c r="I3953" s="2" t="s">
        <v>3488</v>
      </c>
      <c r="J3953" s="2">
        <v>8.0</v>
      </c>
      <c r="K3953" s="23" t="s">
        <v>6314</v>
      </c>
      <c r="L3953" s="11">
        <v>58558.56</v>
      </c>
      <c r="N3953" s="2"/>
      <c r="O3953" s="2" t="b">
        <v>0</v>
      </c>
    </row>
    <row r="3954">
      <c r="A3954" s="8" t="s">
        <v>3056</v>
      </c>
      <c r="B3954" s="8" t="s">
        <v>3056</v>
      </c>
      <c r="C3954" s="13">
        <v>46085.38214120371</v>
      </c>
      <c r="D3954" s="2" t="s">
        <v>2577</v>
      </c>
      <c r="E3954" s="2" t="s">
        <v>2578</v>
      </c>
      <c r="F3954" s="14" t="s">
        <v>4203</v>
      </c>
      <c r="G3954" s="14" t="s">
        <v>4204</v>
      </c>
      <c r="H3954" s="2" t="s">
        <v>16</v>
      </c>
      <c r="I3954" s="2" t="s">
        <v>3488</v>
      </c>
      <c r="J3954" s="2">
        <v>1.0</v>
      </c>
      <c r="K3954" s="23" t="s">
        <v>5585</v>
      </c>
      <c r="L3954" s="11">
        <v>58558.56</v>
      </c>
      <c r="N3954" s="2"/>
      <c r="O3954" s="2" t="b">
        <v>1</v>
      </c>
    </row>
    <row r="3955">
      <c r="A3955" s="8" t="s">
        <v>3056</v>
      </c>
      <c r="B3955" s="8" t="s">
        <v>3056</v>
      </c>
      <c r="C3955" s="13">
        <v>46085.38214120371</v>
      </c>
      <c r="D3955" s="2" t="s">
        <v>2577</v>
      </c>
      <c r="E3955" s="2" t="s">
        <v>2578</v>
      </c>
      <c r="F3955" s="14" t="s">
        <v>3486</v>
      </c>
      <c r="G3955" s="14" t="s">
        <v>3487</v>
      </c>
      <c r="H3955" s="2" t="s">
        <v>16</v>
      </c>
      <c r="I3955" s="2" t="s">
        <v>3488</v>
      </c>
      <c r="J3955" s="2">
        <v>1.0</v>
      </c>
      <c r="K3955" s="23" t="s">
        <v>4135</v>
      </c>
      <c r="L3955" s="11">
        <v>58558.56</v>
      </c>
      <c r="N3955" s="2"/>
      <c r="O3955" s="2" t="b">
        <v>0</v>
      </c>
    </row>
    <row r="3956">
      <c r="A3956" s="8" t="s">
        <v>3055</v>
      </c>
      <c r="B3956" s="8" t="s">
        <v>3055</v>
      </c>
      <c r="C3956" s="13">
        <v>46085.379594907405</v>
      </c>
      <c r="D3956" s="2" t="s">
        <v>1963</v>
      </c>
      <c r="E3956" s="2" t="s">
        <v>1964</v>
      </c>
      <c r="F3956" s="14" t="s">
        <v>3486</v>
      </c>
      <c r="G3956" s="14" t="s">
        <v>3487</v>
      </c>
      <c r="H3956" s="2" t="s">
        <v>16</v>
      </c>
      <c r="I3956" s="2" t="s">
        <v>3488</v>
      </c>
      <c r="J3956" s="2">
        <v>2.0</v>
      </c>
      <c r="K3956" s="23" t="s">
        <v>6315</v>
      </c>
      <c r="L3956" s="11">
        <v>60000.0</v>
      </c>
      <c r="N3956" s="2"/>
      <c r="O3956" s="2" t="b">
        <v>1</v>
      </c>
    </row>
    <row r="3957">
      <c r="A3957" s="8" t="s">
        <v>3057</v>
      </c>
      <c r="B3957" s="8" t="s">
        <v>3057</v>
      </c>
      <c r="C3957" s="13">
        <v>46085.389016203706</v>
      </c>
      <c r="D3957" s="2" t="s">
        <v>2032</v>
      </c>
      <c r="E3957" s="2" t="s">
        <v>2033</v>
      </c>
      <c r="F3957" s="14" t="s">
        <v>3486</v>
      </c>
      <c r="G3957" s="14" t="s">
        <v>3487</v>
      </c>
      <c r="H3957" s="2" t="s">
        <v>16</v>
      </c>
      <c r="I3957" s="2" t="s">
        <v>3488</v>
      </c>
      <c r="J3957" s="2">
        <v>2.0</v>
      </c>
      <c r="K3957" s="23" t="s">
        <v>6316</v>
      </c>
      <c r="L3957" s="11">
        <v>60000.0</v>
      </c>
      <c r="N3957" s="2"/>
      <c r="O3957" s="2" t="b">
        <v>0</v>
      </c>
    </row>
    <row r="3958">
      <c r="A3958" s="8" t="s">
        <v>3058</v>
      </c>
      <c r="B3958" s="8" t="s">
        <v>3058</v>
      </c>
      <c r="C3958" s="13">
        <v>46085.40555555555</v>
      </c>
      <c r="D3958" s="2" t="s">
        <v>45</v>
      </c>
      <c r="E3958" s="2" t="s">
        <v>46</v>
      </c>
      <c r="F3958" s="14" t="s">
        <v>3522</v>
      </c>
      <c r="G3958" s="14" t="s">
        <v>3523</v>
      </c>
      <c r="H3958" s="2" t="s">
        <v>16</v>
      </c>
      <c r="I3958" s="2" t="s">
        <v>3488</v>
      </c>
      <c r="J3958" s="2">
        <v>10.0</v>
      </c>
      <c r="K3958" s="23" t="s">
        <v>6317</v>
      </c>
      <c r="L3958" s="11">
        <v>200000.0</v>
      </c>
      <c r="N3958" s="2"/>
      <c r="O3958" s="2" t="b">
        <v>0</v>
      </c>
    </row>
    <row r="3959">
      <c r="A3959" s="8" t="s">
        <v>3058</v>
      </c>
      <c r="B3959" s="8" t="s">
        <v>3058</v>
      </c>
      <c r="C3959" s="13">
        <v>46085.40555555555</v>
      </c>
      <c r="D3959" s="2" t="s">
        <v>45</v>
      </c>
      <c r="E3959" s="2" t="s">
        <v>46</v>
      </c>
      <c r="F3959" s="14" t="s">
        <v>3486</v>
      </c>
      <c r="G3959" s="14" t="s">
        <v>3487</v>
      </c>
      <c r="H3959" s="2" t="s">
        <v>16</v>
      </c>
      <c r="I3959" s="2" t="s">
        <v>3488</v>
      </c>
      <c r="J3959" s="2">
        <v>5.0</v>
      </c>
      <c r="K3959" s="23" t="s">
        <v>6318</v>
      </c>
      <c r="L3959" s="11">
        <v>60000.0</v>
      </c>
      <c r="N3959" s="2"/>
      <c r="O3959" s="2" t="b">
        <v>0</v>
      </c>
    </row>
    <row r="3960">
      <c r="A3960" s="8" t="s">
        <v>3059</v>
      </c>
      <c r="B3960" s="8" t="s">
        <v>3059</v>
      </c>
      <c r="C3960" s="13">
        <v>46085.414675925924</v>
      </c>
      <c r="D3960" s="2" t="s">
        <v>3060</v>
      </c>
      <c r="E3960" s="2" t="s">
        <v>3061</v>
      </c>
      <c r="F3960" s="14" t="s">
        <v>3486</v>
      </c>
      <c r="G3960" s="14" t="s">
        <v>3487</v>
      </c>
      <c r="H3960" s="2" t="s">
        <v>16</v>
      </c>
      <c r="I3960" s="2" t="s">
        <v>3488</v>
      </c>
      <c r="J3960" s="2">
        <v>3.0</v>
      </c>
      <c r="K3960" s="23" t="s">
        <v>6319</v>
      </c>
      <c r="L3960" s="11">
        <v>70000.0</v>
      </c>
      <c r="N3960" s="2"/>
      <c r="O3960" s="2" t="b">
        <v>0</v>
      </c>
    </row>
    <row r="3961">
      <c r="A3961" s="8" t="s">
        <v>3062</v>
      </c>
      <c r="B3961" s="8" t="s">
        <v>3062</v>
      </c>
      <c r="C3961" s="13">
        <v>46085.42167824074</v>
      </c>
      <c r="D3961" s="2" t="s">
        <v>2640</v>
      </c>
      <c r="E3961" s="2" t="s">
        <v>2641</v>
      </c>
      <c r="F3961" s="14" t="s">
        <v>3486</v>
      </c>
      <c r="G3961" s="14" t="s">
        <v>3487</v>
      </c>
      <c r="H3961" s="2" t="s">
        <v>16</v>
      </c>
      <c r="I3961" s="2" t="s">
        <v>3488</v>
      </c>
      <c r="J3961" s="2">
        <v>5.0</v>
      </c>
      <c r="K3961" s="23" t="s">
        <v>6320</v>
      </c>
      <c r="L3961" s="11">
        <v>60000.0</v>
      </c>
      <c r="N3961" s="2"/>
      <c r="O3961" s="2" t="b">
        <v>0</v>
      </c>
    </row>
    <row r="3962">
      <c r="A3962" s="8" t="s">
        <v>3063</v>
      </c>
      <c r="B3962" s="8" t="s">
        <v>3063</v>
      </c>
      <c r="C3962" s="13">
        <v>46085.53488425926</v>
      </c>
      <c r="D3962" s="2" t="s">
        <v>1904</v>
      </c>
      <c r="E3962" s="2" t="s">
        <v>1905</v>
      </c>
      <c r="F3962" s="14" t="s">
        <v>3516</v>
      </c>
      <c r="G3962" s="14" t="s">
        <v>3517</v>
      </c>
      <c r="H3962" s="2" t="s">
        <v>16</v>
      </c>
      <c r="I3962" s="2" t="s">
        <v>3488</v>
      </c>
      <c r="J3962" s="2">
        <v>1.0</v>
      </c>
      <c r="K3962" s="23" t="s">
        <v>5331</v>
      </c>
      <c r="L3962" s="11">
        <v>165000.0</v>
      </c>
      <c r="N3962" s="2"/>
      <c r="O3962" s="2" t="b">
        <v>0</v>
      </c>
    </row>
    <row r="3963">
      <c r="A3963" s="8" t="s">
        <v>3063</v>
      </c>
      <c r="B3963" s="8" t="s">
        <v>3063</v>
      </c>
      <c r="C3963" s="13">
        <v>46085.53488425926</v>
      </c>
      <c r="D3963" s="2" t="s">
        <v>1904</v>
      </c>
      <c r="E3963" s="2" t="s">
        <v>1905</v>
      </c>
      <c r="F3963" s="14" t="s">
        <v>3516</v>
      </c>
      <c r="G3963" s="14" t="s">
        <v>3517</v>
      </c>
      <c r="H3963" s="2" t="s">
        <v>16</v>
      </c>
      <c r="I3963" s="2" t="s">
        <v>3488</v>
      </c>
      <c r="J3963" s="2">
        <v>1.0</v>
      </c>
      <c r="K3963" s="23" t="s">
        <v>6321</v>
      </c>
      <c r="L3963" s="11">
        <v>165000.0</v>
      </c>
      <c r="N3963" s="2"/>
      <c r="O3963" s="2" t="b">
        <v>1</v>
      </c>
    </row>
    <row r="3964">
      <c r="A3964" s="8" t="s">
        <v>3064</v>
      </c>
      <c r="B3964" s="8" t="s">
        <v>3064</v>
      </c>
      <c r="C3964" s="13">
        <v>46085.58221064815</v>
      </c>
      <c r="D3964" s="2" t="s">
        <v>1993</v>
      </c>
      <c r="E3964" s="2" t="s">
        <v>1994</v>
      </c>
      <c r="F3964" s="14" t="s">
        <v>3486</v>
      </c>
      <c r="G3964" s="14" t="s">
        <v>3487</v>
      </c>
      <c r="H3964" s="2" t="s">
        <v>16</v>
      </c>
      <c r="I3964" s="2" t="s">
        <v>3488</v>
      </c>
      <c r="J3964" s="2">
        <v>5.0</v>
      </c>
      <c r="K3964" s="23" t="s">
        <v>6322</v>
      </c>
      <c r="L3964" s="11">
        <v>65000.0</v>
      </c>
      <c r="N3964" s="2"/>
      <c r="O3964" s="2" t="b">
        <v>0</v>
      </c>
    </row>
    <row r="3965">
      <c r="A3965" s="8" t="s">
        <v>3065</v>
      </c>
      <c r="B3965" s="8" t="s">
        <v>3065</v>
      </c>
      <c r="C3965" s="13">
        <v>46086.35990740741</v>
      </c>
      <c r="D3965" s="2" t="s">
        <v>786</v>
      </c>
      <c r="E3965" s="2" t="s">
        <v>787</v>
      </c>
      <c r="F3965" s="14" t="s">
        <v>3486</v>
      </c>
      <c r="G3965" s="14" t="s">
        <v>3487</v>
      </c>
      <c r="H3965" s="2" t="s">
        <v>16</v>
      </c>
      <c r="I3965" s="2" t="s">
        <v>3488</v>
      </c>
      <c r="J3965" s="2">
        <v>4.0</v>
      </c>
      <c r="K3965" s="23" t="s">
        <v>6323</v>
      </c>
      <c r="L3965" s="11">
        <v>60000.0</v>
      </c>
      <c r="N3965" s="2"/>
      <c r="O3965" s="2" t="b">
        <v>0</v>
      </c>
    </row>
    <row r="3966">
      <c r="A3966" s="8" t="s">
        <v>3066</v>
      </c>
      <c r="B3966" s="8" t="s">
        <v>3066</v>
      </c>
      <c r="C3966" s="13">
        <v>46084.3647337963</v>
      </c>
      <c r="D3966" s="2" t="s">
        <v>1745</v>
      </c>
      <c r="E3966" s="2" t="s">
        <v>1746</v>
      </c>
      <c r="F3966" s="14" t="s">
        <v>3486</v>
      </c>
      <c r="G3966" s="14" t="s">
        <v>3487</v>
      </c>
      <c r="H3966" s="2" t="s">
        <v>24</v>
      </c>
      <c r="I3966" s="2" t="s">
        <v>3491</v>
      </c>
      <c r="J3966" s="2">
        <v>2.0</v>
      </c>
      <c r="K3966" s="23" t="s">
        <v>6324</v>
      </c>
      <c r="L3966" s="11">
        <v>0.0</v>
      </c>
      <c r="N3966" s="2"/>
      <c r="O3966" s="2" t="b">
        <v>0</v>
      </c>
    </row>
    <row r="3967">
      <c r="A3967" s="8" t="s">
        <v>3066</v>
      </c>
      <c r="B3967" s="8" t="s">
        <v>3066</v>
      </c>
      <c r="C3967" s="13">
        <v>46084.3647337963</v>
      </c>
      <c r="D3967" s="2" t="s">
        <v>1745</v>
      </c>
      <c r="E3967" s="2" t="s">
        <v>1746</v>
      </c>
      <c r="F3967" s="14" t="s">
        <v>3506</v>
      </c>
      <c r="G3967" s="14" t="s">
        <v>3507</v>
      </c>
      <c r="H3967" s="2" t="s">
        <v>24</v>
      </c>
      <c r="I3967" s="2" t="s">
        <v>3491</v>
      </c>
      <c r="J3967" s="2">
        <v>1.0</v>
      </c>
      <c r="K3967" s="12"/>
      <c r="L3967" s="11">
        <v>0.0</v>
      </c>
      <c r="N3967" s="2"/>
      <c r="O3967" s="2" t="b">
        <v>0</v>
      </c>
    </row>
    <row r="3968">
      <c r="A3968" s="8" t="s">
        <v>3067</v>
      </c>
      <c r="B3968" s="8" t="s">
        <v>3067</v>
      </c>
      <c r="C3968" s="13">
        <v>46084.365798611114</v>
      </c>
      <c r="D3968" s="2" t="s">
        <v>951</v>
      </c>
      <c r="E3968" s="2" t="s">
        <v>952</v>
      </c>
      <c r="F3968" s="14" t="s">
        <v>3516</v>
      </c>
      <c r="G3968" s="14" t="s">
        <v>3517</v>
      </c>
      <c r="H3968" s="2" t="s">
        <v>24</v>
      </c>
      <c r="I3968" s="2" t="s">
        <v>3491</v>
      </c>
      <c r="J3968" s="2">
        <v>1.0</v>
      </c>
      <c r="K3968" s="23" t="s">
        <v>6325</v>
      </c>
      <c r="L3968" s="11">
        <v>0.0</v>
      </c>
      <c r="N3968" s="2"/>
      <c r="O3968" s="2" t="b">
        <v>0</v>
      </c>
    </row>
    <row r="3969">
      <c r="A3969" s="8" t="s">
        <v>3068</v>
      </c>
      <c r="B3969" s="8" t="s">
        <v>3068</v>
      </c>
      <c r="C3969" s="13">
        <v>46084.36623842592</v>
      </c>
      <c r="D3969" s="2" t="s">
        <v>2913</v>
      </c>
      <c r="E3969" s="2" t="s">
        <v>2914</v>
      </c>
      <c r="F3969" s="14" t="s">
        <v>3486</v>
      </c>
      <c r="G3969" s="14" t="s">
        <v>3487</v>
      </c>
      <c r="H3969" s="2" t="s">
        <v>24</v>
      </c>
      <c r="I3969" s="2" t="s">
        <v>3491</v>
      </c>
      <c r="J3969" s="2">
        <v>6.0</v>
      </c>
      <c r="K3969" s="23" t="s">
        <v>6326</v>
      </c>
      <c r="L3969" s="11">
        <v>0.0</v>
      </c>
      <c r="N3969" s="2"/>
      <c r="O3969" s="2" t="b">
        <v>0</v>
      </c>
    </row>
    <row r="3970">
      <c r="A3970" s="8" t="s">
        <v>3069</v>
      </c>
      <c r="B3970" s="8" t="s">
        <v>3069</v>
      </c>
      <c r="C3970" s="13">
        <v>46084.366956018515</v>
      </c>
      <c r="D3970" s="2" t="s">
        <v>2543</v>
      </c>
      <c r="E3970" s="2" t="s">
        <v>2544</v>
      </c>
      <c r="F3970" s="14" t="s">
        <v>3516</v>
      </c>
      <c r="G3970" s="14" t="s">
        <v>3517</v>
      </c>
      <c r="H3970" s="2" t="s">
        <v>24</v>
      </c>
      <c r="I3970" s="2" t="s">
        <v>3491</v>
      </c>
      <c r="J3970" s="2">
        <v>3.0</v>
      </c>
      <c r="K3970" s="23" t="s">
        <v>6327</v>
      </c>
      <c r="L3970" s="11">
        <v>0.0</v>
      </c>
      <c r="N3970" s="2"/>
      <c r="O3970" s="2" t="b">
        <v>0</v>
      </c>
    </row>
    <row r="3971">
      <c r="A3971" s="8" t="s">
        <v>3069</v>
      </c>
      <c r="B3971" s="8" t="s">
        <v>3069</v>
      </c>
      <c r="C3971" s="13">
        <v>46084.366956018515</v>
      </c>
      <c r="D3971" s="2" t="s">
        <v>2543</v>
      </c>
      <c r="E3971" s="2" t="s">
        <v>2544</v>
      </c>
      <c r="F3971" s="14" t="s">
        <v>3516</v>
      </c>
      <c r="G3971" s="14" t="s">
        <v>3517</v>
      </c>
      <c r="H3971" s="2" t="s">
        <v>24</v>
      </c>
      <c r="I3971" s="2" t="s">
        <v>3491</v>
      </c>
      <c r="J3971" s="2">
        <v>1.0</v>
      </c>
      <c r="K3971" s="23" t="s">
        <v>6321</v>
      </c>
      <c r="L3971" s="11">
        <v>0.0</v>
      </c>
      <c r="N3971" s="2"/>
      <c r="O3971" s="2" t="b">
        <v>1</v>
      </c>
    </row>
    <row r="3972">
      <c r="A3972" s="1"/>
      <c r="B3972" s="1"/>
      <c r="C3972" s="13"/>
      <c r="D3972" s="2"/>
      <c r="E3972" s="2"/>
      <c r="F3972" s="14"/>
      <c r="G3972" s="14"/>
      <c r="H3972" s="2"/>
      <c r="I3972" s="2"/>
      <c r="J3972" s="2"/>
      <c r="K3972" s="12"/>
      <c r="L3972" s="11"/>
      <c r="N3972" s="2"/>
      <c r="O3972" s="2"/>
    </row>
    <row r="3973">
      <c r="A3973" s="8" t="s">
        <v>3070</v>
      </c>
      <c r="B3973" s="8" t="s">
        <v>3070</v>
      </c>
      <c r="C3973" s="13">
        <v>46084.36818287037</v>
      </c>
      <c r="D3973" s="2" t="s">
        <v>786</v>
      </c>
      <c r="E3973" s="2" t="s">
        <v>787</v>
      </c>
      <c r="F3973" s="14" t="s">
        <v>3486</v>
      </c>
      <c r="G3973" s="14" t="s">
        <v>3487</v>
      </c>
      <c r="H3973" s="2" t="s">
        <v>24</v>
      </c>
      <c r="I3973" s="2" t="s">
        <v>3491</v>
      </c>
      <c r="J3973" s="2">
        <v>1.0</v>
      </c>
      <c r="K3973" s="23" t="s">
        <v>4292</v>
      </c>
      <c r="L3973" s="11">
        <v>0.0</v>
      </c>
      <c r="N3973" s="2"/>
      <c r="O3973" s="2" t="b">
        <v>0</v>
      </c>
    </row>
    <row r="3974">
      <c r="A3974" s="8" t="s">
        <v>3070</v>
      </c>
      <c r="B3974" s="8" t="s">
        <v>3070</v>
      </c>
      <c r="C3974" s="13">
        <v>46084.36818287037</v>
      </c>
      <c r="D3974" s="2" t="s">
        <v>786</v>
      </c>
      <c r="E3974" s="2" t="s">
        <v>787</v>
      </c>
      <c r="F3974" s="14" t="s">
        <v>3486</v>
      </c>
      <c r="G3974" s="14" t="s">
        <v>3487</v>
      </c>
      <c r="H3974" s="2" t="s">
        <v>24</v>
      </c>
      <c r="I3974" s="2" t="s">
        <v>3491</v>
      </c>
      <c r="J3974" s="2">
        <v>3.0</v>
      </c>
      <c r="K3974" s="23" t="s">
        <v>6328</v>
      </c>
      <c r="L3974" s="11">
        <v>0.0</v>
      </c>
      <c r="N3974" s="2"/>
      <c r="O3974" s="2" t="b">
        <v>1</v>
      </c>
    </row>
    <row r="3975">
      <c r="A3975" s="8" t="s">
        <v>3070</v>
      </c>
      <c r="B3975" s="8" t="s">
        <v>3070</v>
      </c>
      <c r="C3975" s="13">
        <v>46084.36818287037</v>
      </c>
      <c r="D3975" s="2" t="s">
        <v>786</v>
      </c>
      <c r="E3975" s="2" t="s">
        <v>787</v>
      </c>
      <c r="F3975" s="14" t="s">
        <v>4203</v>
      </c>
      <c r="G3975" s="14" t="s">
        <v>4204</v>
      </c>
      <c r="H3975" s="2" t="s">
        <v>24</v>
      </c>
      <c r="I3975" s="2" t="s">
        <v>3491</v>
      </c>
      <c r="J3975" s="2">
        <v>1.0</v>
      </c>
      <c r="K3975" s="23" t="s">
        <v>5585</v>
      </c>
      <c r="L3975" s="11">
        <v>0.0</v>
      </c>
      <c r="N3975" s="2"/>
      <c r="O3975" s="2" t="b">
        <v>1</v>
      </c>
    </row>
    <row r="3976">
      <c r="A3976" s="8" t="s">
        <v>3070</v>
      </c>
      <c r="B3976" s="8" t="s">
        <v>3070</v>
      </c>
      <c r="C3976" s="13">
        <v>46084.36818287037</v>
      </c>
      <c r="D3976" s="2" t="s">
        <v>786</v>
      </c>
      <c r="E3976" s="2" t="s">
        <v>787</v>
      </c>
      <c r="F3976" s="14" t="s">
        <v>3516</v>
      </c>
      <c r="G3976" s="14" t="s">
        <v>3517</v>
      </c>
      <c r="H3976" s="2" t="s">
        <v>24</v>
      </c>
      <c r="I3976" s="2" t="s">
        <v>3491</v>
      </c>
      <c r="J3976" s="2">
        <v>1.0</v>
      </c>
      <c r="K3976" s="23" t="s">
        <v>4588</v>
      </c>
      <c r="L3976" s="11">
        <v>0.0</v>
      </c>
      <c r="N3976" s="2"/>
      <c r="O3976" s="2" t="b">
        <v>0</v>
      </c>
    </row>
    <row r="3977">
      <c r="A3977" s="8" t="s">
        <v>3071</v>
      </c>
      <c r="B3977" s="8" t="s">
        <v>3071</v>
      </c>
      <c r="C3977" s="13">
        <v>46084.37099537037</v>
      </c>
      <c r="D3977" s="2" t="s">
        <v>1993</v>
      </c>
      <c r="E3977" s="2" t="s">
        <v>1994</v>
      </c>
      <c r="F3977" s="14" t="s">
        <v>3486</v>
      </c>
      <c r="G3977" s="14" t="s">
        <v>3487</v>
      </c>
      <c r="H3977" s="2" t="s">
        <v>24</v>
      </c>
      <c r="I3977" s="2" t="s">
        <v>3491</v>
      </c>
      <c r="J3977" s="2">
        <v>2.0</v>
      </c>
      <c r="K3977" s="23" t="s">
        <v>6329</v>
      </c>
      <c r="L3977" s="11">
        <v>0.0</v>
      </c>
      <c r="N3977" s="2"/>
      <c r="O3977" s="2" t="b">
        <v>0</v>
      </c>
    </row>
    <row r="3978">
      <c r="A3978" s="8" t="s">
        <v>3071</v>
      </c>
      <c r="B3978" s="8" t="s">
        <v>3071</v>
      </c>
      <c r="C3978" s="13">
        <v>46084.37099537037</v>
      </c>
      <c r="D3978" s="2" t="s">
        <v>1993</v>
      </c>
      <c r="E3978" s="2" t="s">
        <v>1994</v>
      </c>
      <c r="F3978" s="14" t="s">
        <v>3493</v>
      </c>
      <c r="G3978" s="14" t="s">
        <v>3494</v>
      </c>
      <c r="H3978" s="2" t="s">
        <v>24</v>
      </c>
      <c r="I3978" s="2" t="s">
        <v>3491</v>
      </c>
      <c r="J3978" s="2">
        <v>2.0</v>
      </c>
      <c r="K3978" s="12" t="s">
        <v>6330</v>
      </c>
      <c r="L3978" s="11">
        <v>0.0</v>
      </c>
      <c r="N3978" s="2"/>
      <c r="O3978" s="2" t="b">
        <v>0</v>
      </c>
    </row>
    <row r="3979">
      <c r="A3979" s="8" t="s">
        <v>3072</v>
      </c>
      <c r="B3979" s="8" t="s">
        <v>3072</v>
      </c>
      <c r="C3979" s="13">
        <v>46085.37152777778</v>
      </c>
      <c r="D3979" s="2" t="s">
        <v>1564</v>
      </c>
      <c r="E3979" s="2" t="s">
        <v>3073</v>
      </c>
      <c r="F3979" s="14" t="s">
        <v>4203</v>
      </c>
      <c r="G3979" s="14" t="s">
        <v>4204</v>
      </c>
      <c r="H3979" s="2" t="s">
        <v>24</v>
      </c>
      <c r="I3979" s="2" t="s">
        <v>3491</v>
      </c>
      <c r="J3979" s="2">
        <v>1.0</v>
      </c>
      <c r="K3979" s="23" t="s">
        <v>5006</v>
      </c>
      <c r="L3979" s="11">
        <v>0.0</v>
      </c>
      <c r="N3979" s="2"/>
      <c r="O3979" s="2" t="b">
        <v>0</v>
      </c>
    </row>
    <row r="3980">
      <c r="A3980" s="8" t="s">
        <v>3075</v>
      </c>
      <c r="B3980" s="8" t="s">
        <v>3075</v>
      </c>
      <c r="C3980" s="13">
        <v>46085.371886574074</v>
      </c>
      <c r="D3980" s="2" t="s">
        <v>2640</v>
      </c>
      <c r="E3980" s="2" t="s">
        <v>2641</v>
      </c>
      <c r="F3980" s="14" t="s">
        <v>3486</v>
      </c>
      <c r="G3980" s="14" t="s">
        <v>3487</v>
      </c>
      <c r="H3980" s="2" t="s">
        <v>24</v>
      </c>
      <c r="I3980" s="2" t="s">
        <v>3491</v>
      </c>
      <c r="J3980" s="2">
        <v>1.0</v>
      </c>
      <c r="K3980" s="23" t="s">
        <v>6331</v>
      </c>
      <c r="L3980" s="11">
        <v>0.0</v>
      </c>
      <c r="N3980" s="2"/>
      <c r="O3980" s="2" t="b">
        <v>0</v>
      </c>
    </row>
    <row r="3981">
      <c r="A3981" s="8" t="s">
        <v>3075</v>
      </c>
      <c r="B3981" s="8" t="s">
        <v>3075</v>
      </c>
      <c r="C3981" s="13">
        <v>46085.371886574074</v>
      </c>
      <c r="D3981" s="2" t="s">
        <v>2640</v>
      </c>
      <c r="E3981" s="2" t="s">
        <v>2641</v>
      </c>
      <c r="F3981" s="14" t="s">
        <v>3516</v>
      </c>
      <c r="G3981" s="14" t="s">
        <v>3517</v>
      </c>
      <c r="H3981" s="2" t="s">
        <v>24</v>
      </c>
      <c r="I3981" s="2" t="s">
        <v>3491</v>
      </c>
      <c r="J3981" s="2">
        <v>2.0</v>
      </c>
      <c r="K3981" s="23" t="s">
        <v>6332</v>
      </c>
      <c r="L3981" s="11">
        <v>0.0</v>
      </c>
      <c r="N3981" s="2"/>
      <c r="O3981" s="2" t="b">
        <v>0</v>
      </c>
    </row>
    <row r="3982">
      <c r="A3982" s="8" t="s">
        <v>3076</v>
      </c>
      <c r="B3982" s="8" t="s">
        <v>3076</v>
      </c>
      <c r="C3982" s="13">
        <v>46085.37275462963</v>
      </c>
      <c r="D3982" s="2" t="s">
        <v>2577</v>
      </c>
      <c r="E3982" s="2" t="s">
        <v>2578</v>
      </c>
      <c r="F3982" s="14" t="s">
        <v>4203</v>
      </c>
      <c r="G3982" s="14" t="s">
        <v>4204</v>
      </c>
      <c r="H3982" s="2" t="s">
        <v>24</v>
      </c>
      <c r="I3982" s="2" t="s">
        <v>3491</v>
      </c>
      <c r="J3982" s="2">
        <v>2.0</v>
      </c>
      <c r="K3982" s="23" t="s">
        <v>6333</v>
      </c>
      <c r="L3982" s="11">
        <v>0.0</v>
      </c>
      <c r="N3982" s="2"/>
      <c r="O3982" s="2" t="b">
        <v>0</v>
      </c>
    </row>
    <row r="3983">
      <c r="A3983" s="8" t="s">
        <v>3076</v>
      </c>
      <c r="B3983" s="8" t="s">
        <v>3076</v>
      </c>
      <c r="C3983" s="13">
        <v>46085.37275462963</v>
      </c>
      <c r="D3983" s="2" t="s">
        <v>2577</v>
      </c>
      <c r="E3983" s="2" t="s">
        <v>2578</v>
      </c>
      <c r="F3983" s="14" t="s">
        <v>3486</v>
      </c>
      <c r="G3983" s="14" t="s">
        <v>3487</v>
      </c>
      <c r="H3983" s="2" t="s">
        <v>24</v>
      </c>
      <c r="I3983" s="2" t="s">
        <v>3491</v>
      </c>
      <c r="J3983" s="2">
        <v>2.0</v>
      </c>
      <c r="K3983" s="23" t="s">
        <v>6334</v>
      </c>
      <c r="L3983" s="11">
        <v>0.0</v>
      </c>
      <c r="N3983" s="2"/>
      <c r="O3983" s="2" t="b">
        <v>0</v>
      </c>
    </row>
    <row r="3984">
      <c r="A3984" s="8" t="s">
        <v>3077</v>
      </c>
      <c r="B3984" s="8" t="s">
        <v>3077</v>
      </c>
      <c r="C3984" s="13">
        <v>46085.37355324074</v>
      </c>
      <c r="D3984" s="2" t="s">
        <v>2032</v>
      </c>
      <c r="E3984" s="2" t="s">
        <v>2033</v>
      </c>
      <c r="F3984" s="14" t="s">
        <v>3486</v>
      </c>
      <c r="G3984" s="14" t="s">
        <v>3487</v>
      </c>
      <c r="H3984" s="2" t="s">
        <v>24</v>
      </c>
      <c r="I3984" s="2" t="s">
        <v>3491</v>
      </c>
      <c r="J3984" s="2">
        <v>1.0</v>
      </c>
      <c r="K3984" s="23" t="s">
        <v>6232</v>
      </c>
      <c r="L3984" s="11">
        <v>0.0</v>
      </c>
      <c r="N3984" s="2"/>
      <c r="O3984" s="2" t="b">
        <v>0</v>
      </c>
    </row>
    <row r="3985">
      <c r="A3985" s="8" t="s">
        <v>3078</v>
      </c>
      <c r="B3985" s="8" t="s">
        <v>3078</v>
      </c>
      <c r="C3985" s="13">
        <v>46085.37384259259</v>
      </c>
      <c r="D3985" s="2" t="s">
        <v>1963</v>
      </c>
      <c r="E3985" s="2" t="s">
        <v>1964</v>
      </c>
      <c r="F3985" s="14" t="s">
        <v>3486</v>
      </c>
      <c r="G3985" s="14" t="s">
        <v>3487</v>
      </c>
      <c r="H3985" s="2" t="s">
        <v>24</v>
      </c>
      <c r="I3985" s="2" t="s">
        <v>3491</v>
      </c>
      <c r="J3985" s="2">
        <v>2.0</v>
      </c>
      <c r="K3985" s="23" t="s">
        <v>5734</v>
      </c>
      <c r="L3985" s="11">
        <v>0.0</v>
      </c>
      <c r="N3985" s="2"/>
      <c r="O3985" s="2" t="b">
        <v>0</v>
      </c>
    </row>
    <row r="3986">
      <c r="A3986" s="8" t="s">
        <v>3065</v>
      </c>
      <c r="B3986" s="8" t="s">
        <v>3065</v>
      </c>
      <c r="C3986" s="13">
        <v>46086.35990740741</v>
      </c>
      <c r="D3986" s="2" t="s">
        <v>786</v>
      </c>
      <c r="E3986" s="2" t="s">
        <v>787</v>
      </c>
      <c r="F3986" s="14" t="s">
        <v>3516</v>
      </c>
      <c r="G3986" s="14" t="s">
        <v>3517</v>
      </c>
      <c r="H3986" s="2" t="s">
        <v>16</v>
      </c>
      <c r="I3986" s="2" t="s">
        <v>3488</v>
      </c>
      <c r="J3986" s="2">
        <v>2.0</v>
      </c>
      <c r="K3986" s="23" t="s">
        <v>6335</v>
      </c>
      <c r="L3986" s="11">
        <v>180000.0</v>
      </c>
      <c r="N3986" s="2"/>
      <c r="O3986" s="2" t="b">
        <v>0</v>
      </c>
    </row>
    <row r="3987">
      <c r="A3987" s="8" t="s">
        <v>3079</v>
      </c>
      <c r="B3987" s="8" t="s">
        <v>3079</v>
      </c>
      <c r="C3987" s="13">
        <v>46086.37599537037</v>
      </c>
      <c r="D3987" s="2" t="s">
        <v>2005</v>
      </c>
      <c r="E3987" s="2" t="s">
        <v>2006</v>
      </c>
      <c r="F3987" s="14" t="s">
        <v>3486</v>
      </c>
      <c r="G3987" s="14" t="s">
        <v>3487</v>
      </c>
      <c r="H3987" s="2" t="s">
        <v>16</v>
      </c>
      <c r="I3987" s="2" t="s">
        <v>3488</v>
      </c>
      <c r="J3987" s="2">
        <v>10.0</v>
      </c>
      <c r="K3987" s="23" t="s">
        <v>6336</v>
      </c>
      <c r="L3987" s="11">
        <v>60000.0</v>
      </c>
      <c r="N3987" s="2"/>
      <c r="O3987" s="2" t="b">
        <v>0</v>
      </c>
    </row>
    <row r="3988">
      <c r="A3988" s="8" t="s">
        <v>3079</v>
      </c>
      <c r="B3988" s="8" t="s">
        <v>3079</v>
      </c>
      <c r="C3988" s="13">
        <v>46086.37599537037</v>
      </c>
      <c r="D3988" s="2" t="s">
        <v>2005</v>
      </c>
      <c r="E3988" s="2" t="s">
        <v>2006</v>
      </c>
      <c r="F3988" s="14" t="s">
        <v>3493</v>
      </c>
      <c r="G3988" s="14" t="s">
        <v>3494</v>
      </c>
      <c r="H3988" s="2" t="s">
        <v>16</v>
      </c>
      <c r="I3988" s="2" t="s">
        <v>3488</v>
      </c>
      <c r="J3988" s="2">
        <v>2.0</v>
      </c>
      <c r="K3988" s="12" t="s">
        <v>6337</v>
      </c>
      <c r="L3988" s="11">
        <v>215000.0</v>
      </c>
      <c r="N3988" s="2"/>
      <c r="O3988" s="2" t="b">
        <v>0</v>
      </c>
    </row>
    <row r="3989">
      <c r="A3989" s="8" t="s">
        <v>3080</v>
      </c>
      <c r="B3989" s="8" t="s">
        <v>3080</v>
      </c>
      <c r="C3989" s="13">
        <v>46086.50802083333</v>
      </c>
      <c r="D3989" s="2" t="s">
        <v>2005</v>
      </c>
      <c r="E3989" s="2" t="s">
        <v>2006</v>
      </c>
      <c r="F3989" s="14" t="s">
        <v>4203</v>
      </c>
      <c r="G3989" s="14" t="s">
        <v>4204</v>
      </c>
      <c r="H3989" s="2" t="s">
        <v>24</v>
      </c>
      <c r="I3989" s="2" t="s">
        <v>3491</v>
      </c>
      <c r="J3989" s="2">
        <v>6.0</v>
      </c>
      <c r="K3989" s="23" t="s">
        <v>6338</v>
      </c>
      <c r="L3989" s="11">
        <v>0.0</v>
      </c>
      <c r="N3989" s="2"/>
      <c r="O3989" s="2" t="b">
        <v>0</v>
      </c>
    </row>
    <row r="3990">
      <c r="A3990" s="8" t="s">
        <v>3081</v>
      </c>
      <c r="B3990" s="8" t="s">
        <v>3081</v>
      </c>
      <c r="C3990" s="13">
        <v>46086.50896990741</v>
      </c>
      <c r="D3990" s="2" t="s">
        <v>2913</v>
      </c>
      <c r="E3990" s="2" t="s">
        <v>2914</v>
      </c>
      <c r="F3990" s="14" t="s">
        <v>3486</v>
      </c>
      <c r="G3990" s="14" t="s">
        <v>3487</v>
      </c>
      <c r="H3990" s="2" t="s">
        <v>24</v>
      </c>
      <c r="I3990" s="2" t="s">
        <v>3491</v>
      </c>
      <c r="J3990" s="2">
        <v>4.0</v>
      </c>
      <c r="K3990" s="23" t="s">
        <v>6339</v>
      </c>
      <c r="L3990" s="11">
        <v>0.0</v>
      </c>
      <c r="N3990" s="2"/>
      <c r="O3990" s="2" t="b">
        <v>0</v>
      </c>
    </row>
    <row r="3991">
      <c r="A3991" s="8" t="s">
        <v>3082</v>
      </c>
      <c r="B3991" s="8" t="s">
        <v>3082</v>
      </c>
      <c r="C3991" s="13">
        <v>46086.50954861111</v>
      </c>
      <c r="D3991" s="2" t="s">
        <v>1993</v>
      </c>
      <c r="E3991" s="2" t="s">
        <v>1994</v>
      </c>
      <c r="F3991" s="14" t="s">
        <v>3486</v>
      </c>
      <c r="G3991" s="14" t="s">
        <v>3487</v>
      </c>
      <c r="H3991" s="2" t="s">
        <v>24</v>
      </c>
      <c r="I3991" s="2" t="s">
        <v>3491</v>
      </c>
      <c r="J3991" s="2">
        <v>10.0</v>
      </c>
      <c r="K3991" s="23" t="s">
        <v>6340</v>
      </c>
      <c r="L3991" s="11">
        <v>0.0</v>
      </c>
      <c r="N3991" s="2"/>
      <c r="O3991" s="2" t="b">
        <v>0</v>
      </c>
    </row>
    <row r="3992">
      <c r="A3992" s="8" t="s">
        <v>3083</v>
      </c>
      <c r="B3992" s="8" t="s">
        <v>3083</v>
      </c>
      <c r="C3992" s="13">
        <v>46086.510659722226</v>
      </c>
      <c r="D3992" s="2" t="s">
        <v>1618</v>
      </c>
      <c r="E3992" s="2" t="s">
        <v>1619</v>
      </c>
      <c r="F3992" s="14" t="s">
        <v>3516</v>
      </c>
      <c r="G3992" s="14" t="s">
        <v>3517</v>
      </c>
      <c r="H3992" s="2" t="s">
        <v>24</v>
      </c>
      <c r="I3992" s="2" t="s">
        <v>3491</v>
      </c>
      <c r="J3992" s="2">
        <v>2.0</v>
      </c>
      <c r="K3992" s="23" t="s">
        <v>6341</v>
      </c>
      <c r="L3992" s="11">
        <v>0.0</v>
      </c>
      <c r="N3992" s="2"/>
      <c r="O3992" s="2" t="b">
        <v>0</v>
      </c>
    </row>
    <row r="3993">
      <c r="A3993" s="8" t="s">
        <v>3084</v>
      </c>
      <c r="B3993" s="8" t="s">
        <v>3084</v>
      </c>
      <c r="C3993" s="13">
        <v>46086.563252314816</v>
      </c>
      <c r="D3993" s="2" t="s">
        <v>2913</v>
      </c>
      <c r="E3993" s="2" t="s">
        <v>2914</v>
      </c>
      <c r="F3993" s="14" t="s">
        <v>3486</v>
      </c>
      <c r="G3993" s="14" t="s">
        <v>3487</v>
      </c>
      <c r="H3993" s="2" t="s">
        <v>16</v>
      </c>
      <c r="I3993" s="2" t="s">
        <v>3488</v>
      </c>
      <c r="J3993" s="2">
        <v>5.0</v>
      </c>
      <c r="K3993" s="23" t="s">
        <v>6342</v>
      </c>
      <c r="L3993" s="11">
        <v>50000.0</v>
      </c>
      <c r="N3993" s="2"/>
      <c r="O3993" s="2" t="b">
        <v>0</v>
      </c>
    </row>
    <row r="3994">
      <c r="A3994" s="8" t="s">
        <v>3085</v>
      </c>
      <c r="B3994" s="8" t="s">
        <v>3085</v>
      </c>
      <c r="C3994" s="13">
        <v>46086.568553240744</v>
      </c>
      <c r="D3994" s="2" t="s">
        <v>2081</v>
      </c>
      <c r="E3994" s="2" t="s">
        <v>2082</v>
      </c>
      <c r="F3994" s="14" t="s">
        <v>3486</v>
      </c>
      <c r="G3994" s="14" t="s">
        <v>3487</v>
      </c>
      <c r="H3994" s="2" t="s">
        <v>24</v>
      </c>
      <c r="I3994" s="2" t="s">
        <v>3491</v>
      </c>
      <c r="J3994" s="2">
        <v>1.0</v>
      </c>
      <c r="K3994" s="23" t="s">
        <v>6343</v>
      </c>
      <c r="L3994" s="11">
        <v>0.0</v>
      </c>
      <c r="N3994" s="2"/>
      <c r="O3994" s="2" t="b">
        <v>0</v>
      </c>
    </row>
    <row r="3995">
      <c r="A3995" s="8" t="s">
        <v>3086</v>
      </c>
      <c r="B3995" s="8" t="s">
        <v>3086</v>
      </c>
      <c r="C3995" s="13">
        <v>46086.568877314814</v>
      </c>
      <c r="D3995" s="2" t="s">
        <v>786</v>
      </c>
      <c r="E3995" s="2" t="s">
        <v>787</v>
      </c>
      <c r="F3995" s="14" t="s">
        <v>3486</v>
      </c>
      <c r="G3995" s="14" t="s">
        <v>3487</v>
      </c>
      <c r="H3995" s="2" t="s">
        <v>24</v>
      </c>
      <c r="I3995" s="2" t="s">
        <v>3491</v>
      </c>
      <c r="J3995" s="2">
        <v>1.0</v>
      </c>
      <c r="K3995" s="23" t="s">
        <v>5069</v>
      </c>
      <c r="L3995" s="11">
        <v>0.0</v>
      </c>
      <c r="N3995" s="2"/>
      <c r="O3995" s="2" t="b">
        <v>0</v>
      </c>
    </row>
    <row r="3996">
      <c r="A3996" s="8" t="s">
        <v>3086</v>
      </c>
      <c r="B3996" s="8" t="s">
        <v>3086</v>
      </c>
      <c r="C3996" s="13">
        <v>46086.568877314814</v>
      </c>
      <c r="D3996" s="2" t="s">
        <v>786</v>
      </c>
      <c r="E3996" s="2" t="s">
        <v>787</v>
      </c>
      <c r="F3996" s="14" t="s">
        <v>3516</v>
      </c>
      <c r="G3996" s="14" t="s">
        <v>3517</v>
      </c>
      <c r="H3996" s="2" t="s">
        <v>24</v>
      </c>
      <c r="I3996" s="2" t="s">
        <v>3491</v>
      </c>
      <c r="J3996" s="2">
        <v>2.0</v>
      </c>
      <c r="K3996" s="23" t="s">
        <v>6344</v>
      </c>
      <c r="L3996" s="11">
        <v>0.0</v>
      </c>
      <c r="N3996" s="2"/>
      <c r="O3996" s="2" t="b">
        <v>0</v>
      </c>
    </row>
    <row r="3997">
      <c r="A3997" s="8" t="s">
        <v>3087</v>
      </c>
      <c r="B3997" s="8" t="s">
        <v>3087</v>
      </c>
      <c r="C3997" s="13">
        <v>46086.614212962966</v>
      </c>
      <c r="D3997" s="2" t="s">
        <v>2543</v>
      </c>
      <c r="E3997" s="2" t="s">
        <v>2544</v>
      </c>
      <c r="F3997" s="14" t="s">
        <v>3486</v>
      </c>
      <c r="G3997" s="14" t="s">
        <v>3487</v>
      </c>
      <c r="H3997" s="2" t="s">
        <v>24</v>
      </c>
      <c r="I3997" s="2" t="s">
        <v>3491</v>
      </c>
      <c r="J3997" s="2">
        <v>2.0</v>
      </c>
      <c r="K3997" s="23" t="s">
        <v>6345</v>
      </c>
      <c r="L3997" s="11">
        <v>0.0</v>
      </c>
      <c r="N3997" s="2"/>
      <c r="O3997" s="2" t="b">
        <v>0</v>
      </c>
    </row>
    <row r="3998">
      <c r="A3998" s="8" t="s">
        <v>3088</v>
      </c>
      <c r="B3998" s="8" t="s">
        <v>3088</v>
      </c>
      <c r="C3998" s="13">
        <v>46086.61456018518</v>
      </c>
      <c r="D3998" s="2" t="s">
        <v>320</v>
      </c>
      <c r="E3998" s="2" t="s">
        <v>321</v>
      </c>
      <c r="F3998" s="14" t="s">
        <v>3516</v>
      </c>
      <c r="G3998" s="14" t="s">
        <v>3517</v>
      </c>
      <c r="H3998" s="2" t="s">
        <v>24</v>
      </c>
      <c r="I3998" s="2" t="s">
        <v>3491</v>
      </c>
      <c r="J3998" s="2">
        <v>3.0</v>
      </c>
      <c r="K3998" s="23" t="s">
        <v>6346</v>
      </c>
      <c r="L3998" s="11">
        <v>0.0</v>
      </c>
      <c r="N3998" s="2"/>
      <c r="O3998" s="2" t="b">
        <v>0</v>
      </c>
    </row>
    <row r="3999">
      <c r="A3999" s="8" t="s">
        <v>3089</v>
      </c>
      <c r="B3999" s="8" t="s">
        <v>3089</v>
      </c>
      <c r="C3999" s="13">
        <v>46086.61493055556</v>
      </c>
      <c r="D3999" s="2" t="s">
        <v>131</v>
      </c>
      <c r="E3999" s="2" t="s">
        <v>132</v>
      </c>
      <c r="F3999" s="14" t="s">
        <v>4203</v>
      </c>
      <c r="G3999" s="14" t="s">
        <v>4204</v>
      </c>
      <c r="H3999" s="2" t="s">
        <v>24</v>
      </c>
      <c r="I3999" s="2" t="s">
        <v>3491</v>
      </c>
      <c r="J3999" s="2">
        <v>2.0</v>
      </c>
      <c r="K3999" s="23" t="s">
        <v>6215</v>
      </c>
      <c r="L3999" s="11">
        <v>0.0</v>
      </c>
      <c r="N3999" s="2"/>
      <c r="O3999" s="2" t="b">
        <v>0</v>
      </c>
    </row>
    <row r="4000">
      <c r="A4000" s="8" t="s">
        <v>3089</v>
      </c>
      <c r="B4000" s="8" t="s">
        <v>3089</v>
      </c>
      <c r="C4000" s="13">
        <v>46086.61493055556</v>
      </c>
      <c r="D4000" s="2" t="s">
        <v>131</v>
      </c>
      <c r="E4000" s="2" t="s">
        <v>132</v>
      </c>
      <c r="F4000" s="14" t="s">
        <v>3486</v>
      </c>
      <c r="G4000" s="14" t="s">
        <v>3487</v>
      </c>
      <c r="H4000" s="2" t="s">
        <v>24</v>
      </c>
      <c r="I4000" s="2" t="s">
        <v>3491</v>
      </c>
      <c r="J4000" s="2">
        <v>2.0</v>
      </c>
      <c r="K4000" s="23" t="s">
        <v>6347</v>
      </c>
      <c r="L4000" s="11">
        <v>0.0</v>
      </c>
      <c r="N4000" s="2"/>
      <c r="O4000" s="2" t="b">
        <v>0</v>
      </c>
    </row>
    <row r="4001">
      <c r="A4001" s="8" t="s">
        <v>3089</v>
      </c>
      <c r="B4001" s="8" t="s">
        <v>3089</v>
      </c>
      <c r="C4001" s="13">
        <v>46086.61493055556</v>
      </c>
      <c r="D4001" s="2" t="s">
        <v>131</v>
      </c>
      <c r="E4001" s="2" t="s">
        <v>132</v>
      </c>
      <c r="F4001" s="14" t="s">
        <v>3516</v>
      </c>
      <c r="G4001" s="14" t="s">
        <v>3517</v>
      </c>
      <c r="H4001" s="2" t="s">
        <v>24</v>
      </c>
      <c r="I4001" s="2" t="s">
        <v>3491</v>
      </c>
      <c r="J4001" s="2">
        <v>1.0</v>
      </c>
      <c r="K4001" s="23" t="s">
        <v>4700</v>
      </c>
      <c r="L4001" s="11">
        <v>0.0</v>
      </c>
      <c r="N4001" s="2"/>
      <c r="O4001" s="2" t="b">
        <v>0</v>
      </c>
    </row>
    <row r="4002">
      <c r="A4002" s="8" t="s">
        <v>3090</v>
      </c>
      <c r="B4002" s="8" t="s">
        <v>3090</v>
      </c>
      <c r="C4002" s="13">
        <v>46086.63920138889</v>
      </c>
      <c r="D4002" s="2" t="s">
        <v>1993</v>
      </c>
      <c r="E4002" s="2" t="s">
        <v>1994</v>
      </c>
      <c r="F4002" s="14" t="s">
        <v>3486</v>
      </c>
      <c r="G4002" s="14" t="s">
        <v>3487</v>
      </c>
      <c r="H4002" s="2" t="s">
        <v>16</v>
      </c>
      <c r="I4002" s="2" t="s">
        <v>3488</v>
      </c>
      <c r="J4002" s="2">
        <v>5.0</v>
      </c>
      <c r="K4002" s="23" t="s">
        <v>6348</v>
      </c>
      <c r="L4002" s="11">
        <v>65000.0</v>
      </c>
      <c r="N4002" s="2"/>
      <c r="O4002" s="2" t="b">
        <v>0</v>
      </c>
    </row>
    <row r="4003">
      <c r="A4003" s="1"/>
      <c r="B4003" s="1"/>
      <c r="C4003" s="13"/>
      <c r="D4003" s="2"/>
      <c r="E4003" s="2"/>
      <c r="F4003" s="14"/>
      <c r="G4003" s="14"/>
      <c r="H4003" s="2"/>
      <c r="I4003" s="2"/>
      <c r="J4003" s="2"/>
      <c r="K4003" s="12"/>
      <c r="L4003" s="11"/>
      <c r="N4003" s="2"/>
      <c r="O4003" s="2"/>
    </row>
    <row r="4004">
      <c r="A4004" s="8" t="s">
        <v>3092</v>
      </c>
      <c r="B4004" s="8" t="s">
        <v>3092</v>
      </c>
      <c r="C4004" s="13">
        <v>46087.39318287037</v>
      </c>
      <c r="D4004" s="2" t="s">
        <v>464</v>
      </c>
      <c r="E4004" s="2" t="s">
        <v>465</v>
      </c>
      <c r="F4004" s="14" t="s">
        <v>3506</v>
      </c>
      <c r="G4004" s="14" t="s">
        <v>3507</v>
      </c>
      <c r="H4004" s="2" t="s">
        <v>16</v>
      </c>
      <c r="I4004" s="2" t="s">
        <v>3488</v>
      </c>
      <c r="J4004" s="2">
        <v>2.0</v>
      </c>
      <c r="K4004" s="12"/>
      <c r="L4004" s="11">
        <v>55000.0</v>
      </c>
      <c r="N4004" s="2"/>
      <c r="O4004" s="2" t="b">
        <v>0</v>
      </c>
    </row>
    <row r="4005">
      <c r="A4005" s="1"/>
      <c r="B4005" s="1"/>
      <c r="C4005" s="13"/>
      <c r="D4005" s="2"/>
      <c r="E4005" s="2"/>
      <c r="F4005" s="14"/>
      <c r="G4005" s="14"/>
      <c r="H4005" s="2"/>
      <c r="I4005" s="2"/>
      <c r="J4005" s="2"/>
      <c r="K4005" s="12"/>
      <c r="L4005" s="11"/>
      <c r="N4005" s="2"/>
      <c r="O4005" s="2"/>
    </row>
    <row r="4006">
      <c r="A4006" s="8" t="s">
        <v>3093</v>
      </c>
      <c r="B4006" s="8" t="s">
        <v>3093</v>
      </c>
      <c r="C4006" s="13">
        <v>46087.41871527778</v>
      </c>
      <c r="D4006" s="2" t="s">
        <v>2131</v>
      </c>
      <c r="E4006" s="2" t="s">
        <v>2132</v>
      </c>
      <c r="F4006" s="14" t="s">
        <v>3486</v>
      </c>
      <c r="G4006" s="14" t="s">
        <v>3487</v>
      </c>
      <c r="H4006" s="2" t="s">
        <v>159</v>
      </c>
      <c r="I4006" s="2" t="s">
        <v>5402</v>
      </c>
      <c r="J4006" s="2">
        <v>18.0</v>
      </c>
      <c r="K4006" s="23" t="s">
        <v>6349</v>
      </c>
      <c r="L4006" s="11">
        <v>60000.0</v>
      </c>
      <c r="N4006" s="2"/>
      <c r="O4006" s="2" t="b">
        <v>0</v>
      </c>
    </row>
    <row r="4007">
      <c r="A4007" s="8" t="s">
        <v>3093</v>
      </c>
      <c r="B4007" s="8" t="s">
        <v>3093</v>
      </c>
      <c r="C4007" s="13">
        <v>46087.41871527778</v>
      </c>
      <c r="D4007" s="2" t="s">
        <v>2131</v>
      </c>
      <c r="E4007" s="2" t="s">
        <v>2132</v>
      </c>
      <c r="F4007" s="14" t="s">
        <v>3486</v>
      </c>
      <c r="G4007" s="14" t="s">
        <v>3487</v>
      </c>
      <c r="H4007" s="2" t="s">
        <v>159</v>
      </c>
      <c r="I4007" s="2" t="s">
        <v>5402</v>
      </c>
      <c r="J4007" s="2">
        <v>2.0</v>
      </c>
      <c r="K4007" s="23" t="s">
        <v>6350</v>
      </c>
      <c r="L4007" s="11">
        <v>60000.0</v>
      </c>
      <c r="N4007" s="2"/>
      <c r="O4007" s="2" t="b">
        <v>1</v>
      </c>
    </row>
    <row r="4008">
      <c r="A4008" s="8" t="s">
        <v>3091</v>
      </c>
      <c r="B4008" s="8" t="s">
        <v>3091</v>
      </c>
      <c r="C4008" s="13">
        <v>46087.357152777775</v>
      </c>
      <c r="D4008" s="2" t="s">
        <v>1904</v>
      </c>
      <c r="E4008" s="2" t="s">
        <v>1905</v>
      </c>
      <c r="F4008" s="14" t="s">
        <v>4203</v>
      </c>
      <c r="G4008" s="14" t="s">
        <v>4204</v>
      </c>
      <c r="H4008" s="2" t="s">
        <v>16</v>
      </c>
      <c r="I4008" s="2" t="s">
        <v>3488</v>
      </c>
      <c r="J4008" s="2">
        <v>10.0</v>
      </c>
      <c r="K4008" s="23" t="s">
        <v>6351</v>
      </c>
      <c r="L4008" s="11">
        <v>50000.0</v>
      </c>
      <c r="N4008" s="2"/>
      <c r="O4008" s="2" t="b">
        <v>0</v>
      </c>
    </row>
    <row r="4009">
      <c r="A4009" s="8" t="s">
        <v>3094</v>
      </c>
      <c r="B4009" s="8" t="s">
        <v>3094</v>
      </c>
      <c r="C4009" s="13">
        <v>46087.42591435185</v>
      </c>
      <c r="D4009" s="2" t="s">
        <v>1904</v>
      </c>
      <c r="E4009" s="2" t="s">
        <v>1905</v>
      </c>
      <c r="F4009" s="14" t="s">
        <v>3486</v>
      </c>
      <c r="G4009" s="14" t="s">
        <v>3487</v>
      </c>
      <c r="H4009" s="2" t="s">
        <v>16</v>
      </c>
      <c r="I4009" s="2" t="s">
        <v>3488</v>
      </c>
      <c r="J4009" s="2">
        <v>10.0</v>
      </c>
      <c r="K4009" s="23" t="s">
        <v>6352</v>
      </c>
      <c r="L4009" s="11">
        <v>50000.0</v>
      </c>
      <c r="N4009" s="2"/>
      <c r="O4009" s="2" t="b">
        <v>0</v>
      </c>
    </row>
    <row r="4010">
      <c r="A4010" s="8" t="s">
        <v>3095</v>
      </c>
      <c r="B4010" s="8" t="s">
        <v>3095</v>
      </c>
      <c r="C4010" s="13">
        <v>46087.46199074074</v>
      </c>
      <c r="D4010" s="2" t="s">
        <v>786</v>
      </c>
      <c r="E4010" s="2" t="s">
        <v>787</v>
      </c>
      <c r="F4010" s="14" t="s">
        <v>3486</v>
      </c>
      <c r="G4010" s="14" t="s">
        <v>3487</v>
      </c>
      <c r="H4010" s="2" t="s">
        <v>24</v>
      </c>
      <c r="I4010" s="2" t="s">
        <v>3491</v>
      </c>
      <c r="J4010" s="2">
        <v>5.0</v>
      </c>
      <c r="K4010" s="23" t="s">
        <v>6353</v>
      </c>
      <c r="L4010" s="11">
        <v>0.0</v>
      </c>
      <c r="N4010" s="2"/>
      <c r="O4010" s="2" t="b">
        <v>0</v>
      </c>
    </row>
    <row r="4011">
      <c r="A4011" s="8" t="s">
        <v>3095</v>
      </c>
      <c r="B4011" s="8" t="s">
        <v>3095</v>
      </c>
      <c r="C4011" s="13">
        <v>46087.46199074074</v>
      </c>
      <c r="D4011" s="2" t="s">
        <v>786</v>
      </c>
      <c r="E4011" s="2" t="s">
        <v>787</v>
      </c>
      <c r="F4011" s="14" t="s">
        <v>3516</v>
      </c>
      <c r="G4011" s="14" t="s">
        <v>3517</v>
      </c>
      <c r="H4011" s="2" t="s">
        <v>24</v>
      </c>
      <c r="I4011" s="2" t="s">
        <v>3491</v>
      </c>
      <c r="J4011" s="2">
        <v>1.0</v>
      </c>
      <c r="K4011" s="23" t="s">
        <v>4389</v>
      </c>
      <c r="L4011" s="11">
        <v>0.0</v>
      </c>
      <c r="N4011" s="2"/>
      <c r="O4011" s="2" t="b">
        <v>0</v>
      </c>
    </row>
    <row r="4012">
      <c r="A4012" s="8" t="s">
        <v>3096</v>
      </c>
      <c r="B4012" s="8" t="s">
        <v>3096</v>
      </c>
      <c r="C4012" s="13">
        <v>46087.484456018516</v>
      </c>
      <c r="D4012" s="2" t="s">
        <v>1993</v>
      </c>
      <c r="E4012" s="2" t="s">
        <v>1994</v>
      </c>
      <c r="F4012" s="14" t="s">
        <v>4203</v>
      </c>
      <c r="G4012" s="14" t="s">
        <v>4204</v>
      </c>
      <c r="H4012" s="2" t="s">
        <v>16</v>
      </c>
      <c r="I4012" s="2" t="s">
        <v>3488</v>
      </c>
      <c r="J4012" s="2">
        <v>5.0</v>
      </c>
      <c r="K4012" s="23" t="s">
        <v>6354</v>
      </c>
      <c r="L4012" s="11">
        <v>65000.0</v>
      </c>
      <c r="N4012" s="2"/>
      <c r="O4012" s="2" t="b">
        <v>0</v>
      </c>
    </row>
    <row r="4013">
      <c r="A4013" s="8" t="s">
        <v>3096</v>
      </c>
      <c r="B4013" s="8" t="s">
        <v>3096</v>
      </c>
      <c r="C4013" s="13">
        <v>46087.484456018516</v>
      </c>
      <c r="D4013" s="2" t="s">
        <v>1993</v>
      </c>
      <c r="E4013" s="2" t="s">
        <v>1994</v>
      </c>
      <c r="F4013" s="14" t="s">
        <v>3516</v>
      </c>
      <c r="G4013" s="14" t="s">
        <v>3517</v>
      </c>
      <c r="H4013" s="2" t="s">
        <v>16</v>
      </c>
      <c r="I4013" s="2" t="s">
        <v>3488</v>
      </c>
      <c r="J4013" s="2">
        <v>3.0</v>
      </c>
      <c r="K4013" s="23" t="s">
        <v>6355</v>
      </c>
      <c r="L4013" s="11">
        <v>190000.0</v>
      </c>
      <c r="N4013" s="2"/>
      <c r="O4013" s="2" t="b">
        <v>0</v>
      </c>
    </row>
    <row r="4014">
      <c r="A4014" s="8" t="s">
        <v>3096</v>
      </c>
      <c r="B4014" s="8" t="s">
        <v>3096</v>
      </c>
      <c r="C4014" s="13">
        <v>46087.484456018516</v>
      </c>
      <c r="D4014" s="2" t="s">
        <v>1993</v>
      </c>
      <c r="E4014" s="2" t="s">
        <v>1994</v>
      </c>
      <c r="F4014" s="14" t="s">
        <v>3493</v>
      </c>
      <c r="G4014" s="14" t="s">
        <v>3494</v>
      </c>
      <c r="H4014" s="2" t="s">
        <v>16</v>
      </c>
      <c r="I4014" s="2" t="s">
        <v>3488</v>
      </c>
      <c r="J4014" s="2">
        <v>2.0</v>
      </c>
      <c r="K4014" s="12" t="s">
        <v>6144</v>
      </c>
      <c r="L4014" s="11">
        <v>200000.0</v>
      </c>
      <c r="N4014" s="2"/>
      <c r="O4014" s="2" t="b">
        <v>0</v>
      </c>
    </row>
    <row r="4015">
      <c r="A4015" s="8" t="s">
        <v>3097</v>
      </c>
      <c r="B4015" s="8" t="s">
        <v>3097</v>
      </c>
      <c r="C4015" s="13">
        <v>46087.485914351855</v>
      </c>
      <c r="D4015" s="2" t="s">
        <v>2543</v>
      </c>
      <c r="E4015" s="2" t="s">
        <v>2544</v>
      </c>
      <c r="F4015" s="14" t="s">
        <v>3486</v>
      </c>
      <c r="G4015" s="14" t="s">
        <v>3487</v>
      </c>
      <c r="H4015" s="2" t="s">
        <v>16</v>
      </c>
      <c r="I4015" s="2" t="s">
        <v>3488</v>
      </c>
      <c r="J4015" s="2">
        <v>3.0</v>
      </c>
      <c r="K4015" s="23" t="s">
        <v>6356</v>
      </c>
      <c r="L4015" s="11">
        <v>60000.0</v>
      </c>
      <c r="N4015" s="2"/>
      <c r="O4015" s="2" t="b">
        <v>0</v>
      </c>
    </row>
    <row r="4016">
      <c r="A4016" s="8" t="s">
        <v>3097</v>
      </c>
      <c r="B4016" s="8" t="s">
        <v>3097</v>
      </c>
      <c r="C4016" s="13">
        <v>46087.485914351855</v>
      </c>
      <c r="D4016" s="2" t="s">
        <v>2543</v>
      </c>
      <c r="E4016" s="2" t="s">
        <v>2544</v>
      </c>
      <c r="F4016" s="14" t="s">
        <v>3516</v>
      </c>
      <c r="G4016" s="14" t="s">
        <v>3517</v>
      </c>
      <c r="H4016" s="2" t="s">
        <v>16</v>
      </c>
      <c r="I4016" s="2" t="s">
        <v>3488</v>
      </c>
      <c r="J4016" s="2">
        <v>4.0</v>
      </c>
      <c r="K4016" s="23" t="s">
        <v>6357</v>
      </c>
      <c r="L4016" s="11">
        <v>190000.0</v>
      </c>
      <c r="N4016" s="2"/>
      <c r="O4016" s="2" t="b">
        <v>0</v>
      </c>
    </row>
    <row r="4017">
      <c r="A4017" s="8" t="s">
        <v>3098</v>
      </c>
      <c r="B4017" s="8" t="s">
        <v>3098</v>
      </c>
      <c r="C4017" s="13">
        <v>46087.52228009259</v>
      </c>
      <c r="D4017" s="2" t="s">
        <v>1904</v>
      </c>
      <c r="E4017" s="2" t="s">
        <v>1905</v>
      </c>
      <c r="F4017" s="14" t="s">
        <v>4203</v>
      </c>
      <c r="G4017" s="14" t="s">
        <v>4204</v>
      </c>
      <c r="H4017" s="2" t="s">
        <v>24</v>
      </c>
      <c r="I4017" s="2" t="s">
        <v>3491</v>
      </c>
      <c r="J4017" s="2">
        <v>4.0</v>
      </c>
      <c r="K4017" s="23" t="s">
        <v>6358</v>
      </c>
      <c r="L4017" s="11">
        <v>0.0</v>
      </c>
      <c r="N4017" s="2"/>
      <c r="O4017" s="2" t="b">
        <v>0</v>
      </c>
    </row>
    <row r="4018">
      <c r="A4018" s="8" t="s">
        <v>3099</v>
      </c>
      <c r="B4018" s="8" t="s">
        <v>3099</v>
      </c>
      <c r="C4018" s="13">
        <v>46087.64550925926</v>
      </c>
      <c r="D4018" s="2" t="s">
        <v>2543</v>
      </c>
      <c r="E4018" s="2" t="s">
        <v>2544</v>
      </c>
      <c r="F4018" s="14" t="s">
        <v>3486</v>
      </c>
      <c r="G4018" s="14" t="s">
        <v>3487</v>
      </c>
      <c r="H4018" s="2" t="s">
        <v>24</v>
      </c>
      <c r="I4018" s="2" t="s">
        <v>3491</v>
      </c>
      <c r="J4018" s="2">
        <v>1.0</v>
      </c>
      <c r="K4018" s="23" t="s">
        <v>5724</v>
      </c>
      <c r="L4018" s="11">
        <v>0.0</v>
      </c>
      <c r="N4018" s="2"/>
      <c r="O4018" s="2" t="b">
        <v>0</v>
      </c>
    </row>
    <row r="4019">
      <c r="A4019" s="8" t="s">
        <v>3100</v>
      </c>
      <c r="B4019" s="8" t="s">
        <v>3100</v>
      </c>
      <c r="C4019" s="13">
        <v>46087.64591435185</v>
      </c>
      <c r="D4019" s="2" t="s">
        <v>2005</v>
      </c>
      <c r="E4019" s="2" t="s">
        <v>2006</v>
      </c>
      <c r="F4019" s="14" t="s">
        <v>3486</v>
      </c>
      <c r="G4019" s="14" t="s">
        <v>3487</v>
      </c>
      <c r="H4019" s="2" t="s">
        <v>24</v>
      </c>
      <c r="I4019" s="2" t="s">
        <v>3491</v>
      </c>
      <c r="J4019" s="2">
        <v>3.0</v>
      </c>
      <c r="K4019" s="23" t="s">
        <v>6359</v>
      </c>
      <c r="L4019" s="11">
        <v>0.0</v>
      </c>
      <c r="N4019" s="2"/>
      <c r="O4019" s="2" t="b">
        <v>0</v>
      </c>
    </row>
    <row r="4020">
      <c r="A4020" s="8" t="s">
        <v>3100</v>
      </c>
      <c r="B4020" s="8" t="s">
        <v>3100</v>
      </c>
      <c r="C4020" s="13">
        <v>46087.64591435185</v>
      </c>
      <c r="D4020" s="2" t="s">
        <v>2005</v>
      </c>
      <c r="E4020" s="2" t="s">
        <v>2006</v>
      </c>
      <c r="F4020" s="14" t="s">
        <v>4203</v>
      </c>
      <c r="G4020" s="14" t="s">
        <v>4204</v>
      </c>
      <c r="H4020" s="2" t="s">
        <v>24</v>
      </c>
      <c r="I4020" s="2" t="s">
        <v>3491</v>
      </c>
      <c r="J4020" s="2">
        <v>3.0</v>
      </c>
      <c r="K4020" s="23" t="s">
        <v>6360</v>
      </c>
      <c r="L4020" s="11">
        <v>0.0</v>
      </c>
      <c r="N4020" s="2"/>
      <c r="O4020" s="2" t="b">
        <v>0</v>
      </c>
    </row>
    <row r="4021">
      <c r="A4021" s="8" t="s">
        <v>3101</v>
      </c>
      <c r="B4021" s="8" t="s">
        <v>3101</v>
      </c>
      <c r="C4021" s="13">
        <v>46087.64699074074</v>
      </c>
      <c r="D4021" s="2" t="s">
        <v>1993</v>
      </c>
      <c r="E4021" s="2" t="s">
        <v>1994</v>
      </c>
      <c r="F4021" s="14" t="s">
        <v>3486</v>
      </c>
      <c r="G4021" s="14" t="s">
        <v>3487</v>
      </c>
      <c r="H4021" s="2" t="s">
        <v>24</v>
      </c>
      <c r="I4021" s="2" t="s">
        <v>3491</v>
      </c>
      <c r="J4021" s="2">
        <v>4.0</v>
      </c>
      <c r="K4021" s="23" t="s">
        <v>6361</v>
      </c>
      <c r="L4021" s="11">
        <v>0.0</v>
      </c>
      <c r="N4021" s="2"/>
      <c r="O4021" s="2" t="b">
        <v>0</v>
      </c>
    </row>
    <row r="4022">
      <c r="A4022" s="8" t="s">
        <v>3101</v>
      </c>
      <c r="B4022" s="8" t="s">
        <v>3101</v>
      </c>
      <c r="C4022" s="13">
        <v>46087.64699074074</v>
      </c>
      <c r="D4022" s="2" t="s">
        <v>1993</v>
      </c>
      <c r="E4022" s="2" t="s">
        <v>1994</v>
      </c>
      <c r="F4022" s="14" t="s">
        <v>3516</v>
      </c>
      <c r="G4022" s="14" t="s">
        <v>3517</v>
      </c>
      <c r="H4022" s="2" t="s">
        <v>24</v>
      </c>
      <c r="I4022" s="2" t="s">
        <v>3491</v>
      </c>
      <c r="J4022" s="2">
        <v>2.0</v>
      </c>
      <c r="K4022" s="23" t="s">
        <v>6362</v>
      </c>
      <c r="L4022" s="11">
        <v>0.0</v>
      </c>
      <c r="N4022" s="2"/>
      <c r="O4022" s="2" t="b">
        <v>0</v>
      </c>
    </row>
    <row r="4023">
      <c r="A4023" s="8" t="s">
        <v>3102</v>
      </c>
      <c r="B4023" s="8" t="s">
        <v>3102</v>
      </c>
      <c r="C4023" s="13">
        <v>46087.65759259259</v>
      </c>
      <c r="D4023" s="2" t="s">
        <v>464</v>
      </c>
      <c r="E4023" s="2" t="s">
        <v>465</v>
      </c>
      <c r="F4023" s="14" t="s">
        <v>3506</v>
      </c>
      <c r="G4023" s="14" t="s">
        <v>3507</v>
      </c>
      <c r="H4023" s="2" t="s">
        <v>24</v>
      </c>
      <c r="I4023" s="2" t="s">
        <v>3491</v>
      </c>
      <c r="J4023" s="2">
        <v>2.0</v>
      </c>
      <c r="K4023" s="12"/>
      <c r="L4023" s="11">
        <v>0.0</v>
      </c>
      <c r="N4023" s="2"/>
      <c r="O4023" s="2" t="b">
        <v>0</v>
      </c>
    </row>
    <row r="4024">
      <c r="A4024" s="8" t="s">
        <v>3103</v>
      </c>
      <c r="B4024" s="8" t="s">
        <v>3103</v>
      </c>
      <c r="C4024" s="13">
        <v>46087.658009259256</v>
      </c>
      <c r="D4024" s="2" t="s">
        <v>326</v>
      </c>
      <c r="E4024" s="2" t="s">
        <v>327</v>
      </c>
      <c r="F4024" s="14" t="s">
        <v>3486</v>
      </c>
      <c r="G4024" s="14" t="s">
        <v>3487</v>
      </c>
      <c r="H4024" s="2" t="s">
        <v>24</v>
      </c>
      <c r="I4024" s="2" t="s">
        <v>3491</v>
      </c>
      <c r="J4024" s="2">
        <v>4.0</v>
      </c>
      <c r="K4024" s="23" t="s">
        <v>6363</v>
      </c>
      <c r="L4024" s="11">
        <v>0.0</v>
      </c>
      <c r="N4024" s="2"/>
      <c r="O4024" s="2" t="b">
        <v>0</v>
      </c>
    </row>
    <row r="4025">
      <c r="A4025" s="8" t="s">
        <v>3104</v>
      </c>
      <c r="B4025" s="8" t="s">
        <v>3104</v>
      </c>
      <c r="C4025" s="13">
        <v>46088.350486111114</v>
      </c>
      <c r="D4025" s="2" t="s">
        <v>2623</v>
      </c>
      <c r="E4025" s="2" t="s">
        <v>2624</v>
      </c>
      <c r="F4025" s="14" t="s">
        <v>3522</v>
      </c>
      <c r="G4025" s="14" t="s">
        <v>3523</v>
      </c>
      <c r="H4025" s="2" t="s">
        <v>16</v>
      </c>
      <c r="I4025" s="2" t="s">
        <v>3488</v>
      </c>
      <c r="J4025" s="2">
        <v>2.0</v>
      </c>
      <c r="K4025" s="23" t="s">
        <v>6364</v>
      </c>
      <c r="L4025" s="11">
        <v>225000.0</v>
      </c>
      <c r="N4025" s="2"/>
      <c r="O4025" s="2" t="b">
        <v>0</v>
      </c>
    </row>
    <row r="4026">
      <c r="A4026" s="8" t="s">
        <v>3105</v>
      </c>
      <c r="B4026" s="8" t="s">
        <v>3105</v>
      </c>
      <c r="C4026" s="13">
        <v>46088.35086805555</v>
      </c>
      <c r="D4026" s="2" t="s">
        <v>786</v>
      </c>
      <c r="E4026" s="2" t="s">
        <v>787</v>
      </c>
      <c r="F4026" s="14" t="s">
        <v>3486</v>
      </c>
      <c r="G4026" s="14" t="s">
        <v>3487</v>
      </c>
      <c r="H4026" s="2" t="s">
        <v>16</v>
      </c>
      <c r="I4026" s="2" t="s">
        <v>3488</v>
      </c>
      <c r="J4026" s="2">
        <v>4.0</v>
      </c>
      <c r="K4026" s="23" t="s">
        <v>6365</v>
      </c>
      <c r="L4026" s="11">
        <v>60000.0</v>
      </c>
      <c r="N4026" s="2"/>
      <c r="O4026" s="2" t="b">
        <v>0</v>
      </c>
    </row>
    <row r="4027">
      <c r="A4027" s="8" t="s">
        <v>3105</v>
      </c>
      <c r="B4027" s="8" t="s">
        <v>3105</v>
      </c>
      <c r="C4027" s="13">
        <v>46088.35086805555</v>
      </c>
      <c r="D4027" s="2" t="s">
        <v>786</v>
      </c>
      <c r="E4027" s="2" t="s">
        <v>787</v>
      </c>
      <c r="F4027" s="14" t="s">
        <v>3516</v>
      </c>
      <c r="G4027" s="14" t="s">
        <v>3517</v>
      </c>
      <c r="H4027" s="2" t="s">
        <v>16</v>
      </c>
      <c r="I4027" s="2" t="s">
        <v>3488</v>
      </c>
      <c r="J4027" s="2">
        <v>2.0</v>
      </c>
      <c r="K4027" s="23" t="s">
        <v>6366</v>
      </c>
      <c r="L4027" s="11">
        <v>180000.0</v>
      </c>
      <c r="N4027" s="2"/>
      <c r="O4027" s="2" t="b">
        <v>0</v>
      </c>
    </row>
    <row r="4028">
      <c r="A4028" s="8" t="s">
        <v>3106</v>
      </c>
      <c r="B4028" s="8" t="s">
        <v>3106</v>
      </c>
      <c r="C4028" s="13">
        <v>46088.39173611111</v>
      </c>
      <c r="D4028" s="2" t="s">
        <v>2913</v>
      </c>
      <c r="E4028" s="2" t="s">
        <v>2914</v>
      </c>
      <c r="F4028" s="14" t="s">
        <v>3486</v>
      </c>
      <c r="G4028" s="14" t="s">
        <v>3487</v>
      </c>
      <c r="H4028" s="2" t="s">
        <v>16</v>
      </c>
      <c r="I4028" s="2" t="s">
        <v>3488</v>
      </c>
      <c r="J4028" s="2">
        <v>5.0</v>
      </c>
      <c r="K4028" s="23" t="s">
        <v>6367</v>
      </c>
      <c r="L4028" s="11">
        <v>50000.0</v>
      </c>
      <c r="N4028" s="2"/>
      <c r="O4028" s="2" t="b">
        <v>0</v>
      </c>
    </row>
    <row r="4029">
      <c r="A4029" s="8" t="s">
        <v>3107</v>
      </c>
      <c r="B4029" s="8" t="s">
        <v>3107</v>
      </c>
      <c r="C4029" s="13">
        <v>46088.392013888886</v>
      </c>
      <c r="D4029" s="2" t="s">
        <v>131</v>
      </c>
      <c r="E4029" s="2" t="s">
        <v>132</v>
      </c>
      <c r="F4029" s="14" t="s">
        <v>4203</v>
      </c>
      <c r="G4029" s="14" t="s">
        <v>4204</v>
      </c>
      <c r="H4029" s="2" t="s">
        <v>16</v>
      </c>
      <c r="I4029" s="2" t="s">
        <v>3488</v>
      </c>
      <c r="J4029" s="2">
        <v>6.0</v>
      </c>
      <c r="K4029" s="23" t="s">
        <v>6368</v>
      </c>
      <c r="L4029" s="11">
        <v>60000.0</v>
      </c>
      <c r="N4029" s="2"/>
      <c r="O4029" s="2" t="b">
        <v>0</v>
      </c>
    </row>
    <row r="4030">
      <c r="A4030" s="8" t="s">
        <v>3107</v>
      </c>
      <c r="B4030" s="8" t="s">
        <v>3107</v>
      </c>
      <c r="C4030" s="13">
        <v>46088.392013888886</v>
      </c>
      <c r="D4030" s="2" t="s">
        <v>131</v>
      </c>
      <c r="E4030" s="2" t="s">
        <v>132</v>
      </c>
      <c r="F4030" s="14" t="s">
        <v>3516</v>
      </c>
      <c r="G4030" s="14" t="s">
        <v>3517</v>
      </c>
      <c r="H4030" s="2" t="s">
        <v>16</v>
      </c>
      <c r="I4030" s="2" t="s">
        <v>3488</v>
      </c>
      <c r="J4030" s="2">
        <v>2.0</v>
      </c>
      <c r="K4030" s="23" t="s">
        <v>6369</v>
      </c>
      <c r="L4030" s="11">
        <v>180000.0</v>
      </c>
      <c r="N4030" s="2"/>
      <c r="O4030" s="2" t="b">
        <v>0</v>
      </c>
    </row>
    <row r="4031">
      <c r="A4031" s="8" t="s">
        <v>3108</v>
      </c>
      <c r="B4031" s="8" t="s">
        <v>3108</v>
      </c>
      <c r="C4031" s="13">
        <v>46088.40530092592</v>
      </c>
      <c r="D4031" s="2" t="s">
        <v>2774</v>
      </c>
      <c r="E4031" s="2" t="s">
        <v>2775</v>
      </c>
      <c r="F4031" s="14" t="s">
        <v>3486</v>
      </c>
      <c r="G4031" s="14" t="s">
        <v>3487</v>
      </c>
      <c r="H4031" s="2" t="s">
        <v>16</v>
      </c>
      <c r="I4031" s="2" t="s">
        <v>3488</v>
      </c>
      <c r="J4031" s="2">
        <v>4.0</v>
      </c>
      <c r="K4031" s="23" t="s">
        <v>6370</v>
      </c>
      <c r="L4031" s="11">
        <v>70000.0</v>
      </c>
      <c r="N4031" s="2"/>
      <c r="O4031" s="2" t="b">
        <v>0</v>
      </c>
    </row>
    <row r="4032">
      <c r="A4032" s="8" t="s">
        <v>3109</v>
      </c>
      <c r="B4032" s="8" t="s">
        <v>3109</v>
      </c>
      <c r="C4032" s="13">
        <v>46088.42587962963</v>
      </c>
      <c r="D4032" s="2" t="s">
        <v>1476</v>
      </c>
      <c r="E4032" s="2" t="s">
        <v>1477</v>
      </c>
      <c r="F4032" s="14" t="s">
        <v>3493</v>
      </c>
      <c r="G4032" s="14" t="s">
        <v>3494</v>
      </c>
      <c r="H4032" s="2" t="s">
        <v>16</v>
      </c>
      <c r="I4032" s="2" t="s">
        <v>3488</v>
      </c>
      <c r="J4032" s="2">
        <v>2.0</v>
      </c>
      <c r="K4032" s="12"/>
      <c r="L4032" s="11">
        <v>215000.0</v>
      </c>
      <c r="N4032" s="2"/>
      <c r="O4032" s="2" t="b">
        <v>0</v>
      </c>
    </row>
    <row r="4033">
      <c r="A4033" s="8" t="s">
        <v>3110</v>
      </c>
      <c r="B4033" s="8" t="s">
        <v>3110</v>
      </c>
      <c r="C4033" s="13">
        <v>46088.429502314815</v>
      </c>
      <c r="D4033" s="2" t="s">
        <v>1776</v>
      </c>
      <c r="E4033" s="2" t="s">
        <v>1777</v>
      </c>
      <c r="F4033" s="14" t="s">
        <v>3493</v>
      </c>
      <c r="G4033" s="14" t="s">
        <v>3494</v>
      </c>
      <c r="H4033" s="2" t="s">
        <v>24</v>
      </c>
      <c r="I4033" s="2" t="s">
        <v>3491</v>
      </c>
      <c r="J4033" s="2">
        <v>1.0</v>
      </c>
      <c r="K4033" s="12" t="s">
        <v>6195</v>
      </c>
      <c r="L4033" s="11">
        <v>0.0</v>
      </c>
      <c r="N4033" s="2"/>
      <c r="O4033" s="2" t="b">
        <v>0</v>
      </c>
    </row>
    <row r="4034">
      <c r="A4034" s="8" t="s">
        <v>3111</v>
      </c>
      <c r="B4034" s="8" t="s">
        <v>3111</v>
      </c>
      <c r="C4034" s="13">
        <v>46088.44525462963</v>
      </c>
      <c r="D4034" s="2" t="s">
        <v>131</v>
      </c>
      <c r="E4034" s="2" t="s">
        <v>132</v>
      </c>
      <c r="F4034" s="14" t="s">
        <v>3516</v>
      </c>
      <c r="G4034" s="14" t="s">
        <v>3517</v>
      </c>
      <c r="H4034" s="2" t="s">
        <v>24</v>
      </c>
      <c r="I4034" s="2" t="s">
        <v>3491</v>
      </c>
      <c r="J4034" s="2">
        <v>1.0</v>
      </c>
      <c r="K4034" s="23" t="s">
        <v>4498</v>
      </c>
      <c r="L4034" s="11">
        <v>0.0</v>
      </c>
      <c r="N4034" s="2"/>
      <c r="O4034" s="2" t="b">
        <v>0</v>
      </c>
    </row>
    <row r="4035">
      <c r="A4035" s="8" t="s">
        <v>3112</v>
      </c>
      <c r="B4035" s="8" t="s">
        <v>3112</v>
      </c>
      <c r="C4035" s="13">
        <v>46088.44587962963</v>
      </c>
      <c r="D4035" s="2" t="s">
        <v>2913</v>
      </c>
      <c r="E4035" s="2" t="s">
        <v>2914</v>
      </c>
      <c r="F4035" s="14" t="s">
        <v>3486</v>
      </c>
      <c r="G4035" s="14" t="s">
        <v>3487</v>
      </c>
      <c r="H4035" s="2" t="s">
        <v>24</v>
      </c>
      <c r="I4035" s="2" t="s">
        <v>3491</v>
      </c>
      <c r="J4035" s="2">
        <v>7.0</v>
      </c>
      <c r="K4035" s="23" t="s">
        <v>6371</v>
      </c>
      <c r="L4035" s="11">
        <v>0.0</v>
      </c>
      <c r="N4035" s="2"/>
      <c r="O4035" s="2" t="b">
        <v>0</v>
      </c>
    </row>
    <row r="4036">
      <c r="A4036" s="8" t="s">
        <v>3113</v>
      </c>
      <c r="B4036" s="8" t="s">
        <v>3113</v>
      </c>
      <c r="C4036" s="13">
        <v>46088.60706018518</v>
      </c>
      <c r="D4036" s="2" t="s">
        <v>786</v>
      </c>
      <c r="E4036" s="2" t="s">
        <v>787</v>
      </c>
      <c r="F4036" s="14" t="s">
        <v>3486</v>
      </c>
      <c r="G4036" s="14" t="s">
        <v>3487</v>
      </c>
      <c r="H4036" s="2" t="s">
        <v>24</v>
      </c>
      <c r="I4036" s="2" t="s">
        <v>3491</v>
      </c>
      <c r="J4036" s="2">
        <v>1.0</v>
      </c>
      <c r="K4036" s="23" t="s">
        <v>4953</v>
      </c>
      <c r="L4036" s="11">
        <v>0.0</v>
      </c>
      <c r="N4036" s="2"/>
      <c r="O4036" s="2" t="b">
        <v>0</v>
      </c>
    </row>
    <row r="4037">
      <c r="A4037" s="8" t="s">
        <v>3113</v>
      </c>
      <c r="B4037" s="8" t="s">
        <v>3113</v>
      </c>
      <c r="C4037" s="13">
        <v>46088.60706018518</v>
      </c>
      <c r="D4037" s="2" t="s">
        <v>786</v>
      </c>
      <c r="E4037" s="2" t="s">
        <v>787</v>
      </c>
      <c r="F4037" s="14" t="s">
        <v>3516</v>
      </c>
      <c r="G4037" s="14" t="s">
        <v>3517</v>
      </c>
      <c r="H4037" s="2" t="s">
        <v>24</v>
      </c>
      <c r="I4037" s="2" t="s">
        <v>3491</v>
      </c>
      <c r="J4037" s="2">
        <v>2.0</v>
      </c>
      <c r="K4037" s="23" t="s">
        <v>6372</v>
      </c>
      <c r="L4037" s="11">
        <v>0.0</v>
      </c>
      <c r="N4037" s="2"/>
      <c r="O4037" s="2" t="b">
        <v>0</v>
      </c>
    </row>
    <row r="4038">
      <c r="A4038" s="8" t="s">
        <v>3114</v>
      </c>
      <c r="B4038" s="8" t="s">
        <v>3114</v>
      </c>
      <c r="C4038" s="13">
        <v>46088.607453703706</v>
      </c>
      <c r="D4038" s="2" t="s">
        <v>1975</v>
      </c>
      <c r="E4038" s="2" t="s">
        <v>1976</v>
      </c>
      <c r="F4038" s="14" t="s">
        <v>3486</v>
      </c>
      <c r="G4038" s="14" t="s">
        <v>3487</v>
      </c>
      <c r="H4038" s="2" t="s">
        <v>24</v>
      </c>
      <c r="I4038" s="2" t="s">
        <v>3491</v>
      </c>
      <c r="J4038" s="2">
        <v>4.0</v>
      </c>
      <c r="K4038" s="23" t="s">
        <v>6373</v>
      </c>
      <c r="L4038" s="11">
        <v>0.0</v>
      </c>
      <c r="N4038" s="2"/>
      <c r="O4038" s="2" t="b">
        <v>0</v>
      </c>
    </row>
    <row r="4039">
      <c r="A4039" s="8" t="s">
        <v>3114</v>
      </c>
      <c r="B4039" s="8" t="s">
        <v>3114</v>
      </c>
      <c r="C4039" s="13">
        <v>46088.607453703706</v>
      </c>
      <c r="D4039" s="2" t="s">
        <v>1975</v>
      </c>
      <c r="E4039" s="2" t="s">
        <v>1976</v>
      </c>
      <c r="F4039" s="14" t="s">
        <v>4203</v>
      </c>
      <c r="G4039" s="14" t="s">
        <v>4204</v>
      </c>
      <c r="H4039" s="2" t="s">
        <v>24</v>
      </c>
      <c r="I4039" s="2" t="s">
        <v>3491</v>
      </c>
      <c r="J4039" s="2">
        <v>1.0</v>
      </c>
      <c r="K4039" s="23" t="s">
        <v>5892</v>
      </c>
      <c r="L4039" s="11">
        <v>0.0</v>
      </c>
      <c r="N4039" s="2"/>
      <c r="O4039" s="2" t="b">
        <v>0</v>
      </c>
    </row>
    <row r="4040">
      <c r="A4040" s="8" t="s">
        <v>3115</v>
      </c>
      <c r="B4040" s="8" t="s">
        <v>3115</v>
      </c>
      <c r="C4040" s="13">
        <v>46088.60885416667</v>
      </c>
      <c r="D4040" s="2" t="s">
        <v>2623</v>
      </c>
      <c r="E4040" s="2" t="s">
        <v>2624</v>
      </c>
      <c r="F4040" s="14" t="s">
        <v>3522</v>
      </c>
      <c r="G4040" s="14" t="s">
        <v>3523</v>
      </c>
      <c r="H4040" s="2" t="s">
        <v>24</v>
      </c>
      <c r="I4040" s="2" t="s">
        <v>3491</v>
      </c>
      <c r="J4040" s="2">
        <v>2.0</v>
      </c>
      <c r="K4040" s="23" t="s">
        <v>6374</v>
      </c>
      <c r="L4040" s="11">
        <v>0.0</v>
      </c>
      <c r="N4040" s="2"/>
      <c r="O4040" s="2" t="b">
        <v>0</v>
      </c>
    </row>
    <row r="4041">
      <c r="A4041" s="8" t="s">
        <v>3116</v>
      </c>
      <c r="B4041" s="8" t="s">
        <v>3116</v>
      </c>
      <c r="C4041" s="13">
        <v>46088.609560185185</v>
      </c>
      <c r="D4041" s="2" t="s">
        <v>1084</v>
      </c>
      <c r="E4041" s="2" t="s">
        <v>1085</v>
      </c>
      <c r="F4041" s="14" t="s">
        <v>3486</v>
      </c>
      <c r="G4041" s="14" t="s">
        <v>3487</v>
      </c>
      <c r="H4041" s="2" t="s">
        <v>16</v>
      </c>
      <c r="I4041" s="2" t="s">
        <v>3488</v>
      </c>
      <c r="J4041" s="2">
        <v>8.0</v>
      </c>
      <c r="K4041" s="23" t="s">
        <v>6375</v>
      </c>
      <c r="L4041" s="11">
        <v>60000.0</v>
      </c>
      <c r="N4041" s="2"/>
      <c r="O4041" s="2" t="b">
        <v>0</v>
      </c>
    </row>
    <row r="4042">
      <c r="A4042" s="8" t="s">
        <v>3116</v>
      </c>
      <c r="B4042" s="8" t="s">
        <v>3116</v>
      </c>
      <c r="C4042" s="13">
        <v>46088.609560185185</v>
      </c>
      <c r="D4042" s="2" t="s">
        <v>1084</v>
      </c>
      <c r="E4042" s="2" t="s">
        <v>1085</v>
      </c>
      <c r="F4042" s="14" t="s">
        <v>4203</v>
      </c>
      <c r="G4042" s="14" t="s">
        <v>4204</v>
      </c>
      <c r="H4042" s="2" t="s">
        <v>16</v>
      </c>
      <c r="I4042" s="2" t="s">
        <v>3488</v>
      </c>
      <c r="J4042" s="2">
        <v>2.0</v>
      </c>
      <c r="K4042" s="23" t="s">
        <v>6376</v>
      </c>
      <c r="L4042" s="11">
        <v>70000.0</v>
      </c>
      <c r="N4042" s="2"/>
      <c r="O4042" s="2" t="b">
        <v>0</v>
      </c>
    </row>
    <row r="4043">
      <c r="A4043" s="8" t="s">
        <v>3118</v>
      </c>
      <c r="B4043" s="8" t="s">
        <v>3118</v>
      </c>
      <c r="C4043" s="13">
        <v>46088.638391203705</v>
      </c>
      <c r="D4043" s="2" t="s">
        <v>1993</v>
      </c>
      <c r="E4043" s="2" t="s">
        <v>1994</v>
      </c>
      <c r="F4043" s="14" t="s">
        <v>3486</v>
      </c>
      <c r="G4043" s="14" t="s">
        <v>3487</v>
      </c>
      <c r="H4043" s="2" t="s">
        <v>24</v>
      </c>
      <c r="I4043" s="2" t="s">
        <v>3491</v>
      </c>
      <c r="J4043" s="2">
        <v>8.0</v>
      </c>
      <c r="K4043" s="23" t="s">
        <v>6377</v>
      </c>
      <c r="L4043" s="11">
        <v>0.0</v>
      </c>
      <c r="N4043" s="2"/>
      <c r="O4043" s="2" t="b">
        <v>0</v>
      </c>
    </row>
    <row r="4044">
      <c r="A4044" s="8" t="s">
        <v>3118</v>
      </c>
      <c r="B4044" s="8" t="s">
        <v>3118</v>
      </c>
      <c r="C4044" s="13">
        <v>46088.638391203705</v>
      </c>
      <c r="D4044" s="2" t="s">
        <v>1993</v>
      </c>
      <c r="E4044" s="2" t="s">
        <v>1994</v>
      </c>
      <c r="F4044" s="14" t="s">
        <v>3516</v>
      </c>
      <c r="G4044" s="14" t="s">
        <v>3517</v>
      </c>
      <c r="H4044" s="2" t="s">
        <v>24</v>
      </c>
      <c r="I4044" s="2" t="s">
        <v>3491</v>
      </c>
      <c r="J4044" s="2">
        <v>2.0</v>
      </c>
      <c r="K4044" s="23" t="s">
        <v>6378</v>
      </c>
      <c r="L4044" s="11">
        <v>0.0</v>
      </c>
      <c r="N4044" s="2"/>
      <c r="O4044" s="2" t="b">
        <v>0</v>
      </c>
    </row>
    <row r="4045">
      <c r="A4045" s="8" t="s">
        <v>3119</v>
      </c>
      <c r="B4045" s="8" t="s">
        <v>3119</v>
      </c>
      <c r="C4045" s="13">
        <v>46088.63960648148</v>
      </c>
      <c r="D4045" s="2" t="s">
        <v>2774</v>
      </c>
      <c r="E4045" s="2" t="s">
        <v>2775</v>
      </c>
      <c r="F4045" s="14" t="s">
        <v>3486</v>
      </c>
      <c r="G4045" s="14" t="s">
        <v>3487</v>
      </c>
      <c r="H4045" s="2" t="s">
        <v>24</v>
      </c>
      <c r="I4045" s="2" t="s">
        <v>3491</v>
      </c>
      <c r="J4045" s="2">
        <v>4.0</v>
      </c>
      <c r="K4045" s="23" t="s">
        <v>6379</v>
      </c>
      <c r="L4045" s="11">
        <v>0.0</v>
      </c>
      <c r="N4045" s="2"/>
      <c r="O4045" s="2" t="b">
        <v>0</v>
      </c>
    </row>
    <row r="4046">
      <c r="A4046" s="8" t="s">
        <v>3120</v>
      </c>
      <c r="B4046" s="8" t="s">
        <v>3120</v>
      </c>
      <c r="C4046" s="13">
        <v>46088.640081018515</v>
      </c>
      <c r="D4046" s="2" t="s">
        <v>1476</v>
      </c>
      <c r="E4046" s="2" t="s">
        <v>1477</v>
      </c>
      <c r="F4046" s="14" t="s">
        <v>3493</v>
      </c>
      <c r="G4046" s="14" t="s">
        <v>3494</v>
      </c>
      <c r="H4046" s="2" t="s">
        <v>24</v>
      </c>
      <c r="I4046" s="2" t="s">
        <v>3491</v>
      </c>
      <c r="J4046" s="2">
        <v>2.0</v>
      </c>
      <c r="K4046" s="12"/>
      <c r="L4046" s="11">
        <v>0.0</v>
      </c>
      <c r="N4046" s="2"/>
      <c r="O4046" s="2" t="b">
        <v>0</v>
      </c>
    </row>
    <row r="4047">
      <c r="A4047" s="8" t="s">
        <v>3121</v>
      </c>
      <c r="B4047" s="8" t="s">
        <v>3121</v>
      </c>
      <c r="C4047" s="13">
        <v>46088.64165509259</v>
      </c>
      <c r="D4047" s="10" t="s">
        <v>3122</v>
      </c>
      <c r="E4047" s="2" t="s">
        <v>3123</v>
      </c>
      <c r="F4047" s="14" t="s">
        <v>3506</v>
      </c>
      <c r="G4047" s="14" t="s">
        <v>3507</v>
      </c>
      <c r="H4047" s="2" t="s">
        <v>16</v>
      </c>
      <c r="I4047" s="2" t="s">
        <v>3488</v>
      </c>
      <c r="J4047" s="2">
        <v>1.0</v>
      </c>
      <c r="K4047" s="12"/>
      <c r="L4047" s="11">
        <v>70000.0</v>
      </c>
      <c r="N4047" s="2"/>
      <c r="O4047" s="2" t="b">
        <v>0</v>
      </c>
    </row>
    <row r="4048">
      <c r="A4048" s="8" t="s">
        <v>3117</v>
      </c>
      <c r="B4048" s="8" t="s">
        <v>3117</v>
      </c>
      <c r="C4048" s="13">
        <v>46088.642280092594</v>
      </c>
      <c r="D4048" s="2" t="s">
        <v>1993</v>
      </c>
      <c r="E4048" s="2" t="s">
        <v>1994</v>
      </c>
      <c r="F4048" s="14" t="s">
        <v>3486</v>
      </c>
      <c r="G4048" s="14" t="s">
        <v>3487</v>
      </c>
      <c r="H4048" s="2" t="s">
        <v>16</v>
      </c>
      <c r="I4048" s="2" t="s">
        <v>3488</v>
      </c>
      <c r="J4048" s="2">
        <v>7.0</v>
      </c>
      <c r="K4048" s="23" t="s">
        <v>6380</v>
      </c>
      <c r="L4048" s="11">
        <v>65000.0</v>
      </c>
      <c r="N4048" s="2"/>
      <c r="O4048" s="2" t="b">
        <v>0</v>
      </c>
    </row>
    <row r="4049">
      <c r="A4049" s="8" t="s">
        <v>3117</v>
      </c>
      <c r="B4049" s="8" t="s">
        <v>3117</v>
      </c>
      <c r="C4049" s="13">
        <v>46088.642280092594</v>
      </c>
      <c r="D4049" s="2" t="s">
        <v>1993</v>
      </c>
      <c r="E4049" s="2" t="s">
        <v>1994</v>
      </c>
      <c r="F4049" s="14" t="s">
        <v>3516</v>
      </c>
      <c r="G4049" s="14" t="s">
        <v>3517</v>
      </c>
      <c r="H4049" s="2" t="s">
        <v>16</v>
      </c>
      <c r="I4049" s="2" t="s">
        <v>3488</v>
      </c>
      <c r="J4049" s="2">
        <v>1.0</v>
      </c>
      <c r="K4049" s="23" t="s">
        <v>4505</v>
      </c>
      <c r="L4049" s="11">
        <v>190000.0</v>
      </c>
      <c r="N4049" s="2"/>
      <c r="O4049" s="2" t="b">
        <v>0</v>
      </c>
    </row>
    <row r="4050">
      <c r="A4050" s="8" t="s">
        <v>3125</v>
      </c>
      <c r="B4050" s="8" t="s">
        <v>3125</v>
      </c>
      <c r="C4050" s="13">
        <v>46088.66840277778</v>
      </c>
      <c r="D4050" s="2" t="s">
        <v>1084</v>
      </c>
      <c r="E4050" s="2" t="s">
        <v>1085</v>
      </c>
      <c r="F4050" s="14" t="s">
        <v>3486</v>
      </c>
      <c r="G4050" s="14" t="s">
        <v>3487</v>
      </c>
      <c r="H4050" s="2" t="s">
        <v>24</v>
      </c>
      <c r="I4050" s="2" t="s">
        <v>3491</v>
      </c>
      <c r="J4050" s="2">
        <v>4.0</v>
      </c>
      <c r="K4050" s="23" t="s">
        <v>6381</v>
      </c>
      <c r="L4050" s="11">
        <v>0.0</v>
      </c>
      <c r="N4050" s="2"/>
      <c r="O4050" s="2" t="b">
        <v>0</v>
      </c>
    </row>
    <row r="4051">
      <c r="A4051" s="8" t="s">
        <v>3125</v>
      </c>
      <c r="B4051" s="8" t="s">
        <v>3125</v>
      </c>
      <c r="C4051" s="13">
        <v>46088.66840277778</v>
      </c>
      <c r="D4051" s="2" t="s">
        <v>1084</v>
      </c>
      <c r="E4051" s="2" t="s">
        <v>1085</v>
      </c>
      <c r="F4051" s="14" t="s">
        <v>3516</v>
      </c>
      <c r="G4051" s="14" t="s">
        <v>3517</v>
      </c>
      <c r="H4051" s="2" t="s">
        <v>24</v>
      </c>
      <c r="I4051" s="2" t="s">
        <v>3491</v>
      </c>
      <c r="J4051" s="2">
        <v>1.0</v>
      </c>
      <c r="K4051" s="23" t="s">
        <v>4662</v>
      </c>
      <c r="L4051" s="11">
        <v>0.0</v>
      </c>
      <c r="N4051" s="2"/>
      <c r="O4051" s="2" t="b">
        <v>0</v>
      </c>
    </row>
    <row r="4052">
      <c r="A4052" s="8" t="s">
        <v>3125</v>
      </c>
      <c r="B4052" s="8" t="s">
        <v>3125</v>
      </c>
      <c r="C4052" s="13">
        <v>46088.66840277778</v>
      </c>
      <c r="D4052" s="2" t="s">
        <v>1084</v>
      </c>
      <c r="E4052" s="2" t="s">
        <v>1085</v>
      </c>
      <c r="F4052" s="14" t="s">
        <v>4203</v>
      </c>
      <c r="G4052" s="14" t="s">
        <v>4204</v>
      </c>
      <c r="H4052" s="2" t="s">
        <v>24</v>
      </c>
      <c r="I4052" s="2" t="s">
        <v>3491</v>
      </c>
      <c r="J4052" s="2">
        <v>1.0</v>
      </c>
      <c r="K4052" s="23" t="s">
        <v>6382</v>
      </c>
      <c r="L4052" s="11">
        <v>0.0</v>
      </c>
      <c r="N4052" s="2"/>
      <c r="O4052" s="2" t="b">
        <v>0</v>
      </c>
    </row>
    <row r="4053">
      <c r="A4053" s="8" t="s">
        <v>3126</v>
      </c>
      <c r="B4053" s="8" t="s">
        <v>3126</v>
      </c>
      <c r="C4053" s="13">
        <v>46090.36945601852</v>
      </c>
      <c r="D4053" s="2" t="s">
        <v>904</v>
      </c>
      <c r="E4053" s="2" t="s">
        <v>905</v>
      </c>
      <c r="F4053" s="14" t="s">
        <v>3486</v>
      </c>
      <c r="G4053" s="14" t="s">
        <v>3487</v>
      </c>
      <c r="H4053" s="2" t="s">
        <v>16</v>
      </c>
      <c r="I4053" s="2" t="s">
        <v>3488</v>
      </c>
      <c r="J4053" s="2">
        <v>2.0</v>
      </c>
      <c r="K4053" s="23" t="s">
        <v>6383</v>
      </c>
      <c r="L4053" s="11">
        <v>70000.0</v>
      </c>
      <c r="N4053" s="2"/>
      <c r="O4053" s="2" t="b">
        <v>0</v>
      </c>
    </row>
    <row r="4054">
      <c r="A4054" s="8" t="s">
        <v>3127</v>
      </c>
      <c r="B4054" s="8" t="s">
        <v>3127</v>
      </c>
      <c r="C4054" s="13">
        <v>46090.36987268519</v>
      </c>
      <c r="D4054" s="2" t="s">
        <v>2131</v>
      </c>
      <c r="E4054" s="2" t="s">
        <v>2132</v>
      </c>
      <c r="F4054" s="14" t="s">
        <v>3486</v>
      </c>
      <c r="G4054" s="14" t="s">
        <v>3487</v>
      </c>
      <c r="H4054" s="2" t="s">
        <v>16</v>
      </c>
      <c r="I4054" s="2" t="s">
        <v>3488</v>
      </c>
      <c r="J4054" s="2">
        <v>10.0</v>
      </c>
      <c r="K4054" s="23" t="s">
        <v>6384</v>
      </c>
      <c r="L4054" s="11">
        <v>60000.0</v>
      </c>
      <c r="N4054" s="2"/>
      <c r="O4054" s="2" t="b">
        <v>0</v>
      </c>
    </row>
    <row r="4055">
      <c r="A4055" s="8" t="s">
        <v>3127</v>
      </c>
      <c r="B4055" s="8" t="s">
        <v>3127</v>
      </c>
      <c r="C4055" s="13">
        <v>46090.36987268519</v>
      </c>
      <c r="D4055" s="2" t="s">
        <v>2131</v>
      </c>
      <c r="E4055" s="2" t="s">
        <v>2132</v>
      </c>
      <c r="F4055" s="14" t="s">
        <v>3493</v>
      </c>
      <c r="G4055" s="14" t="s">
        <v>3494</v>
      </c>
      <c r="H4055" s="2" t="s">
        <v>16</v>
      </c>
      <c r="I4055" s="2" t="s">
        <v>3488</v>
      </c>
      <c r="J4055" s="2">
        <v>1.0</v>
      </c>
      <c r="K4055" s="12" t="s">
        <v>6195</v>
      </c>
      <c r="L4055" s="11">
        <v>210000.0</v>
      </c>
      <c r="N4055" s="2"/>
      <c r="O4055" s="2" t="b">
        <v>0</v>
      </c>
    </row>
    <row r="4056">
      <c r="A4056" s="8" t="s">
        <v>3128</v>
      </c>
      <c r="B4056" s="8" t="s">
        <v>3128</v>
      </c>
      <c r="C4056" s="13">
        <v>46090.40020833333</v>
      </c>
      <c r="D4056" s="2" t="s">
        <v>1889</v>
      </c>
      <c r="E4056" s="2" t="s">
        <v>1890</v>
      </c>
      <c r="F4056" s="14" t="s">
        <v>3486</v>
      </c>
      <c r="G4056" s="14" t="s">
        <v>3487</v>
      </c>
      <c r="H4056" s="2" t="s">
        <v>16</v>
      </c>
      <c r="I4056" s="2" t="s">
        <v>3488</v>
      </c>
      <c r="J4056" s="2">
        <v>1.0</v>
      </c>
      <c r="K4056" s="23" t="s">
        <v>6288</v>
      </c>
      <c r="L4056" s="11">
        <v>60000.0</v>
      </c>
      <c r="N4056" s="2" t="s">
        <v>6385</v>
      </c>
      <c r="O4056" s="2" t="b">
        <v>0</v>
      </c>
    </row>
    <row r="4057">
      <c r="A4057" s="8" t="s">
        <v>3129</v>
      </c>
      <c r="B4057" s="8" t="s">
        <v>3129</v>
      </c>
      <c r="C4057" s="13">
        <v>46090.401400462964</v>
      </c>
      <c r="D4057" s="2" t="s">
        <v>1889</v>
      </c>
      <c r="E4057" s="2" t="s">
        <v>1890</v>
      </c>
      <c r="F4057" s="14" t="s">
        <v>3486</v>
      </c>
      <c r="G4057" s="14" t="s">
        <v>3487</v>
      </c>
      <c r="H4057" s="2" t="s">
        <v>16</v>
      </c>
      <c r="I4057" s="2" t="s">
        <v>3488</v>
      </c>
      <c r="J4057" s="2">
        <v>1.0</v>
      </c>
      <c r="K4057" s="23" t="s">
        <v>6386</v>
      </c>
      <c r="L4057" s="11">
        <v>60000.0</v>
      </c>
      <c r="N4057" s="2" t="s">
        <v>6387</v>
      </c>
      <c r="O4057" s="2" t="b">
        <v>0</v>
      </c>
    </row>
    <row r="4058">
      <c r="A4058" s="8" t="s">
        <v>3130</v>
      </c>
      <c r="B4058" s="8" t="s">
        <v>3130</v>
      </c>
      <c r="C4058" s="13">
        <v>46090.40185185185</v>
      </c>
      <c r="D4058" s="2" t="s">
        <v>1889</v>
      </c>
      <c r="E4058" s="2" t="s">
        <v>1890</v>
      </c>
      <c r="F4058" s="14" t="s">
        <v>3486</v>
      </c>
      <c r="G4058" s="14" t="s">
        <v>3487</v>
      </c>
      <c r="H4058" s="2" t="s">
        <v>16</v>
      </c>
      <c r="I4058" s="2" t="s">
        <v>3488</v>
      </c>
      <c r="J4058" s="2">
        <v>1.0</v>
      </c>
      <c r="K4058" s="23" t="s">
        <v>6388</v>
      </c>
      <c r="L4058" s="11">
        <v>60000.0</v>
      </c>
      <c r="N4058" s="2" t="s">
        <v>6389</v>
      </c>
      <c r="O4058" s="2" t="b">
        <v>0</v>
      </c>
    </row>
    <row r="4059">
      <c r="A4059" s="8" t="s">
        <v>3131</v>
      </c>
      <c r="B4059" s="8" t="s">
        <v>3131</v>
      </c>
      <c r="C4059" s="13">
        <v>46090.42612268519</v>
      </c>
      <c r="D4059" s="2" t="s">
        <v>2623</v>
      </c>
      <c r="E4059" s="2" t="s">
        <v>2624</v>
      </c>
      <c r="F4059" s="14" t="s">
        <v>3522</v>
      </c>
      <c r="G4059" s="14" t="s">
        <v>3523</v>
      </c>
      <c r="H4059" s="2" t="s">
        <v>16</v>
      </c>
      <c r="I4059" s="2" t="s">
        <v>3488</v>
      </c>
      <c r="J4059" s="2">
        <v>2.0</v>
      </c>
      <c r="K4059" s="23" t="s">
        <v>6390</v>
      </c>
      <c r="L4059" s="11">
        <v>225000.0</v>
      </c>
      <c r="N4059" s="2"/>
      <c r="O4059" s="2" t="b">
        <v>0</v>
      </c>
    </row>
    <row r="4060">
      <c r="A4060" s="8" t="s">
        <v>3132</v>
      </c>
      <c r="B4060" s="8" t="s">
        <v>3132</v>
      </c>
      <c r="C4060" s="13">
        <v>46090.470509259256</v>
      </c>
      <c r="D4060" s="2" t="s">
        <v>2131</v>
      </c>
      <c r="E4060" s="2" t="s">
        <v>2132</v>
      </c>
      <c r="F4060" s="14" t="s">
        <v>3486</v>
      </c>
      <c r="G4060" s="14" t="s">
        <v>3487</v>
      </c>
      <c r="H4060" s="2" t="s">
        <v>24</v>
      </c>
      <c r="I4060" s="2" t="s">
        <v>3491</v>
      </c>
      <c r="J4060" s="2">
        <v>4.0</v>
      </c>
      <c r="K4060" s="23" t="s">
        <v>6391</v>
      </c>
      <c r="L4060" s="11">
        <v>0.0</v>
      </c>
      <c r="N4060" s="2"/>
      <c r="O4060" s="2" t="b">
        <v>0</v>
      </c>
    </row>
    <row r="4061">
      <c r="A4061" s="8" t="s">
        <v>3132</v>
      </c>
      <c r="B4061" s="8" t="s">
        <v>3132</v>
      </c>
      <c r="C4061" s="13">
        <v>46090.470509259256</v>
      </c>
      <c r="D4061" s="2" t="s">
        <v>2131</v>
      </c>
      <c r="E4061" s="2" t="s">
        <v>2132</v>
      </c>
      <c r="F4061" s="14" t="s">
        <v>3493</v>
      </c>
      <c r="G4061" s="14" t="s">
        <v>3494</v>
      </c>
      <c r="H4061" s="2" t="s">
        <v>24</v>
      </c>
      <c r="I4061" s="2" t="s">
        <v>3491</v>
      </c>
      <c r="J4061" s="2">
        <v>1.0</v>
      </c>
      <c r="K4061" s="12" t="s">
        <v>6195</v>
      </c>
      <c r="L4061" s="11">
        <v>0.0</v>
      </c>
      <c r="N4061" s="2"/>
      <c r="O4061" s="2" t="b">
        <v>0</v>
      </c>
    </row>
    <row r="4062">
      <c r="A4062" s="8" t="s">
        <v>3133</v>
      </c>
      <c r="B4062" s="8" t="s">
        <v>3133</v>
      </c>
      <c r="C4062" s="13">
        <v>46090.47122685185</v>
      </c>
      <c r="D4062" s="2" t="s">
        <v>904</v>
      </c>
      <c r="E4062" s="2" t="s">
        <v>905</v>
      </c>
      <c r="F4062" s="14" t="s">
        <v>4203</v>
      </c>
      <c r="G4062" s="14" t="s">
        <v>4204</v>
      </c>
      <c r="H4062" s="2" t="s">
        <v>24</v>
      </c>
      <c r="I4062" s="2" t="s">
        <v>3491</v>
      </c>
      <c r="J4062" s="2">
        <v>2.0</v>
      </c>
      <c r="K4062" s="23" t="s">
        <v>6392</v>
      </c>
      <c r="L4062" s="11">
        <v>0.0</v>
      </c>
      <c r="N4062" s="2"/>
      <c r="O4062" s="2" t="b">
        <v>0</v>
      </c>
    </row>
    <row r="4063">
      <c r="A4063" s="8" t="s">
        <v>3134</v>
      </c>
      <c r="B4063" s="8" t="s">
        <v>3134</v>
      </c>
      <c r="C4063" s="13">
        <v>46090.502071759256</v>
      </c>
      <c r="D4063" s="2" t="s">
        <v>1889</v>
      </c>
      <c r="E4063" s="2" t="s">
        <v>1890</v>
      </c>
      <c r="F4063" s="14" t="s">
        <v>3486</v>
      </c>
      <c r="G4063" s="14" t="s">
        <v>3487</v>
      </c>
      <c r="H4063" s="2" t="s">
        <v>24</v>
      </c>
      <c r="I4063" s="2" t="s">
        <v>3491</v>
      </c>
      <c r="J4063" s="2">
        <v>1.0</v>
      </c>
      <c r="K4063" s="23" t="s">
        <v>4608</v>
      </c>
      <c r="L4063" s="11">
        <v>0.0</v>
      </c>
      <c r="N4063" s="2"/>
      <c r="O4063" s="2" t="b">
        <v>0</v>
      </c>
    </row>
    <row r="4064">
      <c r="A4064" s="8" t="s">
        <v>3135</v>
      </c>
      <c r="B4064" s="8" t="s">
        <v>3135</v>
      </c>
      <c r="C4064" s="13">
        <v>46090.51435185185</v>
      </c>
      <c r="D4064" s="2" t="s">
        <v>1745</v>
      </c>
      <c r="E4064" s="2" t="s">
        <v>1746</v>
      </c>
      <c r="F4064" s="14" t="s">
        <v>3506</v>
      </c>
      <c r="G4064" s="14" t="s">
        <v>3507</v>
      </c>
      <c r="H4064" s="2" t="s">
        <v>16</v>
      </c>
      <c r="I4064" s="2" t="s">
        <v>3488</v>
      </c>
      <c r="J4064" s="2">
        <v>1.0</v>
      </c>
      <c r="K4064" s="12"/>
      <c r="L4064" s="11">
        <v>60000.0</v>
      </c>
      <c r="N4064" s="2"/>
      <c r="O4064" s="2" t="b">
        <v>0</v>
      </c>
    </row>
    <row r="4065">
      <c r="A4065" s="8" t="s">
        <v>3135</v>
      </c>
      <c r="B4065" s="8" t="s">
        <v>3135</v>
      </c>
      <c r="C4065" s="13">
        <v>46090.51435185185</v>
      </c>
      <c r="D4065" s="2" t="s">
        <v>1745</v>
      </c>
      <c r="E4065" s="2" t="s">
        <v>1746</v>
      </c>
      <c r="F4065" s="14" t="s">
        <v>3522</v>
      </c>
      <c r="G4065" s="14" t="s">
        <v>3523</v>
      </c>
      <c r="H4065" s="2" t="s">
        <v>16</v>
      </c>
      <c r="I4065" s="2" t="s">
        <v>3488</v>
      </c>
      <c r="J4065" s="2">
        <v>1.0</v>
      </c>
      <c r="K4065" s="23" t="s">
        <v>4298</v>
      </c>
      <c r="L4065" s="11">
        <v>250000.0</v>
      </c>
      <c r="N4065" s="2"/>
      <c r="O4065" s="2" t="b">
        <v>0</v>
      </c>
    </row>
    <row r="4066">
      <c r="A4066" s="8" t="s">
        <v>3136</v>
      </c>
      <c r="B4066" s="8" t="s">
        <v>3136</v>
      </c>
      <c r="C4066" s="13">
        <v>46090.658368055556</v>
      </c>
      <c r="D4066" s="2" t="s">
        <v>2543</v>
      </c>
      <c r="E4066" s="2" t="s">
        <v>2544</v>
      </c>
      <c r="F4066" s="14" t="s">
        <v>3486</v>
      </c>
      <c r="G4066" s="14" t="s">
        <v>3487</v>
      </c>
      <c r="H4066" s="2" t="s">
        <v>24</v>
      </c>
      <c r="I4066" s="2" t="s">
        <v>3491</v>
      </c>
      <c r="J4066" s="2">
        <v>1.0</v>
      </c>
      <c r="K4066" s="23" t="s">
        <v>4005</v>
      </c>
      <c r="L4066" s="11">
        <v>0.0</v>
      </c>
      <c r="N4066" s="2"/>
      <c r="O4066" s="2" t="b">
        <v>0</v>
      </c>
    </row>
    <row r="4067">
      <c r="A4067" s="8" t="s">
        <v>3136</v>
      </c>
      <c r="B4067" s="8" t="s">
        <v>3136</v>
      </c>
      <c r="C4067" s="13">
        <v>46090.658368055556</v>
      </c>
      <c r="D4067" s="2" t="s">
        <v>2543</v>
      </c>
      <c r="E4067" s="2" t="s">
        <v>2544</v>
      </c>
      <c r="F4067" s="14" t="s">
        <v>3516</v>
      </c>
      <c r="G4067" s="14" t="s">
        <v>3517</v>
      </c>
      <c r="H4067" s="2" t="s">
        <v>24</v>
      </c>
      <c r="I4067" s="2" t="s">
        <v>3491</v>
      </c>
      <c r="J4067" s="2">
        <v>2.0</v>
      </c>
      <c r="K4067" s="23" t="s">
        <v>6393</v>
      </c>
      <c r="L4067" s="11">
        <v>0.0</v>
      </c>
      <c r="N4067" s="2"/>
      <c r="O4067" s="2" t="b">
        <v>0</v>
      </c>
    </row>
    <row r="4068">
      <c r="A4068" s="8" t="s">
        <v>3137</v>
      </c>
      <c r="B4068" s="8" t="s">
        <v>3137</v>
      </c>
      <c r="C4068" s="13">
        <v>46090.65888888889</v>
      </c>
      <c r="D4068" s="2" t="s">
        <v>2005</v>
      </c>
      <c r="E4068" s="2" t="s">
        <v>2006</v>
      </c>
      <c r="F4068" s="14" t="s">
        <v>3486</v>
      </c>
      <c r="G4068" s="14" t="s">
        <v>3487</v>
      </c>
      <c r="H4068" s="2" t="s">
        <v>24</v>
      </c>
      <c r="I4068" s="2" t="s">
        <v>3491</v>
      </c>
      <c r="J4068" s="2">
        <v>6.0</v>
      </c>
      <c r="K4068" s="23" t="s">
        <v>6394</v>
      </c>
      <c r="L4068" s="11">
        <v>0.0</v>
      </c>
      <c r="N4068" s="2"/>
      <c r="O4068" s="2" t="b">
        <v>0</v>
      </c>
    </row>
    <row r="4069">
      <c r="A4069" s="8" t="s">
        <v>3137</v>
      </c>
      <c r="B4069" s="8" t="s">
        <v>3137</v>
      </c>
      <c r="C4069" s="13">
        <v>46090.65888888889</v>
      </c>
      <c r="D4069" s="2" t="s">
        <v>2005</v>
      </c>
      <c r="E4069" s="2" t="s">
        <v>2006</v>
      </c>
      <c r="F4069" s="14" t="s">
        <v>3493</v>
      </c>
      <c r="G4069" s="14" t="s">
        <v>3494</v>
      </c>
      <c r="H4069" s="2" t="s">
        <v>24</v>
      </c>
      <c r="I4069" s="2" t="s">
        <v>3491</v>
      </c>
      <c r="J4069" s="2">
        <v>1.0</v>
      </c>
      <c r="K4069" s="12" t="s">
        <v>6395</v>
      </c>
      <c r="L4069" s="11">
        <v>0.0</v>
      </c>
      <c r="N4069" s="2"/>
      <c r="O4069" s="2" t="b">
        <v>0</v>
      </c>
    </row>
    <row r="4070">
      <c r="A4070" s="8" t="s">
        <v>3138</v>
      </c>
      <c r="B4070" s="8" t="s">
        <v>3138</v>
      </c>
      <c r="C4070" s="13">
        <v>46090.680185185185</v>
      </c>
      <c r="D4070" s="2" t="s">
        <v>2623</v>
      </c>
      <c r="E4070" s="2" t="s">
        <v>2624</v>
      </c>
      <c r="F4070" s="14" t="s">
        <v>3522</v>
      </c>
      <c r="G4070" s="14" t="s">
        <v>3523</v>
      </c>
      <c r="H4070" s="2" t="s">
        <v>24</v>
      </c>
      <c r="I4070" s="2" t="s">
        <v>3491</v>
      </c>
      <c r="J4070" s="2">
        <v>1.0</v>
      </c>
      <c r="K4070" s="23" t="s">
        <v>4364</v>
      </c>
      <c r="L4070" s="11">
        <v>0.0</v>
      </c>
      <c r="N4070" s="2"/>
      <c r="O4070" s="2" t="b">
        <v>0</v>
      </c>
    </row>
    <row r="4071">
      <c r="A4071" s="8" t="s">
        <v>3138</v>
      </c>
      <c r="B4071" s="8" t="s">
        <v>3138</v>
      </c>
      <c r="C4071" s="13">
        <v>46090.680185185185</v>
      </c>
      <c r="D4071" s="2" t="s">
        <v>2623</v>
      </c>
      <c r="E4071" s="2" t="s">
        <v>2624</v>
      </c>
      <c r="F4071" s="14" t="s">
        <v>3522</v>
      </c>
      <c r="G4071" s="14" t="s">
        <v>3523</v>
      </c>
      <c r="H4071" s="2" t="s">
        <v>24</v>
      </c>
      <c r="I4071" s="2" t="s">
        <v>3491</v>
      </c>
      <c r="J4071" s="2">
        <v>1.0</v>
      </c>
      <c r="K4071" s="23" t="s">
        <v>3854</v>
      </c>
      <c r="L4071" s="11">
        <v>0.0</v>
      </c>
      <c r="N4071" s="2" t="s">
        <v>6396</v>
      </c>
      <c r="O4071" s="2" t="b">
        <v>0</v>
      </c>
    </row>
    <row r="4072">
      <c r="A4072" s="8" t="s">
        <v>3139</v>
      </c>
      <c r="B4072" s="8" t="s">
        <v>3139</v>
      </c>
      <c r="C4072" s="13">
        <v>46091.34033564815</v>
      </c>
      <c r="D4072" s="2" t="s">
        <v>1993</v>
      </c>
      <c r="E4072" s="2" t="s">
        <v>1994</v>
      </c>
      <c r="F4072" s="14" t="s">
        <v>3486</v>
      </c>
      <c r="G4072" s="14" t="s">
        <v>3487</v>
      </c>
      <c r="H4072" s="2" t="s">
        <v>16</v>
      </c>
      <c r="I4072" s="2" t="s">
        <v>3488</v>
      </c>
      <c r="J4072" s="2">
        <v>5.0</v>
      </c>
      <c r="K4072" s="23" t="s">
        <v>6397</v>
      </c>
      <c r="L4072" s="11">
        <v>65000.0</v>
      </c>
      <c r="N4072" s="2"/>
      <c r="O4072" s="2" t="b">
        <v>0</v>
      </c>
    </row>
    <row r="4073">
      <c r="A4073" s="8" t="s">
        <v>3139</v>
      </c>
      <c r="B4073" s="8" t="s">
        <v>3139</v>
      </c>
      <c r="C4073" s="13">
        <v>46091.34033564815</v>
      </c>
      <c r="D4073" s="2" t="s">
        <v>1993</v>
      </c>
      <c r="E4073" s="2" t="s">
        <v>1994</v>
      </c>
      <c r="F4073" s="14" t="s">
        <v>3516</v>
      </c>
      <c r="G4073" s="14" t="s">
        <v>3517</v>
      </c>
      <c r="H4073" s="2" t="s">
        <v>16</v>
      </c>
      <c r="I4073" s="2" t="s">
        <v>3488</v>
      </c>
      <c r="J4073" s="2">
        <v>2.0</v>
      </c>
      <c r="K4073" s="23" t="s">
        <v>6398</v>
      </c>
      <c r="L4073" s="11">
        <v>190000.0</v>
      </c>
      <c r="N4073" s="2"/>
      <c r="O4073" s="2" t="b">
        <v>0</v>
      </c>
    </row>
    <row r="4074">
      <c r="A4074" s="8" t="s">
        <v>3140</v>
      </c>
      <c r="B4074" s="8" t="s">
        <v>3140</v>
      </c>
      <c r="C4074" s="13">
        <v>46091.34085648148</v>
      </c>
      <c r="D4074" s="2" t="s">
        <v>2270</v>
      </c>
      <c r="E4074" s="2" t="s">
        <v>2271</v>
      </c>
      <c r="F4074" s="14" t="s">
        <v>4203</v>
      </c>
      <c r="G4074" s="14" t="s">
        <v>4204</v>
      </c>
      <c r="H4074" s="2" t="s">
        <v>16</v>
      </c>
      <c r="I4074" s="2" t="s">
        <v>3488</v>
      </c>
      <c r="J4074" s="2">
        <v>1.0</v>
      </c>
      <c r="K4074" s="23" t="s">
        <v>5301</v>
      </c>
      <c r="L4074" s="11">
        <v>75000.0</v>
      </c>
      <c r="N4074" s="2"/>
      <c r="O4074" s="2" t="b">
        <v>0</v>
      </c>
    </row>
    <row r="4075">
      <c r="A4075" s="8" t="s">
        <v>3141</v>
      </c>
      <c r="B4075" s="8" t="s">
        <v>3141</v>
      </c>
      <c r="C4075" s="13">
        <v>46091.34050925926</v>
      </c>
      <c r="D4075" s="2" t="s">
        <v>786</v>
      </c>
      <c r="E4075" s="2" t="s">
        <v>787</v>
      </c>
      <c r="F4075" s="14" t="s">
        <v>3486</v>
      </c>
      <c r="G4075" s="14" t="s">
        <v>3487</v>
      </c>
      <c r="H4075" s="2" t="s">
        <v>16</v>
      </c>
      <c r="I4075" s="2" t="s">
        <v>3488</v>
      </c>
      <c r="J4075" s="2">
        <v>4.0</v>
      </c>
      <c r="K4075" s="23" t="s">
        <v>6399</v>
      </c>
      <c r="L4075" s="11">
        <v>60000.0</v>
      </c>
      <c r="N4075" s="2"/>
      <c r="O4075" s="2" t="b">
        <v>0</v>
      </c>
    </row>
    <row r="4076">
      <c r="A4076" s="8" t="s">
        <v>3141</v>
      </c>
      <c r="B4076" s="8" t="s">
        <v>3141</v>
      </c>
      <c r="C4076" s="13">
        <v>46091.34050925926</v>
      </c>
      <c r="D4076" s="2" t="s">
        <v>786</v>
      </c>
      <c r="E4076" s="2" t="s">
        <v>787</v>
      </c>
      <c r="F4076" s="14" t="s">
        <v>3516</v>
      </c>
      <c r="G4076" s="14" t="s">
        <v>3517</v>
      </c>
      <c r="H4076" s="2" t="s">
        <v>16</v>
      </c>
      <c r="I4076" s="2" t="s">
        <v>3488</v>
      </c>
      <c r="J4076" s="2">
        <v>2.0</v>
      </c>
      <c r="K4076" s="23" t="s">
        <v>6400</v>
      </c>
      <c r="L4076" s="11">
        <v>180000.0</v>
      </c>
      <c r="N4076" s="2"/>
      <c r="O4076" s="2" t="b">
        <v>0</v>
      </c>
    </row>
    <row r="4077">
      <c r="A4077" s="8" t="s">
        <v>3142</v>
      </c>
      <c r="B4077" s="8" t="s">
        <v>3142</v>
      </c>
      <c r="C4077" s="13">
        <v>46091.37516203704</v>
      </c>
      <c r="D4077" s="2" t="s">
        <v>2640</v>
      </c>
      <c r="E4077" s="2" t="s">
        <v>2641</v>
      </c>
      <c r="F4077" s="14" t="s">
        <v>3516</v>
      </c>
      <c r="G4077" s="14" t="s">
        <v>3517</v>
      </c>
      <c r="H4077" s="2" t="s">
        <v>16</v>
      </c>
      <c r="I4077" s="2" t="s">
        <v>3488</v>
      </c>
      <c r="J4077" s="2">
        <v>4.0</v>
      </c>
      <c r="K4077" s="23" t="s">
        <v>6401</v>
      </c>
      <c r="L4077" s="11">
        <v>190000.0</v>
      </c>
      <c r="N4077" s="2"/>
      <c r="O4077" s="2" t="b">
        <v>0</v>
      </c>
    </row>
    <row r="4078">
      <c r="A4078" s="8" t="s">
        <v>3143</v>
      </c>
      <c r="B4078" s="8" t="s">
        <v>3143</v>
      </c>
      <c r="C4078" s="13">
        <v>46091.398935185185</v>
      </c>
      <c r="D4078" s="2" t="s">
        <v>1756</v>
      </c>
      <c r="E4078" s="2" t="s">
        <v>1757</v>
      </c>
      <c r="F4078" s="14" t="s">
        <v>3486</v>
      </c>
      <c r="G4078" s="14" t="s">
        <v>3487</v>
      </c>
      <c r="H4078" s="2" t="s">
        <v>16</v>
      </c>
      <c r="I4078" s="2" t="s">
        <v>3488</v>
      </c>
      <c r="J4078" s="2">
        <v>4.0</v>
      </c>
      <c r="K4078" s="23" t="s">
        <v>6402</v>
      </c>
      <c r="L4078" s="11">
        <v>65000.0</v>
      </c>
      <c r="N4078" s="2"/>
      <c r="O4078" s="2" t="b">
        <v>0</v>
      </c>
    </row>
    <row r="4079">
      <c r="A4079" s="8" t="s">
        <v>3144</v>
      </c>
      <c r="B4079" s="8" t="s">
        <v>3144</v>
      </c>
      <c r="C4079" s="13">
        <v>46066.603321759256</v>
      </c>
      <c r="D4079" s="2" t="s">
        <v>2640</v>
      </c>
      <c r="E4079" s="2" t="s">
        <v>2641</v>
      </c>
      <c r="F4079" s="14" t="s">
        <v>3493</v>
      </c>
      <c r="G4079" s="14" t="s">
        <v>3494</v>
      </c>
      <c r="H4079" s="2" t="s">
        <v>24</v>
      </c>
      <c r="I4079" s="2" t="s">
        <v>3491</v>
      </c>
      <c r="J4079" s="2">
        <v>1.0</v>
      </c>
      <c r="K4079" s="12" t="s">
        <v>6230</v>
      </c>
      <c r="L4079" s="11">
        <v>0.0</v>
      </c>
      <c r="N4079" s="2"/>
      <c r="O4079" s="2" t="b">
        <v>0</v>
      </c>
    </row>
    <row r="4080">
      <c r="A4080" s="8" t="s">
        <v>3145</v>
      </c>
      <c r="B4080" s="8" t="s">
        <v>3145</v>
      </c>
      <c r="C4080" s="13">
        <v>46091.450636574074</v>
      </c>
      <c r="D4080" s="2" t="s">
        <v>1993</v>
      </c>
      <c r="E4080" s="2" t="s">
        <v>1994</v>
      </c>
      <c r="F4080" s="14" t="s">
        <v>3486</v>
      </c>
      <c r="G4080" s="14" t="s">
        <v>3487</v>
      </c>
      <c r="H4080" s="2" t="s">
        <v>24</v>
      </c>
      <c r="I4080" s="2" t="s">
        <v>3491</v>
      </c>
      <c r="J4080" s="2">
        <v>1.0</v>
      </c>
      <c r="K4080" s="23" t="s">
        <v>5441</v>
      </c>
      <c r="L4080" s="11">
        <v>0.0</v>
      </c>
      <c r="N4080" s="2"/>
      <c r="O4080" s="2" t="b">
        <v>0</v>
      </c>
    </row>
    <row r="4081">
      <c r="A4081" s="8" t="s">
        <v>3145</v>
      </c>
      <c r="B4081" s="8" t="s">
        <v>3145</v>
      </c>
      <c r="C4081" s="13">
        <v>46091.450636574074</v>
      </c>
      <c r="D4081" s="2" t="s">
        <v>1993</v>
      </c>
      <c r="E4081" s="2" t="s">
        <v>1994</v>
      </c>
      <c r="F4081" s="14" t="s">
        <v>4203</v>
      </c>
      <c r="G4081" s="14" t="s">
        <v>4204</v>
      </c>
      <c r="H4081" s="2" t="s">
        <v>24</v>
      </c>
      <c r="I4081" s="2" t="s">
        <v>3491</v>
      </c>
      <c r="J4081" s="2">
        <v>3.0</v>
      </c>
      <c r="K4081" s="23" t="s">
        <v>6403</v>
      </c>
      <c r="L4081" s="11">
        <v>0.0</v>
      </c>
      <c r="N4081" s="2"/>
      <c r="O4081" s="2" t="b">
        <v>0</v>
      </c>
    </row>
    <row r="4082">
      <c r="A4082" s="8" t="s">
        <v>3145</v>
      </c>
      <c r="B4082" s="8" t="s">
        <v>3145</v>
      </c>
      <c r="C4082" s="13">
        <v>46091.450636574074</v>
      </c>
      <c r="D4082" s="2" t="s">
        <v>1993</v>
      </c>
      <c r="E4082" s="2" t="s">
        <v>1994</v>
      </c>
      <c r="F4082" s="14" t="s">
        <v>3516</v>
      </c>
      <c r="G4082" s="14" t="s">
        <v>3517</v>
      </c>
      <c r="H4082" s="2" t="s">
        <v>24</v>
      </c>
      <c r="I4082" s="2" t="s">
        <v>3491</v>
      </c>
      <c r="J4082" s="2">
        <v>1.0</v>
      </c>
      <c r="K4082" s="23" t="s">
        <v>4588</v>
      </c>
      <c r="L4082" s="11">
        <v>0.0</v>
      </c>
      <c r="N4082" s="2"/>
      <c r="O4082" s="2" t="b">
        <v>0</v>
      </c>
    </row>
    <row r="4083">
      <c r="A4083" s="8" t="s">
        <v>3146</v>
      </c>
      <c r="B4083" s="8" t="s">
        <v>3146</v>
      </c>
      <c r="C4083" s="13">
        <v>46091.451886574076</v>
      </c>
      <c r="D4083" s="2" t="s">
        <v>2913</v>
      </c>
      <c r="E4083" s="2" t="s">
        <v>2914</v>
      </c>
      <c r="F4083" s="14" t="s">
        <v>3486</v>
      </c>
      <c r="G4083" s="14" t="s">
        <v>3487</v>
      </c>
      <c r="H4083" s="2" t="s">
        <v>24</v>
      </c>
      <c r="I4083" s="2" t="s">
        <v>3491</v>
      </c>
      <c r="J4083" s="2">
        <v>3.0</v>
      </c>
      <c r="K4083" s="23" t="s">
        <v>6404</v>
      </c>
      <c r="L4083" s="11">
        <v>0.0</v>
      </c>
      <c r="N4083" s="2"/>
      <c r="O4083" s="2" t="b">
        <v>0</v>
      </c>
    </row>
    <row r="4084">
      <c r="A4084" s="8" t="s">
        <v>3147</v>
      </c>
      <c r="B4084" s="8" t="s">
        <v>3147</v>
      </c>
      <c r="C4084" s="13">
        <v>46091.60041666667</v>
      </c>
      <c r="D4084" s="2" t="s">
        <v>1756</v>
      </c>
      <c r="E4084" s="2" t="s">
        <v>1757</v>
      </c>
      <c r="F4084" s="14" t="s">
        <v>3486</v>
      </c>
      <c r="G4084" s="14" t="s">
        <v>3487</v>
      </c>
      <c r="H4084" s="2" t="s">
        <v>24</v>
      </c>
      <c r="I4084" s="2" t="s">
        <v>3491</v>
      </c>
      <c r="J4084" s="2">
        <v>2.0</v>
      </c>
      <c r="K4084" s="23" t="s">
        <v>6405</v>
      </c>
      <c r="L4084" s="11">
        <v>0.0</v>
      </c>
      <c r="N4084" s="2"/>
      <c r="O4084" s="2" t="b">
        <v>0</v>
      </c>
    </row>
    <row r="4085">
      <c r="A4085" s="8" t="s">
        <v>3147</v>
      </c>
      <c r="B4085" s="8" t="s">
        <v>3147</v>
      </c>
      <c r="C4085" s="13">
        <v>46091.60041666667</v>
      </c>
      <c r="D4085" s="2" t="s">
        <v>1756</v>
      </c>
      <c r="E4085" s="2" t="s">
        <v>1757</v>
      </c>
      <c r="F4085" s="14" t="s">
        <v>3486</v>
      </c>
      <c r="G4085" s="14" t="s">
        <v>3487</v>
      </c>
      <c r="H4085" s="2" t="s">
        <v>24</v>
      </c>
      <c r="I4085" s="2" t="s">
        <v>3491</v>
      </c>
      <c r="J4085" s="2">
        <v>2.0</v>
      </c>
      <c r="K4085" s="23" t="s">
        <v>6406</v>
      </c>
      <c r="L4085" s="11">
        <v>0.0</v>
      </c>
      <c r="N4085" s="2"/>
      <c r="O4085" s="2" t="b">
        <v>1</v>
      </c>
    </row>
    <row r="4086">
      <c r="A4086" s="8" t="s">
        <v>3148</v>
      </c>
      <c r="B4086" s="8" t="s">
        <v>3148</v>
      </c>
      <c r="C4086" s="13">
        <v>46091.60173611111</v>
      </c>
      <c r="D4086" s="2" t="s">
        <v>2270</v>
      </c>
      <c r="E4086" s="2" t="s">
        <v>2271</v>
      </c>
      <c r="F4086" s="14" t="s">
        <v>4203</v>
      </c>
      <c r="G4086" s="14" t="s">
        <v>4204</v>
      </c>
      <c r="H4086" s="2" t="s">
        <v>24</v>
      </c>
      <c r="I4086" s="2" t="s">
        <v>3491</v>
      </c>
      <c r="J4086" s="2">
        <v>1.0</v>
      </c>
      <c r="K4086" s="23" t="s">
        <v>5709</v>
      </c>
      <c r="L4086" s="11">
        <v>0.0</v>
      </c>
      <c r="N4086" s="2"/>
      <c r="O4086" s="2" t="b">
        <v>0</v>
      </c>
    </row>
    <row r="4087">
      <c r="A4087" s="8" t="s">
        <v>3149</v>
      </c>
      <c r="B4087" s="8" t="s">
        <v>3149</v>
      </c>
      <c r="C4087" s="13">
        <v>46091.602638888886</v>
      </c>
      <c r="D4087" s="2" t="s">
        <v>786</v>
      </c>
      <c r="E4087" s="2" t="s">
        <v>787</v>
      </c>
      <c r="F4087" s="14" t="s">
        <v>3486</v>
      </c>
      <c r="G4087" s="14" t="s">
        <v>3487</v>
      </c>
      <c r="H4087" s="2" t="s">
        <v>24</v>
      </c>
      <c r="I4087" s="2" t="s">
        <v>3491</v>
      </c>
      <c r="J4087" s="2">
        <v>1.0</v>
      </c>
      <c r="K4087" s="23" t="s">
        <v>4481</v>
      </c>
      <c r="L4087" s="11">
        <v>0.0</v>
      </c>
      <c r="N4087" s="2"/>
      <c r="O4087" s="2" t="b">
        <v>0</v>
      </c>
    </row>
    <row r="4088">
      <c r="A4088" s="8" t="s">
        <v>3149</v>
      </c>
      <c r="B4088" s="8" t="s">
        <v>3149</v>
      </c>
      <c r="C4088" s="13">
        <v>46091.602638888886</v>
      </c>
      <c r="D4088" s="2" t="s">
        <v>786</v>
      </c>
      <c r="E4088" s="2" t="s">
        <v>787</v>
      </c>
      <c r="F4088" s="14" t="s">
        <v>3516</v>
      </c>
      <c r="G4088" s="14" t="s">
        <v>3517</v>
      </c>
      <c r="H4088" s="2" t="s">
        <v>24</v>
      </c>
      <c r="I4088" s="2" t="s">
        <v>3491</v>
      </c>
      <c r="J4088" s="2">
        <v>2.0</v>
      </c>
      <c r="K4088" s="23" t="s">
        <v>6407</v>
      </c>
      <c r="L4088" s="11">
        <v>0.0</v>
      </c>
      <c r="N4088" s="2"/>
      <c r="O4088" s="2" t="b">
        <v>0</v>
      </c>
    </row>
    <row r="4089">
      <c r="A4089" s="8" t="s">
        <v>3150</v>
      </c>
      <c r="B4089" s="8" t="s">
        <v>3150</v>
      </c>
      <c r="C4089" s="13">
        <v>46091.603414351855</v>
      </c>
      <c r="D4089" s="2" t="s">
        <v>2640</v>
      </c>
      <c r="E4089" s="2" t="s">
        <v>2641</v>
      </c>
      <c r="F4089" s="14" t="s">
        <v>3486</v>
      </c>
      <c r="G4089" s="14" t="s">
        <v>3487</v>
      </c>
      <c r="H4089" s="2" t="s">
        <v>24</v>
      </c>
      <c r="I4089" s="2" t="s">
        <v>3491</v>
      </c>
      <c r="J4089" s="2">
        <v>3.0</v>
      </c>
      <c r="K4089" s="23" t="s">
        <v>6408</v>
      </c>
      <c r="L4089" s="11">
        <v>0.0</v>
      </c>
      <c r="N4089" s="2"/>
      <c r="O4089" s="2" t="b">
        <v>0</v>
      </c>
    </row>
    <row r="4090">
      <c r="A4090" s="8" t="s">
        <v>3150</v>
      </c>
      <c r="B4090" s="8" t="s">
        <v>3150</v>
      </c>
      <c r="C4090" s="13">
        <v>46091.603414351855</v>
      </c>
      <c r="D4090" s="2" t="s">
        <v>2640</v>
      </c>
      <c r="E4090" s="2" t="s">
        <v>2641</v>
      </c>
      <c r="F4090" s="14" t="s">
        <v>3516</v>
      </c>
      <c r="G4090" s="14" t="s">
        <v>3517</v>
      </c>
      <c r="H4090" s="2" t="s">
        <v>24</v>
      </c>
      <c r="I4090" s="2" t="s">
        <v>3491</v>
      </c>
      <c r="J4090" s="2">
        <v>3.0</v>
      </c>
      <c r="K4090" s="23" t="s">
        <v>6409</v>
      </c>
      <c r="L4090" s="11">
        <v>0.0</v>
      </c>
      <c r="N4090" s="2"/>
      <c r="O4090" s="2" t="b">
        <v>0</v>
      </c>
    </row>
    <row r="4091">
      <c r="A4091" s="8" t="s">
        <v>3151</v>
      </c>
      <c r="B4091" s="8" t="s">
        <v>3151</v>
      </c>
      <c r="C4091" s="13">
        <v>46091.6340162037</v>
      </c>
      <c r="D4091" s="2" t="s">
        <v>1904</v>
      </c>
      <c r="E4091" s="2" t="s">
        <v>1905</v>
      </c>
      <c r="F4091" s="14" t="s">
        <v>4203</v>
      </c>
      <c r="G4091" s="14" t="s">
        <v>4204</v>
      </c>
      <c r="H4091" s="2" t="s">
        <v>24</v>
      </c>
      <c r="I4091" s="2" t="s">
        <v>3491</v>
      </c>
      <c r="J4091" s="2">
        <v>5.0</v>
      </c>
      <c r="K4091" s="23" t="s">
        <v>6410</v>
      </c>
      <c r="L4091" s="11">
        <v>0.0</v>
      </c>
      <c r="N4091" s="2"/>
      <c r="O4091" s="2" t="b">
        <v>0</v>
      </c>
    </row>
    <row r="4092">
      <c r="A4092" s="8" t="s">
        <v>3152</v>
      </c>
      <c r="B4092" s="8" t="s">
        <v>3152</v>
      </c>
      <c r="C4092" s="13">
        <v>46091.63506944444</v>
      </c>
      <c r="D4092" s="2" t="s">
        <v>49</v>
      </c>
      <c r="E4092" s="2" t="s">
        <v>50</v>
      </c>
      <c r="F4092" s="14" t="s">
        <v>3486</v>
      </c>
      <c r="G4092" s="14" t="s">
        <v>3487</v>
      </c>
      <c r="H4092" s="2" t="s">
        <v>24</v>
      </c>
      <c r="I4092" s="2" t="s">
        <v>3491</v>
      </c>
      <c r="J4092" s="2">
        <v>2.0</v>
      </c>
      <c r="K4092" s="23" t="s">
        <v>6411</v>
      </c>
      <c r="L4092" s="11">
        <v>0.0</v>
      </c>
      <c r="N4092" s="2"/>
      <c r="O4092" s="2" t="b">
        <v>0</v>
      </c>
    </row>
    <row r="4093">
      <c r="A4093" s="8" t="s">
        <v>3153</v>
      </c>
      <c r="B4093" s="8" t="s">
        <v>3153</v>
      </c>
      <c r="C4093" s="13">
        <v>46092.3809375</v>
      </c>
      <c r="D4093" s="2" t="s">
        <v>1228</v>
      </c>
      <c r="E4093" s="2" t="s">
        <v>1229</v>
      </c>
      <c r="F4093" s="14" t="s">
        <v>3486</v>
      </c>
      <c r="G4093" s="14" t="s">
        <v>3487</v>
      </c>
      <c r="H4093" s="2" t="s">
        <v>16</v>
      </c>
      <c r="I4093" s="2" t="s">
        <v>3488</v>
      </c>
      <c r="J4093" s="2">
        <v>10.0</v>
      </c>
      <c r="K4093" s="23" t="s">
        <v>6412</v>
      </c>
      <c r="L4093" s="11">
        <v>55000.0</v>
      </c>
      <c r="N4093" s="2"/>
      <c r="O4093" s="2" t="b">
        <v>0</v>
      </c>
    </row>
    <row r="4094">
      <c r="A4094" s="8" t="s">
        <v>3154</v>
      </c>
      <c r="B4094" s="8" t="s">
        <v>3154</v>
      </c>
      <c r="C4094" s="13">
        <v>46092.40855324074</v>
      </c>
      <c r="D4094" s="2" t="s">
        <v>1975</v>
      </c>
      <c r="E4094" s="2" t="s">
        <v>1976</v>
      </c>
      <c r="F4094" s="14" t="s">
        <v>3486</v>
      </c>
      <c r="G4094" s="14" t="s">
        <v>3487</v>
      </c>
      <c r="H4094" s="2" t="s">
        <v>16</v>
      </c>
      <c r="I4094" s="2" t="s">
        <v>3488</v>
      </c>
      <c r="J4094" s="2">
        <v>6.0</v>
      </c>
      <c r="K4094" s="23" t="s">
        <v>6413</v>
      </c>
      <c r="L4094" s="11">
        <v>60000.0</v>
      </c>
      <c r="N4094" s="2"/>
      <c r="O4094" s="2" t="b">
        <v>0</v>
      </c>
    </row>
    <row r="4095">
      <c r="A4095" s="8" t="s">
        <v>3154</v>
      </c>
      <c r="B4095" s="8" t="s">
        <v>3154</v>
      </c>
      <c r="C4095" s="13">
        <v>46092.40855324074</v>
      </c>
      <c r="D4095" s="2" t="s">
        <v>1975</v>
      </c>
      <c r="E4095" s="2" t="s">
        <v>1976</v>
      </c>
      <c r="F4095" s="14" t="s">
        <v>4203</v>
      </c>
      <c r="G4095" s="14" t="s">
        <v>4204</v>
      </c>
      <c r="H4095" s="2" t="s">
        <v>16</v>
      </c>
      <c r="I4095" s="2" t="s">
        <v>3488</v>
      </c>
      <c r="J4095" s="2">
        <v>14.0</v>
      </c>
      <c r="K4095" s="23" t="s">
        <v>6414</v>
      </c>
      <c r="L4095" s="11">
        <v>60000.0</v>
      </c>
      <c r="N4095" s="2"/>
      <c r="O4095" s="2" t="b">
        <v>0</v>
      </c>
    </row>
    <row r="4096">
      <c r="A4096" s="8" t="s">
        <v>3155</v>
      </c>
      <c r="B4096" s="8" t="s">
        <v>3155</v>
      </c>
      <c r="C4096" s="13">
        <v>46092.5621875</v>
      </c>
      <c r="D4096" s="2" t="s">
        <v>1975</v>
      </c>
      <c r="E4096" s="2" t="s">
        <v>1976</v>
      </c>
      <c r="F4096" s="14" t="s">
        <v>3486</v>
      </c>
      <c r="G4096" s="14" t="s">
        <v>3487</v>
      </c>
      <c r="H4096" s="2" t="s">
        <v>24</v>
      </c>
      <c r="I4096" s="2" t="s">
        <v>3491</v>
      </c>
      <c r="J4096" s="2">
        <v>4.0</v>
      </c>
      <c r="K4096" s="23" t="s">
        <v>6415</v>
      </c>
      <c r="L4096" s="11">
        <v>0.0</v>
      </c>
      <c r="N4096" s="2"/>
      <c r="O4096" s="2" t="b">
        <v>0</v>
      </c>
    </row>
    <row r="4097">
      <c r="A4097" s="8" t="s">
        <v>3167</v>
      </c>
      <c r="B4097" s="8" t="s">
        <v>3167</v>
      </c>
      <c r="C4097" s="13">
        <v>46093.69027777778</v>
      </c>
      <c r="D4097" s="2" t="s">
        <v>3168</v>
      </c>
      <c r="E4097" s="2" t="s">
        <v>3169</v>
      </c>
      <c r="F4097" s="14" t="s">
        <v>3585</v>
      </c>
      <c r="G4097" s="14" t="s">
        <v>3586</v>
      </c>
      <c r="H4097" s="2" t="s">
        <v>159</v>
      </c>
      <c r="I4097" s="2" t="s">
        <v>5402</v>
      </c>
      <c r="J4097" s="2">
        <v>2.0</v>
      </c>
      <c r="K4097" s="23" t="s">
        <v>6416</v>
      </c>
      <c r="L4097" s="11">
        <v>0.0</v>
      </c>
      <c r="N4097" s="2"/>
      <c r="O4097" s="2" t="b">
        <v>1</v>
      </c>
    </row>
    <row r="4098">
      <c r="A4098" s="8" t="s">
        <v>3157</v>
      </c>
      <c r="B4098" s="8" t="s">
        <v>3157</v>
      </c>
      <c r="C4098" s="13">
        <v>46092.62332175926</v>
      </c>
      <c r="D4098" s="2" t="s">
        <v>1371</v>
      </c>
      <c r="E4098" s="2" t="s">
        <v>1372</v>
      </c>
      <c r="F4098" s="14" t="s">
        <v>3486</v>
      </c>
      <c r="G4098" s="14" t="s">
        <v>3487</v>
      </c>
      <c r="H4098" s="2" t="s">
        <v>24</v>
      </c>
      <c r="I4098" s="2" t="s">
        <v>3491</v>
      </c>
      <c r="J4098" s="2">
        <v>2.0</v>
      </c>
      <c r="K4098" s="23" t="s">
        <v>6417</v>
      </c>
      <c r="L4098" s="11">
        <v>0.0</v>
      </c>
      <c r="N4098" s="2"/>
      <c r="O4098" s="2" t="b">
        <v>0</v>
      </c>
    </row>
    <row r="4099">
      <c r="A4099" s="8" t="s">
        <v>3158</v>
      </c>
      <c r="B4099" s="8" t="s">
        <v>3158</v>
      </c>
      <c r="C4099" s="13">
        <v>46092.623773148145</v>
      </c>
      <c r="D4099" s="2" t="s">
        <v>326</v>
      </c>
      <c r="E4099" s="2" t="s">
        <v>327</v>
      </c>
      <c r="F4099" s="14" t="s">
        <v>3486</v>
      </c>
      <c r="G4099" s="14" t="s">
        <v>3487</v>
      </c>
      <c r="H4099" s="2" t="s">
        <v>24</v>
      </c>
      <c r="I4099" s="2" t="s">
        <v>3491</v>
      </c>
      <c r="J4099" s="2">
        <v>5.0</v>
      </c>
      <c r="K4099" s="23" t="s">
        <v>6418</v>
      </c>
      <c r="L4099" s="11">
        <v>0.0</v>
      </c>
      <c r="N4099" s="2"/>
      <c r="O4099" s="2" t="b">
        <v>0</v>
      </c>
    </row>
    <row r="4100">
      <c r="A4100" s="1"/>
      <c r="B4100" s="1"/>
      <c r="C4100" s="13"/>
      <c r="D4100" s="2"/>
      <c r="E4100" s="2"/>
      <c r="F4100" s="14"/>
      <c r="G4100" s="14"/>
      <c r="H4100" s="2"/>
      <c r="I4100" s="2"/>
      <c r="J4100" s="2"/>
      <c r="K4100" s="12"/>
      <c r="L4100" s="11"/>
      <c r="N4100" s="2"/>
      <c r="O4100" s="2"/>
    </row>
    <row r="4101">
      <c r="A4101" s="1"/>
      <c r="B4101" s="1"/>
      <c r="C4101" s="13"/>
      <c r="D4101" s="2"/>
      <c r="E4101" s="2"/>
      <c r="F4101" s="14"/>
      <c r="G4101" s="14"/>
      <c r="H4101" s="2"/>
      <c r="I4101" s="2"/>
      <c r="J4101" s="2"/>
      <c r="K4101" s="12"/>
      <c r="L4101" s="11"/>
      <c r="N4101" s="2"/>
      <c r="O4101" s="2"/>
    </row>
    <row r="4102">
      <c r="A4102" s="8" t="s">
        <v>3156</v>
      </c>
      <c r="B4102" s="8" t="s">
        <v>3156</v>
      </c>
      <c r="C4102" s="13">
        <v>46092.632372685184</v>
      </c>
      <c r="D4102" s="2" t="s">
        <v>1084</v>
      </c>
      <c r="E4102" s="2" t="s">
        <v>1085</v>
      </c>
      <c r="F4102" s="14" t="s">
        <v>3486</v>
      </c>
      <c r="G4102" s="14" t="s">
        <v>3487</v>
      </c>
      <c r="H4102" s="2" t="s">
        <v>16</v>
      </c>
      <c r="I4102" s="2" t="s">
        <v>3488</v>
      </c>
      <c r="J4102" s="2">
        <v>16.0</v>
      </c>
      <c r="K4102" s="23" t="s">
        <v>6419</v>
      </c>
      <c r="L4102" s="11">
        <v>60000.0</v>
      </c>
      <c r="N4102" s="2"/>
      <c r="O4102" s="2" t="b">
        <v>0</v>
      </c>
    </row>
    <row r="4103">
      <c r="A4103" s="8" t="s">
        <v>3156</v>
      </c>
      <c r="B4103" s="8" t="s">
        <v>3156</v>
      </c>
      <c r="C4103" s="13">
        <v>46092.632372685184</v>
      </c>
      <c r="D4103" s="2" t="s">
        <v>1084</v>
      </c>
      <c r="E4103" s="2" t="s">
        <v>1085</v>
      </c>
      <c r="F4103" s="14" t="s">
        <v>4203</v>
      </c>
      <c r="G4103" s="14" t="s">
        <v>4204</v>
      </c>
      <c r="H4103" s="2" t="s">
        <v>16</v>
      </c>
      <c r="I4103" s="2" t="s">
        <v>3488</v>
      </c>
      <c r="J4103" s="2">
        <v>4.0</v>
      </c>
      <c r="K4103" s="23" t="s">
        <v>6420</v>
      </c>
      <c r="L4103" s="11">
        <v>70000.0</v>
      </c>
      <c r="N4103" s="2"/>
      <c r="O4103" s="2" t="b">
        <v>0</v>
      </c>
    </row>
    <row r="4104">
      <c r="A4104" s="8" t="s">
        <v>3159</v>
      </c>
      <c r="B4104" s="8" t="s">
        <v>3159</v>
      </c>
      <c r="C4104" s="13">
        <v>46092.63710648148</v>
      </c>
      <c r="D4104" s="10" t="s">
        <v>3122</v>
      </c>
      <c r="E4104" s="2" t="s">
        <v>3123</v>
      </c>
      <c r="F4104" s="14" t="s">
        <v>3506</v>
      </c>
      <c r="G4104" s="14" t="s">
        <v>3507</v>
      </c>
      <c r="H4104" s="2" t="s">
        <v>16</v>
      </c>
      <c r="I4104" s="2" t="s">
        <v>3488</v>
      </c>
      <c r="J4104" s="2">
        <v>1.0</v>
      </c>
      <c r="K4104" s="12"/>
      <c r="L4104" s="11">
        <v>70000.0</v>
      </c>
      <c r="N4104" s="2"/>
      <c r="O4104" s="2" t="b">
        <v>0</v>
      </c>
    </row>
    <row r="4105">
      <c r="A4105" s="8" t="s">
        <v>3160</v>
      </c>
      <c r="B4105" s="8" t="s">
        <v>3160</v>
      </c>
      <c r="C4105" s="13">
        <v>46092.65185185185</v>
      </c>
      <c r="D4105" s="2" t="s">
        <v>320</v>
      </c>
      <c r="E4105" s="2" t="s">
        <v>321</v>
      </c>
      <c r="F4105" s="14" t="s">
        <v>3585</v>
      </c>
      <c r="G4105" s="14" t="s">
        <v>3586</v>
      </c>
      <c r="H4105" s="2" t="s">
        <v>24</v>
      </c>
      <c r="I4105" s="2" t="s">
        <v>3491</v>
      </c>
      <c r="J4105" s="2">
        <v>1.0</v>
      </c>
      <c r="K4105" s="12"/>
      <c r="L4105" s="11">
        <v>0.0</v>
      </c>
      <c r="N4105" s="2"/>
      <c r="O4105" s="2" t="b">
        <v>0</v>
      </c>
    </row>
    <row r="4106">
      <c r="A4106" s="8" t="s">
        <v>3161</v>
      </c>
      <c r="B4106" s="8" t="s">
        <v>3161</v>
      </c>
      <c r="C4106" s="13">
        <v>46092.6574537037</v>
      </c>
      <c r="D4106" s="2" t="s">
        <v>109</v>
      </c>
      <c r="E4106" s="2" t="s">
        <v>110</v>
      </c>
      <c r="F4106" s="14" t="s">
        <v>3486</v>
      </c>
      <c r="G4106" s="14" t="s">
        <v>3487</v>
      </c>
      <c r="H4106" s="2" t="s">
        <v>24</v>
      </c>
      <c r="I4106" s="2" t="s">
        <v>3491</v>
      </c>
      <c r="J4106" s="2">
        <v>1.0</v>
      </c>
      <c r="K4106" s="23" t="s">
        <v>6421</v>
      </c>
      <c r="L4106" s="11">
        <v>0.0</v>
      </c>
      <c r="N4106" s="2"/>
      <c r="O4106" s="2" t="b">
        <v>0</v>
      </c>
    </row>
    <row r="4107">
      <c r="A4107" s="8" t="s">
        <v>3161</v>
      </c>
      <c r="B4107" s="8" t="s">
        <v>3161</v>
      </c>
      <c r="C4107" s="13">
        <v>46092.6574537037</v>
      </c>
      <c r="D4107" s="2" t="s">
        <v>109</v>
      </c>
      <c r="E4107" s="2" t="s">
        <v>110</v>
      </c>
      <c r="F4107" s="14" t="s">
        <v>3522</v>
      </c>
      <c r="G4107" s="14" t="s">
        <v>3523</v>
      </c>
      <c r="H4107" s="2" t="s">
        <v>24</v>
      </c>
      <c r="I4107" s="2" t="s">
        <v>3491</v>
      </c>
      <c r="J4107" s="2">
        <v>2.0</v>
      </c>
      <c r="K4107" s="23" t="s">
        <v>6422</v>
      </c>
      <c r="L4107" s="11">
        <v>0.0</v>
      </c>
      <c r="N4107" s="2"/>
      <c r="O4107" s="2" t="b">
        <v>0</v>
      </c>
    </row>
    <row r="4108">
      <c r="A4108" s="8" t="s">
        <v>3162</v>
      </c>
      <c r="B4108" s="8" t="s">
        <v>3162</v>
      </c>
      <c r="C4108" s="13">
        <v>46092.623078703706</v>
      </c>
      <c r="D4108" s="2" t="s">
        <v>1228</v>
      </c>
      <c r="E4108" s="2" t="s">
        <v>1229</v>
      </c>
      <c r="F4108" s="14" t="s">
        <v>3486</v>
      </c>
      <c r="G4108" s="14" t="s">
        <v>3487</v>
      </c>
      <c r="H4108" s="2" t="s">
        <v>24</v>
      </c>
      <c r="I4108" s="2" t="s">
        <v>3491</v>
      </c>
      <c r="J4108" s="2">
        <v>4.0</v>
      </c>
      <c r="K4108" s="23" t="s">
        <v>6423</v>
      </c>
      <c r="L4108" s="11">
        <v>0.0</v>
      </c>
      <c r="N4108" s="2"/>
      <c r="O4108" s="2" t="b">
        <v>1</v>
      </c>
    </row>
    <row r="4109">
      <c r="A4109" s="8" t="s">
        <v>3164</v>
      </c>
      <c r="B4109" s="8" t="s">
        <v>3164</v>
      </c>
      <c r="C4109" s="13">
        <v>46092.61908564815</v>
      </c>
      <c r="D4109" s="10" t="s">
        <v>3122</v>
      </c>
      <c r="E4109" s="2" t="s">
        <v>3123</v>
      </c>
      <c r="F4109" s="14" t="s">
        <v>3506</v>
      </c>
      <c r="G4109" s="14" t="s">
        <v>3507</v>
      </c>
      <c r="H4109" s="2" t="s">
        <v>24</v>
      </c>
      <c r="I4109" s="2" t="s">
        <v>3491</v>
      </c>
      <c r="J4109" s="2">
        <v>1.0</v>
      </c>
      <c r="K4109" s="12"/>
      <c r="L4109" s="11">
        <v>0.0</v>
      </c>
      <c r="N4109" s="2"/>
      <c r="O4109" s="2" t="b">
        <v>0</v>
      </c>
    </row>
    <row r="4110">
      <c r="A4110" s="8" t="s">
        <v>3165</v>
      </c>
      <c r="B4110" s="8" t="s">
        <v>3165</v>
      </c>
      <c r="C4110" s="13">
        <v>46093.340891203705</v>
      </c>
      <c r="D4110" s="2" t="s">
        <v>2623</v>
      </c>
      <c r="E4110" s="2" t="s">
        <v>2624</v>
      </c>
      <c r="F4110" s="14" t="s">
        <v>3522</v>
      </c>
      <c r="G4110" s="14" t="s">
        <v>3523</v>
      </c>
      <c r="H4110" s="2" t="s">
        <v>16</v>
      </c>
      <c r="I4110" s="2" t="s">
        <v>3488</v>
      </c>
      <c r="J4110" s="2">
        <v>2.0</v>
      </c>
      <c r="K4110" s="23" t="s">
        <v>6424</v>
      </c>
      <c r="L4110" s="11">
        <v>225000.0</v>
      </c>
      <c r="N4110" s="2"/>
      <c r="O4110" s="2" t="b">
        <v>0</v>
      </c>
    </row>
    <row r="4111">
      <c r="A4111" s="8" t="s">
        <v>3166</v>
      </c>
      <c r="B4111" s="8" t="s">
        <v>3166</v>
      </c>
      <c r="C4111" s="13">
        <v>46092.68716435185</v>
      </c>
      <c r="D4111" s="2" t="s">
        <v>1084</v>
      </c>
      <c r="E4111" s="2" t="s">
        <v>1085</v>
      </c>
      <c r="F4111" s="14" t="s">
        <v>3486</v>
      </c>
      <c r="G4111" s="14" t="s">
        <v>3487</v>
      </c>
      <c r="H4111" s="2" t="s">
        <v>24</v>
      </c>
      <c r="I4111" s="2" t="s">
        <v>3491</v>
      </c>
      <c r="J4111" s="2">
        <v>8.0</v>
      </c>
      <c r="K4111" s="23" t="s">
        <v>6425</v>
      </c>
      <c r="L4111" s="11">
        <v>0.0</v>
      </c>
      <c r="N4111" s="2"/>
      <c r="O4111" s="2" t="b">
        <v>0</v>
      </c>
    </row>
    <row r="4112">
      <c r="A4112" s="8" t="s">
        <v>3166</v>
      </c>
      <c r="B4112" s="8" t="s">
        <v>3166</v>
      </c>
      <c r="C4112" s="13">
        <v>46092.68716435185</v>
      </c>
      <c r="D4112" s="2" t="s">
        <v>1084</v>
      </c>
      <c r="E4112" s="2" t="s">
        <v>1085</v>
      </c>
      <c r="F4112" s="14" t="s">
        <v>4203</v>
      </c>
      <c r="G4112" s="14" t="s">
        <v>4204</v>
      </c>
      <c r="H4112" s="2" t="s">
        <v>24</v>
      </c>
      <c r="I4112" s="2" t="s">
        <v>3491</v>
      </c>
      <c r="J4112" s="2">
        <v>1.0</v>
      </c>
      <c r="K4112" s="23" t="s">
        <v>5667</v>
      </c>
      <c r="L4112" s="11">
        <v>0.0</v>
      </c>
      <c r="N4112" s="2"/>
      <c r="O4112" s="2" t="b">
        <v>0</v>
      </c>
    </row>
    <row r="4113">
      <c r="A4113" s="8" t="s">
        <v>3171</v>
      </c>
      <c r="B4113" s="8" t="s">
        <v>3171</v>
      </c>
      <c r="C4113" s="13">
        <v>46093.35859953704</v>
      </c>
      <c r="D4113" s="2" t="s">
        <v>1993</v>
      </c>
      <c r="E4113" s="2" t="s">
        <v>1994</v>
      </c>
      <c r="F4113" s="14" t="s">
        <v>4203</v>
      </c>
      <c r="G4113" s="14" t="s">
        <v>4204</v>
      </c>
      <c r="H4113" s="2" t="s">
        <v>16</v>
      </c>
      <c r="I4113" s="2" t="s">
        <v>3488</v>
      </c>
      <c r="J4113" s="2">
        <v>6.0</v>
      </c>
      <c r="K4113" s="23" t="s">
        <v>6426</v>
      </c>
      <c r="L4113" s="11">
        <v>65000.0</v>
      </c>
      <c r="N4113" s="2"/>
      <c r="O4113" s="2" t="b">
        <v>0</v>
      </c>
    </row>
    <row r="4114">
      <c r="A4114" s="8" t="s">
        <v>3171</v>
      </c>
      <c r="B4114" s="8" t="s">
        <v>3171</v>
      </c>
      <c r="C4114" s="13">
        <v>46093.35859953704</v>
      </c>
      <c r="D4114" s="2" t="s">
        <v>1993</v>
      </c>
      <c r="E4114" s="2" t="s">
        <v>1994</v>
      </c>
      <c r="F4114" s="14" t="s">
        <v>3516</v>
      </c>
      <c r="G4114" s="14" t="s">
        <v>3517</v>
      </c>
      <c r="H4114" s="2" t="s">
        <v>16</v>
      </c>
      <c r="I4114" s="2" t="s">
        <v>3488</v>
      </c>
      <c r="J4114" s="2">
        <v>1.0</v>
      </c>
      <c r="K4114" s="23" t="s">
        <v>5751</v>
      </c>
      <c r="L4114" s="11">
        <v>190000.0</v>
      </c>
      <c r="N4114" s="2"/>
      <c r="O4114" s="2" t="b">
        <v>0</v>
      </c>
    </row>
    <row r="4115">
      <c r="A4115" s="8" t="s">
        <v>3172</v>
      </c>
      <c r="B4115" s="8" t="s">
        <v>3172</v>
      </c>
      <c r="C4115" s="13">
        <v>46093.49789351852</v>
      </c>
      <c r="D4115" s="2" t="s">
        <v>55</v>
      </c>
      <c r="E4115" s="2" t="s">
        <v>56</v>
      </c>
      <c r="F4115" s="14" t="s">
        <v>3486</v>
      </c>
      <c r="G4115" s="14" t="s">
        <v>3487</v>
      </c>
      <c r="H4115" s="2" t="s">
        <v>24</v>
      </c>
      <c r="I4115" s="2" t="s">
        <v>3491</v>
      </c>
      <c r="J4115" s="2">
        <v>2.0</v>
      </c>
      <c r="K4115" s="23" t="s">
        <v>6427</v>
      </c>
      <c r="L4115" s="11">
        <v>0.0</v>
      </c>
      <c r="N4115" s="2"/>
      <c r="O4115" s="2" t="b">
        <v>0</v>
      </c>
    </row>
    <row r="4116">
      <c r="A4116" s="8" t="s">
        <v>3173</v>
      </c>
      <c r="B4116" s="8" t="s">
        <v>3173</v>
      </c>
      <c r="C4116" s="13">
        <v>46093.50048611111</v>
      </c>
      <c r="D4116" s="2" t="s">
        <v>1993</v>
      </c>
      <c r="E4116" s="2" t="s">
        <v>1994</v>
      </c>
      <c r="F4116" s="14" t="s">
        <v>3486</v>
      </c>
      <c r="G4116" s="14" t="s">
        <v>3487</v>
      </c>
      <c r="H4116" s="2" t="s">
        <v>24</v>
      </c>
      <c r="I4116" s="2" t="s">
        <v>3491</v>
      </c>
      <c r="J4116" s="2">
        <v>7.0</v>
      </c>
      <c r="K4116" s="23" t="s">
        <v>6428</v>
      </c>
      <c r="L4116" s="11">
        <v>0.0</v>
      </c>
      <c r="N4116" s="2"/>
      <c r="O4116" s="2" t="b">
        <v>0</v>
      </c>
    </row>
    <row r="4117">
      <c r="A4117" s="8" t="s">
        <v>3173</v>
      </c>
      <c r="B4117" s="8" t="s">
        <v>3173</v>
      </c>
      <c r="C4117" s="13">
        <v>46093.50048611111</v>
      </c>
      <c r="D4117" s="2" t="s">
        <v>1993</v>
      </c>
      <c r="E4117" s="2" t="s">
        <v>1994</v>
      </c>
      <c r="F4117" s="14" t="s">
        <v>4203</v>
      </c>
      <c r="G4117" s="14" t="s">
        <v>4204</v>
      </c>
      <c r="H4117" s="2" t="s">
        <v>24</v>
      </c>
      <c r="I4117" s="2" t="s">
        <v>3491</v>
      </c>
      <c r="J4117" s="2">
        <v>2.0</v>
      </c>
      <c r="K4117" s="23" t="s">
        <v>6429</v>
      </c>
      <c r="L4117" s="11">
        <v>0.0</v>
      </c>
      <c r="N4117" s="2"/>
      <c r="O4117" s="2" t="b">
        <v>0</v>
      </c>
    </row>
    <row r="4118">
      <c r="A4118" s="8" t="s">
        <v>3173</v>
      </c>
      <c r="B4118" s="8" t="s">
        <v>3173</v>
      </c>
      <c r="C4118" s="13">
        <v>46093.50048611111</v>
      </c>
      <c r="D4118" s="2" t="s">
        <v>1993</v>
      </c>
      <c r="E4118" s="2" t="s">
        <v>1994</v>
      </c>
      <c r="F4118" s="14" t="s">
        <v>3516</v>
      </c>
      <c r="G4118" s="14" t="s">
        <v>3517</v>
      </c>
      <c r="H4118" s="2" t="s">
        <v>24</v>
      </c>
      <c r="I4118" s="2" t="s">
        <v>3491</v>
      </c>
      <c r="J4118" s="2">
        <v>1.0</v>
      </c>
      <c r="K4118" s="23" t="s">
        <v>4733</v>
      </c>
      <c r="L4118" s="11">
        <v>0.0</v>
      </c>
      <c r="N4118" s="2"/>
      <c r="O4118" s="2" t="b">
        <v>0</v>
      </c>
    </row>
    <row r="4119">
      <c r="A4119" s="8" t="s">
        <v>3174</v>
      </c>
      <c r="B4119" s="8" t="s">
        <v>3174</v>
      </c>
      <c r="C4119" s="13">
        <v>46093.50234953704</v>
      </c>
      <c r="D4119" s="2" t="s">
        <v>2640</v>
      </c>
      <c r="E4119" s="2" t="s">
        <v>2641</v>
      </c>
      <c r="F4119" s="14" t="s">
        <v>3516</v>
      </c>
      <c r="G4119" s="14" t="s">
        <v>3517</v>
      </c>
      <c r="H4119" s="2" t="s">
        <v>24</v>
      </c>
      <c r="I4119" s="2" t="s">
        <v>3491</v>
      </c>
      <c r="J4119" s="2">
        <v>2.0</v>
      </c>
      <c r="K4119" s="23" t="s">
        <v>6430</v>
      </c>
      <c r="L4119" s="11">
        <v>0.0</v>
      </c>
      <c r="N4119" s="2"/>
      <c r="O4119" s="2" t="b">
        <v>0</v>
      </c>
    </row>
    <row r="4120">
      <c r="A4120" s="8" t="s">
        <v>3175</v>
      </c>
      <c r="B4120" s="8" t="s">
        <v>3175</v>
      </c>
      <c r="C4120" s="13">
        <v>46093.50443287037</v>
      </c>
      <c r="D4120" s="2" t="s">
        <v>320</v>
      </c>
      <c r="E4120" s="2" t="s">
        <v>321</v>
      </c>
      <c r="F4120" s="14" t="s">
        <v>3516</v>
      </c>
      <c r="G4120" s="14" t="s">
        <v>3517</v>
      </c>
      <c r="H4120" s="2" t="s">
        <v>16</v>
      </c>
      <c r="I4120" s="2" t="s">
        <v>3488</v>
      </c>
      <c r="J4120" s="2">
        <v>2.0</v>
      </c>
      <c r="K4120" s="23" t="s">
        <v>6431</v>
      </c>
      <c r="L4120" s="11">
        <v>190000.0</v>
      </c>
      <c r="N4120" s="2"/>
      <c r="O4120" s="2" t="b">
        <v>0</v>
      </c>
    </row>
    <row r="4121">
      <c r="A4121" s="8" t="s">
        <v>3176</v>
      </c>
      <c r="B4121" s="8" t="s">
        <v>3176</v>
      </c>
      <c r="C4121" s="13">
        <v>46093.54340277778</v>
      </c>
      <c r="D4121" s="2" t="s">
        <v>2623</v>
      </c>
      <c r="E4121" s="2" t="s">
        <v>2624</v>
      </c>
      <c r="F4121" s="14" t="s">
        <v>3522</v>
      </c>
      <c r="G4121" s="14" t="s">
        <v>3523</v>
      </c>
      <c r="H4121" s="2" t="s">
        <v>24</v>
      </c>
      <c r="I4121" s="2" t="s">
        <v>3491</v>
      </c>
      <c r="J4121" s="2">
        <v>3.0</v>
      </c>
      <c r="K4121" s="23" t="s">
        <v>6432</v>
      </c>
      <c r="L4121" s="11">
        <v>0.0</v>
      </c>
      <c r="N4121" s="2"/>
      <c r="O4121" s="2" t="b">
        <v>0</v>
      </c>
    </row>
    <row r="4122">
      <c r="A4122" s="8" t="s">
        <v>3176</v>
      </c>
      <c r="B4122" s="8" t="s">
        <v>3176</v>
      </c>
      <c r="C4122" s="13">
        <v>46093.54340277778</v>
      </c>
      <c r="D4122" s="2" t="s">
        <v>2623</v>
      </c>
      <c r="E4122" s="2" t="s">
        <v>2624</v>
      </c>
      <c r="F4122" s="14" t="s">
        <v>3522</v>
      </c>
      <c r="G4122" s="14" t="s">
        <v>3523</v>
      </c>
      <c r="H4122" s="2" t="s">
        <v>24</v>
      </c>
      <c r="I4122" s="2" t="s">
        <v>3614</v>
      </c>
      <c r="J4122" s="2">
        <v>2.0</v>
      </c>
      <c r="K4122" s="23" t="s">
        <v>6433</v>
      </c>
      <c r="L4122" s="11">
        <v>0.0</v>
      </c>
      <c r="N4122" s="2"/>
      <c r="O4122" s="2" t="b">
        <v>0</v>
      </c>
    </row>
    <row r="4123">
      <c r="A4123" s="8" t="s">
        <v>3177</v>
      </c>
      <c r="B4123" s="8" t="s">
        <v>3177</v>
      </c>
      <c r="C4123" s="13">
        <v>46093.54789351852</v>
      </c>
      <c r="D4123" s="2" t="s">
        <v>786</v>
      </c>
      <c r="E4123" s="2" t="s">
        <v>787</v>
      </c>
      <c r="F4123" s="14" t="s">
        <v>3486</v>
      </c>
      <c r="G4123" s="14" t="s">
        <v>3487</v>
      </c>
      <c r="H4123" s="2" t="s">
        <v>24</v>
      </c>
      <c r="I4123" s="2" t="s">
        <v>3491</v>
      </c>
      <c r="J4123" s="2">
        <v>3.0</v>
      </c>
      <c r="K4123" s="23" t="s">
        <v>6434</v>
      </c>
      <c r="L4123" s="11">
        <v>0.0</v>
      </c>
      <c r="N4123" s="2"/>
      <c r="O4123" s="2" t="b">
        <v>0</v>
      </c>
    </row>
    <row r="4124">
      <c r="A4124" s="8" t="s">
        <v>3177</v>
      </c>
      <c r="B4124" s="8" t="s">
        <v>3177</v>
      </c>
      <c r="C4124" s="13">
        <v>46093.54789351852</v>
      </c>
      <c r="D4124" s="2" t="s">
        <v>786</v>
      </c>
      <c r="E4124" s="2" t="s">
        <v>787</v>
      </c>
      <c r="F4124" s="14" t="s">
        <v>3516</v>
      </c>
      <c r="G4124" s="14" t="s">
        <v>3517</v>
      </c>
      <c r="H4124" s="2" t="s">
        <v>24</v>
      </c>
      <c r="I4124" s="2" t="s">
        <v>3491</v>
      </c>
      <c r="J4124" s="2">
        <v>1.0</v>
      </c>
      <c r="K4124" s="23" t="s">
        <v>4389</v>
      </c>
      <c r="L4124" s="11">
        <v>0.0</v>
      </c>
      <c r="N4124" s="2"/>
      <c r="O4124" s="2" t="b">
        <v>0</v>
      </c>
    </row>
    <row r="4125">
      <c r="A4125" s="8" t="s">
        <v>3138</v>
      </c>
      <c r="B4125" s="8" t="s">
        <v>3138</v>
      </c>
      <c r="C4125" s="13">
        <v>46090.680185185185</v>
      </c>
      <c r="D4125" s="2" t="s">
        <v>2623</v>
      </c>
      <c r="E4125" s="2" t="s">
        <v>2624</v>
      </c>
      <c r="F4125" s="14" t="s">
        <v>3522</v>
      </c>
      <c r="G4125" s="14" t="s">
        <v>3523</v>
      </c>
      <c r="H4125" s="2" t="s">
        <v>24</v>
      </c>
      <c r="I4125" s="2" t="s">
        <v>3491</v>
      </c>
      <c r="J4125" s="2">
        <v>1.0</v>
      </c>
      <c r="K4125" s="23" t="s">
        <v>6435</v>
      </c>
      <c r="L4125" s="11">
        <v>0.0</v>
      </c>
      <c r="N4125" s="2"/>
      <c r="O4125" s="2" t="b">
        <v>1</v>
      </c>
    </row>
    <row r="4126">
      <c r="A4126" s="8" t="s">
        <v>3131</v>
      </c>
      <c r="B4126" s="8" t="s">
        <v>3131</v>
      </c>
      <c r="C4126" s="13">
        <v>46090.42612268519</v>
      </c>
      <c r="D4126" s="2" t="s">
        <v>2623</v>
      </c>
      <c r="E4126" s="2" t="s">
        <v>2624</v>
      </c>
      <c r="F4126" s="14" t="s">
        <v>3522</v>
      </c>
      <c r="G4126" s="14" t="s">
        <v>3523</v>
      </c>
      <c r="H4126" s="2" t="s">
        <v>16</v>
      </c>
      <c r="I4126" s="2" t="s">
        <v>3488</v>
      </c>
      <c r="J4126" s="2">
        <v>1.0</v>
      </c>
      <c r="K4126" s="23" t="s">
        <v>6436</v>
      </c>
      <c r="L4126" s="11">
        <v>225000.0</v>
      </c>
      <c r="N4126" s="2"/>
      <c r="O4126" s="2" t="b">
        <v>1</v>
      </c>
    </row>
    <row r="4127">
      <c r="A4127" s="8" t="s">
        <v>3178</v>
      </c>
      <c r="B4127" s="8" t="s">
        <v>3178</v>
      </c>
      <c r="C4127" s="13">
        <v>46093.55886574074</v>
      </c>
      <c r="D4127" s="2" t="s">
        <v>326</v>
      </c>
      <c r="E4127" s="2" t="s">
        <v>327</v>
      </c>
      <c r="F4127" s="14" t="s">
        <v>3486</v>
      </c>
      <c r="G4127" s="14" t="s">
        <v>3487</v>
      </c>
      <c r="H4127" s="2" t="s">
        <v>16</v>
      </c>
      <c r="I4127" s="2" t="s">
        <v>3488</v>
      </c>
      <c r="J4127" s="2">
        <v>10.0</v>
      </c>
      <c r="K4127" s="23" t="s">
        <v>6437</v>
      </c>
      <c r="L4127" s="11">
        <v>45000.0</v>
      </c>
      <c r="N4127" s="2"/>
      <c r="O4127" s="2" t="b">
        <v>0</v>
      </c>
    </row>
    <row r="4128">
      <c r="A4128" s="8" t="s">
        <v>3179</v>
      </c>
      <c r="B4128" s="8" t="s">
        <v>3179</v>
      </c>
      <c r="C4128" s="13">
        <v>46093.560648148145</v>
      </c>
      <c r="D4128" s="2" t="s">
        <v>2005</v>
      </c>
      <c r="E4128" s="2" t="s">
        <v>2006</v>
      </c>
      <c r="F4128" s="14" t="s">
        <v>3486</v>
      </c>
      <c r="G4128" s="14" t="s">
        <v>3487</v>
      </c>
      <c r="H4128" s="2" t="s">
        <v>16</v>
      </c>
      <c r="I4128" s="2" t="s">
        <v>3488</v>
      </c>
      <c r="J4128" s="2">
        <v>8.0</v>
      </c>
      <c r="K4128" s="23" t="s">
        <v>6438</v>
      </c>
      <c r="L4128" s="11">
        <v>60000.0</v>
      </c>
      <c r="N4128" s="2"/>
      <c r="O4128" s="2" t="b">
        <v>0</v>
      </c>
    </row>
    <row r="4129">
      <c r="A4129" s="8" t="s">
        <v>3179</v>
      </c>
      <c r="B4129" s="8" t="s">
        <v>3179</v>
      </c>
      <c r="C4129" s="13">
        <v>46093.560648148145</v>
      </c>
      <c r="D4129" s="2" t="s">
        <v>2005</v>
      </c>
      <c r="E4129" s="2" t="s">
        <v>2006</v>
      </c>
      <c r="F4129" s="14" t="s">
        <v>4203</v>
      </c>
      <c r="G4129" s="14" t="s">
        <v>4204</v>
      </c>
      <c r="H4129" s="2" t="s">
        <v>16</v>
      </c>
      <c r="I4129" s="2" t="s">
        <v>3488</v>
      </c>
      <c r="J4129" s="2">
        <v>2.0</v>
      </c>
      <c r="K4129" s="23" t="s">
        <v>6439</v>
      </c>
      <c r="L4129" s="11">
        <v>65000.0</v>
      </c>
      <c r="N4129" s="2"/>
      <c r="O4129" s="2" t="b">
        <v>0</v>
      </c>
    </row>
    <row r="4130">
      <c r="A4130" s="8" t="s">
        <v>3179</v>
      </c>
      <c r="B4130" s="8" t="s">
        <v>3179</v>
      </c>
      <c r="C4130" s="13">
        <v>46093.560648148145</v>
      </c>
      <c r="D4130" s="2" t="s">
        <v>2005</v>
      </c>
      <c r="E4130" s="2" t="s">
        <v>2006</v>
      </c>
      <c r="F4130" s="14" t="s">
        <v>3493</v>
      </c>
      <c r="G4130" s="14" t="s">
        <v>3494</v>
      </c>
      <c r="H4130" s="2" t="s">
        <v>16</v>
      </c>
      <c r="I4130" s="2" t="s">
        <v>3488</v>
      </c>
      <c r="J4130" s="2">
        <v>2.0</v>
      </c>
      <c r="K4130" s="12" t="s">
        <v>6440</v>
      </c>
      <c r="L4130" s="11">
        <v>215000.0</v>
      </c>
      <c r="N4130" s="2"/>
      <c r="O4130" s="2" t="b">
        <v>0</v>
      </c>
    </row>
    <row r="4131">
      <c r="A4131" s="8" t="s">
        <v>3180</v>
      </c>
      <c r="B4131" s="8" t="s">
        <v>3180</v>
      </c>
      <c r="C4131" s="13">
        <v>46093.65510416667</v>
      </c>
      <c r="D4131" s="2" t="s">
        <v>131</v>
      </c>
      <c r="E4131" s="2" t="s">
        <v>132</v>
      </c>
      <c r="F4131" s="14" t="s">
        <v>3516</v>
      </c>
      <c r="G4131" s="14" t="s">
        <v>3517</v>
      </c>
      <c r="H4131" s="2" t="s">
        <v>24</v>
      </c>
      <c r="I4131" s="2" t="s">
        <v>3491</v>
      </c>
      <c r="J4131" s="2">
        <v>2.0</v>
      </c>
      <c r="K4131" s="23" t="s">
        <v>6441</v>
      </c>
      <c r="L4131" s="11">
        <v>0.0</v>
      </c>
      <c r="N4131" s="2"/>
      <c r="O4131" s="2" t="b">
        <v>0</v>
      </c>
    </row>
    <row r="4132">
      <c r="A4132" s="8" t="s">
        <v>3181</v>
      </c>
      <c r="B4132" s="8" t="s">
        <v>3181</v>
      </c>
      <c r="C4132" s="13">
        <v>46093.65545138889</v>
      </c>
      <c r="D4132" s="2" t="s">
        <v>2005</v>
      </c>
      <c r="E4132" s="2" t="s">
        <v>2006</v>
      </c>
      <c r="F4132" s="14" t="s">
        <v>4203</v>
      </c>
      <c r="G4132" s="14" t="s">
        <v>4204</v>
      </c>
      <c r="H4132" s="2" t="s">
        <v>24</v>
      </c>
      <c r="I4132" s="2" t="s">
        <v>3491</v>
      </c>
      <c r="J4132" s="2">
        <v>1.0</v>
      </c>
      <c r="K4132" s="23" t="s">
        <v>5522</v>
      </c>
      <c r="L4132" s="11">
        <v>0.0</v>
      </c>
      <c r="N4132" s="2"/>
      <c r="O4132" s="2" t="b">
        <v>0</v>
      </c>
    </row>
    <row r="4133">
      <c r="A4133" s="8" t="s">
        <v>3181</v>
      </c>
      <c r="B4133" s="8" t="s">
        <v>3181</v>
      </c>
      <c r="C4133" s="13">
        <v>46093.65545138889</v>
      </c>
      <c r="D4133" s="2" t="s">
        <v>2005</v>
      </c>
      <c r="E4133" s="2" t="s">
        <v>2006</v>
      </c>
      <c r="F4133" s="14" t="s">
        <v>3486</v>
      </c>
      <c r="G4133" s="14" t="s">
        <v>3487</v>
      </c>
      <c r="H4133" s="2" t="s">
        <v>24</v>
      </c>
      <c r="I4133" s="2" t="s">
        <v>3491</v>
      </c>
      <c r="J4133" s="2">
        <v>3.0</v>
      </c>
      <c r="K4133" s="23" t="s">
        <v>6442</v>
      </c>
      <c r="L4133" s="11">
        <v>0.0</v>
      </c>
      <c r="N4133" s="2"/>
      <c r="O4133" s="2" t="b">
        <v>0</v>
      </c>
    </row>
    <row r="4134">
      <c r="A4134" s="8" t="s">
        <v>3181</v>
      </c>
      <c r="B4134" s="8" t="s">
        <v>3181</v>
      </c>
      <c r="C4134" s="13">
        <v>46093.65545138889</v>
      </c>
      <c r="D4134" s="2" t="s">
        <v>2005</v>
      </c>
      <c r="E4134" s="2" t="s">
        <v>2006</v>
      </c>
      <c r="F4134" s="14" t="s">
        <v>3493</v>
      </c>
      <c r="G4134" s="14" t="s">
        <v>3494</v>
      </c>
      <c r="H4134" s="2" t="s">
        <v>24</v>
      </c>
      <c r="I4134" s="2" t="s">
        <v>3491</v>
      </c>
      <c r="J4134" s="2">
        <v>2.0</v>
      </c>
      <c r="K4134" s="12" t="s">
        <v>6291</v>
      </c>
      <c r="L4134" s="11">
        <v>0.0</v>
      </c>
      <c r="N4134" s="2"/>
      <c r="O4134" s="2" t="b">
        <v>0</v>
      </c>
    </row>
    <row r="4135">
      <c r="A4135" s="8" t="s">
        <v>3182</v>
      </c>
      <c r="B4135" s="8" t="s">
        <v>3182</v>
      </c>
      <c r="C4135" s="13">
        <v>46094.34043981481</v>
      </c>
      <c r="D4135" s="2" t="s">
        <v>2774</v>
      </c>
      <c r="E4135" s="2" t="s">
        <v>2775</v>
      </c>
      <c r="F4135" s="14" t="s">
        <v>3486</v>
      </c>
      <c r="G4135" s="14" t="s">
        <v>3487</v>
      </c>
      <c r="H4135" s="2" t="s">
        <v>16</v>
      </c>
      <c r="I4135" s="2" t="s">
        <v>3488</v>
      </c>
      <c r="J4135" s="2">
        <v>3.0</v>
      </c>
      <c r="K4135" s="23" t="s">
        <v>6443</v>
      </c>
      <c r="L4135" s="11">
        <v>70000.0</v>
      </c>
      <c r="N4135" s="2"/>
      <c r="O4135" s="2" t="b">
        <v>0</v>
      </c>
    </row>
    <row r="4136">
      <c r="A4136" s="8" t="s">
        <v>3182</v>
      </c>
      <c r="B4136" s="8" t="s">
        <v>3182</v>
      </c>
      <c r="C4136" s="13">
        <v>46094.34043981481</v>
      </c>
      <c r="D4136" s="2" t="s">
        <v>2774</v>
      </c>
      <c r="E4136" s="2" t="s">
        <v>2775</v>
      </c>
      <c r="F4136" s="14" t="s">
        <v>4203</v>
      </c>
      <c r="G4136" s="14" t="s">
        <v>4204</v>
      </c>
      <c r="H4136" s="2" t="s">
        <v>16</v>
      </c>
      <c r="I4136" s="2" t="s">
        <v>3488</v>
      </c>
      <c r="J4136" s="2">
        <v>1.0</v>
      </c>
      <c r="K4136" s="23" t="s">
        <v>5522</v>
      </c>
      <c r="L4136" s="11">
        <v>70000.0</v>
      </c>
      <c r="N4136" s="2"/>
      <c r="O4136" s="2" t="b">
        <v>0</v>
      </c>
    </row>
    <row r="4137">
      <c r="A4137" s="8" t="s">
        <v>3184</v>
      </c>
      <c r="B4137" s="8" t="s">
        <v>3184</v>
      </c>
      <c r="C4137" s="13">
        <v>46094.57670138889</v>
      </c>
      <c r="D4137" s="2" t="s">
        <v>2774</v>
      </c>
      <c r="E4137" s="2" t="s">
        <v>2775</v>
      </c>
      <c r="F4137" s="14" t="s">
        <v>3486</v>
      </c>
      <c r="G4137" s="14" t="s">
        <v>3487</v>
      </c>
      <c r="H4137" s="2" t="s">
        <v>24</v>
      </c>
      <c r="I4137" s="2" t="s">
        <v>3491</v>
      </c>
      <c r="J4137" s="2">
        <v>4.0</v>
      </c>
      <c r="K4137" s="23" t="s">
        <v>6370</v>
      </c>
      <c r="L4137" s="11">
        <v>0.0</v>
      </c>
      <c r="N4137" s="2"/>
      <c r="O4137" s="2" t="b">
        <v>0</v>
      </c>
    </row>
    <row r="4138">
      <c r="A4138" s="8" t="s">
        <v>3183</v>
      </c>
      <c r="B4138" s="8" t="s">
        <v>3183</v>
      </c>
      <c r="C4138" s="13">
        <v>46094.57302083333</v>
      </c>
      <c r="D4138" s="2" t="s">
        <v>2913</v>
      </c>
      <c r="E4138" s="2" t="s">
        <v>2914</v>
      </c>
      <c r="F4138" s="14" t="s">
        <v>3486</v>
      </c>
      <c r="G4138" s="14" t="s">
        <v>3487</v>
      </c>
      <c r="H4138" s="2" t="s">
        <v>16</v>
      </c>
      <c r="I4138" s="2" t="s">
        <v>3488</v>
      </c>
      <c r="J4138" s="2">
        <v>3.0</v>
      </c>
      <c r="K4138" s="23" t="s">
        <v>6444</v>
      </c>
      <c r="L4138" s="11">
        <v>50000.0</v>
      </c>
      <c r="N4138" s="2"/>
      <c r="O4138" s="2" t="b">
        <v>0</v>
      </c>
    </row>
    <row r="4139">
      <c r="A4139" s="8" t="s">
        <v>3185</v>
      </c>
      <c r="B4139" s="8" t="s">
        <v>3185</v>
      </c>
      <c r="C4139" s="13">
        <v>46094.577199074076</v>
      </c>
      <c r="D4139" s="2" t="s">
        <v>1756</v>
      </c>
      <c r="E4139" s="2" t="s">
        <v>1757</v>
      </c>
      <c r="F4139" s="14" t="s">
        <v>3486</v>
      </c>
      <c r="G4139" s="14" t="s">
        <v>3487</v>
      </c>
      <c r="H4139" s="2" t="s">
        <v>24</v>
      </c>
      <c r="I4139" s="2" t="s">
        <v>3491</v>
      </c>
      <c r="J4139" s="2">
        <v>1.0</v>
      </c>
      <c r="K4139" s="23" t="s">
        <v>5831</v>
      </c>
      <c r="L4139" s="11">
        <v>0.0</v>
      </c>
      <c r="N4139" s="2"/>
      <c r="O4139" s="2" t="b">
        <v>0</v>
      </c>
    </row>
    <row r="4140">
      <c r="A4140" s="8" t="s">
        <v>3185</v>
      </c>
      <c r="B4140" s="8" t="s">
        <v>3185</v>
      </c>
      <c r="C4140" s="13">
        <v>46094.577199074076</v>
      </c>
      <c r="D4140" s="2" t="s">
        <v>1756</v>
      </c>
      <c r="E4140" s="2" t="s">
        <v>1757</v>
      </c>
      <c r="F4140" s="14" t="s">
        <v>3486</v>
      </c>
      <c r="G4140" s="14" t="s">
        <v>3487</v>
      </c>
      <c r="H4140" s="2" t="s">
        <v>24</v>
      </c>
      <c r="I4140" s="2" t="s">
        <v>3491</v>
      </c>
      <c r="J4140" s="2">
        <v>1.0</v>
      </c>
      <c r="K4140" s="23" t="s">
        <v>3860</v>
      </c>
      <c r="L4140" s="11">
        <v>0.0</v>
      </c>
      <c r="N4140" s="2"/>
      <c r="O4140" s="2" t="b">
        <v>1</v>
      </c>
    </row>
    <row r="4141">
      <c r="A4141" s="8" t="s">
        <v>3186</v>
      </c>
      <c r="B4141" s="8" t="s">
        <v>3186</v>
      </c>
      <c r="C4141" s="13">
        <v>46094.5787037037</v>
      </c>
      <c r="D4141" s="2" t="s">
        <v>2543</v>
      </c>
      <c r="E4141" s="2" t="s">
        <v>2544</v>
      </c>
      <c r="F4141" s="14" t="s">
        <v>3486</v>
      </c>
      <c r="G4141" s="14" t="s">
        <v>3487</v>
      </c>
      <c r="H4141" s="2" t="s">
        <v>16</v>
      </c>
      <c r="I4141" s="2" t="s">
        <v>3488</v>
      </c>
      <c r="J4141" s="2">
        <v>3.0</v>
      </c>
      <c r="K4141" s="23" t="s">
        <v>6445</v>
      </c>
      <c r="L4141" s="11">
        <v>60000.0</v>
      </c>
      <c r="N4141" s="2"/>
      <c r="O4141" s="2" t="b">
        <v>0</v>
      </c>
    </row>
    <row r="4142">
      <c r="A4142" s="8" t="s">
        <v>3186</v>
      </c>
      <c r="B4142" s="8" t="s">
        <v>3186</v>
      </c>
      <c r="C4142" s="13">
        <v>46094.5787037037</v>
      </c>
      <c r="D4142" s="2" t="s">
        <v>2543</v>
      </c>
      <c r="E4142" s="2" t="s">
        <v>2544</v>
      </c>
      <c r="F4142" s="14" t="s">
        <v>3516</v>
      </c>
      <c r="G4142" s="14" t="s">
        <v>3517</v>
      </c>
      <c r="H4142" s="2" t="s">
        <v>16</v>
      </c>
      <c r="I4142" s="2" t="s">
        <v>3488</v>
      </c>
      <c r="J4142" s="2">
        <v>4.0</v>
      </c>
      <c r="K4142" s="23" t="s">
        <v>6446</v>
      </c>
      <c r="L4142" s="11">
        <v>190000.0</v>
      </c>
      <c r="N4142" s="2"/>
      <c r="O4142" s="2" t="b">
        <v>0</v>
      </c>
    </row>
    <row r="4143">
      <c r="A4143" s="1"/>
      <c r="B4143" s="1"/>
      <c r="C4143" s="13"/>
      <c r="D4143" s="2"/>
      <c r="E4143" s="2"/>
      <c r="F4143" s="14"/>
      <c r="G4143" s="14"/>
      <c r="H4143" s="2"/>
      <c r="I4143" s="2"/>
      <c r="J4143" s="2"/>
      <c r="K4143" s="12"/>
      <c r="L4143" s="11"/>
      <c r="N4143" s="2"/>
      <c r="O4143" s="2"/>
    </row>
    <row r="4144">
      <c r="A4144" s="1"/>
      <c r="B4144" s="1"/>
      <c r="C4144" s="13"/>
      <c r="D4144" s="2"/>
      <c r="E4144" s="2"/>
      <c r="F4144" s="14"/>
      <c r="G4144" s="14"/>
      <c r="H4144" s="2"/>
      <c r="I4144" s="2"/>
      <c r="J4144" s="2"/>
      <c r="K4144" s="12"/>
      <c r="L4144" s="11"/>
      <c r="N4144" s="2"/>
      <c r="O4144" s="2"/>
    </row>
    <row r="4145">
      <c r="A4145" s="8" t="s">
        <v>3187</v>
      </c>
      <c r="B4145" s="8" t="s">
        <v>3187</v>
      </c>
      <c r="C4145" s="13">
        <v>46094.58085648148</v>
      </c>
      <c r="D4145" s="2" t="s">
        <v>2623</v>
      </c>
      <c r="E4145" s="2" t="s">
        <v>2624</v>
      </c>
      <c r="F4145" s="14" t="s">
        <v>3522</v>
      </c>
      <c r="G4145" s="14" t="s">
        <v>3523</v>
      </c>
      <c r="H4145" s="2" t="s">
        <v>16</v>
      </c>
      <c r="I4145" s="2" t="s">
        <v>3488</v>
      </c>
      <c r="J4145" s="2">
        <v>2.0</v>
      </c>
      <c r="K4145" s="23" t="s">
        <v>6447</v>
      </c>
      <c r="L4145" s="11">
        <v>225000.0</v>
      </c>
      <c r="N4145" s="2"/>
      <c r="O4145" s="2" t="b">
        <v>0</v>
      </c>
    </row>
    <row r="4146">
      <c r="A4146" s="8" t="s">
        <v>3188</v>
      </c>
      <c r="B4146" s="8" t="s">
        <v>3188</v>
      </c>
      <c r="C4146" s="13">
        <v>46094.58181712963</v>
      </c>
      <c r="D4146" s="2" t="s">
        <v>2623</v>
      </c>
      <c r="E4146" s="2" t="s">
        <v>2624</v>
      </c>
      <c r="F4146" s="14" t="s">
        <v>3522</v>
      </c>
      <c r="G4146" s="14" t="s">
        <v>3523</v>
      </c>
      <c r="H4146" s="2" t="s">
        <v>159</v>
      </c>
      <c r="I4146" s="2" t="s">
        <v>3491</v>
      </c>
      <c r="J4146" s="2">
        <v>1.0</v>
      </c>
      <c r="K4146" s="23" t="s">
        <v>4330</v>
      </c>
      <c r="L4146" s="11">
        <v>0.0</v>
      </c>
      <c r="N4146" s="2"/>
      <c r="O4146" s="2" t="b">
        <v>0</v>
      </c>
    </row>
    <row r="4147">
      <c r="A4147" s="8" t="s">
        <v>3189</v>
      </c>
      <c r="B4147" s="8" t="s">
        <v>3189</v>
      </c>
      <c r="C4147" s="13">
        <v>46094.420011574075</v>
      </c>
      <c r="D4147" s="2" t="s">
        <v>1756</v>
      </c>
      <c r="E4147" s="2" t="s">
        <v>1757</v>
      </c>
      <c r="F4147" s="14" t="s">
        <v>3486</v>
      </c>
      <c r="G4147" s="14" t="s">
        <v>3487</v>
      </c>
      <c r="H4147" s="2" t="s">
        <v>16</v>
      </c>
      <c r="I4147" s="2" t="s">
        <v>3488</v>
      </c>
      <c r="J4147" s="2">
        <v>2.0</v>
      </c>
      <c r="K4147" s="23" t="s">
        <v>6448</v>
      </c>
      <c r="L4147" s="11">
        <v>65000.0</v>
      </c>
      <c r="N4147" s="2"/>
      <c r="O4147" s="2" t="b">
        <v>0</v>
      </c>
    </row>
    <row r="4148">
      <c r="A4148" s="8" t="s">
        <v>3183</v>
      </c>
      <c r="B4148" s="8" t="s">
        <v>3183</v>
      </c>
      <c r="C4148" s="13">
        <v>46094.57302083333</v>
      </c>
      <c r="D4148" s="2" t="s">
        <v>2913</v>
      </c>
      <c r="E4148" s="2" t="s">
        <v>2914</v>
      </c>
      <c r="F4148" s="14" t="s">
        <v>4203</v>
      </c>
      <c r="G4148" s="14" t="s">
        <v>4204</v>
      </c>
      <c r="H4148" s="2" t="s">
        <v>16</v>
      </c>
      <c r="I4148" s="2" t="s">
        <v>3488</v>
      </c>
      <c r="J4148" s="2">
        <v>1.0</v>
      </c>
      <c r="K4148" s="23" t="s">
        <v>6449</v>
      </c>
      <c r="L4148" s="11">
        <v>50000.0</v>
      </c>
      <c r="N4148" s="2"/>
      <c r="O4148" s="2" t="b">
        <v>0</v>
      </c>
    </row>
    <row r="4149">
      <c r="A4149" s="8" t="s">
        <v>3186</v>
      </c>
      <c r="B4149" s="8" t="s">
        <v>3186</v>
      </c>
      <c r="C4149" s="13">
        <v>46094.5787037037</v>
      </c>
      <c r="D4149" s="2" t="s">
        <v>2543</v>
      </c>
      <c r="E4149" s="2" t="s">
        <v>2544</v>
      </c>
      <c r="F4149" s="14" t="s">
        <v>3585</v>
      </c>
      <c r="G4149" s="14" t="s">
        <v>3586</v>
      </c>
      <c r="H4149" s="2" t="s">
        <v>16</v>
      </c>
      <c r="I4149" s="2" t="s">
        <v>3488</v>
      </c>
      <c r="J4149" s="2">
        <v>1.0</v>
      </c>
      <c r="K4149" s="23" t="s">
        <v>6450</v>
      </c>
      <c r="L4149" s="11">
        <v>485000.0</v>
      </c>
      <c r="N4149" s="2"/>
      <c r="O4149" s="2" t="b">
        <v>0</v>
      </c>
    </row>
    <row r="4150">
      <c r="A4150" s="8" t="s">
        <v>3190</v>
      </c>
      <c r="B4150" s="8" t="s">
        <v>3190</v>
      </c>
      <c r="C4150" s="13">
        <v>46094.66028935185</v>
      </c>
      <c r="D4150" s="2" t="s">
        <v>464</v>
      </c>
      <c r="E4150" s="2" t="s">
        <v>465</v>
      </c>
      <c r="F4150" s="14" t="s">
        <v>4203</v>
      </c>
      <c r="G4150" s="14" t="s">
        <v>4204</v>
      </c>
      <c r="H4150" s="2" t="s">
        <v>24</v>
      </c>
      <c r="I4150" s="2" t="s">
        <v>3491</v>
      </c>
      <c r="J4150" s="2">
        <v>1.0</v>
      </c>
      <c r="K4150" s="23" t="s">
        <v>6451</v>
      </c>
      <c r="L4150" s="11">
        <v>0.0</v>
      </c>
      <c r="N4150" s="2"/>
      <c r="O4150" s="2" t="b">
        <v>0</v>
      </c>
    </row>
    <row r="4151">
      <c r="A4151" s="8" t="s">
        <v>3190</v>
      </c>
      <c r="B4151" s="8" t="s">
        <v>3190</v>
      </c>
      <c r="C4151" s="13">
        <v>46094.66028935185</v>
      </c>
      <c r="D4151" s="2" t="s">
        <v>464</v>
      </c>
      <c r="E4151" s="2" t="s">
        <v>465</v>
      </c>
      <c r="F4151" s="14" t="s">
        <v>3506</v>
      </c>
      <c r="G4151" s="14" t="s">
        <v>3507</v>
      </c>
      <c r="H4151" s="2" t="s">
        <v>24</v>
      </c>
      <c r="I4151" s="2" t="s">
        <v>3491</v>
      </c>
      <c r="J4151" s="2">
        <v>1.0</v>
      </c>
      <c r="K4151" s="12"/>
      <c r="L4151" s="11">
        <v>0.0</v>
      </c>
      <c r="N4151" s="2"/>
      <c r="O4151" s="2" t="b">
        <v>0</v>
      </c>
    </row>
    <row r="4152">
      <c r="A4152" s="8" t="s">
        <v>3191</v>
      </c>
      <c r="B4152" s="8" t="s">
        <v>3191</v>
      </c>
      <c r="C4152" s="13">
        <v>46094.66090277778</v>
      </c>
      <c r="D4152" s="2" t="s">
        <v>1228</v>
      </c>
      <c r="E4152" s="2" t="s">
        <v>1229</v>
      </c>
      <c r="F4152" s="14" t="s">
        <v>3486</v>
      </c>
      <c r="G4152" s="14" t="s">
        <v>3487</v>
      </c>
      <c r="H4152" s="2" t="s">
        <v>24</v>
      </c>
      <c r="I4152" s="2" t="s">
        <v>3491</v>
      </c>
      <c r="J4152" s="2">
        <v>3.0</v>
      </c>
      <c r="K4152" s="23" t="s">
        <v>6452</v>
      </c>
      <c r="L4152" s="11">
        <v>0.0</v>
      </c>
      <c r="N4152" s="2"/>
      <c r="O4152" s="2" t="b">
        <v>0</v>
      </c>
    </row>
    <row r="4153">
      <c r="A4153" s="8" t="s">
        <v>3192</v>
      </c>
      <c r="B4153" s="8" t="s">
        <v>3192</v>
      </c>
      <c r="C4153" s="13">
        <v>46094.66605324074</v>
      </c>
      <c r="D4153" s="2" t="s">
        <v>2913</v>
      </c>
      <c r="E4153" s="2" t="s">
        <v>2914</v>
      </c>
      <c r="F4153" s="14" t="s">
        <v>3486</v>
      </c>
      <c r="G4153" s="14" t="s">
        <v>3487</v>
      </c>
      <c r="H4153" s="2" t="s">
        <v>24</v>
      </c>
      <c r="I4153" s="2" t="s">
        <v>3491</v>
      </c>
      <c r="J4153" s="2">
        <v>2.0</v>
      </c>
      <c r="K4153" s="23" t="s">
        <v>6453</v>
      </c>
      <c r="L4153" s="11">
        <v>0.0</v>
      </c>
      <c r="N4153" s="2"/>
      <c r="O4153" s="2" t="b">
        <v>0</v>
      </c>
    </row>
    <row r="4154">
      <c r="A4154" s="8" t="s">
        <v>3193</v>
      </c>
      <c r="B4154" s="8" t="s">
        <v>3193</v>
      </c>
      <c r="C4154" s="13">
        <v>46094.6665625</v>
      </c>
      <c r="D4154" s="2" t="s">
        <v>2543</v>
      </c>
      <c r="E4154" s="2" t="s">
        <v>2544</v>
      </c>
      <c r="F4154" s="14" t="s">
        <v>3486</v>
      </c>
      <c r="G4154" s="14" t="s">
        <v>3487</v>
      </c>
      <c r="H4154" s="2" t="s">
        <v>24</v>
      </c>
      <c r="I4154" s="2" t="s">
        <v>3491</v>
      </c>
      <c r="J4154" s="2">
        <v>4.0</v>
      </c>
      <c r="K4154" s="23" t="s">
        <v>6454</v>
      </c>
      <c r="L4154" s="11">
        <v>0.0</v>
      </c>
      <c r="N4154" s="2"/>
      <c r="O4154" s="2" t="b">
        <v>0</v>
      </c>
    </row>
    <row r="4155">
      <c r="A4155" s="8" t="s">
        <v>3193</v>
      </c>
      <c r="B4155" s="8" t="s">
        <v>3193</v>
      </c>
      <c r="C4155" s="13">
        <v>46094.6665625</v>
      </c>
      <c r="D4155" s="2" t="s">
        <v>2543</v>
      </c>
      <c r="E4155" s="2" t="s">
        <v>2544</v>
      </c>
      <c r="F4155" s="14" t="s">
        <v>3516</v>
      </c>
      <c r="G4155" s="14" t="s">
        <v>3517</v>
      </c>
      <c r="H4155" s="2" t="s">
        <v>24</v>
      </c>
      <c r="I4155" s="2" t="s">
        <v>3491</v>
      </c>
      <c r="J4155" s="2">
        <v>3.0</v>
      </c>
      <c r="K4155" s="23" t="s">
        <v>6455</v>
      </c>
      <c r="L4155" s="11">
        <v>0.0</v>
      </c>
      <c r="N4155" s="2"/>
      <c r="O4155" s="2" t="b">
        <v>0</v>
      </c>
    </row>
    <row r="4156">
      <c r="A4156" s="8" t="s">
        <v>3193</v>
      </c>
      <c r="B4156" s="8" t="s">
        <v>3193</v>
      </c>
      <c r="C4156" s="13">
        <v>46094.6665625</v>
      </c>
      <c r="D4156" s="2" t="s">
        <v>2543</v>
      </c>
      <c r="E4156" s="2" t="s">
        <v>2544</v>
      </c>
      <c r="F4156" s="14" t="s">
        <v>3585</v>
      </c>
      <c r="G4156" s="14" t="s">
        <v>3586</v>
      </c>
      <c r="H4156" s="2" t="s">
        <v>24</v>
      </c>
      <c r="I4156" s="2" t="s">
        <v>3491</v>
      </c>
      <c r="J4156" s="2">
        <v>1.0</v>
      </c>
      <c r="K4156" s="23" t="s">
        <v>6200</v>
      </c>
      <c r="L4156" s="11">
        <v>0.0</v>
      </c>
      <c r="N4156" s="2"/>
      <c r="O4156" s="2" t="b">
        <v>0</v>
      </c>
    </row>
    <row r="4157">
      <c r="A4157" s="8" t="s">
        <v>3194</v>
      </c>
      <c r="B4157" s="8" t="s">
        <v>3194</v>
      </c>
      <c r="C4157" s="13">
        <v>46095.39371527778</v>
      </c>
      <c r="D4157" s="2" t="s">
        <v>1993</v>
      </c>
      <c r="E4157" s="2" t="s">
        <v>1994</v>
      </c>
      <c r="F4157" s="14" t="s">
        <v>3486</v>
      </c>
      <c r="G4157" s="14" t="s">
        <v>3487</v>
      </c>
      <c r="H4157" s="2" t="s">
        <v>16</v>
      </c>
      <c r="I4157" s="2" t="s">
        <v>3488</v>
      </c>
      <c r="J4157" s="2">
        <v>5.0</v>
      </c>
      <c r="K4157" s="23" t="s">
        <v>6456</v>
      </c>
      <c r="L4157" s="11">
        <v>65000.0</v>
      </c>
      <c r="N4157" s="2"/>
      <c r="O4157" s="2" t="b">
        <v>0</v>
      </c>
    </row>
    <row r="4158">
      <c r="A4158" s="8" t="s">
        <v>3195</v>
      </c>
      <c r="B4158" s="8" t="s">
        <v>3195</v>
      </c>
      <c r="C4158" s="13">
        <v>46095.39873842592</v>
      </c>
      <c r="D4158" s="2" t="s">
        <v>951</v>
      </c>
      <c r="E4158" s="2" t="s">
        <v>952</v>
      </c>
      <c r="F4158" s="14" t="s">
        <v>3486</v>
      </c>
      <c r="G4158" s="14" t="s">
        <v>3487</v>
      </c>
      <c r="H4158" s="2" t="s">
        <v>16</v>
      </c>
      <c r="I4158" s="2" t="s">
        <v>3488</v>
      </c>
      <c r="J4158" s="2">
        <v>5.0</v>
      </c>
      <c r="K4158" s="23" t="s">
        <v>6457</v>
      </c>
      <c r="L4158" s="11">
        <v>55000.0</v>
      </c>
      <c r="N4158" s="2"/>
      <c r="O4158" s="2" t="b">
        <v>0</v>
      </c>
    </row>
    <row r="4159">
      <c r="A4159" s="8" t="s">
        <v>3195</v>
      </c>
      <c r="B4159" s="8" t="s">
        <v>3195</v>
      </c>
      <c r="C4159" s="13">
        <v>46095.39873842592</v>
      </c>
      <c r="D4159" s="2" t="s">
        <v>951</v>
      </c>
      <c r="E4159" s="2" t="s">
        <v>952</v>
      </c>
      <c r="F4159" s="14" t="s">
        <v>3516</v>
      </c>
      <c r="G4159" s="14" t="s">
        <v>3517</v>
      </c>
      <c r="H4159" s="2" t="s">
        <v>16</v>
      </c>
      <c r="I4159" s="2" t="s">
        <v>3488</v>
      </c>
      <c r="J4159" s="2">
        <v>2.0</v>
      </c>
      <c r="K4159" s="23" t="s">
        <v>6458</v>
      </c>
      <c r="L4159" s="11">
        <v>175000.0</v>
      </c>
      <c r="N4159" s="2"/>
      <c r="O4159" s="2" t="b">
        <v>0</v>
      </c>
    </row>
    <row r="4160">
      <c r="A4160" s="8" t="s">
        <v>3196</v>
      </c>
      <c r="B4160" s="8" t="s">
        <v>3196</v>
      </c>
      <c r="C4160" s="13">
        <v>46095.4587962963</v>
      </c>
      <c r="D4160" s="2" t="s">
        <v>885</v>
      </c>
      <c r="E4160" s="2" t="s">
        <v>886</v>
      </c>
      <c r="F4160" s="14" t="s">
        <v>5765</v>
      </c>
      <c r="G4160" s="14" t="s">
        <v>5766</v>
      </c>
      <c r="H4160" s="2" t="s">
        <v>16</v>
      </c>
      <c r="I4160" s="2" t="s">
        <v>3488</v>
      </c>
      <c r="J4160" s="2">
        <v>3.0</v>
      </c>
      <c r="K4160" s="23" t="s">
        <v>6459</v>
      </c>
      <c r="L4160" s="11">
        <v>70000.0</v>
      </c>
      <c r="N4160" s="2"/>
      <c r="O4160" s="2" t="b">
        <v>0</v>
      </c>
    </row>
    <row r="4161">
      <c r="A4161" s="8" t="s">
        <v>3197</v>
      </c>
      <c r="B4161" s="8" t="s">
        <v>3197</v>
      </c>
      <c r="C4161" s="13">
        <v>46095.47052083333</v>
      </c>
      <c r="D4161" s="2" t="s">
        <v>1993</v>
      </c>
      <c r="E4161" s="2" t="s">
        <v>1994</v>
      </c>
      <c r="F4161" s="14" t="s">
        <v>3486</v>
      </c>
      <c r="G4161" s="14" t="s">
        <v>3487</v>
      </c>
      <c r="H4161" s="2" t="s">
        <v>24</v>
      </c>
      <c r="I4161" s="2" t="s">
        <v>3491</v>
      </c>
      <c r="J4161" s="2">
        <v>4.0</v>
      </c>
      <c r="K4161" s="23" t="s">
        <v>6460</v>
      </c>
      <c r="L4161" s="11">
        <v>0.0</v>
      </c>
      <c r="N4161" s="2"/>
      <c r="O4161" s="2" t="b">
        <v>0</v>
      </c>
    </row>
    <row r="4162">
      <c r="A4162" s="8" t="s">
        <v>3197</v>
      </c>
      <c r="B4162" s="8" t="s">
        <v>3197</v>
      </c>
      <c r="C4162" s="13">
        <v>46095.47052083333</v>
      </c>
      <c r="D4162" s="2" t="s">
        <v>1993</v>
      </c>
      <c r="E4162" s="2" t="s">
        <v>1994</v>
      </c>
      <c r="F4162" s="14" t="s">
        <v>4203</v>
      </c>
      <c r="G4162" s="14" t="s">
        <v>4204</v>
      </c>
      <c r="H4162" s="2" t="s">
        <v>24</v>
      </c>
      <c r="I4162" s="2" t="s">
        <v>3491</v>
      </c>
      <c r="J4162" s="2">
        <v>1.0</v>
      </c>
      <c r="K4162" s="23" t="s">
        <v>6461</v>
      </c>
      <c r="L4162" s="11">
        <v>0.0</v>
      </c>
      <c r="N4162" s="2"/>
      <c r="O4162" s="2" t="b">
        <v>0</v>
      </c>
    </row>
    <row r="4163">
      <c r="A4163" s="8" t="s">
        <v>3197</v>
      </c>
      <c r="B4163" s="8" t="s">
        <v>3197</v>
      </c>
      <c r="C4163" s="13">
        <v>46095.47052083333</v>
      </c>
      <c r="D4163" s="2" t="s">
        <v>1993</v>
      </c>
      <c r="E4163" s="2" t="s">
        <v>1994</v>
      </c>
      <c r="F4163" s="14" t="s">
        <v>3516</v>
      </c>
      <c r="G4163" s="14" t="s">
        <v>3517</v>
      </c>
      <c r="H4163" s="2" t="s">
        <v>24</v>
      </c>
      <c r="I4163" s="2" t="s">
        <v>3491</v>
      </c>
      <c r="J4163" s="2">
        <v>1.0</v>
      </c>
      <c r="K4163" s="23" t="s">
        <v>4505</v>
      </c>
      <c r="L4163" s="11">
        <v>0.0</v>
      </c>
      <c r="N4163" s="2"/>
      <c r="O4163" s="2" t="b">
        <v>0</v>
      </c>
    </row>
    <row r="4164">
      <c r="A4164" s="8" t="s">
        <v>3198</v>
      </c>
      <c r="B4164" s="8" t="s">
        <v>3198</v>
      </c>
      <c r="C4164" s="13">
        <v>46095.47164351852</v>
      </c>
      <c r="D4164" s="2" t="s">
        <v>951</v>
      </c>
      <c r="E4164" s="2" t="s">
        <v>952</v>
      </c>
      <c r="F4164" s="14" t="s">
        <v>3486</v>
      </c>
      <c r="G4164" s="14" t="s">
        <v>3487</v>
      </c>
      <c r="H4164" s="2" t="s">
        <v>24</v>
      </c>
      <c r="I4164" s="2" t="s">
        <v>3491</v>
      </c>
      <c r="J4164" s="2">
        <v>4.0</v>
      </c>
      <c r="K4164" s="23" t="s">
        <v>6462</v>
      </c>
      <c r="L4164" s="11">
        <v>0.0</v>
      </c>
      <c r="N4164" s="2"/>
      <c r="O4164" s="2" t="b">
        <v>0</v>
      </c>
    </row>
    <row r="4165">
      <c r="A4165" s="8" t="s">
        <v>3198</v>
      </c>
      <c r="B4165" s="8" t="s">
        <v>3198</v>
      </c>
      <c r="C4165" s="13">
        <v>46095.47164351852</v>
      </c>
      <c r="D4165" s="2" t="s">
        <v>951</v>
      </c>
      <c r="E4165" s="2" t="s">
        <v>952</v>
      </c>
      <c r="F4165" s="14" t="s">
        <v>3516</v>
      </c>
      <c r="G4165" s="14" t="s">
        <v>3517</v>
      </c>
      <c r="H4165" s="2" t="s">
        <v>24</v>
      </c>
      <c r="I4165" s="2" t="s">
        <v>3491</v>
      </c>
      <c r="J4165" s="2">
        <v>1.0</v>
      </c>
      <c r="K4165" s="23" t="s">
        <v>4391</v>
      </c>
      <c r="L4165" s="11">
        <v>0.0</v>
      </c>
      <c r="N4165" s="2"/>
      <c r="O4165" s="2" t="b">
        <v>0</v>
      </c>
    </row>
    <row r="4166">
      <c r="A4166" s="8" t="s">
        <v>3198</v>
      </c>
      <c r="B4166" s="8" t="s">
        <v>3198</v>
      </c>
      <c r="C4166" s="13">
        <v>46095.47164351852</v>
      </c>
      <c r="D4166" s="2" t="s">
        <v>951</v>
      </c>
      <c r="E4166" s="2" t="s">
        <v>952</v>
      </c>
      <c r="F4166" s="14" t="s">
        <v>3486</v>
      </c>
      <c r="G4166" s="14" t="s">
        <v>3487</v>
      </c>
      <c r="H4166" s="2" t="s">
        <v>24</v>
      </c>
      <c r="I4166" s="2" t="s">
        <v>3491</v>
      </c>
      <c r="J4166" s="2">
        <v>1.0</v>
      </c>
      <c r="K4166" s="23" t="s">
        <v>5024</v>
      </c>
      <c r="L4166" s="11">
        <v>0.0</v>
      </c>
      <c r="N4166" s="2"/>
      <c r="O4166" s="2" t="b">
        <v>1</v>
      </c>
    </row>
    <row r="4167">
      <c r="A4167" s="8" t="s">
        <v>3036</v>
      </c>
      <c r="B4167" s="8" t="s">
        <v>3036</v>
      </c>
      <c r="C4167" s="13">
        <v>46081.63350694445</v>
      </c>
      <c r="D4167" s="2" t="s">
        <v>951</v>
      </c>
      <c r="E4167" s="2" t="s">
        <v>952</v>
      </c>
      <c r="F4167" s="14" t="s">
        <v>3486</v>
      </c>
      <c r="G4167" s="14" t="s">
        <v>3487</v>
      </c>
      <c r="H4167" s="2" t="s">
        <v>24</v>
      </c>
      <c r="I4167" s="2" t="s">
        <v>3491</v>
      </c>
      <c r="J4167" s="2">
        <v>1.0</v>
      </c>
      <c r="K4167" s="23" t="s">
        <v>5830</v>
      </c>
      <c r="L4167" s="11">
        <v>0.0</v>
      </c>
      <c r="N4167" s="2"/>
      <c r="O4167" s="2" t="b">
        <v>1</v>
      </c>
    </row>
    <row r="4168">
      <c r="A4168" s="8" t="s">
        <v>3200</v>
      </c>
      <c r="B4168" s="8" t="s">
        <v>3200</v>
      </c>
      <c r="C4168" s="13">
        <v>46095.61451388889</v>
      </c>
      <c r="D4168" s="2" t="s">
        <v>1975</v>
      </c>
      <c r="E4168" s="2" t="s">
        <v>1976</v>
      </c>
      <c r="F4168" s="14" t="s">
        <v>3486</v>
      </c>
      <c r="G4168" s="14" t="s">
        <v>3487</v>
      </c>
      <c r="H4168" s="2" t="s">
        <v>24</v>
      </c>
      <c r="I4168" s="2" t="s">
        <v>3491</v>
      </c>
      <c r="J4168" s="2">
        <v>3.0</v>
      </c>
      <c r="K4168" s="23" t="s">
        <v>6463</v>
      </c>
      <c r="L4168" s="11">
        <v>0.0</v>
      </c>
      <c r="N4168" s="2"/>
      <c r="O4168" s="2" t="b">
        <v>0</v>
      </c>
    </row>
    <row r="4169">
      <c r="A4169" s="8" t="s">
        <v>3200</v>
      </c>
      <c r="B4169" s="8" t="s">
        <v>3200</v>
      </c>
      <c r="C4169" s="13">
        <v>46095.61451388889</v>
      </c>
      <c r="D4169" s="2" t="s">
        <v>1975</v>
      </c>
      <c r="E4169" s="2" t="s">
        <v>1976</v>
      </c>
      <c r="F4169" s="14" t="s">
        <v>4203</v>
      </c>
      <c r="G4169" s="14" t="s">
        <v>4204</v>
      </c>
      <c r="H4169" s="2" t="s">
        <v>24</v>
      </c>
      <c r="I4169" s="2" t="s">
        <v>3491</v>
      </c>
      <c r="J4169" s="2">
        <v>1.0</v>
      </c>
      <c r="K4169" s="23" t="s">
        <v>5006</v>
      </c>
      <c r="L4169" s="11">
        <v>0.0</v>
      </c>
      <c r="N4169" s="2"/>
      <c r="O4169" s="2" t="b">
        <v>0</v>
      </c>
    </row>
    <row r="4170">
      <c r="A4170" s="8" t="s">
        <v>3201</v>
      </c>
      <c r="B4170" s="8" t="s">
        <v>3201</v>
      </c>
      <c r="C4170" s="13">
        <v>46095.61503472222</v>
      </c>
      <c r="D4170" s="2" t="s">
        <v>786</v>
      </c>
      <c r="E4170" s="2" t="s">
        <v>787</v>
      </c>
      <c r="F4170" s="14" t="s">
        <v>3486</v>
      </c>
      <c r="G4170" s="14" t="s">
        <v>3487</v>
      </c>
      <c r="H4170" s="2" t="s">
        <v>24</v>
      </c>
      <c r="I4170" s="2" t="s">
        <v>3491</v>
      </c>
      <c r="J4170" s="2">
        <v>2.0</v>
      </c>
      <c r="K4170" s="23" t="s">
        <v>6464</v>
      </c>
      <c r="L4170" s="11">
        <v>0.0</v>
      </c>
      <c r="N4170" s="2"/>
      <c r="O4170" s="2" t="b">
        <v>0</v>
      </c>
    </row>
    <row r="4171">
      <c r="A4171" s="8" t="s">
        <v>3199</v>
      </c>
      <c r="B4171" s="8" t="s">
        <v>3199</v>
      </c>
      <c r="C4171" s="13">
        <v>46095.61319444444</v>
      </c>
      <c r="D4171" s="2" t="s">
        <v>1993</v>
      </c>
      <c r="E4171" s="2" t="s">
        <v>1994</v>
      </c>
      <c r="F4171" s="14" t="s">
        <v>3486</v>
      </c>
      <c r="G4171" s="14" t="s">
        <v>3487</v>
      </c>
      <c r="H4171" s="2" t="s">
        <v>16</v>
      </c>
      <c r="I4171" s="2" t="s">
        <v>3488</v>
      </c>
      <c r="J4171" s="2">
        <v>5.0</v>
      </c>
      <c r="K4171" s="23" t="s">
        <v>6465</v>
      </c>
      <c r="L4171" s="11">
        <v>65000.0</v>
      </c>
      <c r="N4171" s="2"/>
      <c r="O4171" s="2" t="b">
        <v>0</v>
      </c>
    </row>
    <row r="4172">
      <c r="A4172" s="8" t="s">
        <v>3202</v>
      </c>
      <c r="B4172" s="8" t="s">
        <v>3202</v>
      </c>
      <c r="C4172" s="13">
        <v>46097.36738425926</v>
      </c>
      <c r="D4172" s="2" t="s">
        <v>786</v>
      </c>
      <c r="E4172" s="2" t="s">
        <v>787</v>
      </c>
      <c r="F4172" s="14" t="s">
        <v>3486</v>
      </c>
      <c r="G4172" s="14" t="s">
        <v>3487</v>
      </c>
      <c r="H4172" s="2" t="s">
        <v>16</v>
      </c>
      <c r="I4172" s="2" t="s">
        <v>3488</v>
      </c>
      <c r="J4172" s="2">
        <v>6.0</v>
      </c>
      <c r="K4172" s="23" t="s">
        <v>6466</v>
      </c>
      <c r="L4172" s="11">
        <v>60000.0</v>
      </c>
      <c r="N4172" s="2"/>
      <c r="O4172" s="2" t="b">
        <v>0</v>
      </c>
    </row>
    <row r="4173">
      <c r="A4173" s="8" t="s">
        <v>3202</v>
      </c>
      <c r="B4173" s="8" t="s">
        <v>3202</v>
      </c>
      <c r="C4173" s="13">
        <v>46097.36738425926</v>
      </c>
      <c r="D4173" s="2" t="s">
        <v>786</v>
      </c>
      <c r="E4173" s="2" t="s">
        <v>787</v>
      </c>
      <c r="F4173" s="14" t="s">
        <v>3516</v>
      </c>
      <c r="G4173" s="14" t="s">
        <v>3517</v>
      </c>
      <c r="H4173" s="2" t="s">
        <v>16</v>
      </c>
      <c r="I4173" s="2" t="s">
        <v>3488</v>
      </c>
      <c r="J4173" s="2">
        <v>2.0</v>
      </c>
      <c r="K4173" s="23" t="s">
        <v>6467</v>
      </c>
      <c r="L4173" s="11">
        <v>180000.0</v>
      </c>
      <c r="N4173" s="2"/>
      <c r="O4173" s="2" t="b">
        <v>0</v>
      </c>
    </row>
    <row r="4174">
      <c r="A4174" s="8" t="s">
        <v>3203</v>
      </c>
      <c r="B4174" s="8" t="s">
        <v>3203</v>
      </c>
      <c r="C4174" s="13">
        <v>46097.59061342593</v>
      </c>
      <c r="D4174" s="2" t="s">
        <v>1613</v>
      </c>
      <c r="E4174" s="2" t="s">
        <v>1614</v>
      </c>
      <c r="F4174" s="14" t="s">
        <v>4203</v>
      </c>
      <c r="G4174" s="14" t="s">
        <v>4204</v>
      </c>
      <c r="H4174" s="2" t="s">
        <v>24</v>
      </c>
      <c r="I4174" s="2" t="s">
        <v>3491</v>
      </c>
      <c r="J4174" s="2">
        <v>1.0</v>
      </c>
      <c r="K4174" s="23" t="s">
        <v>5577</v>
      </c>
      <c r="L4174" s="11">
        <v>0.0</v>
      </c>
      <c r="N4174" s="2"/>
      <c r="O4174" s="2" t="b">
        <v>0</v>
      </c>
    </row>
    <row r="4175">
      <c r="A4175" s="8" t="s">
        <v>3203</v>
      </c>
      <c r="B4175" s="8" t="s">
        <v>3203</v>
      </c>
      <c r="C4175" s="13">
        <v>46097.59061342593</v>
      </c>
      <c r="D4175" s="2" t="s">
        <v>1613</v>
      </c>
      <c r="E4175" s="2" t="s">
        <v>1614</v>
      </c>
      <c r="F4175" s="14" t="s">
        <v>3486</v>
      </c>
      <c r="G4175" s="14" t="s">
        <v>3487</v>
      </c>
      <c r="H4175" s="2" t="s">
        <v>24</v>
      </c>
      <c r="I4175" s="2" t="s">
        <v>3491</v>
      </c>
      <c r="J4175" s="2">
        <v>1.0</v>
      </c>
      <c r="K4175" s="23" t="s">
        <v>6468</v>
      </c>
      <c r="L4175" s="11">
        <v>0.0</v>
      </c>
      <c r="N4175" s="2"/>
      <c r="O4175" s="2" t="b">
        <v>0</v>
      </c>
    </row>
    <row r="4176">
      <c r="A4176" s="8" t="s">
        <v>3204</v>
      </c>
      <c r="B4176" s="8" t="s">
        <v>3204</v>
      </c>
      <c r="C4176" s="13">
        <v>46097.591261574074</v>
      </c>
      <c r="D4176" s="2" t="s">
        <v>1993</v>
      </c>
      <c r="E4176" s="2" t="s">
        <v>1994</v>
      </c>
      <c r="F4176" s="14" t="s">
        <v>3486</v>
      </c>
      <c r="G4176" s="14" t="s">
        <v>3487</v>
      </c>
      <c r="H4176" s="2" t="s">
        <v>24</v>
      </c>
      <c r="I4176" s="2" t="s">
        <v>3491</v>
      </c>
      <c r="J4176" s="2">
        <v>5.0</v>
      </c>
      <c r="K4176" s="23" t="s">
        <v>6469</v>
      </c>
      <c r="L4176" s="11">
        <v>0.0</v>
      </c>
      <c r="N4176" s="2"/>
      <c r="O4176" s="2" t="b">
        <v>0</v>
      </c>
    </row>
    <row r="4177">
      <c r="A4177" s="8" t="s">
        <v>3204</v>
      </c>
      <c r="B4177" s="8" t="s">
        <v>3204</v>
      </c>
      <c r="C4177" s="13">
        <v>46097.591261574074</v>
      </c>
      <c r="D4177" s="2" t="s">
        <v>1993</v>
      </c>
      <c r="E4177" s="2" t="s">
        <v>1994</v>
      </c>
      <c r="F4177" s="14" t="s">
        <v>4203</v>
      </c>
      <c r="G4177" s="14" t="s">
        <v>4204</v>
      </c>
      <c r="H4177" s="2" t="s">
        <v>24</v>
      </c>
      <c r="I4177" s="2" t="s">
        <v>3491</v>
      </c>
      <c r="J4177" s="2">
        <v>3.0</v>
      </c>
      <c r="K4177" s="23" t="s">
        <v>6470</v>
      </c>
      <c r="L4177" s="11">
        <v>0.0</v>
      </c>
      <c r="N4177" s="2"/>
      <c r="O4177" s="2" t="b">
        <v>0</v>
      </c>
    </row>
    <row r="4178">
      <c r="A4178" s="8" t="s">
        <v>3205</v>
      </c>
      <c r="B4178" s="8" t="s">
        <v>3205</v>
      </c>
      <c r="C4178" s="13">
        <v>46097.59332175926</v>
      </c>
      <c r="D4178" s="2" t="s">
        <v>2640</v>
      </c>
      <c r="E4178" s="2" t="s">
        <v>2641</v>
      </c>
      <c r="F4178" s="14" t="s">
        <v>3486</v>
      </c>
      <c r="G4178" s="14" t="s">
        <v>3487</v>
      </c>
      <c r="H4178" s="2" t="s">
        <v>24</v>
      </c>
      <c r="I4178" s="2" t="s">
        <v>3491</v>
      </c>
      <c r="J4178" s="2">
        <v>2.0</v>
      </c>
      <c r="K4178" s="23" t="s">
        <v>6471</v>
      </c>
      <c r="L4178" s="11">
        <v>0.0</v>
      </c>
      <c r="N4178" s="2"/>
      <c r="O4178" s="2" t="b">
        <v>0</v>
      </c>
    </row>
    <row r="4179">
      <c r="A4179" s="8" t="s">
        <v>3206</v>
      </c>
      <c r="B4179" s="8" t="s">
        <v>3206</v>
      </c>
      <c r="C4179" s="13">
        <v>46097.59369212963</v>
      </c>
      <c r="D4179" s="2" t="s">
        <v>904</v>
      </c>
      <c r="E4179" s="2" t="s">
        <v>905</v>
      </c>
      <c r="F4179" s="14" t="s">
        <v>4203</v>
      </c>
      <c r="G4179" s="14" t="s">
        <v>4204</v>
      </c>
      <c r="H4179" s="2" t="s">
        <v>24</v>
      </c>
      <c r="I4179" s="2" t="s">
        <v>3491</v>
      </c>
      <c r="J4179" s="2">
        <v>1.0</v>
      </c>
      <c r="K4179" s="23" t="s">
        <v>4361</v>
      </c>
      <c r="L4179" s="11">
        <v>0.0</v>
      </c>
      <c r="N4179" s="2"/>
      <c r="O4179" s="2" t="b">
        <v>0</v>
      </c>
    </row>
    <row r="4180">
      <c r="A4180" s="8" t="s">
        <v>3206</v>
      </c>
      <c r="B4180" s="8" t="s">
        <v>3206</v>
      </c>
      <c r="C4180" s="13">
        <v>46097.59369212963</v>
      </c>
      <c r="D4180" s="2" t="s">
        <v>904</v>
      </c>
      <c r="E4180" s="2" t="s">
        <v>905</v>
      </c>
      <c r="F4180" s="14" t="s">
        <v>3493</v>
      </c>
      <c r="G4180" s="14" t="s">
        <v>3494</v>
      </c>
      <c r="H4180" s="2" t="s">
        <v>24</v>
      </c>
      <c r="I4180" s="2" t="s">
        <v>3614</v>
      </c>
      <c r="J4180" s="2">
        <v>1.0</v>
      </c>
      <c r="K4180" s="12"/>
      <c r="L4180" s="11">
        <v>0.0</v>
      </c>
      <c r="N4180" s="2" t="s">
        <v>6472</v>
      </c>
      <c r="O4180" s="2" t="b">
        <v>0</v>
      </c>
    </row>
    <row r="4181">
      <c r="A4181" s="8" t="s">
        <v>3206</v>
      </c>
      <c r="B4181" s="8" t="s">
        <v>3206</v>
      </c>
      <c r="C4181" s="13">
        <v>46097.59369212963</v>
      </c>
      <c r="D4181" s="2" t="s">
        <v>904</v>
      </c>
      <c r="E4181" s="2" t="s">
        <v>905</v>
      </c>
      <c r="F4181" s="14" t="s">
        <v>3486</v>
      </c>
      <c r="G4181" s="14" t="s">
        <v>3487</v>
      </c>
      <c r="H4181" s="2" t="s">
        <v>24</v>
      </c>
      <c r="I4181" s="2" t="s">
        <v>3614</v>
      </c>
      <c r="J4181" s="2">
        <v>2.0</v>
      </c>
      <c r="K4181" s="23" t="s">
        <v>6383</v>
      </c>
      <c r="L4181" s="11">
        <v>0.0</v>
      </c>
      <c r="N4181" s="2" t="s">
        <v>6473</v>
      </c>
      <c r="O4181" s="2" t="b">
        <v>0</v>
      </c>
    </row>
    <row r="4182">
      <c r="A4182" s="8" t="s">
        <v>3207</v>
      </c>
      <c r="B4182" s="8" t="s">
        <v>3207</v>
      </c>
      <c r="C4182" s="13">
        <v>46097.62126157407</v>
      </c>
      <c r="D4182" s="2" t="s">
        <v>786</v>
      </c>
      <c r="E4182" s="2" t="s">
        <v>787</v>
      </c>
      <c r="F4182" s="14" t="s">
        <v>3486</v>
      </c>
      <c r="G4182" s="14" t="s">
        <v>3487</v>
      </c>
      <c r="H4182" s="2" t="s">
        <v>24</v>
      </c>
      <c r="I4182" s="2" t="s">
        <v>3491</v>
      </c>
      <c r="J4182" s="2">
        <v>5.0</v>
      </c>
      <c r="K4182" s="23" t="s">
        <v>6474</v>
      </c>
      <c r="L4182" s="11">
        <v>0.0</v>
      </c>
      <c r="N4182" s="2"/>
      <c r="O4182" s="2" t="b">
        <v>0</v>
      </c>
    </row>
    <row r="4183">
      <c r="A4183" s="8" t="s">
        <v>3208</v>
      </c>
      <c r="B4183" s="8" t="s">
        <v>3208</v>
      </c>
      <c r="C4183" s="13">
        <v>46097.622094907405</v>
      </c>
      <c r="D4183" s="2" t="s">
        <v>1084</v>
      </c>
      <c r="E4183" s="2" t="s">
        <v>1085</v>
      </c>
      <c r="F4183" s="14" t="s">
        <v>3486</v>
      </c>
      <c r="G4183" s="14" t="s">
        <v>3487</v>
      </c>
      <c r="H4183" s="2" t="s">
        <v>24</v>
      </c>
      <c r="I4183" s="2" t="s">
        <v>3491</v>
      </c>
      <c r="J4183" s="2">
        <v>3.0</v>
      </c>
      <c r="K4183" s="23" t="s">
        <v>6475</v>
      </c>
      <c r="L4183" s="11">
        <v>0.0</v>
      </c>
      <c r="N4183" s="2"/>
      <c r="O4183" s="2" t="b">
        <v>0</v>
      </c>
    </row>
    <row r="4184">
      <c r="A4184" s="8" t="s">
        <v>3208</v>
      </c>
      <c r="B4184" s="8" t="s">
        <v>3208</v>
      </c>
      <c r="C4184" s="13">
        <v>46097.622094907405</v>
      </c>
      <c r="D4184" s="2" t="s">
        <v>1084</v>
      </c>
      <c r="E4184" s="2" t="s">
        <v>1085</v>
      </c>
      <c r="F4184" s="14" t="s">
        <v>4203</v>
      </c>
      <c r="G4184" s="14" t="s">
        <v>4204</v>
      </c>
      <c r="H4184" s="2" t="s">
        <v>24</v>
      </c>
      <c r="I4184" s="2" t="s">
        <v>3491</v>
      </c>
      <c r="J4184" s="2">
        <v>1.0</v>
      </c>
      <c r="K4184" s="23" t="s">
        <v>5799</v>
      </c>
      <c r="L4184" s="11">
        <v>0.0</v>
      </c>
      <c r="N4184" s="2"/>
      <c r="O4184" s="2" t="b">
        <v>0</v>
      </c>
    </row>
    <row r="4185">
      <c r="A4185" s="8" t="s">
        <v>3209</v>
      </c>
      <c r="B4185" s="8" t="s">
        <v>3209</v>
      </c>
      <c r="C4185" s="13">
        <v>46097.644780092596</v>
      </c>
      <c r="D4185" s="2" t="s">
        <v>885</v>
      </c>
      <c r="E4185" s="2" t="s">
        <v>886</v>
      </c>
      <c r="F4185" s="14" t="s">
        <v>5765</v>
      </c>
      <c r="G4185" s="14" t="s">
        <v>5766</v>
      </c>
      <c r="H4185" s="2" t="s">
        <v>16</v>
      </c>
      <c r="I4185" s="2" t="s">
        <v>3488</v>
      </c>
      <c r="J4185" s="2">
        <v>4.0</v>
      </c>
      <c r="K4185" s="23" t="s">
        <v>6476</v>
      </c>
      <c r="L4185" s="11">
        <v>70000.0</v>
      </c>
      <c r="N4185" s="2"/>
      <c r="O4185" s="2" t="b">
        <v>0</v>
      </c>
    </row>
    <row r="4186">
      <c r="A4186" s="8" t="s">
        <v>3210</v>
      </c>
      <c r="B4186" s="8" t="s">
        <v>3210</v>
      </c>
      <c r="C4186" s="13">
        <v>46097.66392361111</v>
      </c>
      <c r="D4186" s="2" t="s">
        <v>1963</v>
      </c>
      <c r="E4186" s="2" t="s">
        <v>1964</v>
      </c>
      <c r="F4186" s="14" t="s">
        <v>3486</v>
      </c>
      <c r="G4186" s="14" t="s">
        <v>3487</v>
      </c>
      <c r="H4186" s="2" t="s">
        <v>24</v>
      </c>
      <c r="I4186" s="2" t="s">
        <v>3491</v>
      </c>
      <c r="J4186" s="2">
        <v>1.0</v>
      </c>
      <c r="K4186" s="23" t="s">
        <v>4081</v>
      </c>
      <c r="L4186" s="11">
        <v>0.0</v>
      </c>
      <c r="N4186" s="2"/>
      <c r="O4186" s="2" t="b">
        <v>0</v>
      </c>
    </row>
    <row r="4187">
      <c r="A4187" s="8" t="s">
        <v>3210</v>
      </c>
      <c r="B4187" s="8" t="s">
        <v>3210</v>
      </c>
      <c r="C4187" s="13">
        <v>46097.66392361111</v>
      </c>
      <c r="D4187" s="2" t="s">
        <v>1963</v>
      </c>
      <c r="E4187" s="2" t="s">
        <v>1964</v>
      </c>
      <c r="F4187" s="14" t="s">
        <v>3486</v>
      </c>
      <c r="G4187" s="14" t="s">
        <v>3487</v>
      </c>
      <c r="H4187" s="2" t="s">
        <v>24</v>
      </c>
      <c r="I4187" s="2" t="s">
        <v>3614</v>
      </c>
      <c r="J4187" s="2">
        <v>1.0</v>
      </c>
      <c r="K4187" s="23" t="s">
        <v>6477</v>
      </c>
      <c r="L4187" s="11">
        <v>0.0</v>
      </c>
      <c r="N4187" s="2" t="s">
        <v>6473</v>
      </c>
      <c r="O4187" s="2" t="b">
        <v>0</v>
      </c>
    </row>
    <row r="4188">
      <c r="A4188" s="8" t="s">
        <v>3211</v>
      </c>
      <c r="B4188" s="8" t="s">
        <v>3211</v>
      </c>
      <c r="C4188" s="13">
        <v>46097.66541666666</v>
      </c>
      <c r="D4188" s="2" t="s">
        <v>2005</v>
      </c>
      <c r="E4188" s="2" t="s">
        <v>2006</v>
      </c>
      <c r="F4188" s="14" t="s">
        <v>3486</v>
      </c>
      <c r="G4188" s="14" t="s">
        <v>3487</v>
      </c>
      <c r="H4188" s="2" t="s">
        <v>24</v>
      </c>
      <c r="I4188" s="2" t="s">
        <v>3491</v>
      </c>
      <c r="J4188" s="2">
        <v>6.0</v>
      </c>
      <c r="K4188" s="23" t="s">
        <v>6478</v>
      </c>
      <c r="L4188" s="11">
        <v>0.0</v>
      </c>
      <c r="N4188" s="2"/>
      <c r="O4188" s="2" t="b">
        <v>0</v>
      </c>
    </row>
    <row r="4189">
      <c r="A4189" s="8" t="s">
        <v>3211</v>
      </c>
      <c r="B4189" s="8" t="s">
        <v>3211</v>
      </c>
      <c r="C4189" s="13">
        <v>46097.66541666666</v>
      </c>
      <c r="D4189" s="2" t="s">
        <v>2005</v>
      </c>
      <c r="E4189" s="2" t="s">
        <v>2006</v>
      </c>
      <c r="F4189" s="14" t="s">
        <v>4203</v>
      </c>
      <c r="G4189" s="14" t="s">
        <v>4204</v>
      </c>
      <c r="H4189" s="2" t="s">
        <v>24</v>
      </c>
      <c r="I4189" s="2" t="s">
        <v>3491</v>
      </c>
      <c r="J4189" s="2">
        <v>2.0</v>
      </c>
      <c r="K4189" s="23" t="s">
        <v>6479</v>
      </c>
      <c r="L4189" s="11">
        <v>0.0</v>
      </c>
      <c r="N4189" s="2"/>
      <c r="O4189" s="2" t="b">
        <v>0</v>
      </c>
    </row>
    <row r="4190">
      <c r="A4190" s="8" t="s">
        <v>3212</v>
      </c>
      <c r="B4190" s="8" t="s">
        <v>3212</v>
      </c>
      <c r="C4190" s="13">
        <v>46098.36174768519</v>
      </c>
      <c r="D4190" s="2" t="s">
        <v>1993</v>
      </c>
      <c r="E4190" s="2" t="s">
        <v>1994</v>
      </c>
      <c r="F4190" s="14" t="s">
        <v>3486</v>
      </c>
      <c r="G4190" s="14" t="s">
        <v>3487</v>
      </c>
      <c r="H4190" s="2" t="s">
        <v>16</v>
      </c>
      <c r="I4190" s="2" t="s">
        <v>3488</v>
      </c>
      <c r="J4190" s="2">
        <v>10.0</v>
      </c>
      <c r="K4190" s="23" t="s">
        <v>6480</v>
      </c>
      <c r="L4190" s="11">
        <v>65000.0</v>
      </c>
      <c r="N4190" s="2"/>
      <c r="O4190" s="2" t="b">
        <v>0</v>
      </c>
    </row>
    <row r="4191">
      <c r="A4191" s="8" t="s">
        <v>3212</v>
      </c>
      <c r="B4191" s="8" t="s">
        <v>3212</v>
      </c>
      <c r="C4191" s="13">
        <v>46098.36174768519</v>
      </c>
      <c r="D4191" s="2" t="s">
        <v>1993</v>
      </c>
      <c r="E4191" s="2" t="s">
        <v>1994</v>
      </c>
      <c r="F4191" s="14" t="s">
        <v>3516</v>
      </c>
      <c r="G4191" s="14" t="s">
        <v>3517</v>
      </c>
      <c r="H4191" s="2" t="s">
        <v>16</v>
      </c>
      <c r="I4191" s="2" t="s">
        <v>3488</v>
      </c>
      <c r="J4191" s="2">
        <v>6.0</v>
      </c>
      <c r="K4191" s="23" t="s">
        <v>6481</v>
      </c>
      <c r="L4191" s="11">
        <v>190000.0</v>
      </c>
      <c r="N4191" s="2"/>
      <c r="O4191" s="2" t="b">
        <v>0</v>
      </c>
    </row>
    <row r="4192">
      <c r="A4192" s="8" t="s">
        <v>3213</v>
      </c>
      <c r="B4192" s="8" t="s">
        <v>3213</v>
      </c>
      <c r="C4192" s="13">
        <v>46098.36609953704</v>
      </c>
      <c r="D4192" s="2" t="s">
        <v>2005</v>
      </c>
      <c r="E4192" s="2" t="s">
        <v>2006</v>
      </c>
      <c r="F4192" s="14" t="s">
        <v>4203</v>
      </c>
      <c r="G4192" s="14" t="s">
        <v>4204</v>
      </c>
      <c r="H4192" s="2" t="s">
        <v>16</v>
      </c>
      <c r="I4192" s="2" t="s">
        <v>3488</v>
      </c>
      <c r="J4192" s="2">
        <v>5.0</v>
      </c>
      <c r="K4192" s="23" t="s">
        <v>6482</v>
      </c>
      <c r="L4192" s="11">
        <v>65000.0</v>
      </c>
      <c r="N4192" s="2"/>
      <c r="O4192" s="2" t="b">
        <v>0</v>
      </c>
    </row>
    <row r="4193">
      <c r="A4193" s="8" t="s">
        <v>3214</v>
      </c>
      <c r="B4193" s="8" t="s">
        <v>3214</v>
      </c>
      <c r="C4193" s="13">
        <v>46098.50178240741</v>
      </c>
      <c r="D4193" s="2" t="s">
        <v>1371</v>
      </c>
      <c r="E4193" s="2" t="s">
        <v>1372</v>
      </c>
      <c r="F4193" s="14" t="s">
        <v>3486</v>
      </c>
      <c r="G4193" s="14" t="s">
        <v>3487</v>
      </c>
      <c r="H4193" s="2" t="s">
        <v>24</v>
      </c>
      <c r="I4193" s="2" t="s">
        <v>3491</v>
      </c>
      <c r="J4193" s="2">
        <v>3.0</v>
      </c>
      <c r="K4193" s="23" t="s">
        <v>6483</v>
      </c>
      <c r="L4193" s="11">
        <v>0.0</v>
      </c>
      <c r="N4193" s="2"/>
      <c r="O4193" s="2" t="b">
        <v>0</v>
      </c>
    </row>
    <row r="4194">
      <c r="A4194" s="8" t="s">
        <v>3215</v>
      </c>
      <c r="B4194" s="8" t="s">
        <v>3215</v>
      </c>
      <c r="C4194" s="13">
        <v>46098.504594907405</v>
      </c>
      <c r="D4194" s="2" t="s">
        <v>2913</v>
      </c>
      <c r="E4194" s="2" t="s">
        <v>2914</v>
      </c>
      <c r="F4194" s="14" t="s">
        <v>3486</v>
      </c>
      <c r="G4194" s="14" t="s">
        <v>3487</v>
      </c>
      <c r="H4194" s="2" t="s">
        <v>24</v>
      </c>
      <c r="I4194" s="2" t="s">
        <v>3491</v>
      </c>
      <c r="J4194" s="2">
        <v>1.0</v>
      </c>
      <c r="K4194" s="23" t="s">
        <v>6239</v>
      </c>
      <c r="L4194" s="11">
        <v>0.0</v>
      </c>
      <c r="N4194" s="2"/>
      <c r="O4194" s="2" t="b">
        <v>0</v>
      </c>
    </row>
    <row r="4195">
      <c r="A4195" s="8" t="s">
        <v>3214</v>
      </c>
      <c r="B4195" s="8" t="s">
        <v>3214</v>
      </c>
      <c r="C4195" s="13">
        <v>46098.50178240741</v>
      </c>
      <c r="D4195" s="2" t="s">
        <v>1371</v>
      </c>
      <c r="E4195" s="2" t="s">
        <v>1372</v>
      </c>
      <c r="F4195" s="14" t="s">
        <v>3486</v>
      </c>
      <c r="G4195" s="14" t="s">
        <v>3487</v>
      </c>
      <c r="H4195" s="2" t="s">
        <v>24</v>
      </c>
      <c r="I4195" s="2" t="s">
        <v>3614</v>
      </c>
      <c r="J4195" s="2">
        <v>1.0</v>
      </c>
      <c r="K4195" s="23" t="s">
        <v>6484</v>
      </c>
      <c r="L4195" s="11">
        <v>0.0</v>
      </c>
      <c r="N4195" s="2" t="s">
        <v>6473</v>
      </c>
      <c r="O4195" s="2" t="b">
        <v>1</v>
      </c>
    </row>
    <row r="4196">
      <c r="A4196" s="8" t="s">
        <v>3216</v>
      </c>
      <c r="B4196" s="8" t="s">
        <v>3216</v>
      </c>
      <c r="C4196" s="13">
        <v>46098.50540509259</v>
      </c>
      <c r="D4196" s="2" t="s">
        <v>45</v>
      </c>
      <c r="E4196" s="2" t="s">
        <v>46</v>
      </c>
      <c r="F4196" s="14" t="s">
        <v>3522</v>
      </c>
      <c r="G4196" s="14" t="s">
        <v>3523</v>
      </c>
      <c r="H4196" s="2" t="s">
        <v>24</v>
      </c>
      <c r="I4196" s="2" t="s">
        <v>3491</v>
      </c>
      <c r="J4196" s="2">
        <v>9.0</v>
      </c>
      <c r="K4196" s="23" t="s">
        <v>6485</v>
      </c>
      <c r="L4196" s="11">
        <v>0.0</v>
      </c>
      <c r="N4196" s="2"/>
      <c r="O4196" s="2" t="b">
        <v>0</v>
      </c>
    </row>
    <row r="4197">
      <c r="A4197" s="8" t="s">
        <v>3216</v>
      </c>
      <c r="B4197" s="8" t="s">
        <v>3216</v>
      </c>
      <c r="C4197" s="13">
        <v>46098.50540509259</v>
      </c>
      <c r="D4197" s="2" t="s">
        <v>45</v>
      </c>
      <c r="E4197" s="2" t="s">
        <v>46</v>
      </c>
      <c r="F4197" s="14" t="s">
        <v>3493</v>
      </c>
      <c r="G4197" s="14" t="s">
        <v>3494</v>
      </c>
      <c r="H4197" s="2" t="s">
        <v>24</v>
      </c>
      <c r="I4197" s="2" t="s">
        <v>3491</v>
      </c>
      <c r="J4197" s="2">
        <v>1.0</v>
      </c>
      <c r="K4197" s="12"/>
      <c r="L4197" s="11">
        <v>0.0</v>
      </c>
      <c r="N4197" s="2"/>
      <c r="O4197" s="2" t="b">
        <v>0</v>
      </c>
    </row>
    <row r="4198">
      <c r="A4198" s="8" t="s">
        <v>3217</v>
      </c>
      <c r="B4198" s="8" t="s">
        <v>3217</v>
      </c>
      <c r="C4198" s="13">
        <v>46098.660150462965</v>
      </c>
      <c r="D4198" s="2" t="s">
        <v>1904</v>
      </c>
      <c r="E4198" s="2" t="s">
        <v>1905</v>
      </c>
      <c r="F4198" s="14" t="s">
        <v>3486</v>
      </c>
      <c r="G4198" s="14" t="s">
        <v>3487</v>
      </c>
      <c r="H4198" s="2" t="s">
        <v>24</v>
      </c>
      <c r="I4198" s="2" t="s">
        <v>3491</v>
      </c>
      <c r="J4198" s="2">
        <v>4.0</v>
      </c>
      <c r="K4198" s="23" t="s">
        <v>6486</v>
      </c>
      <c r="L4198" s="11">
        <v>0.0</v>
      </c>
      <c r="N4198" s="2"/>
      <c r="O4198" s="2" t="b">
        <v>0</v>
      </c>
    </row>
    <row r="4199">
      <c r="A4199" s="8" t="s">
        <v>3217</v>
      </c>
      <c r="B4199" s="8" t="s">
        <v>3217</v>
      </c>
      <c r="C4199" s="13">
        <v>46098.660150462965</v>
      </c>
      <c r="D4199" s="2" t="s">
        <v>1904</v>
      </c>
      <c r="E4199" s="2" t="s">
        <v>1905</v>
      </c>
      <c r="F4199" s="14" t="s">
        <v>4203</v>
      </c>
      <c r="G4199" s="14" t="s">
        <v>4204</v>
      </c>
      <c r="H4199" s="2" t="s">
        <v>24</v>
      </c>
      <c r="I4199" s="2" t="s">
        <v>3491</v>
      </c>
      <c r="J4199" s="2">
        <v>6.0</v>
      </c>
      <c r="K4199" s="23" t="s">
        <v>6487</v>
      </c>
      <c r="L4199" s="11">
        <v>0.0</v>
      </c>
      <c r="N4199" s="2"/>
      <c r="O4199" s="2" t="b">
        <v>0</v>
      </c>
    </row>
    <row r="4200">
      <c r="A4200" s="8" t="s">
        <v>3217</v>
      </c>
      <c r="B4200" s="8" t="s">
        <v>3217</v>
      </c>
      <c r="C4200" s="13">
        <v>46098.660150462965</v>
      </c>
      <c r="D4200" s="2" t="s">
        <v>1904</v>
      </c>
      <c r="E4200" s="2" t="s">
        <v>1905</v>
      </c>
      <c r="F4200" s="14" t="s">
        <v>3516</v>
      </c>
      <c r="G4200" s="14" t="s">
        <v>3517</v>
      </c>
      <c r="H4200" s="2" t="s">
        <v>24</v>
      </c>
      <c r="I4200" s="2" t="s">
        <v>3491</v>
      </c>
      <c r="J4200" s="2">
        <v>2.0</v>
      </c>
      <c r="K4200" s="23" t="s">
        <v>6488</v>
      </c>
      <c r="L4200" s="11">
        <v>0.0</v>
      </c>
      <c r="N4200" s="2"/>
      <c r="O4200" s="2" t="b">
        <v>0</v>
      </c>
    </row>
    <row r="4201">
      <c r="A4201" s="8" t="s">
        <v>3218</v>
      </c>
      <c r="B4201" s="8" t="s">
        <v>3218</v>
      </c>
      <c r="C4201" s="13">
        <v>46098.66239583334</v>
      </c>
      <c r="D4201" s="2" t="s">
        <v>2005</v>
      </c>
      <c r="E4201" s="2" t="s">
        <v>2006</v>
      </c>
      <c r="F4201" s="14" t="s">
        <v>3486</v>
      </c>
      <c r="G4201" s="14" t="s">
        <v>3487</v>
      </c>
      <c r="H4201" s="2" t="s">
        <v>24</v>
      </c>
      <c r="I4201" s="2" t="s">
        <v>3491</v>
      </c>
      <c r="J4201" s="2">
        <v>1.0</v>
      </c>
      <c r="K4201" s="23" t="s">
        <v>4121</v>
      </c>
      <c r="L4201" s="11">
        <v>0.0</v>
      </c>
      <c r="N4201" s="2"/>
      <c r="O4201" s="2" t="b">
        <v>0</v>
      </c>
    </row>
    <row r="4202">
      <c r="A4202" s="8" t="s">
        <v>3219</v>
      </c>
      <c r="B4202" s="8" t="s">
        <v>3219</v>
      </c>
      <c r="C4202" s="13">
        <v>46098.662824074076</v>
      </c>
      <c r="D4202" s="2" t="s">
        <v>1993</v>
      </c>
      <c r="E4202" s="2" t="s">
        <v>1994</v>
      </c>
      <c r="F4202" s="14" t="s">
        <v>3486</v>
      </c>
      <c r="G4202" s="14" t="s">
        <v>3487</v>
      </c>
      <c r="H4202" s="2" t="s">
        <v>24</v>
      </c>
      <c r="I4202" s="2" t="s">
        <v>3491</v>
      </c>
      <c r="J4202" s="2">
        <v>1.0</v>
      </c>
      <c r="K4202" s="23" t="s">
        <v>3733</v>
      </c>
      <c r="L4202" s="11">
        <v>0.0</v>
      </c>
      <c r="N4202" s="2"/>
      <c r="O4202" s="2" t="b">
        <v>0</v>
      </c>
    </row>
    <row r="4203">
      <c r="A4203" s="8" t="s">
        <v>3219</v>
      </c>
      <c r="B4203" s="8" t="s">
        <v>3219</v>
      </c>
      <c r="C4203" s="13">
        <v>46098.662824074076</v>
      </c>
      <c r="D4203" s="2" t="s">
        <v>1993</v>
      </c>
      <c r="E4203" s="2" t="s">
        <v>1994</v>
      </c>
      <c r="F4203" s="14" t="s">
        <v>4203</v>
      </c>
      <c r="G4203" s="14" t="s">
        <v>4204</v>
      </c>
      <c r="H4203" s="2" t="s">
        <v>24</v>
      </c>
      <c r="I4203" s="2" t="s">
        <v>3491</v>
      </c>
      <c r="J4203" s="2">
        <v>1.0</v>
      </c>
      <c r="K4203" s="23" t="s">
        <v>6489</v>
      </c>
      <c r="L4203" s="11">
        <v>0.0</v>
      </c>
      <c r="N4203" s="2"/>
      <c r="O4203" s="2" t="b">
        <v>0</v>
      </c>
    </row>
    <row r="4204">
      <c r="A4204" s="8" t="s">
        <v>3219</v>
      </c>
      <c r="B4204" s="8" t="s">
        <v>3219</v>
      </c>
      <c r="C4204" s="13">
        <v>46098.662824074076</v>
      </c>
      <c r="D4204" s="2" t="s">
        <v>1993</v>
      </c>
      <c r="E4204" s="2" t="s">
        <v>1994</v>
      </c>
      <c r="F4204" s="14" t="s">
        <v>3516</v>
      </c>
      <c r="G4204" s="14" t="s">
        <v>3517</v>
      </c>
      <c r="H4204" s="2" t="s">
        <v>24</v>
      </c>
      <c r="I4204" s="2" t="s">
        <v>3491</v>
      </c>
      <c r="J4204" s="2">
        <v>1.0</v>
      </c>
      <c r="K4204" s="23" t="s">
        <v>6490</v>
      </c>
      <c r="L4204" s="11">
        <v>0.0</v>
      </c>
      <c r="N4204" s="2"/>
      <c r="O4204" s="2" t="b">
        <v>0</v>
      </c>
    </row>
    <row r="4205">
      <c r="A4205" s="8" t="s">
        <v>3220</v>
      </c>
      <c r="B4205" s="8" t="s">
        <v>3220</v>
      </c>
      <c r="C4205" s="13">
        <v>46098.66372685185</v>
      </c>
      <c r="D4205" s="2" t="s">
        <v>2577</v>
      </c>
      <c r="E4205" s="2" t="s">
        <v>2578</v>
      </c>
      <c r="F4205" s="14" t="s">
        <v>4203</v>
      </c>
      <c r="G4205" s="14" t="s">
        <v>4204</v>
      </c>
      <c r="H4205" s="2" t="s">
        <v>24</v>
      </c>
      <c r="I4205" s="2" t="s">
        <v>3491</v>
      </c>
      <c r="J4205" s="2">
        <v>1.0</v>
      </c>
      <c r="K4205" s="23" t="s">
        <v>5349</v>
      </c>
      <c r="L4205" s="11">
        <v>0.0</v>
      </c>
      <c r="N4205" s="2"/>
      <c r="O4205" s="2" t="b">
        <v>0</v>
      </c>
    </row>
    <row r="4206">
      <c r="A4206" s="8" t="s">
        <v>3221</v>
      </c>
      <c r="B4206" s="8" t="s">
        <v>3221</v>
      </c>
      <c r="C4206" s="13">
        <v>46098.66737268519</v>
      </c>
      <c r="D4206" s="2" t="s">
        <v>2835</v>
      </c>
      <c r="E4206" s="2" t="s">
        <v>2836</v>
      </c>
      <c r="F4206" s="14" t="s">
        <v>4203</v>
      </c>
      <c r="G4206" s="14" t="s">
        <v>4204</v>
      </c>
      <c r="H4206" s="2" t="s">
        <v>24</v>
      </c>
      <c r="I4206" s="2" t="s">
        <v>3491</v>
      </c>
      <c r="J4206" s="2">
        <v>1.0</v>
      </c>
      <c r="K4206" s="23" t="s">
        <v>5695</v>
      </c>
      <c r="L4206" s="11">
        <v>0.0</v>
      </c>
      <c r="N4206" s="2"/>
      <c r="O4206" s="2" t="b">
        <v>0</v>
      </c>
    </row>
    <row r="4207">
      <c r="A4207" s="8" t="s">
        <v>3222</v>
      </c>
      <c r="B4207" s="8" t="s">
        <v>3222</v>
      </c>
      <c r="C4207" s="13">
        <v>46098.66774305556</v>
      </c>
      <c r="D4207" s="2" t="s">
        <v>1889</v>
      </c>
      <c r="E4207" s="2" t="s">
        <v>1890</v>
      </c>
      <c r="F4207" s="14" t="s">
        <v>3486</v>
      </c>
      <c r="G4207" s="14" t="s">
        <v>3487</v>
      </c>
      <c r="H4207" s="2" t="s">
        <v>24</v>
      </c>
      <c r="I4207" s="2" t="s">
        <v>3491</v>
      </c>
      <c r="J4207" s="2">
        <v>1.0</v>
      </c>
      <c r="K4207" s="23" t="s">
        <v>4406</v>
      </c>
      <c r="L4207" s="11">
        <v>0.0</v>
      </c>
      <c r="N4207" s="2" t="s">
        <v>6491</v>
      </c>
      <c r="O4207" s="2" t="b">
        <v>1</v>
      </c>
    </row>
    <row r="4208">
      <c r="A4208" s="8" t="s">
        <v>3222</v>
      </c>
      <c r="B4208" s="8" t="s">
        <v>3222</v>
      </c>
      <c r="C4208" s="13">
        <v>46098.66774305556</v>
      </c>
      <c r="D4208" s="2" t="s">
        <v>1889</v>
      </c>
      <c r="E4208" s="2" t="s">
        <v>1890</v>
      </c>
      <c r="F4208" s="14" t="s">
        <v>3486</v>
      </c>
      <c r="G4208" s="14" t="s">
        <v>3487</v>
      </c>
      <c r="H4208" s="2" t="s">
        <v>24</v>
      </c>
      <c r="I4208" s="2" t="s">
        <v>3614</v>
      </c>
      <c r="J4208" s="2">
        <v>1.0</v>
      </c>
      <c r="K4208" s="23" t="s">
        <v>6388</v>
      </c>
      <c r="L4208" s="11">
        <v>0.0</v>
      </c>
      <c r="N4208" s="2" t="s">
        <v>6491</v>
      </c>
      <c r="O4208" s="2" t="b">
        <v>0</v>
      </c>
    </row>
    <row r="4209">
      <c r="A4209" s="8" t="s">
        <v>3223</v>
      </c>
      <c r="B4209" s="8" t="s">
        <v>3223</v>
      </c>
      <c r="C4209" s="13">
        <v>46098.6700462963</v>
      </c>
      <c r="D4209" s="2" t="s">
        <v>1889</v>
      </c>
      <c r="E4209" s="2" t="s">
        <v>1890</v>
      </c>
      <c r="F4209" s="14" t="s">
        <v>3486</v>
      </c>
      <c r="G4209" s="14" t="s">
        <v>3487</v>
      </c>
      <c r="H4209" s="2" t="s">
        <v>24</v>
      </c>
      <c r="I4209" s="2" t="s">
        <v>3491</v>
      </c>
      <c r="J4209" s="2">
        <v>1.0</v>
      </c>
      <c r="K4209" s="23" t="s">
        <v>5656</v>
      </c>
      <c r="L4209" s="11">
        <v>0.0</v>
      </c>
      <c r="N4209" s="2" t="s">
        <v>6492</v>
      </c>
      <c r="O4209" s="2" t="b">
        <v>0</v>
      </c>
    </row>
    <row r="4210">
      <c r="A4210" s="8" t="s">
        <v>3224</v>
      </c>
      <c r="B4210" s="8" t="s">
        <v>3224</v>
      </c>
      <c r="C4210" s="13">
        <v>46098.671805555554</v>
      </c>
      <c r="D4210" s="2" t="s">
        <v>2032</v>
      </c>
      <c r="E4210" s="2" t="s">
        <v>2033</v>
      </c>
      <c r="F4210" s="14" t="s">
        <v>3486</v>
      </c>
      <c r="G4210" s="14" t="s">
        <v>3487</v>
      </c>
      <c r="H4210" s="2" t="s">
        <v>24</v>
      </c>
      <c r="I4210" s="2" t="s">
        <v>3491</v>
      </c>
      <c r="J4210" s="2">
        <v>2.0</v>
      </c>
      <c r="K4210" s="23" t="s">
        <v>6316</v>
      </c>
      <c r="L4210" s="11">
        <v>0.0</v>
      </c>
      <c r="N4210" s="2"/>
      <c r="O4210" s="2" t="b">
        <v>0</v>
      </c>
    </row>
    <row r="4211">
      <c r="A4211" s="8" t="s">
        <v>3225</v>
      </c>
      <c r="B4211" s="8" t="s">
        <v>3225</v>
      </c>
      <c r="C4211" s="13">
        <v>46098.67219907408</v>
      </c>
      <c r="D4211" s="2" t="s">
        <v>1889</v>
      </c>
      <c r="E4211" s="2" t="s">
        <v>1890</v>
      </c>
      <c r="F4211" s="14" t="s">
        <v>3486</v>
      </c>
      <c r="G4211" s="14" t="s">
        <v>3487</v>
      </c>
      <c r="H4211" s="2" t="s">
        <v>24</v>
      </c>
      <c r="I4211" s="2" t="s">
        <v>3491</v>
      </c>
      <c r="J4211" s="2">
        <v>1.0</v>
      </c>
      <c r="K4211" s="23" t="s">
        <v>5801</v>
      </c>
      <c r="L4211" s="11">
        <v>0.0</v>
      </c>
      <c r="N4211" s="2"/>
      <c r="O4211" s="2" t="b">
        <v>0</v>
      </c>
    </row>
    <row r="4212">
      <c r="A4212" s="8" t="s">
        <v>3225</v>
      </c>
      <c r="B4212" s="8" t="s">
        <v>3225</v>
      </c>
      <c r="C4212" s="13">
        <v>46098.67219907408</v>
      </c>
      <c r="D4212" s="2" t="s">
        <v>1889</v>
      </c>
      <c r="E4212" s="2" t="s">
        <v>1890</v>
      </c>
      <c r="F4212" s="14" t="s">
        <v>3486</v>
      </c>
      <c r="G4212" s="14" t="s">
        <v>3487</v>
      </c>
      <c r="H4212" s="2" t="s">
        <v>24</v>
      </c>
      <c r="I4212" s="2" t="s">
        <v>3614</v>
      </c>
      <c r="J4212" s="2">
        <v>1.0</v>
      </c>
      <c r="K4212" s="23" t="s">
        <v>6288</v>
      </c>
      <c r="L4212" s="11">
        <v>0.0</v>
      </c>
      <c r="N4212" s="2"/>
      <c r="O4212" s="2" t="b">
        <v>0</v>
      </c>
    </row>
    <row r="4213">
      <c r="A4213" s="8" t="s">
        <v>3226</v>
      </c>
      <c r="B4213" s="8" t="s">
        <v>3226</v>
      </c>
      <c r="C4213" s="13">
        <v>46106.35170138889</v>
      </c>
      <c r="D4213" s="2" t="s">
        <v>1975</v>
      </c>
      <c r="E4213" s="2" t="s">
        <v>1976</v>
      </c>
      <c r="F4213" s="14" t="s">
        <v>3486</v>
      </c>
      <c r="G4213" s="14" t="s">
        <v>3487</v>
      </c>
      <c r="H4213" s="2" t="s">
        <v>16</v>
      </c>
      <c r="I4213" s="2" t="s">
        <v>3488</v>
      </c>
      <c r="J4213" s="2">
        <v>10.0</v>
      </c>
      <c r="K4213" s="23" t="s">
        <v>6493</v>
      </c>
      <c r="L4213" s="11">
        <v>60000.0</v>
      </c>
      <c r="N4213" s="2"/>
      <c r="O4213" s="2" t="b">
        <v>0</v>
      </c>
    </row>
    <row r="4214">
      <c r="A4214" s="8" t="s">
        <v>3227</v>
      </c>
      <c r="B4214" s="8" t="s">
        <v>3227</v>
      </c>
      <c r="C4214" s="13">
        <v>46106.42643518518</v>
      </c>
      <c r="D4214" s="2" t="s">
        <v>1084</v>
      </c>
      <c r="E4214" s="2" t="s">
        <v>1085</v>
      </c>
      <c r="F4214" s="14" t="s">
        <v>4203</v>
      </c>
      <c r="G4214" s="14" t="s">
        <v>4204</v>
      </c>
      <c r="H4214" s="2" t="s">
        <v>16</v>
      </c>
      <c r="I4214" s="2" t="s">
        <v>3488</v>
      </c>
      <c r="J4214" s="2">
        <v>10.0</v>
      </c>
      <c r="K4214" s="23" t="s">
        <v>6494</v>
      </c>
      <c r="L4214" s="11">
        <v>70000.0</v>
      </c>
      <c r="N4214" s="2"/>
      <c r="O4214" s="2" t="b">
        <v>0</v>
      </c>
    </row>
    <row r="4215">
      <c r="A4215" s="8" t="s">
        <v>3228</v>
      </c>
      <c r="B4215" s="8" t="s">
        <v>3228</v>
      </c>
      <c r="C4215" s="13">
        <v>46106.45930555555</v>
      </c>
      <c r="D4215" s="2" t="s">
        <v>1975</v>
      </c>
      <c r="E4215" s="2" t="s">
        <v>1976</v>
      </c>
      <c r="F4215" s="14" t="s">
        <v>3486</v>
      </c>
      <c r="G4215" s="14" t="s">
        <v>3487</v>
      </c>
      <c r="H4215" s="2" t="s">
        <v>24</v>
      </c>
      <c r="I4215" s="2" t="s">
        <v>3491</v>
      </c>
      <c r="J4215" s="2">
        <v>4.0</v>
      </c>
      <c r="K4215" s="23" t="s">
        <v>6495</v>
      </c>
      <c r="L4215" s="11">
        <v>0.0</v>
      </c>
      <c r="N4215" s="2"/>
      <c r="O4215" s="2" t="b">
        <v>0</v>
      </c>
    </row>
    <row r="4216">
      <c r="A4216" s="8" t="s">
        <v>3228</v>
      </c>
      <c r="B4216" s="8" t="s">
        <v>3228</v>
      </c>
      <c r="C4216" s="13">
        <v>46106.45930555555</v>
      </c>
      <c r="D4216" s="2" t="s">
        <v>1975</v>
      </c>
      <c r="E4216" s="2" t="s">
        <v>1976</v>
      </c>
      <c r="F4216" s="14" t="s">
        <v>4203</v>
      </c>
      <c r="G4216" s="14" t="s">
        <v>4204</v>
      </c>
      <c r="H4216" s="2" t="s">
        <v>24</v>
      </c>
      <c r="I4216" s="2" t="s">
        <v>3491</v>
      </c>
      <c r="J4216" s="2">
        <v>8.0</v>
      </c>
      <c r="K4216" s="23" t="s">
        <v>6496</v>
      </c>
      <c r="L4216" s="11">
        <v>0.0</v>
      </c>
      <c r="N4216" s="2"/>
      <c r="O4216" s="2" t="b">
        <v>0</v>
      </c>
    </row>
    <row r="4217">
      <c r="A4217" s="8" t="s">
        <v>3155</v>
      </c>
      <c r="B4217" s="8" t="s">
        <v>3155</v>
      </c>
      <c r="C4217" s="13">
        <v>46092.5621875</v>
      </c>
      <c r="D4217" s="2" t="s">
        <v>1975</v>
      </c>
      <c r="E4217" s="2" t="s">
        <v>1976</v>
      </c>
      <c r="F4217" s="14" t="s">
        <v>4203</v>
      </c>
      <c r="G4217" s="14" t="s">
        <v>4204</v>
      </c>
      <c r="H4217" s="2" t="s">
        <v>24</v>
      </c>
      <c r="I4217" s="2" t="s">
        <v>3491</v>
      </c>
      <c r="J4217" s="2">
        <v>2.0</v>
      </c>
      <c r="K4217" s="23" t="s">
        <v>6497</v>
      </c>
      <c r="L4217" s="11">
        <v>0.0</v>
      </c>
      <c r="N4217" s="2"/>
      <c r="O4217" s="2" t="b">
        <v>1</v>
      </c>
    </row>
    <row r="4218">
      <c r="A4218" s="8" t="s">
        <v>3114</v>
      </c>
      <c r="B4218" s="8" t="s">
        <v>3114</v>
      </c>
      <c r="C4218" s="13">
        <v>46088.607453703706</v>
      </c>
      <c r="D4218" s="2" t="s">
        <v>1975</v>
      </c>
      <c r="E4218" s="2" t="s">
        <v>1976</v>
      </c>
      <c r="F4218" s="14" t="s">
        <v>4203</v>
      </c>
      <c r="G4218" s="14" t="s">
        <v>4204</v>
      </c>
      <c r="H4218" s="2" t="s">
        <v>24</v>
      </c>
      <c r="I4218" s="2" t="s">
        <v>3491</v>
      </c>
      <c r="J4218" s="2">
        <v>1.0</v>
      </c>
      <c r="K4218" s="23" t="s">
        <v>5667</v>
      </c>
      <c r="L4218" s="11">
        <v>0.0</v>
      </c>
      <c r="N4218" s="2"/>
      <c r="O4218" s="2" t="b">
        <v>1</v>
      </c>
    </row>
    <row r="4219">
      <c r="A4219" s="8" t="s">
        <v>3229</v>
      </c>
      <c r="B4219" s="8" t="s">
        <v>3229</v>
      </c>
      <c r="C4219" s="13">
        <v>46106.55297453704</v>
      </c>
      <c r="D4219" s="2" t="s">
        <v>1084</v>
      </c>
      <c r="E4219" s="2" t="s">
        <v>1085</v>
      </c>
      <c r="F4219" s="14" t="s">
        <v>3486</v>
      </c>
      <c r="G4219" s="14" t="s">
        <v>3487</v>
      </c>
      <c r="H4219" s="2" t="s">
        <v>24</v>
      </c>
      <c r="I4219" s="2" t="s">
        <v>3491</v>
      </c>
      <c r="J4219" s="2">
        <v>12.0</v>
      </c>
      <c r="K4219" s="23" t="s">
        <v>6498</v>
      </c>
      <c r="L4219" s="11">
        <v>0.0</v>
      </c>
      <c r="N4219" s="2"/>
      <c r="O4219" s="2" t="b">
        <v>0</v>
      </c>
    </row>
    <row r="4220">
      <c r="A4220" s="8" t="s">
        <v>3229</v>
      </c>
      <c r="B4220" s="8" t="s">
        <v>3229</v>
      </c>
      <c r="C4220" s="13">
        <v>46106.55297453704</v>
      </c>
      <c r="D4220" s="2" t="s">
        <v>1084</v>
      </c>
      <c r="E4220" s="2" t="s">
        <v>1085</v>
      </c>
      <c r="F4220" s="14" t="s">
        <v>4203</v>
      </c>
      <c r="G4220" s="14" t="s">
        <v>4204</v>
      </c>
      <c r="H4220" s="2" t="s">
        <v>24</v>
      </c>
      <c r="I4220" s="2" t="s">
        <v>3491</v>
      </c>
      <c r="J4220" s="2">
        <v>3.0</v>
      </c>
      <c r="K4220" s="23" t="s">
        <v>6499</v>
      </c>
      <c r="L4220" s="11">
        <v>0.0</v>
      </c>
      <c r="N4220" s="2"/>
      <c r="O4220" s="2" t="b">
        <v>0</v>
      </c>
    </row>
    <row r="4221">
      <c r="A4221" s="8" t="s">
        <v>3229</v>
      </c>
      <c r="B4221" s="8" t="s">
        <v>3229</v>
      </c>
      <c r="C4221" s="13">
        <v>46106.55297453704</v>
      </c>
      <c r="D4221" s="2" t="s">
        <v>1084</v>
      </c>
      <c r="E4221" s="2" t="s">
        <v>1085</v>
      </c>
      <c r="F4221" s="14" t="s">
        <v>4203</v>
      </c>
      <c r="G4221" s="14" t="s">
        <v>4204</v>
      </c>
      <c r="H4221" s="2" t="s">
        <v>24</v>
      </c>
      <c r="I4221" s="2" t="s">
        <v>3614</v>
      </c>
      <c r="J4221" s="2">
        <v>1.0</v>
      </c>
      <c r="K4221" s="23" t="s">
        <v>6500</v>
      </c>
      <c r="L4221" s="11">
        <v>0.0</v>
      </c>
      <c r="N4221" s="2" t="s">
        <v>6501</v>
      </c>
      <c r="O4221" s="2" t="b">
        <v>0</v>
      </c>
    </row>
    <row r="4222">
      <c r="A4222" s="8" t="s">
        <v>3229</v>
      </c>
      <c r="B4222" s="8" t="s">
        <v>3229</v>
      </c>
      <c r="C4222" s="13">
        <v>46106.55297453704</v>
      </c>
      <c r="D4222" s="2" t="s">
        <v>1084</v>
      </c>
      <c r="E4222" s="2" t="s">
        <v>1085</v>
      </c>
      <c r="F4222" s="14" t="s">
        <v>3516</v>
      </c>
      <c r="G4222" s="14" t="s">
        <v>3517</v>
      </c>
      <c r="H4222" s="2" t="s">
        <v>24</v>
      </c>
      <c r="I4222" s="2" t="s">
        <v>3491</v>
      </c>
      <c r="J4222" s="2">
        <v>1.0</v>
      </c>
      <c r="K4222" s="23" t="s">
        <v>5336</v>
      </c>
      <c r="L4222" s="11">
        <v>0.0</v>
      </c>
      <c r="N4222" s="2"/>
      <c r="O4222" s="2" t="b">
        <v>0</v>
      </c>
    </row>
    <row r="4223">
      <c r="A4223" s="8" t="s">
        <v>3229</v>
      </c>
      <c r="B4223" s="8" t="s">
        <v>3229</v>
      </c>
      <c r="C4223" s="13">
        <v>46106.55297453704</v>
      </c>
      <c r="D4223" s="2" t="s">
        <v>1084</v>
      </c>
      <c r="E4223" s="2" t="s">
        <v>1085</v>
      </c>
      <c r="F4223" s="14" t="s">
        <v>3522</v>
      </c>
      <c r="G4223" s="14" t="s">
        <v>3523</v>
      </c>
      <c r="H4223" s="2" t="s">
        <v>24</v>
      </c>
      <c r="I4223" s="2" t="s">
        <v>3491</v>
      </c>
      <c r="J4223" s="2">
        <v>1.0</v>
      </c>
      <c r="K4223" s="23" t="s">
        <v>4026</v>
      </c>
      <c r="L4223" s="11">
        <v>0.0</v>
      </c>
      <c r="N4223" s="2"/>
      <c r="O4223" s="2" t="b">
        <v>0</v>
      </c>
    </row>
    <row r="4224">
      <c r="A4224" s="8" t="s">
        <v>3230</v>
      </c>
      <c r="B4224" s="8" t="s">
        <v>3230</v>
      </c>
      <c r="C4224" s="13">
        <v>46107.39672453704</v>
      </c>
      <c r="D4224" s="2" t="s">
        <v>786</v>
      </c>
      <c r="E4224" s="2" t="s">
        <v>787</v>
      </c>
      <c r="F4224" s="14" t="s">
        <v>3486</v>
      </c>
      <c r="G4224" s="14" t="s">
        <v>3487</v>
      </c>
      <c r="H4224" s="2" t="s">
        <v>16</v>
      </c>
      <c r="I4224" s="2" t="s">
        <v>3488</v>
      </c>
      <c r="J4224" s="2">
        <v>4.0</v>
      </c>
      <c r="K4224" s="23" t="s">
        <v>6502</v>
      </c>
      <c r="L4224" s="11">
        <v>60000.0</v>
      </c>
      <c r="N4224" s="2"/>
      <c r="O4224" s="2" t="b">
        <v>0</v>
      </c>
    </row>
    <row r="4225">
      <c r="A4225" s="8" t="s">
        <v>3230</v>
      </c>
      <c r="B4225" s="8" t="s">
        <v>3230</v>
      </c>
      <c r="C4225" s="13">
        <v>46107.39672453704</v>
      </c>
      <c r="D4225" s="2" t="s">
        <v>786</v>
      </c>
      <c r="E4225" s="2" t="s">
        <v>787</v>
      </c>
      <c r="F4225" s="14" t="s">
        <v>3516</v>
      </c>
      <c r="G4225" s="14" t="s">
        <v>3517</v>
      </c>
      <c r="H4225" s="2" t="s">
        <v>16</v>
      </c>
      <c r="I4225" s="2" t="s">
        <v>3488</v>
      </c>
      <c r="J4225" s="2">
        <v>1.0</v>
      </c>
      <c r="K4225" s="23" t="s">
        <v>5331</v>
      </c>
      <c r="L4225" s="11">
        <v>180000.0</v>
      </c>
      <c r="N4225" s="2"/>
      <c r="O4225" s="2" t="b">
        <v>0</v>
      </c>
    </row>
    <row r="4226">
      <c r="A4226" s="8" t="s">
        <v>3231</v>
      </c>
      <c r="B4226" s="8" t="s">
        <v>3231</v>
      </c>
      <c r="C4226" s="13">
        <v>46107.49055555555</v>
      </c>
      <c r="D4226" s="2" t="s">
        <v>2543</v>
      </c>
      <c r="E4226" s="2" t="s">
        <v>2544</v>
      </c>
      <c r="F4226" s="14" t="s">
        <v>3486</v>
      </c>
      <c r="G4226" s="14" t="s">
        <v>3487</v>
      </c>
      <c r="H4226" s="2" t="s">
        <v>24</v>
      </c>
      <c r="I4226" s="2" t="s">
        <v>3491</v>
      </c>
      <c r="J4226" s="2">
        <v>1.0</v>
      </c>
      <c r="K4226" s="23" t="s">
        <v>6503</v>
      </c>
      <c r="L4226" s="11">
        <v>0.0</v>
      </c>
      <c r="N4226" s="2"/>
      <c r="O4226" s="2" t="b">
        <v>0</v>
      </c>
    </row>
    <row r="4227">
      <c r="A4227" s="8" t="s">
        <v>3232</v>
      </c>
      <c r="B4227" s="8" t="s">
        <v>3232</v>
      </c>
      <c r="C4227" s="13">
        <v>46107.49103009259</v>
      </c>
      <c r="D4227" s="2" t="s">
        <v>1745</v>
      </c>
      <c r="E4227" s="2" t="s">
        <v>1746</v>
      </c>
      <c r="F4227" s="14" t="s">
        <v>3486</v>
      </c>
      <c r="G4227" s="14" t="s">
        <v>3487</v>
      </c>
      <c r="H4227" s="2" t="s">
        <v>24</v>
      </c>
      <c r="I4227" s="2" t="s">
        <v>3491</v>
      </c>
      <c r="J4227" s="2">
        <v>4.0</v>
      </c>
      <c r="K4227" s="23" t="s">
        <v>6504</v>
      </c>
      <c r="L4227" s="11">
        <v>0.0</v>
      </c>
      <c r="N4227" s="2"/>
      <c r="O4227" s="2" t="b">
        <v>0</v>
      </c>
    </row>
    <row r="4228">
      <c r="A4228" s="8" t="s">
        <v>3233</v>
      </c>
      <c r="B4228" s="8" t="s">
        <v>3233</v>
      </c>
      <c r="C4228" s="13">
        <v>46107.49145833333</v>
      </c>
      <c r="D4228" s="2" t="s">
        <v>2005</v>
      </c>
      <c r="E4228" s="2" t="s">
        <v>2006</v>
      </c>
      <c r="F4228" s="14" t="s">
        <v>3486</v>
      </c>
      <c r="G4228" s="14" t="s">
        <v>3487</v>
      </c>
      <c r="H4228" s="2" t="s">
        <v>24</v>
      </c>
      <c r="I4228" s="2" t="s">
        <v>3491</v>
      </c>
      <c r="J4228" s="2">
        <v>2.0</v>
      </c>
      <c r="K4228" s="23" t="s">
        <v>6505</v>
      </c>
      <c r="L4228" s="11">
        <v>0.0</v>
      </c>
      <c r="N4228" s="2"/>
      <c r="O4228" s="2" t="b">
        <v>0</v>
      </c>
    </row>
    <row r="4229">
      <c r="A4229" s="8" t="s">
        <v>3233</v>
      </c>
      <c r="B4229" s="8" t="s">
        <v>3233</v>
      </c>
      <c r="C4229" s="13">
        <v>46107.49145833333</v>
      </c>
      <c r="D4229" s="2" t="s">
        <v>2005</v>
      </c>
      <c r="E4229" s="2" t="s">
        <v>2006</v>
      </c>
      <c r="F4229" s="14" t="s">
        <v>4203</v>
      </c>
      <c r="G4229" s="14" t="s">
        <v>4204</v>
      </c>
      <c r="H4229" s="2" t="s">
        <v>24</v>
      </c>
      <c r="I4229" s="2" t="s">
        <v>3491</v>
      </c>
      <c r="J4229" s="2">
        <v>2.0</v>
      </c>
      <c r="K4229" s="23" t="s">
        <v>6506</v>
      </c>
      <c r="L4229" s="11">
        <v>0.0</v>
      </c>
      <c r="N4229" s="2"/>
      <c r="O4229" s="2" t="b">
        <v>0</v>
      </c>
    </row>
    <row r="4230">
      <c r="A4230" s="8" t="s">
        <v>3234</v>
      </c>
      <c r="B4230" s="8" t="s">
        <v>3234</v>
      </c>
      <c r="C4230" s="13">
        <v>46107.53871527778</v>
      </c>
      <c r="D4230" s="2" t="s">
        <v>786</v>
      </c>
      <c r="E4230" s="2" t="s">
        <v>787</v>
      </c>
      <c r="F4230" s="14" t="s">
        <v>3486</v>
      </c>
      <c r="G4230" s="14" t="s">
        <v>3487</v>
      </c>
      <c r="H4230" s="2" t="s">
        <v>24</v>
      </c>
      <c r="I4230" s="2" t="s">
        <v>3491</v>
      </c>
      <c r="J4230" s="2">
        <v>4.0</v>
      </c>
      <c r="K4230" s="23" t="s">
        <v>6507</v>
      </c>
      <c r="L4230" s="11">
        <v>0.0</v>
      </c>
      <c r="N4230" s="2"/>
      <c r="O4230" s="2" t="b">
        <v>0</v>
      </c>
    </row>
    <row r="4231">
      <c r="A4231" s="8" t="s">
        <v>3234</v>
      </c>
      <c r="B4231" s="8" t="s">
        <v>3234</v>
      </c>
      <c r="C4231" s="13">
        <v>46107.53871527778</v>
      </c>
      <c r="D4231" s="2" t="s">
        <v>786</v>
      </c>
      <c r="E4231" s="2" t="s">
        <v>787</v>
      </c>
      <c r="F4231" s="14" t="s">
        <v>3486</v>
      </c>
      <c r="G4231" s="14" t="s">
        <v>3487</v>
      </c>
      <c r="H4231" s="2" t="s">
        <v>24</v>
      </c>
      <c r="I4231" s="2" t="s">
        <v>3491</v>
      </c>
      <c r="J4231" s="2">
        <v>1.0</v>
      </c>
      <c r="K4231" s="23" t="s">
        <v>6306</v>
      </c>
      <c r="L4231" s="11">
        <v>0.0</v>
      </c>
      <c r="N4231" s="2"/>
      <c r="O4231" s="2" t="b">
        <v>1</v>
      </c>
    </row>
    <row r="4232">
      <c r="A4232" s="8" t="s">
        <v>3235</v>
      </c>
      <c r="B4232" s="8" t="s">
        <v>3235</v>
      </c>
      <c r="C4232" s="13">
        <v>46107.53983796296</v>
      </c>
      <c r="D4232" s="2" t="s">
        <v>2623</v>
      </c>
      <c r="E4232" s="2" t="s">
        <v>2624</v>
      </c>
      <c r="F4232" s="14" t="s">
        <v>3522</v>
      </c>
      <c r="G4232" s="14" t="s">
        <v>3523</v>
      </c>
      <c r="H4232" s="2" t="s">
        <v>24</v>
      </c>
      <c r="I4232" s="2" t="s">
        <v>3491</v>
      </c>
      <c r="J4232" s="2">
        <v>2.0</v>
      </c>
      <c r="K4232" s="23" t="s">
        <v>6424</v>
      </c>
      <c r="L4232" s="11">
        <v>0.0</v>
      </c>
      <c r="N4232" s="2"/>
      <c r="O4232" s="2" t="b">
        <v>0</v>
      </c>
    </row>
    <row r="4233">
      <c r="A4233" s="8" t="s">
        <v>3236</v>
      </c>
      <c r="B4233" s="8" t="s">
        <v>3236</v>
      </c>
      <c r="C4233" s="13">
        <v>46108.375555555554</v>
      </c>
      <c r="D4233" s="2" t="s">
        <v>904</v>
      </c>
      <c r="E4233" s="2" t="s">
        <v>905</v>
      </c>
      <c r="F4233" s="14" t="s">
        <v>3486</v>
      </c>
      <c r="G4233" s="14" t="s">
        <v>3487</v>
      </c>
      <c r="H4233" s="2" t="s">
        <v>159</v>
      </c>
      <c r="I4233" s="2" t="s">
        <v>5402</v>
      </c>
      <c r="J4233" s="2">
        <v>2.0</v>
      </c>
      <c r="K4233" s="23" t="s">
        <v>6383</v>
      </c>
      <c r="L4233" s="11">
        <v>0.0</v>
      </c>
      <c r="N4233" s="2"/>
      <c r="O4233" s="2" t="b">
        <v>0</v>
      </c>
    </row>
    <row r="4234">
      <c r="A4234" s="8" t="s">
        <v>3236</v>
      </c>
      <c r="B4234" s="8" t="s">
        <v>3236</v>
      </c>
      <c r="C4234" s="13">
        <v>46108.375555555554</v>
      </c>
      <c r="D4234" s="2" t="s">
        <v>904</v>
      </c>
      <c r="E4234" s="2" t="s">
        <v>905</v>
      </c>
      <c r="F4234" s="14" t="s">
        <v>3493</v>
      </c>
      <c r="G4234" s="14" t="s">
        <v>3494</v>
      </c>
      <c r="H4234" s="2" t="s">
        <v>159</v>
      </c>
      <c r="I4234" s="2" t="s">
        <v>3491</v>
      </c>
      <c r="J4234" s="2">
        <v>1.0</v>
      </c>
      <c r="K4234" s="12" t="s">
        <v>6508</v>
      </c>
      <c r="L4234" s="11">
        <v>0.0</v>
      </c>
      <c r="N4234" s="2"/>
      <c r="O4234" s="2" t="b">
        <v>0</v>
      </c>
    </row>
    <row r="4235">
      <c r="A4235" s="8" t="s">
        <v>3237</v>
      </c>
      <c r="B4235" s="8" t="s">
        <v>3237</v>
      </c>
      <c r="C4235" s="13">
        <v>46108.37758101852</v>
      </c>
      <c r="D4235" s="2" t="s">
        <v>904</v>
      </c>
      <c r="E4235" s="2" t="s">
        <v>905</v>
      </c>
      <c r="F4235" s="14" t="s">
        <v>3486</v>
      </c>
      <c r="G4235" s="14" t="s">
        <v>3487</v>
      </c>
      <c r="H4235" s="2" t="s">
        <v>16</v>
      </c>
      <c r="I4235" s="2" t="s">
        <v>3488</v>
      </c>
      <c r="J4235" s="2">
        <v>1.0</v>
      </c>
      <c r="K4235" s="23" t="s">
        <v>3860</v>
      </c>
      <c r="L4235" s="11">
        <v>70000.0</v>
      </c>
      <c r="N4235" s="2"/>
      <c r="O4235" s="2" t="b">
        <v>0</v>
      </c>
    </row>
    <row r="4236">
      <c r="A4236" s="8" t="s">
        <v>3238</v>
      </c>
      <c r="B4236" s="8" t="s">
        <v>3238</v>
      </c>
      <c r="C4236" s="13">
        <v>46108.38024305556</v>
      </c>
      <c r="D4236" s="2" t="s">
        <v>1228</v>
      </c>
      <c r="E4236" s="2" t="s">
        <v>1229</v>
      </c>
      <c r="F4236" s="14" t="s">
        <v>3486</v>
      </c>
      <c r="G4236" s="14" t="s">
        <v>3487</v>
      </c>
      <c r="H4236" s="2" t="s">
        <v>16</v>
      </c>
      <c r="I4236" s="2" t="s">
        <v>3488</v>
      </c>
      <c r="J4236" s="2">
        <v>5.0</v>
      </c>
      <c r="K4236" s="23" t="s">
        <v>6509</v>
      </c>
      <c r="L4236" s="11">
        <v>55000.0</v>
      </c>
      <c r="N4236" s="2"/>
      <c r="O4236" s="2" t="b">
        <v>0</v>
      </c>
    </row>
    <row r="4237">
      <c r="A4237" s="8" t="s">
        <v>3238</v>
      </c>
      <c r="B4237" s="8" t="s">
        <v>3238</v>
      </c>
      <c r="C4237" s="13">
        <v>46108.38024305556</v>
      </c>
      <c r="D4237" s="2" t="s">
        <v>1228</v>
      </c>
      <c r="E4237" s="2" t="s">
        <v>1229</v>
      </c>
      <c r="F4237" s="14" t="s">
        <v>3493</v>
      </c>
      <c r="G4237" s="14" t="s">
        <v>3494</v>
      </c>
      <c r="H4237" s="2" t="s">
        <v>16</v>
      </c>
      <c r="I4237" s="2" t="s">
        <v>3488</v>
      </c>
      <c r="J4237" s="2">
        <v>1.0</v>
      </c>
      <c r="K4237" s="12" t="s">
        <v>5961</v>
      </c>
      <c r="L4237" s="11">
        <v>210000.0</v>
      </c>
      <c r="N4237" s="2"/>
      <c r="O4237" s="2" t="b">
        <v>0</v>
      </c>
    </row>
    <row r="4238">
      <c r="A4238" s="8" t="s">
        <v>3239</v>
      </c>
      <c r="B4238" s="8" t="s">
        <v>3239</v>
      </c>
      <c r="C4238" s="13">
        <v>46108.39732638889</v>
      </c>
      <c r="D4238" s="2" t="s">
        <v>49</v>
      </c>
      <c r="E4238" s="2" t="s">
        <v>50</v>
      </c>
      <c r="F4238" s="14" t="s">
        <v>3486</v>
      </c>
      <c r="G4238" s="14" t="s">
        <v>3487</v>
      </c>
      <c r="H4238" s="2" t="s">
        <v>16</v>
      </c>
      <c r="I4238" s="2" t="s">
        <v>3488</v>
      </c>
      <c r="J4238" s="2">
        <v>5.0</v>
      </c>
      <c r="K4238" s="23" t="s">
        <v>6510</v>
      </c>
      <c r="L4238" s="11">
        <v>60000.0</v>
      </c>
      <c r="N4238" s="2"/>
      <c r="O4238" s="2" t="b">
        <v>0</v>
      </c>
    </row>
    <row r="4239">
      <c r="A4239" s="8" t="s">
        <v>3240</v>
      </c>
      <c r="B4239" s="8" t="s">
        <v>3240</v>
      </c>
      <c r="C4239" s="13">
        <v>46108.552395833336</v>
      </c>
      <c r="D4239" s="2" t="s">
        <v>131</v>
      </c>
      <c r="E4239" s="2" t="s">
        <v>132</v>
      </c>
      <c r="F4239" s="14" t="s">
        <v>4203</v>
      </c>
      <c r="G4239" s="14" t="s">
        <v>4204</v>
      </c>
      <c r="H4239" s="2" t="s">
        <v>16</v>
      </c>
      <c r="I4239" s="2" t="s">
        <v>3488</v>
      </c>
      <c r="J4239" s="2">
        <v>2.0</v>
      </c>
      <c r="K4239" s="23" t="s">
        <v>6511</v>
      </c>
      <c r="L4239" s="11">
        <v>60000.0</v>
      </c>
      <c r="N4239" s="2"/>
      <c r="O4239" s="2" t="b">
        <v>0</v>
      </c>
    </row>
    <row r="4240">
      <c r="A4240" s="8" t="s">
        <v>3240</v>
      </c>
      <c r="B4240" s="8" t="s">
        <v>3240</v>
      </c>
      <c r="C4240" s="13">
        <v>46108.552395833336</v>
      </c>
      <c r="D4240" s="2" t="s">
        <v>131</v>
      </c>
      <c r="E4240" s="2" t="s">
        <v>132</v>
      </c>
      <c r="F4240" s="14" t="s">
        <v>3516</v>
      </c>
      <c r="G4240" s="14" t="s">
        <v>3517</v>
      </c>
      <c r="H4240" s="2" t="s">
        <v>16</v>
      </c>
      <c r="I4240" s="2" t="s">
        <v>3488</v>
      </c>
      <c r="J4240" s="2">
        <v>4.0</v>
      </c>
      <c r="K4240" s="23" t="s">
        <v>6512</v>
      </c>
      <c r="L4240" s="11">
        <v>180000.0</v>
      </c>
      <c r="N4240" s="2"/>
      <c r="O4240" s="2" t="b">
        <v>0</v>
      </c>
    </row>
    <row r="4241">
      <c r="A4241" s="8" t="s">
        <v>3241</v>
      </c>
      <c r="B4241" s="8" t="s">
        <v>3241</v>
      </c>
      <c r="C4241" s="13">
        <v>46108.59112268518</v>
      </c>
      <c r="D4241" s="2" t="s">
        <v>1228</v>
      </c>
      <c r="E4241" s="2" t="s">
        <v>1229</v>
      </c>
      <c r="F4241" s="14" t="s">
        <v>3486</v>
      </c>
      <c r="G4241" s="14" t="s">
        <v>3487</v>
      </c>
      <c r="H4241" s="2" t="s">
        <v>24</v>
      </c>
      <c r="I4241" s="2" t="s">
        <v>3491</v>
      </c>
      <c r="J4241" s="2">
        <v>4.0</v>
      </c>
      <c r="K4241" s="23" t="s">
        <v>6513</v>
      </c>
      <c r="L4241" s="11">
        <v>0.0</v>
      </c>
      <c r="N4241" s="2"/>
      <c r="O4241" s="2" t="b">
        <v>0</v>
      </c>
    </row>
    <row r="4242">
      <c r="A4242" s="8" t="s">
        <v>3242</v>
      </c>
      <c r="B4242" s="8" t="s">
        <v>3242</v>
      </c>
      <c r="C4242" s="13">
        <v>46108.59438657408</v>
      </c>
      <c r="D4242" s="2" t="s">
        <v>131</v>
      </c>
      <c r="E4242" s="2" t="s">
        <v>132</v>
      </c>
      <c r="F4242" s="14" t="s">
        <v>4203</v>
      </c>
      <c r="G4242" s="14" t="s">
        <v>4204</v>
      </c>
      <c r="H4242" s="2" t="s">
        <v>24</v>
      </c>
      <c r="I4242" s="2" t="s">
        <v>3491</v>
      </c>
      <c r="J4242" s="2">
        <v>1.0</v>
      </c>
      <c r="K4242" s="23" t="s">
        <v>6093</v>
      </c>
      <c r="L4242" s="11">
        <v>0.0</v>
      </c>
      <c r="N4242" s="2"/>
      <c r="O4242" s="2" t="b">
        <v>0</v>
      </c>
    </row>
    <row r="4243">
      <c r="A4243" s="8" t="s">
        <v>3242</v>
      </c>
      <c r="B4243" s="8" t="s">
        <v>3242</v>
      </c>
      <c r="C4243" s="13">
        <v>46108.59438657408</v>
      </c>
      <c r="D4243" s="2" t="s">
        <v>131</v>
      </c>
      <c r="E4243" s="2" t="s">
        <v>132</v>
      </c>
      <c r="F4243" s="14" t="s">
        <v>3516</v>
      </c>
      <c r="G4243" s="14" t="s">
        <v>3517</v>
      </c>
      <c r="H4243" s="2" t="s">
        <v>24</v>
      </c>
      <c r="I4243" s="2" t="s">
        <v>3491</v>
      </c>
      <c r="J4243" s="2">
        <v>1.0</v>
      </c>
      <c r="K4243" s="23" t="s">
        <v>6514</v>
      </c>
      <c r="L4243" s="11">
        <v>0.0</v>
      </c>
      <c r="N4243" s="2"/>
      <c r="O4243" s="2" t="b">
        <v>0</v>
      </c>
    </row>
    <row r="4244">
      <c r="A4244" s="8" t="s">
        <v>3243</v>
      </c>
      <c r="B4244" s="8" t="s">
        <v>3243</v>
      </c>
      <c r="C4244" s="13">
        <v>46109.68798611111</v>
      </c>
      <c r="D4244" s="2" t="s">
        <v>1993</v>
      </c>
      <c r="E4244" s="2" t="s">
        <v>1994</v>
      </c>
      <c r="F4244" s="14" t="s">
        <v>4203</v>
      </c>
      <c r="G4244" s="14" t="s">
        <v>4204</v>
      </c>
      <c r="H4244" s="2" t="s">
        <v>16</v>
      </c>
      <c r="I4244" s="2" t="s">
        <v>3488</v>
      </c>
      <c r="J4244" s="2">
        <v>5.0</v>
      </c>
      <c r="K4244" s="23" t="s">
        <v>6515</v>
      </c>
      <c r="L4244" s="11">
        <v>65000.0</v>
      </c>
      <c r="N4244" s="2"/>
      <c r="O4244" s="2" t="b">
        <v>0</v>
      </c>
    </row>
    <row r="4245">
      <c r="A4245" s="8" t="s">
        <v>3243</v>
      </c>
      <c r="B4245" s="8" t="s">
        <v>3243</v>
      </c>
      <c r="C4245" s="13">
        <v>46109.68798611111</v>
      </c>
      <c r="D4245" s="2" t="s">
        <v>1993</v>
      </c>
      <c r="E4245" s="2" t="s">
        <v>1994</v>
      </c>
      <c r="F4245" s="14" t="s">
        <v>3486</v>
      </c>
      <c r="G4245" s="14" t="s">
        <v>3487</v>
      </c>
      <c r="H4245" s="2" t="s">
        <v>16</v>
      </c>
      <c r="I4245" s="2" t="s">
        <v>3488</v>
      </c>
      <c r="J4245" s="2">
        <v>5.0</v>
      </c>
      <c r="K4245" s="23" t="s">
        <v>6516</v>
      </c>
      <c r="L4245" s="11">
        <v>65000.0</v>
      </c>
      <c r="N4245" s="2"/>
      <c r="O4245" s="2" t="b">
        <v>0</v>
      </c>
    </row>
    <row r="4246">
      <c r="A4246" s="8" t="s">
        <v>3243</v>
      </c>
      <c r="B4246" s="8" t="s">
        <v>3243</v>
      </c>
      <c r="C4246" s="13">
        <v>46109.68798611111</v>
      </c>
      <c r="D4246" s="2" t="s">
        <v>1993</v>
      </c>
      <c r="E4246" s="2" t="s">
        <v>1994</v>
      </c>
      <c r="F4246" s="14" t="s">
        <v>3516</v>
      </c>
      <c r="G4246" s="14" t="s">
        <v>3517</v>
      </c>
      <c r="H4246" s="2" t="s">
        <v>16</v>
      </c>
      <c r="I4246" s="2" t="s">
        <v>3488</v>
      </c>
      <c r="J4246" s="2">
        <v>2.0</v>
      </c>
      <c r="K4246" s="23" t="s">
        <v>5905</v>
      </c>
      <c r="L4246" s="11">
        <v>190000.0</v>
      </c>
      <c r="N4246" s="2"/>
      <c r="O4246" s="2" t="b">
        <v>0</v>
      </c>
    </row>
    <row r="4247">
      <c r="A4247" s="8" t="s">
        <v>3244</v>
      </c>
      <c r="B4247" s="8" t="s">
        <v>3244</v>
      </c>
      <c r="C4247" s="13">
        <v>46111.38398148148</v>
      </c>
      <c r="D4247" s="2" t="s">
        <v>786</v>
      </c>
      <c r="E4247" s="2" t="s">
        <v>787</v>
      </c>
      <c r="F4247" s="14" t="s">
        <v>3486</v>
      </c>
      <c r="G4247" s="14" t="s">
        <v>3487</v>
      </c>
      <c r="H4247" s="2" t="s">
        <v>16</v>
      </c>
      <c r="I4247" s="2" t="s">
        <v>3488</v>
      </c>
      <c r="J4247" s="2">
        <v>3.0</v>
      </c>
      <c r="K4247" s="23" t="s">
        <v>6517</v>
      </c>
      <c r="L4247" s="11">
        <v>60000.0</v>
      </c>
      <c r="N4247" s="2"/>
      <c r="O4247" s="2" t="b">
        <v>0</v>
      </c>
    </row>
    <row r="4248">
      <c r="A4248" s="8" t="s">
        <v>3244</v>
      </c>
      <c r="B4248" s="8" t="s">
        <v>3244</v>
      </c>
      <c r="C4248" s="13">
        <v>46111.38398148148</v>
      </c>
      <c r="D4248" s="2" t="s">
        <v>786</v>
      </c>
      <c r="E4248" s="2" t="s">
        <v>787</v>
      </c>
      <c r="F4248" s="14" t="s">
        <v>3516</v>
      </c>
      <c r="G4248" s="14" t="s">
        <v>3517</v>
      </c>
      <c r="H4248" s="2" t="s">
        <v>16</v>
      </c>
      <c r="I4248" s="2" t="s">
        <v>3488</v>
      </c>
      <c r="J4248" s="2">
        <v>3.0</v>
      </c>
      <c r="K4248" s="12"/>
      <c r="L4248" s="11">
        <v>180000.0</v>
      </c>
      <c r="N4248" s="2"/>
      <c r="O4248" s="2" t="b">
        <v>0</v>
      </c>
    </row>
    <row r="4249">
      <c r="A4249" s="8" t="s">
        <v>3245</v>
      </c>
      <c r="B4249" s="8" t="s">
        <v>3245</v>
      </c>
      <c r="C4249" s="13">
        <v>46111.47010416666</v>
      </c>
      <c r="D4249" s="2" t="s">
        <v>1993</v>
      </c>
      <c r="E4249" s="2" t="s">
        <v>1994</v>
      </c>
      <c r="F4249" s="14" t="s">
        <v>3493</v>
      </c>
      <c r="G4249" s="14" t="s">
        <v>3494</v>
      </c>
      <c r="H4249" s="2" t="s">
        <v>16</v>
      </c>
      <c r="I4249" s="2" t="s">
        <v>3488</v>
      </c>
      <c r="J4249" s="2">
        <v>4.0</v>
      </c>
      <c r="K4249" s="12"/>
      <c r="L4249" s="11">
        <v>200000.0</v>
      </c>
      <c r="N4249" s="2"/>
      <c r="O4249" s="2" t="b">
        <v>0</v>
      </c>
    </row>
    <row r="4250">
      <c r="A4250" s="8" t="s">
        <v>3246</v>
      </c>
      <c r="B4250" s="8" t="s">
        <v>3246</v>
      </c>
      <c r="C4250" s="13">
        <v>46111.59710648148</v>
      </c>
      <c r="D4250" s="2" t="s">
        <v>2913</v>
      </c>
      <c r="E4250" s="2" t="s">
        <v>2914</v>
      </c>
      <c r="F4250" s="14" t="s">
        <v>3486</v>
      </c>
      <c r="G4250" s="14" t="s">
        <v>3487</v>
      </c>
      <c r="H4250" s="2" t="s">
        <v>16</v>
      </c>
      <c r="I4250" s="2" t="s">
        <v>3488</v>
      </c>
      <c r="J4250" s="2">
        <v>5.0</v>
      </c>
      <c r="K4250" s="23" t="s">
        <v>6518</v>
      </c>
      <c r="L4250" s="11">
        <v>50000.0</v>
      </c>
      <c r="N4250" s="2"/>
      <c r="O4250" s="2" t="b">
        <v>0</v>
      </c>
    </row>
    <row r="4251">
      <c r="A4251" s="8" t="s">
        <v>3247</v>
      </c>
      <c r="B4251" s="8" t="s">
        <v>3247</v>
      </c>
      <c r="C4251" s="13">
        <v>46111.60050925926</v>
      </c>
      <c r="D4251" s="2" t="s">
        <v>55</v>
      </c>
      <c r="E4251" s="2" t="s">
        <v>56</v>
      </c>
      <c r="F4251" s="14" t="s">
        <v>3547</v>
      </c>
      <c r="G4251" s="14" t="s">
        <v>3548</v>
      </c>
      <c r="H4251" s="2" t="s">
        <v>16</v>
      </c>
      <c r="I4251" s="2" t="s">
        <v>3488</v>
      </c>
      <c r="J4251" s="2">
        <v>1.0</v>
      </c>
      <c r="K4251" s="12" t="s">
        <v>6519</v>
      </c>
      <c r="L4251" s="11">
        <v>1000000.0</v>
      </c>
      <c r="N4251" s="2"/>
      <c r="O4251" s="2" t="b">
        <v>0</v>
      </c>
    </row>
    <row r="4252">
      <c r="A4252" s="8" t="s">
        <v>3248</v>
      </c>
      <c r="B4252" s="8" t="s">
        <v>3248</v>
      </c>
      <c r="C4252" s="13">
        <v>46111.64917824074</v>
      </c>
      <c r="D4252" s="2" t="s">
        <v>1993</v>
      </c>
      <c r="E4252" s="2" t="s">
        <v>1994</v>
      </c>
      <c r="F4252" s="14" t="s">
        <v>3493</v>
      </c>
      <c r="G4252" s="14" t="s">
        <v>3494</v>
      </c>
      <c r="H4252" s="2" t="s">
        <v>24</v>
      </c>
      <c r="I4252" s="2" t="s">
        <v>3491</v>
      </c>
      <c r="J4252" s="2">
        <v>2.0</v>
      </c>
      <c r="K4252" s="12" t="s">
        <v>6330</v>
      </c>
      <c r="L4252" s="11">
        <v>0.0</v>
      </c>
      <c r="N4252" s="2"/>
      <c r="O4252" s="2" t="b">
        <v>0</v>
      </c>
    </row>
    <row r="4253">
      <c r="A4253" s="8" t="s">
        <v>3249</v>
      </c>
      <c r="B4253" s="8" t="s">
        <v>3249</v>
      </c>
      <c r="C4253" s="13">
        <v>46111.649664351855</v>
      </c>
      <c r="D4253" s="2" t="s">
        <v>3250</v>
      </c>
      <c r="E4253" s="2" t="s">
        <v>3251</v>
      </c>
      <c r="F4253" s="14" t="s">
        <v>3506</v>
      </c>
      <c r="G4253" s="14" t="s">
        <v>3507</v>
      </c>
      <c r="H4253" s="2" t="s">
        <v>24</v>
      </c>
      <c r="I4253" s="2" t="s">
        <v>3491</v>
      </c>
      <c r="J4253" s="2">
        <v>15.0</v>
      </c>
      <c r="K4253" s="12"/>
      <c r="L4253" s="11">
        <v>0.0</v>
      </c>
      <c r="N4253" s="2"/>
      <c r="O4253" s="2" t="b">
        <v>0</v>
      </c>
    </row>
    <row r="4254">
      <c r="A4254" s="8" t="s">
        <v>3249</v>
      </c>
      <c r="B4254" s="8" t="s">
        <v>3249</v>
      </c>
      <c r="C4254" s="13">
        <v>46111.649664351855</v>
      </c>
      <c r="D4254" s="2" t="s">
        <v>3250</v>
      </c>
      <c r="E4254" s="2" t="s">
        <v>3251</v>
      </c>
      <c r="F4254" s="14" t="s">
        <v>4045</v>
      </c>
      <c r="G4254" s="14" t="s">
        <v>4046</v>
      </c>
      <c r="H4254" s="2" t="s">
        <v>24</v>
      </c>
      <c r="I4254" s="2" t="s">
        <v>3491</v>
      </c>
      <c r="J4254" s="2">
        <v>1.0</v>
      </c>
      <c r="K4254" s="12"/>
      <c r="L4254" s="11">
        <v>0.0</v>
      </c>
      <c r="N4254" s="2"/>
      <c r="O4254" s="2" t="b">
        <v>0</v>
      </c>
    </row>
    <row r="4255">
      <c r="A4255" s="8" t="s">
        <v>3249</v>
      </c>
      <c r="B4255" s="8" t="s">
        <v>3249</v>
      </c>
      <c r="C4255" s="13">
        <v>46111.649664351855</v>
      </c>
      <c r="D4255" s="2" t="s">
        <v>3250</v>
      </c>
      <c r="E4255" s="2" t="s">
        <v>3251</v>
      </c>
      <c r="F4255" s="14" t="s">
        <v>3493</v>
      </c>
      <c r="G4255" s="14" t="s">
        <v>3494</v>
      </c>
      <c r="H4255" s="2" t="s">
        <v>24</v>
      </c>
      <c r="I4255" s="2" t="s">
        <v>3491</v>
      </c>
      <c r="J4255" s="2">
        <v>3.0</v>
      </c>
      <c r="K4255" s="12"/>
      <c r="L4255" s="11">
        <v>0.0</v>
      </c>
      <c r="N4255" s="2"/>
      <c r="O4255" s="2" t="b">
        <v>0</v>
      </c>
    </row>
    <row r="4256">
      <c r="A4256" s="8" t="s">
        <v>3252</v>
      </c>
      <c r="B4256" s="8" t="s">
        <v>3252</v>
      </c>
      <c r="C4256" s="13">
        <v>46111.67664351852</v>
      </c>
      <c r="D4256" s="2" t="s">
        <v>786</v>
      </c>
      <c r="E4256" s="2" t="s">
        <v>787</v>
      </c>
      <c r="F4256" s="14" t="s">
        <v>3486</v>
      </c>
      <c r="G4256" s="14" t="s">
        <v>3487</v>
      </c>
      <c r="H4256" s="2" t="s">
        <v>24</v>
      </c>
      <c r="I4256" s="2" t="s">
        <v>3491</v>
      </c>
      <c r="J4256" s="2">
        <v>4.0</v>
      </c>
      <c r="K4256" s="23" t="s">
        <v>6520</v>
      </c>
      <c r="L4256" s="11">
        <v>0.0</v>
      </c>
      <c r="N4256" s="2"/>
      <c r="O4256" s="2" t="b">
        <v>0</v>
      </c>
    </row>
    <row r="4257">
      <c r="A4257" s="8" t="s">
        <v>3253</v>
      </c>
      <c r="B4257" s="8" t="s">
        <v>3253</v>
      </c>
      <c r="C4257" s="13">
        <v>46111.67706018518</v>
      </c>
      <c r="D4257" s="2" t="s">
        <v>55</v>
      </c>
      <c r="E4257" s="2" t="s">
        <v>56</v>
      </c>
      <c r="F4257" s="14" t="s">
        <v>3547</v>
      </c>
      <c r="G4257" s="14" t="s">
        <v>3548</v>
      </c>
      <c r="H4257" s="2" t="s">
        <v>24</v>
      </c>
      <c r="I4257" s="2" t="s">
        <v>3491</v>
      </c>
      <c r="J4257" s="2">
        <v>1.0</v>
      </c>
      <c r="K4257" s="12" t="s">
        <v>6519</v>
      </c>
      <c r="L4257" s="11">
        <v>0.0</v>
      </c>
      <c r="N4257" s="2"/>
      <c r="O4257" s="2" t="b">
        <v>0</v>
      </c>
    </row>
    <row r="4258">
      <c r="A4258" s="8" t="s">
        <v>3254</v>
      </c>
      <c r="B4258" s="8" t="s">
        <v>3254</v>
      </c>
      <c r="C4258" s="13">
        <v>46111.67736111111</v>
      </c>
      <c r="D4258" s="2" t="s">
        <v>1993</v>
      </c>
      <c r="E4258" s="2" t="s">
        <v>1994</v>
      </c>
      <c r="F4258" s="14" t="s">
        <v>3516</v>
      </c>
      <c r="G4258" s="14" t="s">
        <v>3517</v>
      </c>
      <c r="H4258" s="2" t="s">
        <v>24</v>
      </c>
      <c r="I4258" s="2" t="s">
        <v>3491</v>
      </c>
      <c r="J4258" s="2">
        <v>4.0</v>
      </c>
      <c r="K4258" s="23" t="s">
        <v>6521</v>
      </c>
      <c r="L4258" s="11">
        <v>0.0</v>
      </c>
      <c r="N4258" s="2"/>
      <c r="O4258" s="2" t="b">
        <v>0</v>
      </c>
    </row>
    <row r="4259">
      <c r="A4259" s="8" t="s">
        <v>3254</v>
      </c>
      <c r="B4259" s="8" t="s">
        <v>3254</v>
      </c>
      <c r="C4259" s="13">
        <v>46111.67736111111</v>
      </c>
      <c r="D4259" s="2" t="s">
        <v>1993</v>
      </c>
      <c r="E4259" s="2" t="s">
        <v>1994</v>
      </c>
      <c r="F4259" s="14" t="s">
        <v>4203</v>
      </c>
      <c r="G4259" s="14" t="s">
        <v>4204</v>
      </c>
      <c r="H4259" s="2" t="s">
        <v>24</v>
      </c>
      <c r="I4259" s="2" t="s">
        <v>3491</v>
      </c>
      <c r="J4259" s="2">
        <v>1.0</v>
      </c>
      <c r="K4259" s="23" t="s">
        <v>6489</v>
      </c>
      <c r="L4259" s="11">
        <v>0.0</v>
      </c>
      <c r="N4259" s="2"/>
      <c r="O4259" s="2" t="b">
        <v>1</v>
      </c>
    </row>
    <row r="4260">
      <c r="A4260" s="8" t="s">
        <v>3254</v>
      </c>
      <c r="B4260" s="8" t="s">
        <v>3254</v>
      </c>
      <c r="C4260" s="13">
        <v>46111.67736111111</v>
      </c>
      <c r="D4260" s="2" t="s">
        <v>1993</v>
      </c>
      <c r="E4260" s="2" t="s">
        <v>1994</v>
      </c>
      <c r="F4260" s="14" t="s">
        <v>3486</v>
      </c>
      <c r="G4260" s="14" t="s">
        <v>3487</v>
      </c>
      <c r="H4260" s="2" t="s">
        <v>24</v>
      </c>
      <c r="I4260" s="2" t="s">
        <v>3491</v>
      </c>
      <c r="J4260" s="2">
        <v>4.0</v>
      </c>
      <c r="K4260" s="23" t="s">
        <v>6522</v>
      </c>
      <c r="L4260" s="11">
        <v>0.0</v>
      </c>
      <c r="N4260" s="2"/>
      <c r="O4260" s="2" t="b">
        <v>1</v>
      </c>
    </row>
    <row r="4261">
      <c r="A4261" s="8" t="s">
        <v>3254</v>
      </c>
      <c r="B4261" s="8" t="s">
        <v>3254</v>
      </c>
      <c r="C4261" s="13">
        <v>46111.67736111111</v>
      </c>
      <c r="D4261" s="2" t="s">
        <v>1993</v>
      </c>
      <c r="E4261" s="2" t="s">
        <v>1994</v>
      </c>
      <c r="F4261" s="14" t="s">
        <v>3486</v>
      </c>
      <c r="G4261" s="14" t="s">
        <v>3487</v>
      </c>
      <c r="H4261" s="2" t="s">
        <v>24</v>
      </c>
      <c r="I4261" s="2" t="s">
        <v>3491</v>
      </c>
      <c r="J4261" s="2">
        <v>5.0</v>
      </c>
      <c r="K4261" s="23" t="s">
        <v>6523</v>
      </c>
      <c r="L4261" s="11">
        <v>0.0</v>
      </c>
      <c r="N4261" s="2"/>
      <c r="O4261" s="2" t="b">
        <v>0</v>
      </c>
    </row>
    <row r="4262">
      <c r="A4262" s="8" t="s">
        <v>3255</v>
      </c>
      <c r="B4262" s="8" t="s">
        <v>3255</v>
      </c>
      <c r="C4262" s="13">
        <v>46111.6824537037</v>
      </c>
      <c r="D4262" s="2" t="s">
        <v>49</v>
      </c>
      <c r="E4262" s="2" t="s">
        <v>50</v>
      </c>
      <c r="F4262" s="14" t="s">
        <v>3486</v>
      </c>
      <c r="G4262" s="14" t="s">
        <v>3487</v>
      </c>
      <c r="H4262" s="2" t="s">
        <v>24</v>
      </c>
      <c r="I4262" s="2" t="s">
        <v>3491</v>
      </c>
      <c r="J4262" s="2">
        <v>1.0</v>
      </c>
      <c r="K4262" s="23" t="s">
        <v>6524</v>
      </c>
      <c r="L4262" s="11">
        <v>0.0</v>
      </c>
      <c r="N4262" s="2"/>
      <c r="O4262" s="2" t="b">
        <v>0</v>
      </c>
    </row>
    <row r="4263">
      <c r="A4263" s="8" t="s">
        <v>3256</v>
      </c>
      <c r="B4263" s="8" t="s">
        <v>3256</v>
      </c>
      <c r="C4263" s="13">
        <v>46112.363275462965</v>
      </c>
      <c r="D4263" s="2" t="s">
        <v>1371</v>
      </c>
      <c r="E4263" s="2" t="s">
        <v>1372</v>
      </c>
      <c r="F4263" s="14" t="s">
        <v>3486</v>
      </c>
      <c r="G4263" s="14" t="s">
        <v>3487</v>
      </c>
      <c r="H4263" s="2" t="s">
        <v>159</v>
      </c>
      <c r="I4263" s="2" t="s">
        <v>3619</v>
      </c>
      <c r="J4263" s="2">
        <v>1.0</v>
      </c>
      <c r="K4263" s="23" t="s">
        <v>6484</v>
      </c>
      <c r="L4263" s="11">
        <v>0.0</v>
      </c>
      <c r="N4263" s="2"/>
      <c r="O4263" s="2" t="b">
        <v>0</v>
      </c>
    </row>
    <row r="4264">
      <c r="A4264" s="8" t="s">
        <v>3257</v>
      </c>
      <c r="B4264" s="8" t="s">
        <v>3257</v>
      </c>
      <c r="C4264" s="13">
        <v>46112.366261574076</v>
      </c>
      <c r="D4264" s="2" t="s">
        <v>213</v>
      </c>
      <c r="E4264" s="2" t="s">
        <v>214</v>
      </c>
      <c r="F4264" s="14" t="s">
        <v>3486</v>
      </c>
      <c r="G4264" s="14" t="s">
        <v>3487</v>
      </c>
      <c r="H4264" s="2" t="s">
        <v>16</v>
      </c>
      <c r="I4264" s="2" t="s">
        <v>3488</v>
      </c>
      <c r="J4264" s="2">
        <v>10.0</v>
      </c>
      <c r="K4264" s="23" t="s">
        <v>6525</v>
      </c>
      <c r="L4264" s="11">
        <v>60000.0</v>
      </c>
      <c r="N4264" s="2"/>
      <c r="O4264" s="2" t="b">
        <v>0</v>
      </c>
    </row>
    <row r="4265">
      <c r="A4265" s="8" t="s">
        <v>3258</v>
      </c>
      <c r="B4265" s="8" t="s">
        <v>3258</v>
      </c>
      <c r="C4265" s="13">
        <v>46112.36883101852</v>
      </c>
      <c r="D4265" s="2" t="s">
        <v>1889</v>
      </c>
      <c r="E4265" s="2" t="s">
        <v>1890</v>
      </c>
      <c r="F4265" s="14" t="s">
        <v>3486</v>
      </c>
      <c r="G4265" s="14" t="s">
        <v>3487</v>
      </c>
      <c r="H4265" s="2" t="s">
        <v>16</v>
      </c>
      <c r="I4265" s="2" t="s">
        <v>3488</v>
      </c>
      <c r="J4265" s="2">
        <v>1.0</v>
      </c>
      <c r="K4265" s="23" t="s">
        <v>6220</v>
      </c>
      <c r="L4265" s="11">
        <v>60000.0</v>
      </c>
      <c r="N4265" s="2"/>
      <c r="O4265" s="2" t="b">
        <v>0</v>
      </c>
    </row>
    <row r="4266">
      <c r="A4266" s="8" t="s">
        <v>3259</v>
      </c>
      <c r="B4266" s="8" t="s">
        <v>3259</v>
      </c>
      <c r="C4266" s="13">
        <v>46112.36938657407</v>
      </c>
      <c r="D4266" s="2" t="s">
        <v>1889</v>
      </c>
      <c r="E4266" s="2" t="s">
        <v>1890</v>
      </c>
      <c r="F4266" s="14" t="s">
        <v>3486</v>
      </c>
      <c r="G4266" s="14" t="s">
        <v>3487</v>
      </c>
      <c r="H4266" s="2" t="s">
        <v>159</v>
      </c>
      <c r="I4266" s="2" t="s">
        <v>3619</v>
      </c>
      <c r="J4266" s="2">
        <v>1.0</v>
      </c>
      <c r="K4266" s="23" t="s">
        <v>6288</v>
      </c>
      <c r="L4266" s="11">
        <v>0.0</v>
      </c>
      <c r="N4266" s="2"/>
      <c r="O4266" s="2" t="b">
        <v>0</v>
      </c>
    </row>
    <row r="4267">
      <c r="A4267" s="1"/>
      <c r="B4267" s="1"/>
      <c r="C4267" s="13"/>
      <c r="D4267" s="2"/>
      <c r="E4267" s="2"/>
      <c r="F4267" s="14"/>
      <c r="G4267" s="14"/>
      <c r="H4267" s="2"/>
      <c r="I4267" s="2"/>
      <c r="J4267" s="2"/>
      <c r="K4267" s="12"/>
      <c r="L4267" s="11"/>
      <c r="N4267" s="2"/>
      <c r="O4267" s="2"/>
    </row>
    <row r="4268">
      <c r="A4268" s="8" t="s">
        <v>3260</v>
      </c>
      <c r="B4268" s="8" t="s">
        <v>3260</v>
      </c>
      <c r="C4268" s="13">
        <v>46112.37233796297</v>
      </c>
      <c r="D4268" s="2" t="s">
        <v>1889</v>
      </c>
      <c r="E4268" s="2" t="s">
        <v>1890</v>
      </c>
      <c r="F4268" s="14" t="s">
        <v>3486</v>
      </c>
      <c r="G4268" s="14" t="s">
        <v>3487</v>
      </c>
      <c r="H4268" s="2" t="s">
        <v>159</v>
      </c>
      <c r="I4268" s="2" t="s">
        <v>3619</v>
      </c>
      <c r="J4268" s="2">
        <v>1.0</v>
      </c>
      <c r="K4268" s="23" t="s">
        <v>6388</v>
      </c>
      <c r="L4268" s="11">
        <v>0.0</v>
      </c>
      <c r="N4268" s="2" t="s">
        <v>6389</v>
      </c>
      <c r="O4268" s="2" t="b">
        <v>0</v>
      </c>
    </row>
    <row r="4269">
      <c r="A4269" s="8" t="s">
        <v>3261</v>
      </c>
      <c r="B4269" s="8" t="s">
        <v>3261</v>
      </c>
      <c r="C4269" s="13">
        <v>46112.37297453704</v>
      </c>
      <c r="D4269" s="2" t="s">
        <v>1756</v>
      </c>
      <c r="E4269" s="2" t="s">
        <v>1757</v>
      </c>
      <c r="F4269" s="14" t="s">
        <v>3486</v>
      </c>
      <c r="G4269" s="14" t="s">
        <v>3487</v>
      </c>
      <c r="H4269" s="2" t="s">
        <v>16</v>
      </c>
      <c r="I4269" s="2" t="s">
        <v>3488</v>
      </c>
      <c r="J4269" s="2">
        <v>2.0</v>
      </c>
      <c r="K4269" s="23" t="s">
        <v>6526</v>
      </c>
      <c r="L4269" s="11">
        <v>65000.0</v>
      </c>
      <c r="N4269" s="2"/>
      <c r="O4269" s="2" t="b">
        <v>0</v>
      </c>
    </row>
    <row r="4270">
      <c r="A4270" s="8" t="s">
        <v>3262</v>
      </c>
      <c r="B4270" s="8" t="s">
        <v>3262</v>
      </c>
      <c r="C4270" s="13">
        <v>46112.37771990741</v>
      </c>
      <c r="D4270" s="2" t="s">
        <v>1084</v>
      </c>
      <c r="E4270" s="2" t="s">
        <v>1085</v>
      </c>
      <c r="F4270" s="14" t="s">
        <v>3486</v>
      </c>
      <c r="G4270" s="14" t="s">
        <v>3487</v>
      </c>
      <c r="H4270" s="2" t="s">
        <v>159</v>
      </c>
      <c r="I4270" s="2" t="s">
        <v>3619</v>
      </c>
      <c r="J4270" s="2">
        <v>1.0</v>
      </c>
      <c r="K4270" s="23" t="s">
        <v>6527</v>
      </c>
      <c r="L4270" s="11">
        <v>0.0</v>
      </c>
      <c r="N4270" s="2"/>
      <c r="O4270" s="2" t="b">
        <v>0</v>
      </c>
    </row>
    <row r="4271">
      <c r="A4271" s="8" t="s">
        <v>3263</v>
      </c>
      <c r="B4271" s="8" t="s">
        <v>3263</v>
      </c>
      <c r="C4271" s="13">
        <v>46112.38122685185</v>
      </c>
      <c r="D4271" s="2" t="s">
        <v>1993</v>
      </c>
      <c r="E4271" s="2" t="s">
        <v>1994</v>
      </c>
      <c r="F4271" s="14" t="s">
        <v>3486</v>
      </c>
      <c r="G4271" s="14" t="s">
        <v>3487</v>
      </c>
      <c r="H4271" s="2" t="s">
        <v>16</v>
      </c>
      <c r="I4271" s="2" t="s">
        <v>3488</v>
      </c>
      <c r="J4271" s="2">
        <v>4.0</v>
      </c>
      <c r="K4271" s="23" t="s">
        <v>6528</v>
      </c>
      <c r="L4271" s="11">
        <v>65000.0</v>
      </c>
      <c r="N4271" s="2"/>
      <c r="O4271" s="2" t="b">
        <v>0</v>
      </c>
    </row>
    <row r="4272">
      <c r="A4272" s="8" t="s">
        <v>3263</v>
      </c>
      <c r="B4272" s="8" t="s">
        <v>3263</v>
      </c>
      <c r="C4272" s="13">
        <v>46112.38122685185</v>
      </c>
      <c r="D4272" s="2" t="s">
        <v>1993</v>
      </c>
      <c r="E4272" s="2" t="s">
        <v>1994</v>
      </c>
      <c r="F4272" s="14" t="s">
        <v>4203</v>
      </c>
      <c r="G4272" s="14" t="s">
        <v>4204</v>
      </c>
      <c r="H4272" s="2" t="s">
        <v>16</v>
      </c>
      <c r="I4272" s="2" t="s">
        <v>3488</v>
      </c>
      <c r="J4272" s="2">
        <v>6.0</v>
      </c>
      <c r="K4272" s="23" t="s">
        <v>6529</v>
      </c>
      <c r="L4272" s="11">
        <v>65000.0</v>
      </c>
      <c r="N4272" s="2"/>
      <c r="O4272" s="2" t="b">
        <v>0</v>
      </c>
    </row>
    <row r="4273">
      <c r="A4273" s="8" t="s">
        <v>3264</v>
      </c>
      <c r="B4273" s="8" t="s">
        <v>3264</v>
      </c>
      <c r="C4273" s="13">
        <v>46112.56579861111</v>
      </c>
      <c r="D4273" s="2" t="s">
        <v>1993</v>
      </c>
      <c r="E4273" s="2" t="s">
        <v>1994</v>
      </c>
      <c r="F4273" s="14" t="s">
        <v>3486</v>
      </c>
      <c r="G4273" s="14" t="s">
        <v>3487</v>
      </c>
      <c r="H4273" s="2" t="s">
        <v>24</v>
      </c>
      <c r="I4273" s="2" t="s">
        <v>3491</v>
      </c>
      <c r="J4273" s="2">
        <v>9.0</v>
      </c>
      <c r="K4273" s="23" t="s">
        <v>6530</v>
      </c>
      <c r="L4273" s="11">
        <v>0.0</v>
      </c>
      <c r="N4273" s="2"/>
      <c r="O4273" s="2" t="b">
        <v>0</v>
      </c>
    </row>
    <row r="4274">
      <c r="A4274" s="8" t="s">
        <v>3265</v>
      </c>
      <c r="B4274" s="8" t="s">
        <v>3265</v>
      </c>
      <c r="C4274" s="13">
        <v>46112.567881944444</v>
      </c>
      <c r="D4274" s="2" t="s">
        <v>2728</v>
      </c>
      <c r="E4274" s="2" t="s">
        <v>2729</v>
      </c>
      <c r="F4274" s="14" t="s">
        <v>3506</v>
      </c>
      <c r="G4274" s="14" t="s">
        <v>3507</v>
      </c>
      <c r="H4274" s="2" t="s">
        <v>16</v>
      </c>
      <c r="I4274" s="2" t="s">
        <v>3488</v>
      </c>
      <c r="J4274" s="2">
        <v>1.0</v>
      </c>
      <c r="K4274" s="12"/>
      <c r="L4274" s="11">
        <v>80000.0</v>
      </c>
      <c r="N4274" s="2"/>
      <c r="O4274" s="2" t="b">
        <v>0</v>
      </c>
    </row>
    <row r="4275">
      <c r="A4275" s="8" t="s">
        <v>3265</v>
      </c>
      <c r="B4275" s="8" t="s">
        <v>3265</v>
      </c>
      <c r="C4275" s="13">
        <v>46112.567881944444</v>
      </c>
      <c r="D4275" s="2" t="s">
        <v>2728</v>
      </c>
      <c r="E4275" s="2" t="s">
        <v>2729</v>
      </c>
      <c r="F4275" s="14" t="s">
        <v>5565</v>
      </c>
      <c r="G4275" s="14" t="s">
        <v>5566</v>
      </c>
      <c r="H4275" s="2" t="s">
        <v>16</v>
      </c>
      <c r="I4275" s="2" t="s">
        <v>3488</v>
      </c>
      <c r="J4275" s="2">
        <v>1.0</v>
      </c>
      <c r="K4275" s="12"/>
      <c r="L4275" s="11">
        <v>20000.0</v>
      </c>
      <c r="N4275" s="2"/>
      <c r="O4275" s="2" t="b">
        <v>0</v>
      </c>
    </row>
    <row r="4276">
      <c r="A4276" s="8" t="s">
        <v>3266</v>
      </c>
      <c r="B4276" s="8" t="s">
        <v>3266</v>
      </c>
      <c r="C4276" s="13">
        <v>46112.569710648146</v>
      </c>
      <c r="D4276" s="2" t="s">
        <v>2728</v>
      </c>
      <c r="E4276" s="2" t="s">
        <v>2729</v>
      </c>
      <c r="F4276" s="14" t="s">
        <v>3522</v>
      </c>
      <c r="G4276" s="14" t="s">
        <v>3523</v>
      </c>
      <c r="H4276" s="2" t="s">
        <v>16</v>
      </c>
      <c r="I4276" s="2" t="s">
        <v>3488</v>
      </c>
      <c r="J4276" s="2">
        <v>1.0</v>
      </c>
      <c r="K4276" s="23" t="s">
        <v>4026</v>
      </c>
      <c r="L4276" s="11">
        <v>225000.0</v>
      </c>
      <c r="N4276" s="2"/>
      <c r="O4276" s="2" t="b">
        <v>0</v>
      </c>
    </row>
    <row r="4277">
      <c r="A4277" s="8" t="s">
        <v>3264</v>
      </c>
      <c r="B4277" s="8" t="s">
        <v>3264</v>
      </c>
      <c r="C4277" s="13">
        <v>46112.56579861111</v>
      </c>
      <c r="D4277" s="2" t="s">
        <v>1993</v>
      </c>
      <c r="E4277" s="2" t="s">
        <v>1994</v>
      </c>
      <c r="F4277" s="14" t="s">
        <v>3486</v>
      </c>
      <c r="G4277" s="14" t="s">
        <v>3487</v>
      </c>
      <c r="H4277" s="2" t="s">
        <v>24</v>
      </c>
      <c r="I4277" s="2" t="s">
        <v>3491</v>
      </c>
      <c r="J4277" s="2">
        <v>1.0</v>
      </c>
      <c r="K4277" s="23" t="s">
        <v>5060</v>
      </c>
      <c r="L4277" s="11">
        <v>0.0</v>
      </c>
      <c r="N4277" s="2"/>
      <c r="O4277" s="2" t="b">
        <v>1</v>
      </c>
    </row>
    <row r="4278">
      <c r="A4278" s="8" t="s">
        <v>3264</v>
      </c>
      <c r="B4278" s="8" t="s">
        <v>3264</v>
      </c>
      <c r="C4278" s="13">
        <v>46112.56579861111</v>
      </c>
      <c r="D4278" s="2" t="s">
        <v>1993</v>
      </c>
      <c r="E4278" s="2" t="s">
        <v>1994</v>
      </c>
      <c r="F4278" s="14" t="s">
        <v>4203</v>
      </c>
      <c r="G4278" s="14" t="s">
        <v>4204</v>
      </c>
      <c r="H4278" s="2" t="s">
        <v>24</v>
      </c>
      <c r="I4278" s="2" t="s">
        <v>3491</v>
      </c>
      <c r="J4278" s="2">
        <v>4.0</v>
      </c>
      <c r="K4278" s="23" t="s">
        <v>6531</v>
      </c>
      <c r="L4278" s="11">
        <v>0.0</v>
      </c>
      <c r="N4278" s="2"/>
      <c r="O4278" s="2" t="b">
        <v>0</v>
      </c>
    </row>
    <row r="4279">
      <c r="A4279" s="8" t="s">
        <v>3267</v>
      </c>
      <c r="B4279" s="8" t="s">
        <v>3267</v>
      </c>
      <c r="C4279" s="13">
        <v>46112.57611111111</v>
      </c>
      <c r="D4279" s="2" t="s">
        <v>812</v>
      </c>
      <c r="E4279" s="2" t="s">
        <v>813</v>
      </c>
      <c r="F4279" s="14" t="s">
        <v>3506</v>
      </c>
      <c r="G4279" s="14" t="s">
        <v>3507</v>
      </c>
      <c r="H4279" s="2" t="s">
        <v>24</v>
      </c>
      <c r="I4279" s="2" t="s">
        <v>3491</v>
      </c>
      <c r="J4279" s="2">
        <v>23.0</v>
      </c>
      <c r="K4279" s="12"/>
      <c r="L4279" s="11">
        <v>0.0</v>
      </c>
      <c r="N4279" s="2"/>
      <c r="O4279" s="2" t="b">
        <v>0</v>
      </c>
    </row>
    <row r="4280">
      <c r="A4280" s="8" t="s">
        <v>3268</v>
      </c>
      <c r="B4280" s="8" t="s">
        <v>3268</v>
      </c>
      <c r="C4280" s="13">
        <v>46112.57649305555</v>
      </c>
      <c r="D4280" s="2" t="s">
        <v>2728</v>
      </c>
      <c r="E4280" s="2" t="s">
        <v>2729</v>
      </c>
      <c r="F4280" s="14" t="s">
        <v>3486</v>
      </c>
      <c r="G4280" s="14" t="s">
        <v>3487</v>
      </c>
      <c r="H4280" s="2" t="s">
        <v>24</v>
      </c>
      <c r="I4280" s="2" t="s">
        <v>3491</v>
      </c>
      <c r="J4280" s="2">
        <v>1.0</v>
      </c>
      <c r="K4280" s="23" t="s">
        <v>6170</v>
      </c>
      <c r="L4280" s="11">
        <v>0.0</v>
      </c>
      <c r="N4280" s="2"/>
      <c r="O4280" s="2" t="b">
        <v>0</v>
      </c>
    </row>
    <row r="4281">
      <c r="A4281" s="8" t="s">
        <v>3268</v>
      </c>
      <c r="B4281" s="8" t="s">
        <v>3268</v>
      </c>
      <c r="C4281" s="13">
        <v>46112.57649305555</v>
      </c>
      <c r="D4281" s="2" t="s">
        <v>2728</v>
      </c>
      <c r="E4281" s="2" t="s">
        <v>2729</v>
      </c>
      <c r="F4281" s="14" t="s">
        <v>3522</v>
      </c>
      <c r="G4281" s="14" t="s">
        <v>3523</v>
      </c>
      <c r="H4281" s="2" t="s">
        <v>24</v>
      </c>
      <c r="I4281" s="2" t="s">
        <v>3491</v>
      </c>
      <c r="J4281" s="2">
        <v>1.0</v>
      </c>
      <c r="K4281" s="23" t="s">
        <v>6138</v>
      </c>
      <c r="L4281" s="11">
        <v>0.0</v>
      </c>
      <c r="N4281" s="2"/>
      <c r="O4281" s="2" t="b">
        <v>0</v>
      </c>
    </row>
    <row r="4282">
      <c r="A4282" s="8" t="s">
        <v>3268</v>
      </c>
      <c r="B4282" s="8" t="s">
        <v>3268</v>
      </c>
      <c r="C4282" s="13">
        <v>46112.57649305555</v>
      </c>
      <c r="D4282" s="2" t="s">
        <v>2728</v>
      </c>
      <c r="E4282" s="2" t="s">
        <v>2729</v>
      </c>
      <c r="F4282" s="14" t="s">
        <v>3486</v>
      </c>
      <c r="G4282" s="14" t="s">
        <v>3487</v>
      </c>
      <c r="H4282" s="2" t="s">
        <v>24</v>
      </c>
      <c r="I4282" s="2" t="s">
        <v>3491</v>
      </c>
      <c r="J4282" s="2">
        <v>1.0</v>
      </c>
      <c r="K4282" s="23" t="s">
        <v>6192</v>
      </c>
      <c r="L4282" s="11">
        <v>0.0</v>
      </c>
      <c r="N4282" s="2"/>
      <c r="O4282" s="2" t="b">
        <v>1</v>
      </c>
    </row>
    <row r="4283">
      <c r="A4283" s="8" t="s">
        <v>3269</v>
      </c>
      <c r="B4283" s="8" t="s">
        <v>3269</v>
      </c>
      <c r="C4283" s="13">
        <v>46112.5783912037</v>
      </c>
      <c r="D4283" s="2" t="s">
        <v>812</v>
      </c>
      <c r="E4283" s="2" t="s">
        <v>813</v>
      </c>
      <c r="F4283" s="14" t="s">
        <v>3506</v>
      </c>
      <c r="G4283" s="14" t="s">
        <v>3507</v>
      </c>
      <c r="H4283" s="2" t="s">
        <v>16</v>
      </c>
      <c r="I4283" s="2" t="s">
        <v>3488</v>
      </c>
      <c r="J4283" s="2">
        <v>23.0</v>
      </c>
      <c r="K4283" s="12"/>
      <c r="L4283" s="11">
        <v>50000.0</v>
      </c>
      <c r="N4283" s="2"/>
      <c r="O4283" s="2" t="b">
        <v>0</v>
      </c>
    </row>
    <row r="4284">
      <c r="A4284" s="8" t="s">
        <v>3270</v>
      </c>
      <c r="B4284" s="8" t="s">
        <v>3270</v>
      </c>
      <c r="C4284" s="13">
        <v>46112.57881944445</v>
      </c>
      <c r="D4284" s="2" t="s">
        <v>309</v>
      </c>
      <c r="E4284" s="2" t="s">
        <v>310</v>
      </c>
      <c r="F4284" s="14" t="s">
        <v>3506</v>
      </c>
      <c r="G4284" s="14" t="s">
        <v>3507</v>
      </c>
      <c r="H4284" s="2" t="s">
        <v>16</v>
      </c>
      <c r="I4284" s="2" t="s">
        <v>3488</v>
      </c>
      <c r="J4284" s="2">
        <v>15.0</v>
      </c>
      <c r="K4284" s="12"/>
      <c r="L4284" s="11">
        <v>55000.0</v>
      </c>
      <c r="N4284" s="2"/>
      <c r="O4284" s="2" t="b">
        <v>0</v>
      </c>
    </row>
    <row r="4285">
      <c r="A4285" s="8" t="s">
        <v>3270</v>
      </c>
      <c r="B4285" s="8" t="s">
        <v>3270</v>
      </c>
      <c r="C4285" s="13">
        <v>46112.57881944445</v>
      </c>
      <c r="D4285" s="2" t="s">
        <v>309</v>
      </c>
      <c r="E4285" s="2" t="s">
        <v>310</v>
      </c>
      <c r="F4285" s="14" t="s">
        <v>4045</v>
      </c>
      <c r="G4285" s="14" t="s">
        <v>4046</v>
      </c>
      <c r="H4285" s="2" t="s">
        <v>16</v>
      </c>
      <c r="I4285" s="2" t="s">
        <v>3488</v>
      </c>
      <c r="J4285" s="2">
        <v>1.0</v>
      </c>
      <c r="K4285" s="12"/>
      <c r="L4285" s="11">
        <v>160000.0</v>
      </c>
      <c r="N4285" s="2"/>
      <c r="O4285" s="2" t="b">
        <v>0</v>
      </c>
    </row>
    <row r="4286">
      <c r="A4286" s="8" t="s">
        <v>3270</v>
      </c>
      <c r="B4286" s="8" t="s">
        <v>3270</v>
      </c>
      <c r="C4286" s="13">
        <v>46112.57881944445</v>
      </c>
      <c r="D4286" s="2" t="s">
        <v>309</v>
      </c>
      <c r="E4286" s="2" t="s">
        <v>310</v>
      </c>
      <c r="F4286" s="14" t="s">
        <v>3493</v>
      </c>
      <c r="G4286" s="14" t="s">
        <v>3494</v>
      </c>
      <c r="H4286" s="2" t="s">
        <v>16</v>
      </c>
      <c r="I4286" s="2" t="s">
        <v>3488</v>
      </c>
      <c r="J4286" s="2">
        <v>3.0</v>
      </c>
      <c r="K4286" s="12"/>
      <c r="L4286" s="11">
        <v>210000.0</v>
      </c>
      <c r="N4286" s="2"/>
      <c r="O4286" s="2" t="b">
        <v>0</v>
      </c>
    </row>
    <row r="4287">
      <c r="A4287" s="8" t="s">
        <v>3271</v>
      </c>
      <c r="B4287" s="8" t="s">
        <v>3271</v>
      </c>
      <c r="C4287" s="13">
        <v>46112.58336805556</v>
      </c>
      <c r="D4287" s="2" t="s">
        <v>1745</v>
      </c>
      <c r="E4287" s="2" t="s">
        <v>1746</v>
      </c>
      <c r="F4287" s="14" t="s">
        <v>4203</v>
      </c>
      <c r="G4287" s="14" t="s">
        <v>4204</v>
      </c>
      <c r="H4287" s="2" t="s">
        <v>16</v>
      </c>
      <c r="I4287" s="2" t="s">
        <v>3488</v>
      </c>
      <c r="J4287" s="2">
        <v>2.0</v>
      </c>
      <c r="K4287" s="23" t="s">
        <v>6532</v>
      </c>
      <c r="L4287" s="11">
        <v>65000.0</v>
      </c>
      <c r="N4287" s="2"/>
      <c r="O4287" s="2" t="b">
        <v>0</v>
      </c>
    </row>
    <row r="4288">
      <c r="A4288" s="8" t="s">
        <v>3271</v>
      </c>
      <c r="B4288" s="8" t="s">
        <v>3271</v>
      </c>
      <c r="C4288" s="13">
        <v>46112.58336805556</v>
      </c>
      <c r="D4288" s="2" t="s">
        <v>1745</v>
      </c>
      <c r="E4288" s="2" t="s">
        <v>1746</v>
      </c>
      <c r="F4288" s="14" t="s">
        <v>3493</v>
      </c>
      <c r="G4288" s="14" t="s">
        <v>3494</v>
      </c>
      <c r="H4288" s="2" t="s">
        <v>16</v>
      </c>
      <c r="I4288" s="2" t="s">
        <v>3488</v>
      </c>
      <c r="J4288" s="2">
        <v>1.0</v>
      </c>
      <c r="K4288" s="12"/>
      <c r="L4288" s="11">
        <v>215000.0</v>
      </c>
      <c r="N4288" s="2"/>
      <c r="O4288" s="2" t="b">
        <v>0</v>
      </c>
    </row>
    <row r="4289">
      <c r="A4289" s="8" t="s">
        <v>3272</v>
      </c>
      <c r="B4289" s="8" t="s">
        <v>3272</v>
      </c>
      <c r="C4289" s="13">
        <v>46113.36069444445</v>
      </c>
      <c r="D4289" s="2" t="s">
        <v>1745</v>
      </c>
      <c r="E4289" s="2" t="s">
        <v>1746</v>
      </c>
      <c r="F4289" s="14" t="s">
        <v>3493</v>
      </c>
      <c r="G4289" s="14" t="s">
        <v>3494</v>
      </c>
      <c r="H4289" s="2" t="s">
        <v>24</v>
      </c>
      <c r="I4289" s="2" t="s">
        <v>3491</v>
      </c>
      <c r="J4289" s="2">
        <v>1.0</v>
      </c>
      <c r="K4289" s="12"/>
      <c r="L4289" s="11">
        <v>0.0</v>
      </c>
      <c r="N4289" s="2"/>
      <c r="O4289" s="2" t="b">
        <v>0</v>
      </c>
    </row>
    <row r="4290">
      <c r="A4290" s="8" t="s">
        <v>3273</v>
      </c>
      <c r="B4290" s="8" t="s">
        <v>3273</v>
      </c>
      <c r="C4290" s="13">
        <v>46113.36104166666</v>
      </c>
      <c r="D4290" s="2" t="s">
        <v>1084</v>
      </c>
      <c r="E4290" s="2" t="s">
        <v>1085</v>
      </c>
      <c r="F4290" s="14" t="s">
        <v>3486</v>
      </c>
      <c r="G4290" s="14" t="s">
        <v>3487</v>
      </c>
      <c r="H4290" s="2" t="s">
        <v>24</v>
      </c>
      <c r="I4290" s="2" t="s">
        <v>3491</v>
      </c>
      <c r="J4290" s="2">
        <v>2.0</v>
      </c>
      <c r="K4290" s="23" t="s">
        <v>6533</v>
      </c>
      <c r="L4290" s="11">
        <v>0.0</v>
      </c>
      <c r="N4290" s="2"/>
      <c r="O4290" s="2" t="b">
        <v>0</v>
      </c>
    </row>
    <row r="4291">
      <c r="A4291" s="8" t="s">
        <v>3273</v>
      </c>
      <c r="B4291" s="8" t="s">
        <v>3273</v>
      </c>
      <c r="C4291" s="13">
        <v>46113.36104166666</v>
      </c>
      <c r="D4291" s="2" t="s">
        <v>1084</v>
      </c>
      <c r="E4291" s="2" t="s">
        <v>1085</v>
      </c>
      <c r="F4291" s="14" t="s">
        <v>4203</v>
      </c>
      <c r="G4291" s="14" t="s">
        <v>4204</v>
      </c>
      <c r="H4291" s="2" t="s">
        <v>24</v>
      </c>
      <c r="I4291" s="2" t="s">
        <v>3491</v>
      </c>
      <c r="J4291" s="2">
        <v>1.0</v>
      </c>
      <c r="K4291" s="23" t="s">
        <v>6079</v>
      </c>
      <c r="L4291" s="11">
        <v>0.0</v>
      </c>
      <c r="N4291" s="2"/>
      <c r="O4291" s="2" t="b">
        <v>0</v>
      </c>
    </row>
    <row r="4292">
      <c r="A4292" s="8" t="s">
        <v>3274</v>
      </c>
      <c r="B4292" s="8" t="s">
        <v>3274</v>
      </c>
      <c r="C4292" s="13">
        <v>46113.36163194444</v>
      </c>
      <c r="D4292" s="2" t="s">
        <v>1904</v>
      </c>
      <c r="E4292" s="2" t="s">
        <v>1905</v>
      </c>
      <c r="F4292" s="14" t="s">
        <v>3486</v>
      </c>
      <c r="G4292" s="14" t="s">
        <v>3487</v>
      </c>
      <c r="H4292" s="2" t="s">
        <v>24</v>
      </c>
      <c r="I4292" s="2" t="s">
        <v>3491</v>
      </c>
      <c r="J4292" s="2">
        <v>1.0</v>
      </c>
      <c r="K4292" s="23" t="s">
        <v>6534</v>
      </c>
      <c r="L4292" s="11">
        <v>0.0</v>
      </c>
      <c r="N4292" s="2"/>
      <c r="O4292" s="2" t="b">
        <v>0</v>
      </c>
    </row>
    <row r="4293">
      <c r="A4293" s="8" t="s">
        <v>3274</v>
      </c>
      <c r="B4293" s="8" t="s">
        <v>3274</v>
      </c>
      <c r="C4293" s="13">
        <v>46113.36163194444</v>
      </c>
      <c r="D4293" s="2" t="s">
        <v>1904</v>
      </c>
      <c r="E4293" s="2" t="s">
        <v>1905</v>
      </c>
      <c r="F4293" s="14" t="s">
        <v>4203</v>
      </c>
      <c r="G4293" s="14" t="s">
        <v>4204</v>
      </c>
      <c r="H4293" s="2" t="s">
        <v>24</v>
      </c>
      <c r="I4293" s="2" t="s">
        <v>3491</v>
      </c>
      <c r="J4293" s="2">
        <v>4.0</v>
      </c>
      <c r="K4293" s="23" t="s">
        <v>6535</v>
      </c>
      <c r="L4293" s="11">
        <v>0.0</v>
      </c>
      <c r="N4293" s="2"/>
      <c r="O4293" s="2" t="b">
        <v>0</v>
      </c>
    </row>
    <row r="4294">
      <c r="A4294" s="8" t="s">
        <v>3275</v>
      </c>
      <c r="B4294" s="8" t="s">
        <v>3275</v>
      </c>
      <c r="C4294" s="13">
        <v>46113.363391203704</v>
      </c>
      <c r="D4294" s="2" t="s">
        <v>2913</v>
      </c>
      <c r="E4294" s="2" t="s">
        <v>2914</v>
      </c>
      <c r="F4294" s="14" t="s">
        <v>4203</v>
      </c>
      <c r="G4294" s="14" t="s">
        <v>4204</v>
      </c>
      <c r="H4294" s="2" t="s">
        <v>16</v>
      </c>
      <c r="I4294" s="2" t="s">
        <v>3488</v>
      </c>
      <c r="J4294" s="2">
        <v>7.0</v>
      </c>
      <c r="K4294" s="23" t="s">
        <v>6536</v>
      </c>
      <c r="L4294" s="11">
        <v>50000.0</v>
      </c>
      <c r="N4294" s="2"/>
      <c r="O4294" s="2" t="b">
        <v>0</v>
      </c>
    </row>
    <row r="4295">
      <c r="A4295" s="8" t="s">
        <v>3276</v>
      </c>
      <c r="B4295" s="8" t="s">
        <v>3276</v>
      </c>
      <c r="C4295" s="13">
        <v>46113.36502314815</v>
      </c>
      <c r="D4295" s="2" t="s">
        <v>786</v>
      </c>
      <c r="E4295" s="2" t="s">
        <v>787</v>
      </c>
      <c r="F4295" s="14" t="s">
        <v>3486</v>
      </c>
      <c r="G4295" s="14" t="s">
        <v>3487</v>
      </c>
      <c r="H4295" s="2" t="s">
        <v>24</v>
      </c>
      <c r="I4295" s="2" t="s">
        <v>3491</v>
      </c>
      <c r="J4295" s="2">
        <v>1.0</v>
      </c>
      <c r="K4295" s="23" t="s">
        <v>6537</v>
      </c>
      <c r="L4295" s="11">
        <v>0.0</v>
      </c>
      <c r="N4295" s="2"/>
      <c r="O4295" s="2" t="b">
        <v>0</v>
      </c>
    </row>
    <row r="4296">
      <c r="A4296" s="8" t="s">
        <v>3276</v>
      </c>
      <c r="B4296" s="8" t="s">
        <v>3276</v>
      </c>
      <c r="C4296" s="13">
        <v>46113.36502314815</v>
      </c>
      <c r="D4296" s="2" t="s">
        <v>786</v>
      </c>
      <c r="E4296" s="2" t="s">
        <v>787</v>
      </c>
      <c r="F4296" s="14" t="s">
        <v>3516</v>
      </c>
      <c r="G4296" s="14" t="s">
        <v>3517</v>
      </c>
      <c r="H4296" s="2" t="s">
        <v>24</v>
      </c>
      <c r="I4296" s="2" t="s">
        <v>3491</v>
      </c>
      <c r="J4296" s="2">
        <v>1.0</v>
      </c>
      <c r="K4296" s="23" t="s">
        <v>4272</v>
      </c>
      <c r="L4296" s="11">
        <v>0.0</v>
      </c>
      <c r="N4296" s="2"/>
      <c r="O4296" s="2" t="b">
        <v>0</v>
      </c>
    </row>
    <row r="4297">
      <c r="A4297" s="8" t="s">
        <v>3277</v>
      </c>
      <c r="B4297" s="8" t="s">
        <v>3277</v>
      </c>
      <c r="C4297" s="13">
        <v>46113.366319444445</v>
      </c>
      <c r="D4297" s="2" t="s">
        <v>2623</v>
      </c>
      <c r="E4297" s="2" t="s">
        <v>2624</v>
      </c>
      <c r="F4297" s="14" t="s">
        <v>3522</v>
      </c>
      <c r="G4297" s="14" t="s">
        <v>3523</v>
      </c>
      <c r="H4297" s="2" t="s">
        <v>24</v>
      </c>
      <c r="I4297" s="2" t="s">
        <v>3491</v>
      </c>
      <c r="J4297" s="2">
        <v>3.0</v>
      </c>
      <c r="K4297" s="23" t="s">
        <v>6538</v>
      </c>
      <c r="L4297" s="11">
        <v>0.0</v>
      </c>
      <c r="N4297" s="2"/>
      <c r="O4297" s="2" t="b">
        <v>0</v>
      </c>
    </row>
    <row r="4298">
      <c r="A4298" s="8" t="s">
        <v>3278</v>
      </c>
      <c r="B4298" s="8" t="s">
        <v>3278</v>
      </c>
      <c r="C4298" s="13">
        <v>46113.366643518515</v>
      </c>
      <c r="D4298" s="2" t="s">
        <v>2081</v>
      </c>
      <c r="E4298" s="2" t="s">
        <v>2082</v>
      </c>
      <c r="F4298" s="14" t="s">
        <v>3486</v>
      </c>
      <c r="G4298" s="14" t="s">
        <v>3487</v>
      </c>
      <c r="H4298" s="2" t="s">
        <v>24</v>
      </c>
      <c r="I4298" s="2" t="s">
        <v>3491</v>
      </c>
      <c r="J4298" s="2">
        <v>1.0</v>
      </c>
      <c r="K4298" s="23" t="s">
        <v>4747</v>
      </c>
      <c r="L4298" s="11">
        <v>0.0</v>
      </c>
      <c r="N4298" s="2"/>
      <c r="O4298" s="2" t="b">
        <v>0</v>
      </c>
    </row>
    <row r="4299">
      <c r="A4299" s="8" t="s">
        <v>3279</v>
      </c>
      <c r="B4299" s="8" t="s">
        <v>3279</v>
      </c>
      <c r="C4299" s="13">
        <v>46113.36697916667</v>
      </c>
      <c r="D4299" s="2" t="s">
        <v>1975</v>
      </c>
      <c r="E4299" s="2" t="s">
        <v>1976</v>
      </c>
      <c r="F4299" s="14" t="s">
        <v>3486</v>
      </c>
      <c r="G4299" s="14" t="s">
        <v>3487</v>
      </c>
      <c r="H4299" s="2" t="s">
        <v>24</v>
      </c>
      <c r="I4299" s="2" t="s">
        <v>3491</v>
      </c>
      <c r="J4299" s="2">
        <v>2.0</v>
      </c>
      <c r="K4299" s="23" t="s">
        <v>6539</v>
      </c>
      <c r="L4299" s="11">
        <v>0.0</v>
      </c>
      <c r="N4299" s="2"/>
      <c r="O4299" s="2" t="b">
        <v>0</v>
      </c>
    </row>
    <row r="4300">
      <c r="A4300" s="8" t="s">
        <v>3279</v>
      </c>
      <c r="B4300" s="8" t="s">
        <v>3279</v>
      </c>
      <c r="C4300" s="13">
        <v>46113.36697916667</v>
      </c>
      <c r="D4300" s="2" t="s">
        <v>1975</v>
      </c>
      <c r="E4300" s="2" t="s">
        <v>1976</v>
      </c>
      <c r="F4300" s="14" t="s">
        <v>4203</v>
      </c>
      <c r="G4300" s="14" t="s">
        <v>4204</v>
      </c>
      <c r="H4300" s="2" t="s">
        <v>24</v>
      </c>
      <c r="I4300" s="2" t="s">
        <v>3491</v>
      </c>
      <c r="J4300" s="2">
        <v>1.0</v>
      </c>
      <c r="K4300" s="23" t="s">
        <v>5965</v>
      </c>
      <c r="L4300" s="11">
        <v>0.0</v>
      </c>
      <c r="N4300" s="2"/>
      <c r="O4300" s="2" t="b">
        <v>0</v>
      </c>
    </row>
    <row r="4301">
      <c r="A4301" s="8" t="s">
        <v>3280</v>
      </c>
      <c r="B4301" s="8" t="s">
        <v>3280</v>
      </c>
      <c r="C4301" s="13">
        <v>46113.3674537037</v>
      </c>
      <c r="D4301" s="2" t="s">
        <v>1756</v>
      </c>
      <c r="E4301" s="2" t="s">
        <v>1757</v>
      </c>
      <c r="F4301" s="14" t="s">
        <v>3486</v>
      </c>
      <c r="G4301" s="14" t="s">
        <v>3487</v>
      </c>
      <c r="H4301" s="2" t="s">
        <v>24</v>
      </c>
      <c r="I4301" s="2" t="s">
        <v>3491</v>
      </c>
      <c r="J4301" s="2">
        <v>1.0</v>
      </c>
      <c r="K4301" s="23" t="s">
        <v>6540</v>
      </c>
      <c r="L4301" s="11">
        <v>0.0</v>
      </c>
      <c r="N4301" s="2"/>
      <c r="O4301" s="2" t="b">
        <v>0</v>
      </c>
    </row>
    <row r="4302">
      <c r="A4302" s="8" t="s">
        <v>3280</v>
      </c>
      <c r="B4302" s="8" t="s">
        <v>3280</v>
      </c>
      <c r="C4302" s="13">
        <v>46113.3674537037</v>
      </c>
      <c r="D4302" s="2" t="s">
        <v>1756</v>
      </c>
      <c r="E4302" s="2" t="s">
        <v>1757</v>
      </c>
      <c r="F4302" s="14" t="s">
        <v>3486</v>
      </c>
      <c r="G4302" s="14" t="s">
        <v>3487</v>
      </c>
      <c r="H4302" s="2" t="s">
        <v>24</v>
      </c>
      <c r="I4302" s="2" t="s">
        <v>3491</v>
      </c>
      <c r="J4302" s="2">
        <v>1.0</v>
      </c>
      <c r="K4302" s="23" t="s">
        <v>4059</v>
      </c>
      <c r="L4302" s="11">
        <v>0.0</v>
      </c>
      <c r="N4302" s="2"/>
      <c r="O4302" s="2" t="b">
        <v>1</v>
      </c>
    </row>
    <row r="4303">
      <c r="A4303" s="8" t="s">
        <v>3281</v>
      </c>
      <c r="B4303" s="8" t="s">
        <v>3281</v>
      </c>
      <c r="C4303" s="13">
        <v>46113.369780092595</v>
      </c>
      <c r="D4303" s="2" t="s">
        <v>2005</v>
      </c>
      <c r="E4303" s="2" t="s">
        <v>2006</v>
      </c>
      <c r="F4303" s="14" t="s">
        <v>3486</v>
      </c>
      <c r="G4303" s="14" t="s">
        <v>3487</v>
      </c>
      <c r="H4303" s="2" t="s">
        <v>16</v>
      </c>
      <c r="I4303" s="2" t="s">
        <v>3488</v>
      </c>
      <c r="J4303" s="2">
        <v>10.0</v>
      </c>
      <c r="K4303" s="23" t="s">
        <v>6541</v>
      </c>
      <c r="L4303" s="11">
        <v>60000.0</v>
      </c>
      <c r="N4303" s="2"/>
      <c r="O4303" s="2" t="b">
        <v>0</v>
      </c>
    </row>
    <row r="4304">
      <c r="A4304" s="8" t="s">
        <v>3282</v>
      </c>
      <c r="B4304" s="8" t="s">
        <v>3282</v>
      </c>
      <c r="C4304" s="13">
        <v>46113.44144675926</v>
      </c>
      <c r="D4304" s="2" t="s">
        <v>2081</v>
      </c>
      <c r="E4304" s="2" t="s">
        <v>2082</v>
      </c>
      <c r="F4304" s="14" t="s">
        <v>3486</v>
      </c>
      <c r="G4304" s="14" t="s">
        <v>3487</v>
      </c>
      <c r="H4304" s="2" t="s">
        <v>16</v>
      </c>
      <c r="I4304" s="2" t="s">
        <v>3488</v>
      </c>
      <c r="J4304" s="2">
        <v>1.0</v>
      </c>
      <c r="K4304" s="23" t="s">
        <v>5870</v>
      </c>
      <c r="L4304" s="11">
        <v>60000.0</v>
      </c>
      <c r="N4304" s="2"/>
      <c r="O4304" s="2" t="b">
        <v>0</v>
      </c>
    </row>
    <row r="4305">
      <c r="A4305" s="8" t="s">
        <v>3282</v>
      </c>
      <c r="B4305" s="8" t="s">
        <v>3282</v>
      </c>
      <c r="C4305" s="13">
        <v>46113.44144675926</v>
      </c>
      <c r="D4305" s="2" t="s">
        <v>2081</v>
      </c>
      <c r="E4305" s="2" t="s">
        <v>2082</v>
      </c>
      <c r="F4305" s="14" t="s">
        <v>3493</v>
      </c>
      <c r="G4305" s="14" t="s">
        <v>3494</v>
      </c>
      <c r="H4305" s="2" t="s">
        <v>16</v>
      </c>
      <c r="I4305" s="2" t="s">
        <v>3488</v>
      </c>
      <c r="J4305" s="2">
        <v>1.0</v>
      </c>
      <c r="K4305" s="12"/>
      <c r="L4305" s="11">
        <v>210000.0</v>
      </c>
      <c r="N4305" s="2"/>
      <c r="O4305" s="2" t="b">
        <v>0</v>
      </c>
    </row>
    <row r="4306">
      <c r="A4306" s="8" t="s">
        <v>3283</v>
      </c>
      <c r="B4306" s="8" t="s">
        <v>3283</v>
      </c>
      <c r="C4306" s="13">
        <v>46113.44327546296</v>
      </c>
      <c r="D4306" s="2" t="s">
        <v>2543</v>
      </c>
      <c r="E4306" s="2" t="s">
        <v>2544</v>
      </c>
      <c r="F4306" s="14" t="s">
        <v>3486</v>
      </c>
      <c r="G4306" s="14" t="s">
        <v>3487</v>
      </c>
      <c r="H4306" s="2" t="s">
        <v>24</v>
      </c>
      <c r="I4306" s="2" t="s">
        <v>3491</v>
      </c>
      <c r="J4306" s="2">
        <v>1.0</v>
      </c>
      <c r="K4306" s="23" t="s">
        <v>6542</v>
      </c>
      <c r="L4306" s="11">
        <v>0.0</v>
      </c>
      <c r="N4306" s="2"/>
      <c r="O4306" s="2" t="b">
        <v>0</v>
      </c>
    </row>
    <row r="4307">
      <c r="A4307" s="8" t="s">
        <v>3283</v>
      </c>
      <c r="B4307" s="8" t="s">
        <v>3283</v>
      </c>
      <c r="C4307" s="13">
        <v>46113.44327546296</v>
      </c>
      <c r="D4307" s="2" t="s">
        <v>2543</v>
      </c>
      <c r="E4307" s="2" t="s">
        <v>2544</v>
      </c>
      <c r="F4307" s="14" t="s">
        <v>3516</v>
      </c>
      <c r="G4307" s="14" t="s">
        <v>3517</v>
      </c>
      <c r="H4307" s="2" t="s">
        <v>24</v>
      </c>
      <c r="I4307" s="2" t="s">
        <v>3491</v>
      </c>
      <c r="J4307" s="2">
        <v>2.0</v>
      </c>
      <c r="K4307" s="23" t="s">
        <v>6543</v>
      </c>
      <c r="L4307" s="11">
        <v>0.0</v>
      </c>
      <c r="N4307" s="2"/>
      <c r="O4307" s="2" t="b">
        <v>0</v>
      </c>
    </row>
    <row r="4308">
      <c r="A4308" s="8" t="s">
        <v>3283</v>
      </c>
      <c r="B4308" s="8" t="s">
        <v>3283</v>
      </c>
      <c r="C4308" s="13">
        <v>46113.44327546296</v>
      </c>
      <c r="D4308" s="2" t="s">
        <v>2543</v>
      </c>
      <c r="E4308" s="2" t="s">
        <v>2544</v>
      </c>
      <c r="F4308" s="14" t="s">
        <v>3585</v>
      </c>
      <c r="G4308" s="14" t="s">
        <v>3586</v>
      </c>
      <c r="H4308" s="2" t="s">
        <v>24</v>
      </c>
      <c r="I4308" s="2" t="s">
        <v>3491</v>
      </c>
      <c r="J4308" s="2">
        <v>1.0</v>
      </c>
      <c r="K4308" s="23" t="s">
        <v>6263</v>
      </c>
      <c r="L4308" s="11">
        <v>0.0</v>
      </c>
      <c r="N4308" s="2"/>
      <c r="O4308" s="2" t="b">
        <v>0</v>
      </c>
    </row>
    <row r="4309">
      <c r="A4309" s="8" t="s">
        <v>3284</v>
      </c>
      <c r="B4309" s="8" t="s">
        <v>3284</v>
      </c>
      <c r="C4309" s="13">
        <v>46113.44699074074</v>
      </c>
      <c r="D4309" s="2" t="s">
        <v>45</v>
      </c>
      <c r="E4309" s="2" t="s">
        <v>46</v>
      </c>
      <c r="F4309" s="14" t="s">
        <v>3522</v>
      </c>
      <c r="G4309" s="14" t="s">
        <v>3523</v>
      </c>
      <c r="H4309" s="2" t="s">
        <v>16</v>
      </c>
      <c r="I4309" s="2" t="s">
        <v>3488</v>
      </c>
      <c r="J4309" s="2">
        <v>10.0</v>
      </c>
      <c r="K4309" s="23" t="s">
        <v>6544</v>
      </c>
      <c r="L4309" s="11">
        <v>200000.0</v>
      </c>
      <c r="N4309" s="2"/>
      <c r="O4309" s="2" t="b">
        <v>0</v>
      </c>
    </row>
    <row r="4310">
      <c r="A4310" s="8" t="s">
        <v>3285</v>
      </c>
      <c r="B4310" s="8" t="s">
        <v>3285</v>
      </c>
      <c r="C4310" s="13">
        <v>46113.46842592592</v>
      </c>
      <c r="D4310" s="2" t="s">
        <v>2913</v>
      </c>
      <c r="E4310" s="2" t="s">
        <v>2914</v>
      </c>
      <c r="F4310" s="14" t="s">
        <v>3486</v>
      </c>
      <c r="G4310" s="14" t="s">
        <v>3487</v>
      </c>
      <c r="H4310" s="2" t="s">
        <v>24</v>
      </c>
      <c r="I4310" s="2" t="s">
        <v>3491</v>
      </c>
      <c r="J4310" s="2">
        <v>5.0</v>
      </c>
      <c r="K4310" s="23" t="s">
        <v>6545</v>
      </c>
      <c r="L4310" s="11">
        <v>0.0</v>
      </c>
      <c r="N4310" s="2"/>
      <c r="O4310" s="2" t="b">
        <v>0</v>
      </c>
    </row>
    <row r="4311">
      <c r="A4311" s="8" t="s">
        <v>3285</v>
      </c>
      <c r="B4311" s="8" t="s">
        <v>3285</v>
      </c>
      <c r="C4311" s="13">
        <v>46113.46842592592</v>
      </c>
      <c r="D4311" s="2" t="s">
        <v>2913</v>
      </c>
      <c r="E4311" s="2" t="s">
        <v>2914</v>
      </c>
      <c r="F4311" s="14" t="s">
        <v>4203</v>
      </c>
      <c r="G4311" s="14" t="s">
        <v>4204</v>
      </c>
      <c r="H4311" s="2" t="s">
        <v>24</v>
      </c>
      <c r="I4311" s="2" t="s">
        <v>3491</v>
      </c>
      <c r="J4311" s="2">
        <v>1.0</v>
      </c>
      <c r="K4311" s="23" t="s">
        <v>6449</v>
      </c>
      <c r="L4311" s="11">
        <v>0.0</v>
      </c>
      <c r="N4311" s="2"/>
      <c r="O4311" s="2" t="b">
        <v>0</v>
      </c>
    </row>
    <row r="4312">
      <c r="A4312" s="8" t="s">
        <v>3285</v>
      </c>
      <c r="B4312" s="8" t="s">
        <v>3285</v>
      </c>
      <c r="C4312" s="13">
        <v>46113.46842592592</v>
      </c>
      <c r="D4312" s="2" t="s">
        <v>2913</v>
      </c>
      <c r="E4312" s="2" t="s">
        <v>2914</v>
      </c>
      <c r="F4312" s="14" t="s">
        <v>3486</v>
      </c>
      <c r="G4312" s="14" t="s">
        <v>3487</v>
      </c>
      <c r="H4312" s="2" t="s">
        <v>24</v>
      </c>
      <c r="I4312" s="2" t="s">
        <v>3491</v>
      </c>
      <c r="J4312" s="2">
        <v>1.0</v>
      </c>
      <c r="K4312" s="23" t="s">
        <v>5069</v>
      </c>
      <c r="L4312" s="11">
        <v>0.0</v>
      </c>
      <c r="N4312" s="2"/>
      <c r="O4312" s="2" t="b">
        <v>1</v>
      </c>
    </row>
    <row r="4313">
      <c r="A4313" s="8" t="s">
        <v>3286</v>
      </c>
      <c r="B4313" s="8" t="s">
        <v>3286</v>
      </c>
      <c r="C4313" s="13">
        <v>46113.597546296296</v>
      </c>
      <c r="D4313" s="2" t="s">
        <v>951</v>
      </c>
      <c r="E4313" s="2" t="s">
        <v>952</v>
      </c>
      <c r="F4313" s="14" t="s">
        <v>3486</v>
      </c>
      <c r="G4313" s="14" t="s">
        <v>3487</v>
      </c>
      <c r="H4313" s="2" t="s">
        <v>16</v>
      </c>
      <c r="I4313" s="2" t="s">
        <v>3488</v>
      </c>
      <c r="J4313" s="2">
        <v>5.0</v>
      </c>
      <c r="K4313" s="23" t="s">
        <v>6546</v>
      </c>
      <c r="L4313" s="11">
        <v>55000.0</v>
      </c>
      <c r="N4313" s="2"/>
      <c r="O4313" s="2" t="b">
        <v>0</v>
      </c>
    </row>
    <row r="4314">
      <c r="A4314" s="8" t="s">
        <v>3252</v>
      </c>
      <c r="B4314" s="8" t="s">
        <v>3252</v>
      </c>
      <c r="C4314" s="13">
        <v>46111.67664351852</v>
      </c>
      <c r="D4314" s="2" t="s">
        <v>786</v>
      </c>
      <c r="E4314" s="2" t="s">
        <v>787</v>
      </c>
      <c r="F4314" s="14" t="s">
        <v>3516</v>
      </c>
      <c r="G4314" s="14" t="s">
        <v>3517</v>
      </c>
      <c r="H4314" s="2" t="s">
        <v>24</v>
      </c>
      <c r="I4314" s="2" t="s">
        <v>3491</v>
      </c>
      <c r="J4314" s="2">
        <v>3.0</v>
      </c>
      <c r="K4314" s="23" t="s">
        <v>6547</v>
      </c>
      <c r="L4314" s="11">
        <v>0.0</v>
      </c>
      <c r="N4314" s="2"/>
      <c r="O4314" s="2" t="b">
        <v>0</v>
      </c>
    </row>
    <row r="4315">
      <c r="A4315" s="8" t="s">
        <v>3286</v>
      </c>
      <c r="B4315" s="8" t="s">
        <v>3286</v>
      </c>
      <c r="C4315" s="13">
        <v>46113.597546296296</v>
      </c>
      <c r="D4315" s="2" t="s">
        <v>951</v>
      </c>
      <c r="E4315" s="2" t="s">
        <v>952</v>
      </c>
      <c r="F4315" s="14" t="s">
        <v>3516</v>
      </c>
      <c r="G4315" s="14" t="s">
        <v>3517</v>
      </c>
      <c r="H4315" s="2" t="s">
        <v>16</v>
      </c>
      <c r="I4315" s="2" t="s">
        <v>3488</v>
      </c>
      <c r="J4315" s="2">
        <v>1.0</v>
      </c>
      <c r="K4315" s="23" t="s">
        <v>5471</v>
      </c>
      <c r="L4315" s="11">
        <v>175000.0</v>
      </c>
      <c r="N4315" s="2"/>
      <c r="O4315" s="2" t="b">
        <v>0</v>
      </c>
    </row>
    <row r="4316">
      <c r="A4316" s="8" t="s">
        <v>3287</v>
      </c>
      <c r="B4316" s="8" t="s">
        <v>3287</v>
      </c>
      <c r="C4316" s="13">
        <v>46113.60078703704</v>
      </c>
      <c r="D4316" s="2" t="s">
        <v>3288</v>
      </c>
      <c r="E4316" s="2" t="s">
        <v>3289</v>
      </c>
      <c r="F4316" s="14" t="s">
        <v>3522</v>
      </c>
      <c r="G4316" s="14" t="s">
        <v>3523</v>
      </c>
      <c r="H4316" s="2" t="s">
        <v>16</v>
      </c>
      <c r="I4316" s="2" t="s">
        <v>3488</v>
      </c>
      <c r="J4316" s="2">
        <v>1.0</v>
      </c>
      <c r="K4316" s="23" t="s">
        <v>4634</v>
      </c>
      <c r="L4316" s="11">
        <v>250000.0</v>
      </c>
      <c r="N4316" s="2"/>
      <c r="O4316" s="2" t="b">
        <v>0</v>
      </c>
    </row>
    <row r="4317">
      <c r="A4317" s="8" t="s">
        <v>3291</v>
      </c>
      <c r="B4317" s="8" t="s">
        <v>3291</v>
      </c>
      <c r="C4317" s="13">
        <v>46113.60644675926</v>
      </c>
      <c r="D4317" s="2" t="s">
        <v>2081</v>
      </c>
      <c r="E4317" s="2" t="s">
        <v>2082</v>
      </c>
      <c r="F4317" s="14" t="s">
        <v>3493</v>
      </c>
      <c r="G4317" s="14" t="s">
        <v>3494</v>
      </c>
      <c r="H4317" s="2" t="s">
        <v>24</v>
      </c>
      <c r="I4317" s="2" t="s">
        <v>3491</v>
      </c>
      <c r="J4317" s="2">
        <v>1.0</v>
      </c>
      <c r="K4317" s="12" t="s">
        <v>5783</v>
      </c>
      <c r="L4317" s="11">
        <v>0.0</v>
      </c>
      <c r="N4317" s="2"/>
      <c r="O4317" s="2" t="b">
        <v>0</v>
      </c>
    </row>
    <row r="4318">
      <c r="A4318" s="8" t="s">
        <v>3291</v>
      </c>
      <c r="B4318" s="8" t="s">
        <v>3291</v>
      </c>
      <c r="C4318" s="13">
        <v>46113.60644675926</v>
      </c>
      <c r="D4318" s="2" t="s">
        <v>2081</v>
      </c>
      <c r="E4318" s="2" t="s">
        <v>2082</v>
      </c>
      <c r="F4318" s="14" t="s">
        <v>3506</v>
      </c>
      <c r="G4318" s="14" t="s">
        <v>3507</v>
      </c>
      <c r="H4318" s="2" t="s">
        <v>24</v>
      </c>
      <c r="I4318" s="2" t="s">
        <v>3491</v>
      </c>
      <c r="J4318" s="2">
        <v>1.0</v>
      </c>
      <c r="K4318" s="12"/>
      <c r="L4318" s="11">
        <v>0.0</v>
      </c>
      <c r="N4318" s="2"/>
      <c r="O4318" s="2" t="b">
        <v>0</v>
      </c>
    </row>
    <row r="4319">
      <c r="A4319" s="8" t="s">
        <v>3292</v>
      </c>
      <c r="B4319" s="8" t="s">
        <v>3292</v>
      </c>
      <c r="C4319" s="13">
        <v>46113.68041666667</v>
      </c>
      <c r="D4319" s="2" t="s">
        <v>951</v>
      </c>
      <c r="E4319" s="2" t="s">
        <v>952</v>
      </c>
      <c r="F4319" s="14" t="s">
        <v>3486</v>
      </c>
      <c r="G4319" s="14" t="s">
        <v>3487</v>
      </c>
      <c r="H4319" s="2" t="s">
        <v>24</v>
      </c>
      <c r="I4319" s="2" t="s">
        <v>3491</v>
      </c>
      <c r="J4319" s="2">
        <v>4.0</v>
      </c>
      <c r="K4319" s="23" t="s">
        <v>6548</v>
      </c>
      <c r="L4319" s="11">
        <v>0.0</v>
      </c>
      <c r="N4319" s="2"/>
      <c r="O4319" s="2" t="b">
        <v>0</v>
      </c>
    </row>
    <row r="4320">
      <c r="A4320" s="8" t="s">
        <v>3293</v>
      </c>
      <c r="B4320" s="8" t="s">
        <v>3293</v>
      </c>
      <c r="C4320" s="13">
        <v>46114.36078703704</v>
      </c>
      <c r="D4320" s="2" t="s">
        <v>464</v>
      </c>
      <c r="E4320" s="2" t="s">
        <v>465</v>
      </c>
      <c r="F4320" s="14" t="s">
        <v>3506</v>
      </c>
      <c r="G4320" s="14" t="s">
        <v>3507</v>
      </c>
      <c r="H4320" s="2" t="s">
        <v>16</v>
      </c>
      <c r="I4320" s="2" t="s">
        <v>3488</v>
      </c>
      <c r="J4320" s="2">
        <v>3.0</v>
      </c>
      <c r="K4320" s="12"/>
      <c r="L4320" s="11">
        <v>55000.0</v>
      </c>
      <c r="N4320" s="2"/>
      <c r="O4320" s="2" t="b">
        <v>0</v>
      </c>
    </row>
    <row r="4321">
      <c r="A4321" s="8" t="s">
        <v>3294</v>
      </c>
      <c r="B4321" s="8" t="s">
        <v>3294</v>
      </c>
      <c r="C4321" s="13">
        <v>46114.36107638889</v>
      </c>
      <c r="D4321" s="2" t="s">
        <v>786</v>
      </c>
      <c r="E4321" s="2" t="s">
        <v>787</v>
      </c>
      <c r="F4321" s="14" t="s">
        <v>3486</v>
      </c>
      <c r="G4321" s="14" t="s">
        <v>3487</v>
      </c>
      <c r="H4321" s="2" t="s">
        <v>16</v>
      </c>
      <c r="I4321" s="2" t="s">
        <v>3488</v>
      </c>
      <c r="J4321" s="2">
        <v>4.0</v>
      </c>
      <c r="K4321" s="23" t="s">
        <v>6549</v>
      </c>
      <c r="L4321" s="11">
        <v>60000.0</v>
      </c>
      <c r="N4321" s="2"/>
      <c r="O4321" s="2" t="b">
        <v>0</v>
      </c>
    </row>
    <row r="4322">
      <c r="A4322" s="8" t="s">
        <v>3294</v>
      </c>
      <c r="B4322" s="8" t="s">
        <v>3294</v>
      </c>
      <c r="C4322" s="13">
        <v>46114.36107638889</v>
      </c>
      <c r="D4322" s="2" t="s">
        <v>786</v>
      </c>
      <c r="E4322" s="2" t="s">
        <v>787</v>
      </c>
      <c r="F4322" s="14" t="s">
        <v>3516</v>
      </c>
      <c r="G4322" s="14" t="s">
        <v>3517</v>
      </c>
      <c r="H4322" s="2" t="s">
        <v>16</v>
      </c>
      <c r="I4322" s="2" t="s">
        <v>3488</v>
      </c>
      <c r="J4322" s="2">
        <v>1.0</v>
      </c>
      <c r="K4322" s="23" t="s">
        <v>4967</v>
      </c>
      <c r="L4322" s="11">
        <v>180000.0</v>
      </c>
      <c r="N4322" s="2"/>
      <c r="O4322" s="2" t="b">
        <v>0</v>
      </c>
    </row>
    <row r="4323">
      <c r="A4323" s="8" t="s">
        <v>3295</v>
      </c>
      <c r="B4323" s="8" t="s">
        <v>3295</v>
      </c>
      <c r="C4323" s="13">
        <v>46114.364212962966</v>
      </c>
      <c r="D4323" s="2" t="s">
        <v>1993</v>
      </c>
      <c r="E4323" s="2" t="s">
        <v>1994</v>
      </c>
      <c r="F4323" s="14" t="s">
        <v>3486</v>
      </c>
      <c r="G4323" s="14" t="s">
        <v>3487</v>
      </c>
      <c r="H4323" s="2" t="s">
        <v>16</v>
      </c>
      <c r="I4323" s="2" t="s">
        <v>3488</v>
      </c>
      <c r="J4323" s="2">
        <v>10.0</v>
      </c>
      <c r="K4323" s="23" t="s">
        <v>6550</v>
      </c>
      <c r="L4323" s="11">
        <v>65000.0</v>
      </c>
      <c r="N4323" s="2"/>
      <c r="O4323" s="2" t="b">
        <v>0</v>
      </c>
    </row>
    <row r="4324">
      <c r="A4324" s="8" t="s">
        <v>3296</v>
      </c>
      <c r="B4324" s="8" t="s">
        <v>3296</v>
      </c>
      <c r="C4324" s="13">
        <v>46114.36548611111</v>
      </c>
      <c r="D4324" s="2" t="s">
        <v>2774</v>
      </c>
      <c r="E4324" s="2" t="s">
        <v>2775</v>
      </c>
      <c r="F4324" s="14" t="s">
        <v>3486</v>
      </c>
      <c r="G4324" s="14" t="s">
        <v>3487</v>
      </c>
      <c r="H4324" s="2" t="s">
        <v>16</v>
      </c>
      <c r="I4324" s="2" t="s">
        <v>3488</v>
      </c>
      <c r="J4324" s="2">
        <v>4.0</v>
      </c>
      <c r="K4324" s="23" t="s">
        <v>6551</v>
      </c>
      <c r="L4324" s="11">
        <v>70000.0</v>
      </c>
      <c r="N4324" s="2"/>
      <c r="O4324" s="2" t="b">
        <v>0</v>
      </c>
    </row>
    <row r="4325">
      <c r="A4325" s="8" t="s">
        <v>3297</v>
      </c>
      <c r="B4325" s="8" t="s">
        <v>3297</v>
      </c>
      <c r="C4325" s="13">
        <v>46114.36640046296</v>
      </c>
      <c r="D4325" s="2" t="s">
        <v>3298</v>
      </c>
      <c r="E4325" s="2" t="s">
        <v>3299</v>
      </c>
      <c r="F4325" s="14" t="s">
        <v>3486</v>
      </c>
      <c r="G4325" s="14" t="s">
        <v>3487</v>
      </c>
      <c r="H4325" s="2" t="s">
        <v>16</v>
      </c>
      <c r="I4325" s="2" t="s">
        <v>3488</v>
      </c>
      <c r="J4325" s="2">
        <v>2.0</v>
      </c>
      <c r="K4325" s="23" t="s">
        <v>6552</v>
      </c>
      <c r="L4325" s="11">
        <v>65000.0</v>
      </c>
      <c r="N4325" s="2"/>
      <c r="O4325" s="2" t="b">
        <v>0</v>
      </c>
    </row>
    <row r="4326">
      <c r="A4326" s="8" t="s">
        <v>3301</v>
      </c>
      <c r="B4326" s="8" t="s">
        <v>3301</v>
      </c>
      <c r="C4326" s="13">
        <v>46114.59622685185</v>
      </c>
      <c r="D4326" s="2" t="s">
        <v>1993</v>
      </c>
      <c r="E4326" s="2" t="s">
        <v>1994</v>
      </c>
      <c r="F4326" s="14" t="s">
        <v>3486</v>
      </c>
      <c r="G4326" s="14" t="s">
        <v>3487</v>
      </c>
      <c r="H4326" s="2" t="s">
        <v>24</v>
      </c>
      <c r="I4326" s="2" t="s">
        <v>3491</v>
      </c>
      <c r="J4326" s="2">
        <v>3.0</v>
      </c>
      <c r="K4326" s="23" t="s">
        <v>6553</v>
      </c>
      <c r="L4326" s="11">
        <v>0.0</v>
      </c>
      <c r="N4326" s="2"/>
      <c r="O4326" s="2" t="b">
        <v>0</v>
      </c>
    </row>
    <row r="4327">
      <c r="A4327" s="8" t="s">
        <v>3301</v>
      </c>
      <c r="B4327" s="8" t="s">
        <v>3301</v>
      </c>
      <c r="C4327" s="13">
        <v>46114.59622685185</v>
      </c>
      <c r="D4327" s="2" t="s">
        <v>1993</v>
      </c>
      <c r="E4327" s="2" t="s">
        <v>1994</v>
      </c>
      <c r="F4327" s="14" t="s">
        <v>4203</v>
      </c>
      <c r="G4327" s="14" t="s">
        <v>4204</v>
      </c>
      <c r="H4327" s="2" t="s">
        <v>24</v>
      </c>
      <c r="I4327" s="2" t="s">
        <v>3491</v>
      </c>
      <c r="J4327" s="2">
        <v>2.0</v>
      </c>
      <c r="K4327" s="23" t="s">
        <v>6554</v>
      </c>
      <c r="L4327" s="11">
        <v>0.0</v>
      </c>
      <c r="N4327" s="2"/>
      <c r="O4327" s="2" t="b">
        <v>0</v>
      </c>
    </row>
    <row r="4328">
      <c r="A4328" s="8" t="s">
        <v>3301</v>
      </c>
      <c r="B4328" s="8" t="s">
        <v>3301</v>
      </c>
      <c r="C4328" s="13">
        <v>46114.59622685185</v>
      </c>
      <c r="D4328" s="2" t="s">
        <v>1993</v>
      </c>
      <c r="E4328" s="2" t="s">
        <v>1994</v>
      </c>
      <c r="F4328" s="14" t="s">
        <v>3516</v>
      </c>
      <c r="G4328" s="14" t="s">
        <v>3517</v>
      </c>
      <c r="H4328" s="2" t="s">
        <v>24</v>
      </c>
      <c r="I4328" s="2" t="s">
        <v>3491</v>
      </c>
      <c r="J4328" s="2">
        <v>1.0</v>
      </c>
      <c r="K4328" s="23" t="s">
        <v>6555</v>
      </c>
      <c r="L4328" s="11">
        <v>0.0</v>
      </c>
      <c r="N4328" s="2"/>
      <c r="O4328" s="2" t="b">
        <v>0</v>
      </c>
    </row>
    <row r="4329">
      <c r="A4329" s="8" t="s">
        <v>3302</v>
      </c>
      <c r="B4329" s="8" t="s">
        <v>3302</v>
      </c>
      <c r="C4329" s="13">
        <v>46114.59712962963</v>
      </c>
      <c r="D4329" s="2" t="s">
        <v>464</v>
      </c>
      <c r="E4329" s="2" t="s">
        <v>465</v>
      </c>
      <c r="F4329" s="14" t="s">
        <v>3506</v>
      </c>
      <c r="G4329" s="14" t="s">
        <v>3507</v>
      </c>
      <c r="H4329" s="2" t="s">
        <v>24</v>
      </c>
      <c r="I4329" s="2" t="s">
        <v>3491</v>
      </c>
      <c r="J4329" s="2">
        <v>2.0</v>
      </c>
      <c r="K4329" s="12"/>
      <c r="L4329" s="11">
        <v>0.0</v>
      </c>
      <c r="N4329" s="2"/>
      <c r="O4329" s="2" t="b">
        <v>0</v>
      </c>
    </row>
    <row r="4330">
      <c r="A4330" s="8" t="s">
        <v>3303</v>
      </c>
      <c r="B4330" s="8" t="s">
        <v>3303</v>
      </c>
      <c r="C4330" s="13">
        <v>46114.59746527778</v>
      </c>
      <c r="D4330" s="2" t="s">
        <v>326</v>
      </c>
      <c r="E4330" s="2" t="s">
        <v>327</v>
      </c>
      <c r="F4330" s="14" t="s">
        <v>3486</v>
      </c>
      <c r="G4330" s="14" t="s">
        <v>3487</v>
      </c>
      <c r="H4330" s="2" t="s">
        <v>24</v>
      </c>
      <c r="I4330" s="2" t="s">
        <v>3491</v>
      </c>
      <c r="J4330" s="2">
        <v>5.0</v>
      </c>
      <c r="K4330" s="23" t="s">
        <v>6556</v>
      </c>
      <c r="L4330" s="11">
        <v>0.0</v>
      </c>
      <c r="N4330" s="2"/>
      <c r="O4330" s="2" t="b">
        <v>0</v>
      </c>
    </row>
    <row r="4331">
      <c r="A4331" s="8" t="s">
        <v>3304</v>
      </c>
      <c r="B4331" s="8" t="s">
        <v>3304</v>
      </c>
      <c r="C4331" s="13">
        <v>46114.61283564815</v>
      </c>
      <c r="D4331" s="2" t="s">
        <v>2640</v>
      </c>
      <c r="E4331" s="2" t="s">
        <v>2641</v>
      </c>
      <c r="F4331" s="14" t="s">
        <v>3486</v>
      </c>
      <c r="G4331" s="14" t="s">
        <v>3487</v>
      </c>
      <c r="H4331" s="2" t="s">
        <v>16</v>
      </c>
      <c r="I4331" s="2" t="s">
        <v>3488</v>
      </c>
      <c r="J4331" s="2">
        <v>3.0</v>
      </c>
      <c r="K4331" s="23" t="s">
        <v>6557</v>
      </c>
      <c r="L4331" s="11">
        <v>60000.0</v>
      </c>
      <c r="N4331" s="2"/>
      <c r="O4331" s="2" t="b">
        <v>0</v>
      </c>
    </row>
    <row r="4332">
      <c r="A4332" s="8" t="s">
        <v>3305</v>
      </c>
      <c r="B4332" s="8" t="s">
        <v>3305</v>
      </c>
      <c r="C4332" s="13">
        <v>46114.61329861111</v>
      </c>
      <c r="D4332" s="2" t="s">
        <v>2577</v>
      </c>
      <c r="E4332" s="2" t="s">
        <v>2578</v>
      </c>
      <c r="F4332" s="14" t="s">
        <v>4203</v>
      </c>
      <c r="G4332" s="14" t="s">
        <v>4204</v>
      </c>
      <c r="H4332" s="2" t="s">
        <v>24</v>
      </c>
      <c r="I4332" s="2" t="s">
        <v>3491</v>
      </c>
      <c r="J4332" s="2">
        <v>4.0</v>
      </c>
      <c r="K4332" s="23" t="s">
        <v>6558</v>
      </c>
      <c r="L4332" s="11">
        <v>0.0</v>
      </c>
      <c r="N4332" s="2"/>
      <c r="O4332" s="2" t="b">
        <v>0</v>
      </c>
    </row>
    <row r="4333">
      <c r="A4333" s="8" t="s">
        <v>3306</v>
      </c>
      <c r="B4333" s="8" t="s">
        <v>3306</v>
      </c>
      <c r="C4333" s="13">
        <v>46114.61380787037</v>
      </c>
      <c r="D4333" s="2" t="s">
        <v>786</v>
      </c>
      <c r="E4333" s="2" t="s">
        <v>787</v>
      </c>
      <c r="F4333" s="14" t="s">
        <v>3486</v>
      </c>
      <c r="G4333" s="14" t="s">
        <v>3487</v>
      </c>
      <c r="H4333" s="2" t="s">
        <v>24</v>
      </c>
      <c r="I4333" s="2" t="s">
        <v>3491</v>
      </c>
      <c r="J4333" s="2">
        <v>5.0</v>
      </c>
      <c r="K4333" s="23" t="s">
        <v>6559</v>
      </c>
      <c r="L4333" s="11">
        <v>0.0</v>
      </c>
      <c r="N4333" s="2"/>
      <c r="O4333" s="2" t="b">
        <v>0</v>
      </c>
    </row>
    <row r="4334">
      <c r="A4334" s="8" t="s">
        <v>3306</v>
      </c>
      <c r="B4334" s="8" t="s">
        <v>3306</v>
      </c>
      <c r="C4334" s="13">
        <v>46114.61380787037</v>
      </c>
      <c r="D4334" s="2" t="s">
        <v>786</v>
      </c>
      <c r="E4334" s="2" t="s">
        <v>787</v>
      </c>
      <c r="F4334" s="14" t="s">
        <v>3516</v>
      </c>
      <c r="G4334" s="14" t="s">
        <v>3517</v>
      </c>
      <c r="H4334" s="2" t="s">
        <v>24</v>
      </c>
      <c r="I4334" s="2" t="s">
        <v>3491</v>
      </c>
      <c r="J4334" s="2">
        <v>1.0</v>
      </c>
      <c r="K4334" s="23" t="s">
        <v>5336</v>
      </c>
      <c r="L4334" s="11">
        <v>0.0</v>
      </c>
      <c r="N4334" s="2"/>
      <c r="O4334" s="2" t="b">
        <v>1</v>
      </c>
    </row>
    <row r="4335">
      <c r="A4335" s="8" t="s">
        <v>3307</v>
      </c>
      <c r="B4335" s="8" t="s">
        <v>3307</v>
      </c>
      <c r="C4335" s="13">
        <v>46114.61483796296</v>
      </c>
      <c r="D4335" s="2" t="s">
        <v>2774</v>
      </c>
      <c r="E4335" s="2" t="s">
        <v>2775</v>
      </c>
      <c r="F4335" s="14" t="s">
        <v>3486</v>
      </c>
      <c r="G4335" s="14" t="s">
        <v>3487</v>
      </c>
      <c r="H4335" s="2" t="s">
        <v>24</v>
      </c>
      <c r="I4335" s="2" t="s">
        <v>3491</v>
      </c>
      <c r="J4335" s="2">
        <v>2.0</v>
      </c>
      <c r="K4335" s="23" t="s">
        <v>6560</v>
      </c>
      <c r="L4335" s="11">
        <v>0.0</v>
      </c>
      <c r="N4335" s="2"/>
      <c r="O4335" s="2" t="b">
        <v>0</v>
      </c>
    </row>
    <row r="4336">
      <c r="A4336" s="8" t="s">
        <v>3307</v>
      </c>
      <c r="B4336" s="8" t="s">
        <v>3307</v>
      </c>
      <c r="C4336" s="13">
        <v>46114.61483796296</v>
      </c>
      <c r="D4336" s="2" t="s">
        <v>2774</v>
      </c>
      <c r="E4336" s="2" t="s">
        <v>2775</v>
      </c>
      <c r="F4336" s="14" t="s">
        <v>4203</v>
      </c>
      <c r="G4336" s="14" t="s">
        <v>4204</v>
      </c>
      <c r="H4336" s="2" t="s">
        <v>24</v>
      </c>
      <c r="I4336" s="2" t="s">
        <v>3491</v>
      </c>
      <c r="J4336" s="2">
        <v>1.0</v>
      </c>
      <c r="K4336" s="23" t="s">
        <v>5522</v>
      </c>
      <c r="L4336" s="11">
        <v>0.0</v>
      </c>
      <c r="N4336" s="2"/>
      <c r="O4336" s="2" t="b">
        <v>0</v>
      </c>
    </row>
    <row r="4337">
      <c r="A4337" s="8" t="s">
        <v>3308</v>
      </c>
      <c r="B4337" s="8" t="s">
        <v>3308</v>
      </c>
      <c r="C4337" s="13">
        <v>46114.667037037034</v>
      </c>
      <c r="D4337" s="2" t="s">
        <v>2640</v>
      </c>
      <c r="E4337" s="2" t="s">
        <v>2641</v>
      </c>
      <c r="F4337" s="14" t="s">
        <v>3486</v>
      </c>
      <c r="G4337" s="14" t="s">
        <v>3487</v>
      </c>
      <c r="H4337" s="2" t="s">
        <v>24</v>
      </c>
      <c r="I4337" s="2" t="s">
        <v>3491</v>
      </c>
      <c r="J4337" s="2">
        <v>3.0</v>
      </c>
      <c r="K4337" s="23" t="s">
        <v>6561</v>
      </c>
      <c r="L4337" s="11">
        <v>0.0</v>
      </c>
      <c r="N4337" s="2"/>
      <c r="O4337" s="2" t="b">
        <v>0</v>
      </c>
    </row>
    <row r="4338">
      <c r="A4338" s="8" t="s">
        <v>3309</v>
      </c>
      <c r="B4338" s="8" t="s">
        <v>3309</v>
      </c>
      <c r="C4338" s="13">
        <v>46115.352164351854</v>
      </c>
      <c r="D4338" s="2" t="s">
        <v>1776</v>
      </c>
      <c r="E4338" s="2" t="s">
        <v>1777</v>
      </c>
      <c r="F4338" s="14" t="s">
        <v>4203</v>
      </c>
      <c r="G4338" s="14" t="s">
        <v>4204</v>
      </c>
      <c r="H4338" s="2" t="s">
        <v>16</v>
      </c>
      <c r="I4338" s="2" t="s">
        <v>3488</v>
      </c>
      <c r="J4338" s="2">
        <v>3.0</v>
      </c>
      <c r="K4338" s="23" t="s">
        <v>6562</v>
      </c>
      <c r="L4338" s="11">
        <v>80000.0</v>
      </c>
      <c r="N4338" s="2"/>
      <c r="O4338" s="2" t="b">
        <v>0</v>
      </c>
    </row>
    <row r="4339">
      <c r="A4339" s="8" t="s">
        <v>3310</v>
      </c>
      <c r="B4339" s="8" t="s">
        <v>3310</v>
      </c>
      <c r="C4339" s="13">
        <v>46116.35313657407</v>
      </c>
      <c r="D4339" s="2" t="s">
        <v>1776</v>
      </c>
      <c r="E4339" s="2" t="s">
        <v>1777</v>
      </c>
      <c r="F4339" s="14" t="s">
        <v>4203</v>
      </c>
      <c r="G4339" s="14" t="s">
        <v>4204</v>
      </c>
      <c r="H4339" s="2" t="s">
        <v>16</v>
      </c>
      <c r="I4339" s="2" t="s">
        <v>3488</v>
      </c>
      <c r="J4339" s="2">
        <v>3.0</v>
      </c>
      <c r="K4339" s="23" t="s">
        <v>6563</v>
      </c>
      <c r="L4339" s="11">
        <v>80000.0</v>
      </c>
      <c r="N4339" s="2"/>
      <c r="O4339" s="2" t="b">
        <v>0</v>
      </c>
    </row>
    <row r="4340">
      <c r="A4340" s="8" t="s">
        <v>3311</v>
      </c>
      <c r="B4340" s="8" t="s">
        <v>3311</v>
      </c>
      <c r="C4340" s="13">
        <v>46116.35361111111</v>
      </c>
      <c r="D4340" s="2" t="s">
        <v>320</v>
      </c>
      <c r="E4340" s="2" t="s">
        <v>321</v>
      </c>
      <c r="F4340" s="14" t="s">
        <v>3486</v>
      </c>
      <c r="G4340" s="14" t="s">
        <v>3487</v>
      </c>
      <c r="H4340" s="2" t="s">
        <v>16</v>
      </c>
      <c r="I4340" s="2" t="s">
        <v>3488</v>
      </c>
      <c r="J4340" s="2">
        <v>2.0</v>
      </c>
      <c r="K4340" s="23" t="s">
        <v>6564</v>
      </c>
      <c r="L4340" s="11">
        <v>70000.0</v>
      </c>
      <c r="N4340" s="2"/>
      <c r="O4340" s="2" t="b">
        <v>0</v>
      </c>
    </row>
    <row r="4341">
      <c r="A4341" s="8" t="s">
        <v>3312</v>
      </c>
      <c r="B4341" s="8" t="s">
        <v>3312</v>
      </c>
      <c r="C4341" s="13">
        <v>46116.359305555554</v>
      </c>
      <c r="D4341" s="2" t="s">
        <v>3313</v>
      </c>
      <c r="E4341" s="2" t="s">
        <v>3314</v>
      </c>
      <c r="F4341" s="14" t="s">
        <v>3486</v>
      </c>
      <c r="G4341" s="14" t="s">
        <v>3487</v>
      </c>
      <c r="H4341" s="2" t="s">
        <v>16</v>
      </c>
      <c r="I4341" s="2" t="s">
        <v>3488</v>
      </c>
      <c r="J4341" s="2">
        <v>2.0</v>
      </c>
      <c r="K4341" s="23" t="s">
        <v>6565</v>
      </c>
      <c r="L4341" s="11">
        <v>60000.0</v>
      </c>
      <c r="N4341" s="2"/>
      <c r="O4341" s="2" t="b">
        <v>0</v>
      </c>
    </row>
    <row r="4342">
      <c r="A4342" s="8" t="s">
        <v>3316</v>
      </c>
      <c r="B4342" s="8" t="s">
        <v>3316</v>
      </c>
      <c r="C4342" s="13">
        <v>46116.362175925926</v>
      </c>
      <c r="D4342" s="2" t="s">
        <v>1963</v>
      </c>
      <c r="E4342" s="2" t="s">
        <v>1964</v>
      </c>
      <c r="F4342" s="14" t="s">
        <v>3486</v>
      </c>
      <c r="G4342" s="14" t="s">
        <v>3487</v>
      </c>
      <c r="H4342" s="2" t="s">
        <v>159</v>
      </c>
      <c r="I4342" s="2" t="s">
        <v>3491</v>
      </c>
      <c r="J4342" s="2">
        <v>1.0</v>
      </c>
      <c r="K4342" s="23" t="s">
        <v>6477</v>
      </c>
      <c r="L4342" s="11">
        <v>0.0</v>
      </c>
      <c r="N4342" s="2"/>
      <c r="O4342" s="2" t="b">
        <v>0</v>
      </c>
    </row>
    <row r="4343">
      <c r="A4343" s="8" t="s">
        <v>3317</v>
      </c>
      <c r="B4343" s="8" t="s">
        <v>3317</v>
      </c>
      <c r="C4343" s="13">
        <v>46116.36268518519</v>
      </c>
      <c r="D4343" s="2" t="s">
        <v>464</v>
      </c>
      <c r="E4343" s="2" t="s">
        <v>465</v>
      </c>
      <c r="F4343" s="14" t="s">
        <v>3506</v>
      </c>
      <c r="G4343" s="14" t="s">
        <v>3507</v>
      </c>
      <c r="H4343" s="2" t="s">
        <v>16</v>
      </c>
      <c r="I4343" s="2" t="s">
        <v>3488</v>
      </c>
      <c r="J4343" s="2">
        <v>2.0</v>
      </c>
      <c r="K4343" s="12"/>
      <c r="L4343" s="11">
        <v>55000.0</v>
      </c>
      <c r="N4343" s="2"/>
      <c r="O4343" s="2" t="b">
        <v>0</v>
      </c>
    </row>
    <row r="4344">
      <c r="A4344" s="8" t="s">
        <v>3317</v>
      </c>
      <c r="B4344" s="8" t="s">
        <v>3317</v>
      </c>
      <c r="C4344" s="13">
        <v>46116.36268518519</v>
      </c>
      <c r="D4344" s="2" t="s">
        <v>464</v>
      </c>
      <c r="E4344" s="2" t="s">
        <v>465</v>
      </c>
      <c r="F4344" s="14" t="s">
        <v>3493</v>
      </c>
      <c r="G4344" s="14" t="s">
        <v>3494</v>
      </c>
      <c r="H4344" s="2" t="s">
        <v>16</v>
      </c>
      <c r="I4344" s="2" t="s">
        <v>3488</v>
      </c>
      <c r="J4344" s="2">
        <v>1.0</v>
      </c>
      <c r="K4344" s="12"/>
      <c r="L4344" s="11">
        <v>210000.0</v>
      </c>
      <c r="N4344" s="2"/>
      <c r="O4344" s="2" t="b">
        <v>0</v>
      </c>
    </row>
    <row r="4345">
      <c r="A4345" s="8" t="s">
        <v>3318</v>
      </c>
      <c r="B4345" s="8" t="s">
        <v>3318</v>
      </c>
      <c r="C4345" s="13">
        <v>46116.36486111111</v>
      </c>
      <c r="D4345" s="2" t="s">
        <v>1776</v>
      </c>
      <c r="E4345" s="2" t="s">
        <v>1777</v>
      </c>
      <c r="F4345" s="14" t="s">
        <v>4203</v>
      </c>
      <c r="G4345" s="14" t="s">
        <v>4204</v>
      </c>
      <c r="H4345" s="2" t="s">
        <v>24</v>
      </c>
      <c r="I4345" s="2" t="s">
        <v>3491</v>
      </c>
      <c r="J4345" s="2">
        <v>3.0</v>
      </c>
      <c r="K4345" s="23" t="s">
        <v>6566</v>
      </c>
      <c r="L4345" s="11">
        <v>0.0</v>
      </c>
      <c r="N4345" s="2"/>
      <c r="O4345" s="2" t="b">
        <v>0</v>
      </c>
    </row>
    <row r="4346">
      <c r="A4346" s="8" t="s">
        <v>3319</v>
      </c>
      <c r="B4346" s="8" t="s">
        <v>3319</v>
      </c>
      <c r="C4346" s="13">
        <v>46116.36982638889</v>
      </c>
      <c r="D4346" s="2" t="s">
        <v>943</v>
      </c>
      <c r="E4346" s="2" t="s">
        <v>944</v>
      </c>
      <c r="F4346" s="14" t="s">
        <v>3486</v>
      </c>
      <c r="G4346" s="14" t="s">
        <v>3487</v>
      </c>
      <c r="H4346" s="2" t="s">
        <v>16</v>
      </c>
      <c r="I4346" s="2" t="s">
        <v>3488</v>
      </c>
      <c r="J4346" s="2">
        <v>3.0</v>
      </c>
      <c r="K4346" s="23" t="s">
        <v>6567</v>
      </c>
      <c r="L4346" s="11">
        <v>50000.0</v>
      </c>
      <c r="N4346" s="2"/>
      <c r="O4346" s="2" t="b">
        <v>0</v>
      </c>
    </row>
    <row r="4347">
      <c r="A4347" s="8" t="s">
        <v>3320</v>
      </c>
      <c r="B4347" s="8" t="s">
        <v>3320</v>
      </c>
      <c r="C4347" s="13">
        <v>46116.37260416667</v>
      </c>
      <c r="D4347" s="2" t="s">
        <v>786</v>
      </c>
      <c r="E4347" s="2" t="s">
        <v>787</v>
      </c>
      <c r="F4347" s="14" t="s">
        <v>3486</v>
      </c>
      <c r="G4347" s="14" t="s">
        <v>3487</v>
      </c>
      <c r="H4347" s="2" t="s">
        <v>16</v>
      </c>
      <c r="I4347" s="2" t="s">
        <v>3488</v>
      </c>
      <c r="J4347" s="2">
        <v>5.0</v>
      </c>
      <c r="K4347" s="23" t="s">
        <v>6568</v>
      </c>
      <c r="L4347" s="11">
        <v>60000.0</v>
      </c>
      <c r="N4347" s="2"/>
      <c r="O4347" s="2" t="b">
        <v>0</v>
      </c>
    </row>
    <row r="4348">
      <c r="A4348" s="8" t="s">
        <v>3321</v>
      </c>
      <c r="B4348" s="8" t="s">
        <v>3321</v>
      </c>
      <c r="C4348" s="13">
        <v>46116.4200462963</v>
      </c>
      <c r="D4348" s="2" t="s">
        <v>2686</v>
      </c>
      <c r="E4348" s="2" t="s">
        <v>2687</v>
      </c>
      <c r="F4348" s="14" t="s">
        <v>3486</v>
      </c>
      <c r="G4348" s="14" t="s">
        <v>3487</v>
      </c>
      <c r="H4348" s="2" t="s">
        <v>16</v>
      </c>
      <c r="I4348" s="2" t="s">
        <v>3488</v>
      </c>
      <c r="J4348" s="2">
        <v>2.0</v>
      </c>
      <c r="K4348" s="23" t="s">
        <v>6569</v>
      </c>
      <c r="L4348" s="11">
        <v>54054.05</v>
      </c>
      <c r="N4348" s="2"/>
      <c r="O4348" s="2" t="b">
        <v>0</v>
      </c>
    </row>
    <row r="4349">
      <c r="A4349" s="8" t="s">
        <v>3322</v>
      </c>
      <c r="B4349" s="8" t="s">
        <v>3322</v>
      </c>
      <c r="C4349" s="13">
        <v>46116.43392361111</v>
      </c>
      <c r="D4349" s="2" t="s">
        <v>2543</v>
      </c>
      <c r="E4349" s="2" t="s">
        <v>2544</v>
      </c>
      <c r="F4349" s="14" t="s">
        <v>3516</v>
      </c>
      <c r="G4349" s="14" t="s">
        <v>3517</v>
      </c>
      <c r="H4349" s="2" t="s">
        <v>24</v>
      </c>
      <c r="I4349" s="2" t="s">
        <v>3491</v>
      </c>
      <c r="J4349" s="2">
        <v>2.0</v>
      </c>
      <c r="K4349" s="23" t="s">
        <v>6570</v>
      </c>
      <c r="L4349" s="11">
        <v>0.0</v>
      </c>
      <c r="N4349" s="2"/>
      <c r="O4349" s="2" t="b">
        <v>0</v>
      </c>
    </row>
    <row r="4350">
      <c r="A4350" s="8" t="s">
        <v>3323</v>
      </c>
      <c r="B4350" s="8" t="s">
        <v>3323</v>
      </c>
      <c r="C4350" s="13">
        <v>46116.43436342593</v>
      </c>
      <c r="D4350" s="2" t="s">
        <v>320</v>
      </c>
      <c r="E4350" s="2" t="s">
        <v>321</v>
      </c>
      <c r="F4350" s="14" t="s">
        <v>3486</v>
      </c>
      <c r="G4350" s="14" t="s">
        <v>3487</v>
      </c>
      <c r="H4350" s="2" t="s">
        <v>24</v>
      </c>
      <c r="I4350" s="2" t="s">
        <v>3491</v>
      </c>
      <c r="J4350" s="2">
        <v>1.0</v>
      </c>
      <c r="K4350" s="23" t="s">
        <v>5161</v>
      </c>
      <c r="L4350" s="11">
        <v>0.0</v>
      </c>
      <c r="N4350" s="2"/>
      <c r="O4350" s="2" t="b">
        <v>0</v>
      </c>
    </row>
    <row r="4351">
      <c r="A4351" s="8" t="s">
        <v>3324</v>
      </c>
      <c r="B4351" s="8" t="s">
        <v>3324</v>
      </c>
      <c r="C4351" s="13">
        <v>46116.55902777778</v>
      </c>
      <c r="D4351" s="2" t="s">
        <v>943</v>
      </c>
      <c r="E4351" s="2" t="s">
        <v>944</v>
      </c>
      <c r="F4351" s="14" t="s">
        <v>4203</v>
      </c>
      <c r="G4351" s="14" t="s">
        <v>4204</v>
      </c>
      <c r="H4351" s="2" t="s">
        <v>24</v>
      </c>
      <c r="I4351" s="2" t="s">
        <v>3491</v>
      </c>
      <c r="J4351" s="2">
        <v>2.0</v>
      </c>
      <c r="K4351" s="23" t="s">
        <v>6571</v>
      </c>
      <c r="L4351" s="11">
        <v>0.0</v>
      </c>
      <c r="N4351" s="2"/>
      <c r="O4351" s="2" t="b">
        <v>0</v>
      </c>
    </row>
    <row r="4352">
      <c r="A4352" s="8" t="s">
        <v>3324</v>
      </c>
      <c r="B4352" s="8" t="s">
        <v>3324</v>
      </c>
      <c r="C4352" s="13">
        <v>46116.55902777778</v>
      </c>
      <c r="D4352" s="2" t="s">
        <v>943</v>
      </c>
      <c r="E4352" s="2" t="s">
        <v>944</v>
      </c>
      <c r="F4352" s="14" t="s">
        <v>3506</v>
      </c>
      <c r="G4352" s="14" t="s">
        <v>3507</v>
      </c>
      <c r="H4352" s="2" t="s">
        <v>24</v>
      </c>
      <c r="I4352" s="2" t="s">
        <v>3491</v>
      </c>
      <c r="J4352" s="2">
        <v>1.0</v>
      </c>
      <c r="K4352" s="12"/>
      <c r="L4352" s="11">
        <v>0.0</v>
      </c>
      <c r="N4352" s="2"/>
      <c r="O4352" s="2" t="b">
        <v>0</v>
      </c>
    </row>
    <row r="4353">
      <c r="A4353" s="8" t="s">
        <v>3325</v>
      </c>
      <c r="B4353" s="8" t="s">
        <v>3325</v>
      </c>
      <c r="C4353" s="13">
        <v>46116.55978009259</v>
      </c>
      <c r="D4353" s="2" t="s">
        <v>2131</v>
      </c>
      <c r="E4353" s="2" t="s">
        <v>2132</v>
      </c>
      <c r="F4353" s="14" t="s">
        <v>3486</v>
      </c>
      <c r="G4353" s="14" t="s">
        <v>3487</v>
      </c>
      <c r="H4353" s="2" t="s">
        <v>24</v>
      </c>
      <c r="I4353" s="2" t="s">
        <v>3491</v>
      </c>
      <c r="J4353" s="2">
        <v>6.0</v>
      </c>
      <c r="K4353" s="23" t="s">
        <v>6572</v>
      </c>
      <c r="L4353" s="11">
        <v>0.0</v>
      </c>
      <c r="N4353" s="2"/>
      <c r="O4353" s="2" t="b">
        <v>0</v>
      </c>
    </row>
    <row r="4354">
      <c r="A4354" s="8" t="s">
        <v>3325</v>
      </c>
      <c r="B4354" s="8" t="s">
        <v>3325</v>
      </c>
      <c r="C4354" s="13">
        <v>46116.55978009259</v>
      </c>
      <c r="D4354" s="2" t="s">
        <v>2131</v>
      </c>
      <c r="E4354" s="2" t="s">
        <v>2132</v>
      </c>
      <c r="F4354" s="14" t="s">
        <v>3486</v>
      </c>
      <c r="G4354" s="14" t="s">
        <v>3487</v>
      </c>
      <c r="H4354" s="2" t="s">
        <v>24</v>
      </c>
      <c r="I4354" s="2" t="s">
        <v>3491</v>
      </c>
      <c r="J4354" s="2">
        <v>1.0</v>
      </c>
      <c r="K4354" s="23" t="s">
        <v>6573</v>
      </c>
      <c r="L4354" s="11">
        <v>0.0</v>
      </c>
      <c r="N4354" s="2"/>
      <c r="O4354" s="2" t="b">
        <v>1</v>
      </c>
    </row>
    <row r="4355">
      <c r="A4355" s="8" t="s">
        <v>3326</v>
      </c>
      <c r="B4355" s="8" t="s">
        <v>3326</v>
      </c>
      <c r="C4355" s="13">
        <v>46116.58357638889</v>
      </c>
      <c r="D4355" s="2" t="s">
        <v>1993</v>
      </c>
      <c r="E4355" s="2" t="s">
        <v>1994</v>
      </c>
      <c r="F4355" s="14" t="s">
        <v>3486</v>
      </c>
      <c r="G4355" s="14" t="s">
        <v>3487</v>
      </c>
      <c r="H4355" s="2" t="s">
        <v>16</v>
      </c>
      <c r="I4355" s="2" t="s">
        <v>3488</v>
      </c>
      <c r="J4355" s="2">
        <v>9.0</v>
      </c>
      <c r="K4355" s="23" t="s">
        <v>6574</v>
      </c>
      <c r="L4355" s="11">
        <v>65000.0</v>
      </c>
      <c r="N4355" s="2"/>
      <c r="O4355" s="2" t="b">
        <v>0</v>
      </c>
    </row>
    <row r="4356">
      <c r="A4356" s="8" t="s">
        <v>3326</v>
      </c>
      <c r="B4356" s="8" t="s">
        <v>3326</v>
      </c>
      <c r="C4356" s="13">
        <v>46116.58357638889</v>
      </c>
      <c r="D4356" s="2" t="s">
        <v>1993</v>
      </c>
      <c r="E4356" s="2" t="s">
        <v>1994</v>
      </c>
      <c r="F4356" s="14" t="s">
        <v>3486</v>
      </c>
      <c r="G4356" s="14" t="s">
        <v>3487</v>
      </c>
      <c r="H4356" s="2" t="s">
        <v>16</v>
      </c>
      <c r="I4356" s="2" t="s">
        <v>3488</v>
      </c>
      <c r="J4356" s="2">
        <v>1.0</v>
      </c>
      <c r="K4356" s="23" t="s">
        <v>6575</v>
      </c>
      <c r="L4356" s="11">
        <v>65000.0</v>
      </c>
      <c r="N4356" s="2"/>
      <c r="O4356" s="2" t="b">
        <v>1</v>
      </c>
    </row>
    <row r="4357">
      <c r="A4357" s="8" t="s">
        <v>3327</v>
      </c>
      <c r="B4357" s="8" t="s">
        <v>3327</v>
      </c>
      <c r="C4357" s="13">
        <v>46116.60350694445</v>
      </c>
      <c r="D4357" s="2" t="s">
        <v>1889</v>
      </c>
      <c r="E4357" s="2" t="s">
        <v>1890</v>
      </c>
      <c r="F4357" s="14" t="s">
        <v>3486</v>
      </c>
      <c r="G4357" s="14" t="s">
        <v>3487</v>
      </c>
      <c r="H4357" s="2" t="s">
        <v>16</v>
      </c>
      <c r="I4357" s="2" t="s">
        <v>3488</v>
      </c>
      <c r="J4357" s="2">
        <v>2.0</v>
      </c>
      <c r="K4357" s="23" t="s">
        <v>6576</v>
      </c>
      <c r="L4357" s="11">
        <v>65000.0</v>
      </c>
      <c r="N4357" s="2"/>
      <c r="O4357" s="2" t="b">
        <v>0</v>
      </c>
    </row>
    <row r="4358">
      <c r="A4358" s="8" t="s">
        <v>3328</v>
      </c>
      <c r="B4358" s="8" t="s">
        <v>3328</v>
      </c>
      <c r="C4358" s="13">
        <v>46116.61188657407</v>
      </c>
      <c r="D4358" s="2" t="s">
        <v>786</v>
      </c>
      <c r="E4358" s="2" t="s">
        <v>787</v>
      </c>
      <c r="F4358" s="14" t="s">
        <v>3486</v>
      </c>
      <c r="G4358" s="14" t="s">
        <v>3487</v>
      </c>
      <c r="H4358" s="2" t="s">
        <v>24</v>
      </c>
      <c r="I4358" s="2" t="s">
        <v>3491</v>
      </c>
      <c r="J4358" s="2">
        <v>2.0</v>
      </c>
      <c r="K4358" s="23" t="s">
        <v>6577</v>
      </c>
      <c r="L4358" s="11">
        <v>0.0</v>
      </c>
      <c r="N4358" s="2"/>
      <c r="O4358" s="2" t="b">
        <v>0</v>
      </c>
    </row>
    <row r="4359">
      <c r="A4359" s="8" t="s">
        <v>3328</v>
      </c>
      <c r="B4359" s="8" t="s">
        <v>3328</v>
      </c>
      <c r="C4359" s="13">
        <v>46116.61188657407</v>
      </c>
      <c r="D4359" s="2" t="s">
        <v>786</v>
      </c>
      <c r="E4359" s="2" t="s">
        <v>787</v>
      </c>
      <c r="F4359" s="14" t="s">
        <v>3516</v>
      </c>
      <c r="G4359" s="14" t="s">
        <v>3517</v>
      </c>
      <c r="H4359" s="2" t="s">
        <v>24</v>
      </c>
      <c r="I4359" s="2" t="s">
        <v>3491</v>
      </c>
      <c r="J4359" s="2">
        <v>1.0</v>
      </c>
      <c r="K4359" s="23" t="s">
        <v>5751</v>
      </c>
      <c r="L4359" s="11">
        <v>0.0</v>
      </c>
      <c r="N4359" s="2"/>
      <c r="O4359" s="2" t="b">
        <v>1</v>
      </c>
    </row>
    <row r="4360">
      <c r="A4360" s="8" t="s">
        <v>3329</v>
      </c>
      <c r="B4360" s="8" t="s">
        <v>3329</v>
      </c>
      <c r="C4360" s="13">
        <v>46116.61284722222</v>
      </c>
      <c r="D4360" s="2" t="s">
        <v>49</v>
      </c>
      <c r="E4360" s="2" t="s">
        <v>50</v>
      </c>
      <c r="F4360" s="14" t="s">
        <v>3486</v>
      </c>
      <c r="G4360" s="14" t="s">
        <v>3487</v>
      </c>
      <c r="H4360" s="2" t="s">
        <v>24</v>
      </c>
      <c r="I4360" s="2" t="s">
        <v>3491</v>
      </c>
      <c r="J4360" s="2">
        <v>1.0</v>
      </c>
      <c r="K4360" s="23" t="s">
        <v>5801</v>
      </c>
      <c r="L4360" s="11">
        <v>0.0</v>
      </c>
      <c r="N4360" s="2"/>
      <c r="O4360" s="2" t="b">
        <v>0</v>
      </c>
    </row>
    <row r="4361">
      <c r="A4361" s="8" t="s">
        <v>3330</v>
      </c>
      <c r="B4361" s="8" t="s">
        <v>3330</v>
      </c>
      <c r="C4361" s="13">
        <v>46116.613078703704</v>
      </c>
      <c r="D4361" s="2" t="s">
        <v>2686</v>
      </c>
      <c r="E4361" s="2" t="s">
        <v>2687</v>
      </c>
      <c r="F4361" s="14" t="s">
        <v>4203</v>
      </c>
      <c r="G4361" s="14" t="s">
        <v>4204</v>
      </c>
      <c r="H4361" s="2" t="s">
        <v>24</v>
      </c>
      <c r="I4361" s="2" t="s">
        <v>3491</v>
      </c>
      <c r="J4361" s="2">
        <v>1.0</v>
      </c>
      <c r="K4361" s="23" t="s">
        <v>6578</v>
      </c>
      <c r="L4361" s="11">
        <v>0.0</v>
      </c>
      <c r="N4361" s="2"/>
      <c r="O4361" s="2" t="b">
        <v>0</v>
      </c>
    </row>
    <row r="4362">
      <c r="A4362" s="8" t="s">
        <v>3330</v>
      </c>
      <c r="B4362" s="8" t="s">
        <v>3330</v>
      </c>
      <c r="C4362" s="13">
        <v>46116.613078703704</v>
      </c>
      <c r="D4362" s="2" t="s">
        <v>2686</v>
      </c>
      <c r="E4362" s="2" t="s">
        <v>2687</v>
      </c>
      <c r="F4362" s="14" t="s">
        <v>3506</v>
      </c>
      <c r="G4362" s="14" t="s">
        <v>3507</v>
      </c>
      <c r="H4362" s="2" t="s">
        <v>24</v>
      </c>
      <c r="I4362" s="2" t="s">
        <v>3491</v>
      </c>
      <c r="J4362" s="2">
        <v>1.0</v>
      </c>
      <c r="K4362" s="12"/>
      <c r="L4362" s="11">
        <v>0.0</v>
      </c>
      <c r="N4362" s="2"/>
      <c r="O4362" s="2" t="b">
        <v>0</v>
      </c>
    </row>
    <row r="4363">
      <c r="A4363" s="8" t="s">
        <v>3331</v>
      </c>
      <c r="B4363" s="8" t="s">
        <v>3331</v>
      </c>
      <c r="C4363" s="13">
        <v>46116.61503472222</v>
      </c>
      <c r="D4363" s="2" t="s">
        <v>1838</v>
      </c>
      <c r="E4363" s="2" t="s">
        <v>1839</v>
      </c>
      <c r="F4363" s="14" t="s">
        <v>3835</v>
      </c>
      <c r="G4363" s="14" t="s">
        <v>3836</v>
      </c>
      <c r="H4363" s="2" t="s">
        <v>16</v>
      </c>
      <c r="I4363" s="2" t="s">
        <v>3488</v>
      </c>
      <c r="J4363" s="2">
        <v>1.0</v>
      </c>
      <c r="K4363" s="23" t="s">
        <v>5713</v>
      </c>
      <c r="L4363" s="11">
        <v>60000.0</v>
      </c>
      <c r="N4363" s="2"/>
      <c r="O4363" s="2" t="b">
        <v>0</v>
      </c>
    </row>
    <row r="4364">
      <c r="A4364" s="8" t="s">
        <v>3332</v>
      </c>
      <c r="B4364" s="8" t="s">
        <v>3332</v>
      </c>
      <c r="C4364" s="13">
        <v>46118.352951388886</v>
      </c>
      <c r="D4364" s="2" t="s">
        <v>1889</v>
      </c>
      <c r="E4364" s="2" t="s">
        <v>1890</v>
      </c>
      <c r="F4364" s="14" t="s">
        <v>3486</v>
      </c>
      <c r="G4364" s="14" t="s">
        <v>3487</v>
      </c>
      <c r="H4364" s="2" t="s">
        <v>16</v>
      </c>
      <c r="I4364" s="2" t="s">
        <v>3488</v>
      </c>
      <c r="J4364" s="2">
        <v>1.0</v>
      </c>
      <c r="K4364" s="23" t="s">
        <v>6579</v>
      </c>
      <c r="L4364" s="11">
        <v>60000.0</v>
      </c>
      <c r="N4364" s="2"/>
      <c r="O4364" s="2" t="b">
        <v>0</v>
      </c>
    </row>
    <row r="4365">
      <c r="A4365" s="8" t="s">
        <v>3333</v>
      </c>
      <c r="B4365" s="8" t="s">
        <v>3333</v>
      </c>
      <c r="C4365" s="13">
        <v>46118.35349537037</v>
      </c>
      <c r="D4365" s="2" t="s">
        <v>1756</v>
      </c>
      <c r="E4365" s="2" t="s">
        <v>1757</v>
      </c>
      <c r="F4365" s="14" t="s">
        <v>3486</v>
      </c>
      <c r="G4365" s="14" t="s">
        <v>3487</v>
      </c>
      <c r="H4365" s="2" t="s">
        <v>16</v>
      </c>
      <c r="I4365" s="2" t="s">
        <v>3488</v>
      </c>
      <c r="J4365" s="2">
        <v>5.0</v>
      </c>
      <c r="K4365" s="23" t="s">
        <v>6580</v>
      </c>
      <c r="L4365" s="11">
        <v>65000.0</v>
      </c>
      <c r="N4365" s="2"/>
      <c r="O4365" s="2" t="b">
        <v>0</v>
      </c>
    </row>
    <row r="4366">
      <c r="A4366" s="8" t="s">
        <v>3334</v>
      </c>
      <c r="B4366" s="8" t="s">
        <v>3334</v>
      </c>
      <c r="C4366" s="13">
        <v>46118.36659722222</v>
      </c>
      <c r="D4366" s="2" t="s">
        <v>3335</v>
      </c>
      <c r="E4366" s="2" t="s">
        <v>3336</v>
      </c>
      <c r="F4366" s="14" t="s">
        <v>3486</v>
      </c>
      <c r="G4366" s="14" t="s">
        <v>3487</v>
      </c>
      <c r="H4366" s="2" t="s">
        <v>16</v>
      </c>
      <c r="I4366" s="2" t="s">
        <v>3488</v>
      </c>
      <c r="J4366" s="2">
        <v>2.0</v>
      </c>
      <c r="K4366" s="23" t="s">
        <v>6581</v>
      </c>
      <c r="L4366" s="11">
        <v>65000.0</v>
      </c>
      <c r="N4366" s="2"/>
      <c r="O4366" s="2" t="b">
        <v>0</v>
      </c>
    </row>
    <row r="4367">
      <c r="A4367" s="8" t="s">
        <v>3338</v>
      </c>
      <c r="B4367" s="8" t="s">
        <v>3338</v>
      </c>
      <c r="C4367" s="13">
        <v>46118.37795138889</v>
      </c>
      <c r="D4367" s="2" t="s">
        <v>55</v>
      </c>
      <c r="E4367" s="2" t="s">
        <v>56</v>
      </c>
      <c r="F4367" s="14" t="s">
        <v>4203</v>
      </c>
      <c r="G4367" s="14" t="s">
        <v>4204</v>
      </c>
      <c r="H4367" s="2" t="s">
        <v>16</v>
      </c>
      <c r="I4367" s="2" t="s">
        <v>3488</v>
      </c>
      <c r="J4367" s="2">
        <v>2.0</v>
      </c>
      <c r="K4367" s="23" t="s">
        <v>6582</v>
      </c>
      <c r="L4367" s="11">
        <v>60000.0</v>
      </c>
      <c r="N4367" s="2"/>
      <c r="O4367" s="2" t="b">
        <v>0</v>
      </c>
    </row>
    <row r="4368">
      <c r="A4368" s="8" t="s">
        <v>3338</v>
      </c>
      <c r="B4368" s="8" t="s">
        <v>3338</v>
      </c>
      <c r="C4368" s="13">
        <v>46118.37795138889</v>
      </c>
      <c r="D4368" s="2" t="s">
        <v>55</v>
      </c>
      <c r="E4368" s="2" t="s">
        <v>56</v>
      </c>
      <c r="F4368" s="14" t="s">
        <v>3516</v>
      </c>
      <c r="G4368" s="14" t="s">
        <v>3517</v>
      </c>
      <c r="H4368" s="2" t="s">
        <v>16</v>
      </c>
      <c r="I4368" s="2" t="s">
        <v>3488</v>
      </c>
      <c r="J4368" s="2">
        <v>2.0</v>
      </c>
      <c r="K4368" s="23" t="s">
        <v>6583</v>
      </c>
      <c r="L4368" s="11">
        <v>190000.0</v>
      </c>
      <c r="N4368" s="2"/>
      <c r="O4368" s="2" t="b">
        <v>0</v>
      </c>
    </row>
    <row r="4369">
      <c r="A4369" s="8" t="s">
        <v>3339</v>
      </c>
      <c r="B4369" s="8" t="s">
        <v>3339</v>
      </c>
      <c r="C4369" s="13">
        <v>46118.56576388889</v>
      </c>
      <c r="D4369" s="2" t="s">
        <v>812</v>
      </c>
      <c r="E4369" s="2" t="s">
        <v>813</v>
      </c>
      <c r="F4369" s="14" t="s">
        <v>3506</v>
      </c>
      <c r="G4369" s="14" t="s">
        <v>3507</v>
      </c>
      <c r="H4369" s="2" t="s">
        <v>16</v>
      </c>
      <c r="I4369" s="2" t="s">
        <v>3488</v>
      </c>
      <c r="J4369" s="2">
        <v>35.0</v>
      </c>
      <c r="K4369" s="12"/>
      <c r="L4369" s="11">
        <v>50000.0</v>
      </c>
      <c r="N4369" s="2"/>
      <c r="O4369" s="2" t="b">
        <v>0</v>
      </c>
    </row>
    <row r="4370">
      <c r="A4370" s="8" t="s">
        <v>3340</v>
      </c>
      <c r="B4370" s="8" t="s">
        <v>3340</v>
      </c>
      <c r="C4370" s="13">
        <v>46119.35533564815</v>
      </c>
      <c r="D4370" s="2" t="s">
        <v>1776</v>
      </c>
      <c r="E4370" s="2" t="s">
        <v>1777</v>
      </c>
      <c r="F4370" s="14" t="s">
        <v>4203</v>
      </c>
      <c r="G4370" s="14" t="s">
        <v>4204</v>
      </c>
      <c r="H4370" s="2" t="s">
        <v>24</v>
      </c>
      <c r="I4370" s="2" t="s">
        <v>3491</v>
      </c>
      <c r="J4370" s="2">
        <v>3.0</v>
      </c>
      <c r="K4370" s="23" t="s">
        <v>6584</v>
      </c>
      <c r="L4370" s="11">
        <v>0.0</v>
      </c>
      <c r="N4370" s="2"/>
      <c r="O4370" s="2" t="b">
        <v>0</v>
      </c>
    </row>
    <row r="4371">
      <c r="A4371" s="8" t="s">
        <v>3341</v>
      </c>
      <c r="B4371" s="8" t="s">
        <v>3341</v>
      </c>
      <c r="C4371" s="13">
        <v>46119.355844907404</v>
      </c>
      <c r="D4371" s="2" t="s">
        <v>2913</v>
      </c>
      <c r="E4371" s="2" t="s">
        <v>2914</v>
      </c>
      <c r="F4371" s="14" t="s">
        <v>3486</v>
      </c>
      <c r="G4371" s="14" t="s">
        <v>3487</v>
      </c>
      <c r="H4371" s="2" t="s">
        <v>24</v>
      </c>
      <c r="I4371" s="2" t="s">
        <v>3491</v>
      </c>
      <c r="J4371" s="2">
        <v>3.0</v>
      </c>
      <c r="K4371" s="23" t="s">
        <v>6585</v>
      </c>
      <c r="L4371" s="11">
        <v>0.0</v>
      </c>
      <c r="N4371" s="2"/>
      <c r="O4371" s="2" t="b">
        <v>0</v>
      </c>
    </row>
    <row r="4372">
      <c r="A4372" s="8" t="s">
        <v>3341</v>
      </c>
      <c r="B4372" s="8" t="s">
        <v>3341</v>
      </c>
      <c r="C4372" s="13">
        <v>46119.355844907404</v>
      </c>
      <c r="D4372" s="2" t="s">
        <v>2913</v>
      </c>
      <c r="E4372" s="2" t="s">
        <v>2914</v>
      </c>
      <c r="F4372" s="14" t="s">
        <v>4203</v>
      </c>
      <c r="G4372" s="14" t="s">
        <v>4204</v>
      </c>
      <c r="H4372" s="2" t="s">
        <v>24</v>
      </c>
      <c r="I4372" s="2" t="s">
        <v>3491</v>
      </c>
      <c r="J4372" s="2">
        <v>2.0</v>
      </c>
      <c r="K4372" s="23" t="s">
        <v>6586</v>
      </c>
      <c r="L4372" s="11">
        <v>0.0</v>
      </c>
      <c r="N4372" s="2"/>
      <c r="O4372" s="2" t="b">
        <v>0</v>
      </c>
    </row>
    <row r="4373">
      <c r="A4373" s="8" t="s">
        <v>3342</v>
      </c>
      <c r="B4373" s="8" t="s">
        <v>3342</v>
      </c>
      <c r="C4373" s="13">
        <v>46119.35659722222</v>
      </c>
      <c r="D4373" s="2" t="s">
        <v>1993</v>
      </c>
      <c r="E4373" s="2" t="s">
        <v>1994</v>
      </c>
      <c r="F4373" s="14" t="s">
        <v>3486</v>
      </c>
      <c r="G4373" s="14" t="s">
        <v>3487</v>
      </c>
      <c r="H4373" s="2" t="s">
        <v>24</v>
      </c>
      <c r="I4373" s="2" t="s">
        <v>3491</v>
      </c>
      <c r="J4373" s="2">
        <v>8.0</v>
      </c>
      <c r="K4373" s="23" t="s">
        <v>6587</v>
      </c>
      <c r="L4373" s="11">
        <v>0.0</v>
      </c>
      <c r="N4373" s="2"/>
      <c r="O4373" s="2" t="b">
        <v>0</v>
      </c>
    </row>
    <row r="4374">
      <c r="A4374" s="8" t="s">
        <v>3342</v>
      </c>
      <c r="B4374" s="8" t="s">
        <v>3342</v>
      </c>
      <c r="C4374" s="13">
        <v>46119.35659722222</v>
      </c>
      <c r="D4374" s="2" t="s">
        <v>1993</v>
      </c>
      <c r="E4374" s="2" t="s">
        <v>1994</v>
      </c>
      <c r="F4374" s="14" t="s">
        <v>4203</v>
      </c>
      <c r="G4374" s="14" t="s">
        <v>4204</v>
      </c>
      <c r="H4374" s="2" t="s">
        <v>24</v>
      </c>
      <c r="I4374" s="2" t="s">
        <v>3491</v>
      </c>
      <c r="J4374" s="2">
        <v>1.0</v>
      </c>
      <c r="K4374" s="23" t="s">
        <v>6211</v>
      </c>
      <c r="L4374" s="11">
        <v>0.0</v>
      </c>
      <c r="N4374" s="2"/>
      <c r="O4374" s="2" t="b">
        <v>0</v>
      </c>
    </row>
    <row r="4375">
      <c r="A4375" s="8" t="s">
        <v>3343</v>
      </c>
      <c r="B4375" s="8" t="s">
        <v>3343</v>
      </c>
      <c r="C4375" s="13">
        <v>46118.44106481481</v>
      </c>
      <c r="D4375" s="2" t="s">
        <v>812</v>
      </c>
      <c r="E4375" s="2" t="s">
        <v>813</v>
      </c>
      <c r="F4375" s="14" t="s">
        <v>3506</v>
      </c>
      <c r="G4375" s="14" t="s">
        <v>3507</v>
      </c>
      <c r="H4375" s="2" t="s">
        <v>24</v>
      </c>
      <c r="I4375" s="2" t="s">
        <v>3491</v>
      </c>
      <c r="J4375" s="2">
        <v>35.0</v>
      </c>
      <c r="K4375" s="12"/>
      <c r="L4375" s="11">
        <v>0.0</v>
      </c>
      <c r="N4375" s="2"/>
      <c r="O4375" s="2" t="b">
        <v>0</v>
      </c>
    </row>
    <row r="4376">
      <c r="A4376" s="8" t="s">
        <v>3344</v>
      </c>
      <c r="B4376" s="8" t="s">
        <v>3344</v>
      </c>
      <c r="C4376" s="13">
        <v>46119.358298611114</v>
      </c>
      <c r="D4376" s="2" t="s">
        <v>786</v>
      </c>
      <c r="E4376" s="2" t="s">
        <v>787</v>
      </c>
      <c r="F4376" s="14" t="s">
        <v>3486</v>
      </c>
      <c r="G4376" s="14" t="s">
        <v>3487</v>
      </c>
      <c r="H4376" s="2" t="s">
        <v>24</v>
      </c>
      <c r="I4376" s="2" t="s">
        <v>3491</v>
      </c>
      <c r="J4376" s="2">
        <v>2.0</v>
      </c>
      <c r="K4376" s="23" t="s">
        <v>6588</v>
      </c>
      <c r="L4376" s="11">
        <v>0.0</v>
      </c>
      <c r="N4376" s="2"/>
      <c r="O4376" s="2" t="b">
        <v>0</v>
      </c>
    </row>
    <row r="4377">
      <c r="A4377" s="8" t="s">
        <v>3344</v>
      </c>
      <c r="B4377" s="8" t="s">
        <v>3344</v>
      </c>
      <c r="C4377" s="13">
        <v>46119.358298611114</v>
      </c>
      <c r="D4377" s="2" t="s">
        <v>786</v>
      </c>
      <c r="E4377" s="2" t="s">
        <v>787</v>
      </c>
      <c r="F4377" s="14" t="s">
        <v>3516</v>
      </c>
      <c r="G4377" s="14" t="s">
        <v>3517</v>
      </c>
      <c r="H4377" s="2" t="s">
        <v>24</v>
      </c>
      <c r="I4377" s="2" t="s">
        <v>3491</v>
      </c>
      <c r="J4377" s="2">
        <v>1.0</v>
      </c>
      <c r="K4377" s="23" t="s">
        <v>6490</v>
      </c>
      <c r="L4377" s="11">
        <v>0.0</v>
      </c>
      <c r="N4377" s="2"/>
      <c r="O4377" s="2" t="b">
        <v>1</v>
      </c>
    </row>
    <row r="4378">
      <c r="A4378" s="8" t="s">
        <v>3346</v>
      </c>
      <c r="B4378" s="8" t="s">
        <v>3346</v>
      </c>
      <c r="C4378" s="13">
        <v>46119.360613425924</v>
      </c>
      <c r="D4378" s="2" t="s">
        <v>1889</v>
      </c>
      <c r="E4378" s="2" t="s">
        <v>1890</v>
      </c>
      <c r="F4378" s="14" t="s">
        <v>3486</v>
      </c>
      <c r="G4378" s="14" t="s">
        <v>3487</v>
      </c>
      <c r="H4378" s="2" t="s">
        <v>24</v>
      </c>
      <c r="I4378" s="2" t="s">
        <v>3491</v>
      </c>
      <c r="J4378" s="2">
        <v>1.0</v>
      </c>
      <c r="K4378" s="23" t="s">
        <v>6388</v>
      </c>
      <c r="L4378" s="11">
        <v>0.0</v>
      </c>
      <c r="N4378" s="2" t="s">
        <v>6589</v>
      </c>
      <c r="O4378" s="2" t="b">
        <v>0</v>
      </c>
    </row>
    <row r="4379">
      <c r="A4379" s="8" t="s">
        <v>3347</v>
      </c>
      <c r="B4379" s="8" t="s">
        <v>3347</v>
      </c>
      <c r="C4379" s="13">
        <v>46119.36104166666</v>
      </c>
      <c r="D4379" s="2" t="s">
        <v>1889</v>
      </c>
      <c r="E4379" s="2" t="s">
        <v>1890</v>
      </c>
      <c r="F4379" s="14" t="s">
        <v>3486</v>
      </c>
      <c r="G4379" s="14" t="s">
        <v>3487</v>
      </c>
      <c r="H4379" s="2" t="s">
        <v>24</v>
      </c>
      <c r="I4379" s="2" t="s">
        <v>3491</v>
      </c>
      <c r="J4379" s="2">
        <v>1.0</v>
      </c>
      <c r="K4379" s="23" t="s">
        <v>6288</v>
      </c>
      <c r="L4379" s="11">
        <v>0.0</v>
      </c>
      <c r="N4379" s="2"/>
      <c r="O4379" s="2" t="b">
        <v>0</v>
      </c>
    </row>
    <row r="4380">
      <c r="A4380" s="8" t="s">
        <v>3348</v>
      </c>
      <c r="B4380" s="8" t="s">
        <v>3348</v>
      </c>
      <c r="C4380" s="13">
        <v>46119.361354166664</v>
      </c>
      <c r="D4380" s="2" t="s">
        <v>55</v>
      </c>
      <c r="E4380" s="2" t="s">
        <v>56</v>
      </c>
      <c r="F4380" s="14" t="s">
        <v>3486</v>
      </c>
      <c r="G4380" s="14" t="s">
        <v>3487</v>
      </c>
      <c r="H4380" s="2" t="s">
        <v>24</v>
      </c>
      <c r="I4380" s="2" t="s">
        <v>3491</v>
      </c>
      <c r="J4380" s="2">
        <v>2.0</v>
      </c>
      <c r="K4380" s="23" t="s">
        <v>6590</v>
      </c>
      <c r="L4380" s="11">
        <v>0.0</v>
      </c>
      <c r="N4380" s="2"/>
      <c r="O4380" s="2" t="b">
        <v>0</v>
      </c>
    </row>
    <row r="4381">
      <c r="A4381" s="8" t="s">
        <v>3348</v>
      </c>
      <c r="B4381" s="8" t="s">
        <v>3348</v>
      </c>
      <c r="C4381" s="13">
        <v>46119.361354166664</v>
      </c>
      <c r="D4381" s="2" t="s">
        <v>55</v>
      </c>
      <c r="E4381" s="2" t="s">
        <v>56</v>
      </c>
      <c r="F4381" s="14" t="s">
        <v>3516</v>
      </c>
      <c r="G4381" s="14" t="s">
        <v>3517</v>
      </c>
      <c r="H4381" s="2" t="s">
        <v>24</v>
      </c>
      <c r="I4381" s="2" t="s">
        <v>3491</v>
      </c>
      <c r="J4381" s="2">
        <v>2.0</v>
      </c>
      <c r="K4381" s="23" t="s">
        <v>6591</v>
      </c>
      <c r="L4381" s="11">
        <v>0.0</v>
      </c>
      <c r="N4381" s="2"/>
      <c r="O4381" s="2" t="b">
        <v>0</v>
      </c>
    </row>
    <row r="4382">
      <c r="A4382" s="8" t="s">
        <v>3350</v>
      </c>
      <c r="B4382" s="8" t="s">
        <v>3350</v>
      </c>
      <c r="C4382" s="13">
        <v>46119.362916666665</v>
      </c>
      <c r="D4382" s="2" t="s">
        <v>1756</v>
      </c>
      <c r="E4382" s="2" t="s">
        <v>1757</v>
      </c>
      <c r="F4382" s="14" t="s">
        <v>3486</v>
      </c>
      <c r="G4382" s="14" t="s">
        <v>3487</v>
      </c>
      <c r="H4382" s="2" t="s">
        <v>24</v>
      </c>
      <c r="I4382" s="2" t="s">
        <v>3491</v>
      </c>
      <c r="J4382" s="2">
        <v>4.0</v>
      </c>
      <c r="K4382" s="23" t="s">
        <v>6592</v>
      </c>
      <c r="L4382" s="11">
        <v>0.0</v>
      </c>
      <c r="N4382" s="2"/>
      <c r="O4382" s="2" t="b">
        <v>0</v>
      </c>
    </row>
    <row r="4383">
      <c r="A4383" s="8" t="s">
        <v>3350</v>
      </c>
      <c r="B4383" s="8" t="s">
        <v>3350</v>
      </c>
      <c r="C4383" s="13">
        <v>46119.362916666665</v>
      </c>
      <c r="D4383" s="2" t="s">
        <v>1756</v>
      </c>
      <c r="E4383" s="2" t="s">
        <v>1757</v>
      </c>
      <c r="F4383" s="14" t="s">
        <v>3486</v>
      </c>
      <c r="G4383" s="14" t="s">
        <v>3487</v>
      </c>
      <c r="H4383" s="2" t="s">
        <v>24</v>
      </c>
      <c r="I4383" s="2" t="s">
        <v>3491</v>
      </c>
      <c r="J4383" s="2">
        <v>1.0</v>
      </c>
      <c r="K4383" s="23" t="s">
        <v>4170</v>
      </c>
      <c r="L4383" s="11">
        <v>0.0</v>
      </c>
      <c r="N4383" s="2"/>
      <c r="O4383" s="2" t="b">
        <v>1</v>
      </c>
    </row>
    <row r="4384">
      <c r="A4384" s="8" t="s">
        <v>3345</v>
      </c>
      <c r="B4384" s="8" t="s">
        <v>3345</v>
      </c>
      <c r="C4384" s="13">
        <v>46119.360127314816</v>
      </c>
      <c r="D4384" s="2" t="s">
        <v>2913</v>
      </c>
      <c r="E4384" s="2" t="s">
        <v>2914</v>
      </c>
      <c r="F4384" s="14" t="s">
        <v>4203</v>
      </c>
      <c r="G4384" s="14" t="s">
        <v>4204</v>
      </c>
      <c r="H4384" s="2" t="s">
        <v>16</v>
      </c>
      <c r="I4384" s="2" t="s">
        <v>3488</v>
      </c>
      <c r="J4384" s="2">
        <v>5.0</v>
      </c>
      <c r="K4384" s="23" t="s">
        <v>6593</v>
      </c>
      <c r="L4384" s="11">
        <v>50000.0</v>
      </c>
      <c r="N4384" s="2"/>
      <c r="O4384" s="2" t="b">
        <v>0</v>
      </c>
    </row>
    <row r="4385">
      <c r="A4385" s="8" t="s">
        <v>3351</v>
      </c>
      <c r="B4385" s="8" t="s">
        <v>3351</v>
      </c>
      <c r="C4385" s="13">
        <v>46119.36620370371</v>
      </c>
      <c r="D4385" s="2" t="s">
        <v>786</v>
      </c>
      <c r="E4385" s="2" t="s">
        <v>787</v>
      </c>
      <c r="F4385" s="14" t="s">
        <v>3486</v>
      </c>
      <c r="G4385" s="14" t="s">
        <v>3487</v>
      </c>
      <c r="H4385" s="2" t="s">
        <v>16</v>
      </c>
      <c r="I4385" s="2" t="s">
        <v>3488</v>
      </c>
      <c r="J4385" s="2">
        <v>5.0</v>
      </c>
      <c r="K4385" s="23" t="s">
        <v>6594</v>
      </c>
      <c r="L4385" s="11">
        <v>60000.0</v>
      </c>
      <c r="N4385" s="2"/>
      <c r="O4385" s="2" t="b">
        <v>0</v>
      </c>
    </row>
    <row r="4386">
      <c r="A4386" s="8" t="s">
        <v>3351</v>
      </c>
      <c r="B4386" s="8" t="s">
        <v>3351</v>
      </c>
      <c r="C4386" s="13">
        <v>46119.36620370371</v>
      </c>
      <c r="D4386" s="2" t="s">
        <v>786</v>
      </c>
      <c r="E4386" s="2" t="s">
        <v>787</v>
      </c>
      <c r="F4386" s="14" t="s">
        <v>3516</v>
      </c>
      <c r="G4386" s="14" t="s">
        <v>3517</v>
      </c>
      <c r="H4386" s="2" t="s">
        <v>16</v>
      </c>
      <c r="I4386" s="2" t="s">
        <v>3488</v>
      </c>
      <c r="J4386" s="2">
        <v>2.0</v>
      </c>
      <c r="K4386" s="23" t="s">
        <v>6595</v>
      </c>
      <c r="L4386" s="11">
        <v>180000.0</v>
      </c>
      <c r="N4386" s="2"/>
      <c r="O4386" s="2" t="b">
        <v>0</v>
      </c>
    </row>
    <row r="4387">
      <c r="A4387" s="8" t="s">
        <v>3352</v>
      </c>
      <c r="B4387" s="8" t="s">
        <v>3352</v>
      </c>
      <c r="C4387" s="13">
        <v>46119.367372685185</v>
      </c>
      <c r="D4387" s="2" t="s">
        <v>2686</v>
      </c>
      <c r="E4387" s="2" t="s">
        <v>2687</v>
      </c>
      <c r="F4387" s="14" t="s">
        <v>3506</v>
      </c>
      <c r="G4387" s="14" t="s">
        <v>3507</v>
      </c>
      <c r="H4387" s="2" t="s">
        <v>16</v>
      </c>
      <c r="I4387" s="2" t="s">
        <v>3488</v>
      </c>
      <c r="J4387" s="2">
        <v>1.0</v>
      </c>
      <c r="K4387" s="12"/>
      <c r="L4387" s="11"/>
      <c r="N4387" s="2"/>
      <c r="O4387" s="2" t="b">
        <v>0</v>
      </c>
    </row>
    <row r="4388">
      <c r="A4388" s="8" t="s">
        <v>3353</v>
      </c>
      <c r="B4388" s="8" t="s">
        <v>3353</v>
      </c>
      <c r="C4388" s="13">
        <v>46119.39098379629</v>
      </c>
      <c r="D4388" s="2" t="s">
        <v>1975</v>
      </c>
      <c r="E4388" s="2" t="s">
        <v>1976</v>
      </c>
      <c r="F4388" s="14" t="s">
        <v>3486</v>
      </c>
      <c r="G4388" s="14" t="s">
        <v>3487</v>
      </c>
      <c r="H4388" s="2" t="s">
        <v>16</v>
      </c>
      <c r="I4388" s="2" t="s">
        <v>3488</v>
      </c>
      <c r="J4388" s="2">
        <v>10.0</v>
      </c>
      <c r="K4388" s="23" t="s">
        <v>6596</v>
      </c>
      <c r="L4388" s="11">
        <v>60000.0</v>
      </c>
      <c r="N4388" s="2"/>
      <c r="O4388" s="2" t="b">
        <v>0</v>
      </c>
    </row>
    <row r="4389">
      <c r="A4389" s="8" t="s">
        <v>3354</v>
      </c>
      <c r="B4389" s="8" t="s">
        <v>3354</v>
      </c>
      <c r="C4389" s="13">
        <v>46119.39189814815</v>
      </c>
      <c r="D4389" s="2" t="s">
        <v>951</v>
      </c>
      <c r="E4389" s="2" t="s">
        <v>952</v>
      </c>
      <c r="F4389" s="14" t="s">
        <v>3486</v>
      </c>
      <c r="G4389" s="14" t="s">
        <v>3487</v>
      </c>
      <c r="H4389" s="2" t="s">
        <v>16</v>
      </c>
      <c r="I4389" s="2" t="s">
        <v>3488</v>
      </c>
      <c r="J4389" s="2">
        <v>3.0</v>
      </c>
      <c r="K4389" s="23" t="s">
        <v>6597</v>
      </c>
      <c r="L4389" s="11">
        <v>55000.0</v>
      </c>
      <c r="N4389" s="2"/>
      <c r="O4389" s="2" t="b">
        <v>0</v>
      </c>
    </row>
    <row r="4390">
      <c r="A4390" s="8" t="s">
        <v>3354</v>
      </c>
      <c r="B4390" s="8" t="s">
        <v>3354</v>
      </c>
      <c r="C4390" s="13">
        <v>46119.39189814815</v>
      </c>
      <c r="D4390" s="2" t="s">
        <v>951</v>
      </c>
      <c r="E4390" s="2" t="s">
        <v>952</v>
      </c>
      <c r="F4390" s="14" t="s">
        <v>3516</v>
      </c>
      <c r="G4390" s="14" t="s">
        <v>3517</v>
      </c>
      <c r="H4390" s="2" t="s">
        <v>16</v>
      </c>
      <c r="I4390" s="2" t="s">
        <v>3488</v>
      </c>
      <c r="J4390" s="2">
        <v>2.0</v>
      </c>
      <c r="K4390" s="23" t="s">
        <v>6598</v>
      </c>
      <c r="L4390" s="11">
        <v>175000.0</v>
      </c>
      <c r="N4390" s="2"/>
      <c r="O4390" s="2" t="b">
        <v>0</v>
      </c>
    </row>
    <row r="4391">
      <c r="A4391" s="8" t="s">
        <v>3355</v>
      </c>
      <c r="B4391" s="8" t="s">
        <v>3355</v>
      </c>
      <c r="C4391" s="13">
        <v>46119.52309027778</v>
      </c>
      <c r="D4391" s="2" t="s">
        <v>326</v>
      </c>
      <c r="E4391" s="2" t="s">
        <v>327</v>
      </c>
      <c r="F4391" s="14" t="s">
        <v>4203</v>
      </c>
      <c r="G4391" s="14" t="s">
        <v>4204</v>
      </c>
      <c r="H4391" s="2" t="s">
        <v>16</v>
      </c>
      <c r="I4391" s="2" t="s">
        <v>3488</v>
      </c>
      <c r="J4391" s="2">
        <v>15.0</v>
      </c>
      <c r="K4391" s="23" t="s">
        <v>6599</v>
      </c>
      <c r="L4391" s="11">
        <v>50000.0</v>
      </c>
      <c r="N4391" s="2"/>
      <c r="O4391" s="2" t="b">
        <v>0</v>
      </c>
    </row>
    <row r="4392">
      <c r="A4392" s="8" t="s">
        <v>3356</v>
      </c>
      <c r="B4392" s="8" t="s">
        <v>3356</v>
      </c>
      <c r="C4392" s="13">
        <v>46119.560949074075</v>
      </c>
      <c r="D4392" s="2" t="s">
        <v>1975</v>
      </c>
      <c r="E4392" s="2" t="s">
        <v>1976</v>
      </c>
      <c r="F4392" s="14" t="s">
        <v>3486</v>
      </c>
      <c r="G4392" s="14" t="s">
        <v>3487</v>
      </c>
      <c r="H4392" s="2" t="s">
        <v>24</v>
      </c>
      <c r="I4392" s="2" t="s">
        <v>3491</v>
      </c>
      <c r="J4392" s="2">
        <v>6.0</v>
      </c>
      <c r="K4392" s="23" t="s">
        <v>6600</v>
      </c>
      <c r="L4392" s="11">
        <v>0.0</v>
      </c>
      <c r="N4392" s="2"/>
      <c r="O4392" s="2" t="b">
        <v>0</v>
      </c>
    </row>
    <row r="4393">
      <c r="A4393" s="8" t="s">
        <v>3356</v>
      </c>
      <c r="B4393" s="8" t="s">
        <v>3356</v>
      </c>
      <c r="C4393" s="13">
        <v>46119.560949074075</v>
      </c>
      <c r="D4393" s="2" t="s">
        <v>1975</v>
      </c>
      <c r="E4393" s="2" t="s">
        <v>1976</v>
      </c>
      <c r="F4393" s="14" t="s">
        <v>4203</v>
      </c>
      <c r="G4393" s="14" t="s">
        <v>4204</v>
      </c>
      <c r="H4393" s="2" t="s">
        <v>24</v>
      </c>
      <c r="I4393" s="2" t="s">
        <v>3491</v>
      </c>
      <c r="J4393" s="2">
        <v>2.0</v>
      </c>
      <c r="K4393" s="23" t="s">
        <v>6601</v>
      </c>
      <c r="L4393" s="11">
        <v>0.0</v>
      </c>
      <c r="N4393" s="2"/>
      <c r="O4393" s="2" t="b">
        <v>0</v>
      </c>
    </row>
    <row r="4394">
      <c r="A4394" s="8" t="s">
        <v>3357</v>
      </c>
      <c r="B4394" s="8" t="s">
        <v>3357</v>
      </c>
      <c r="C4394" s="13">
        <v>46119.5624537037</v>
      </c>
      <c r="D4394" s="2" t="s">
        <v>1084</v>
      </c>
      <c r="E4394" s="2" t="s">
        <v>1085</v>
      </c>
      <c r="F4394" s="14" t="s">
        <v>3486</v>
      </c>
      <c r="G4394" s="14" t="s">
        <v>3487</v>
      </c>
      <c r="H4394" s="2" t="s">
        <v>24</v>
      </c>
      <c r="I4394" s="2" t="s">
        <v>3491</v>
      </c>
      <c r="J4394" s="2">
        <v>3.0</v>
      </c>
      <c r="K4394" s="23" t="s">
        <v>6602</v>
      </c>
      <c r="L4394" s="11">
        <v>0.0</v>
      </c>
      <c r="N4394" s="2"/>
      <c r="O4394" s="2" t="b">
        <v>0</v>
      </c>
    </row>
    <row r="4395">
      <c r="A4395" s="8" t="s">
        <v>3357</v>
      </c>
      <c r="B4395" s="8" t="s">
        <v>3357</v>
      </c>
      <c r="C4395" s="13">
        <v>46119.5624537037</v>
      </c>
      <c r="D4395" s="2" t="s">
        <v>1084</v>
      </c>
      <c r="E4395" s="2" t="s">
        <v>1085</v>
      </c>
      <c r="F4395" s="14" t="s">
        <v>4203</v>
      </c>
      <c r="G4395" s="14" t="s">
        <v>4204</v>
      </c>
      <c r="H4395" s="2" t="s">
        <v>24</v>
      </c>
      <c r="I4395" s="2" t="s">
        <v>3491</v>
      </c>
      <c r="J4395" s="2">
        <v>3.0</v>
      </c>
      <c r="K4395" s="23" t="s">
        <v>6603</v>
      </c>
      <c r="L4395" s="11">
        <v>0.0</v>
      </c>
      <c r="N4395" s="2"/>
      <c r="O4395" s="2" t="b">
        <v>0</v>
      </c>
    </row>
    <row r="4396">
      <c r="A4396" s="8" t="s">
        <v>3358</v>
      </c>
      <c r="B4396" s="8" t="s">
        <v>3358</v>
      </c>
      <c r="C4396" s="13">
        <v>46119.56344907408</v>
      </c>
      <c r="D4396" s="2" t="s">
        <v>951</v>
      </c>
      <c r="E4396" s="2" t="s">
        <v>952</v>
      </c>
      <c r="F4396" s="14" t="s">
        <v>3486</v>
      </c>
      <c r="G4396" s="14" t="s">
        <v>3487</v>
      </c>
      <c r="H4396" s="2" t="s">
        <v>24</v>
      </c>
      <c r="I4396" s="2" t="s">
        <v>3491</v>
      </c>
      <c r="J4396" s="2">
        <v>3.0</v>
      </c>
      <c r="K4396" s="23" t="s">
        <v>6604</v>
      </c>
      <c r="L4396" s="11">
        <v>0.0</v>
      </c>
      <c r="N4396" s="2"/>
      <c r="O4396" s="2" t="b">
        <v>0</v>
      </c>
    </row>
    <row r="4397">
      <c r="A4397" s="8" t="s">
        <v>3358</v>
      </c>
      <c r="B4397" s="8" t="s">
        <v>3358</v>
      </c>
      <c r="C4397" s="13">
        <v>46119.56344907408</v>
      </c>
      <c r="D4397" s="2" t="s">
        <v>951</v>
      </c>
      <c r="E4397" s="2" t="s">
        <v>952</v>
      </c>
      <c r="F4397" s="14" t="s">
        <v>3516</v>
      </c>
      <c r="G4397" s="14" t="s">
        <v>3517</v>
      </c>
      <c r="H4397" s="2" t="s">
        <v>24</v>
      </c>
      <c r="I4397" s="2" t="s">
        <v>3491</v>
      </c>
      <c r="J4397" s="2">
        <v>2.0</v>
      </c>
      <c r="K4397" s="23" t="s">
        <v>6605</v>
      </c>
      <c r="L4397" s="11">
        <v>0.0</v>
      </c>
      <c r="N4397" s="2"/>
      <c r="O4397" s="2" t="b">
        <v>0</v>
      </c>
    </row>
    <row r="4398">
      <c r="A4398" s="8" t="s">
        <v>3359</v>
      </c>
      <c r="B4398" s="8" t="s">
        <v>3359</v>
      </c>
      <c r="C4398" s="13">
        <v>46119.56412037037</v>
      </c>
      <c r="D4398" s="2" t="s">
        <v>2686</v>
      </c>
      <c r="E4398" s="2" t="s">
        <v>2687</v>
      </c>
      <c r="F4398" s="14" t="s">
        <v>4203</v>
      </c>
      <c r="G4398" s="14" t="s">
        <v>4204</v>
      </c>
      <c r="H4398" s="2" t="s">
        <v>24</v>
      </c>
      <c r="I4398" s="2" t="s">
        <v>3491</v>
      </c>
      <c r="J4398" s="2">
        <v>1.0</v>
      </c>
      <c r="K4398" s="23" t="s">
        <v>6606</v>
      </c>
      <c r="L4398" s="11">
        <v>0.0</v>
      </c>
      <c r="N4398" s="2"/>
      <c r="O4398" s="2" t="b">
        <v>0</v>
      </c>
    </row>
    <row r="4399">
      <c r="A4399" s="8" t="s">
        <v>3360</v>
      </c>
      <c r="B4399" s="8" t="s">
        <v>3360</v>
      </c>
      <c r="C4399" s="13">
        <v>46119.60967592592</v>
      </c>
      <c r="D4399" s="2" t="s">
        <v>2577</v>
      </c>
      <c r="E4399" s="2" t="s">
        <v>2578</v>
      </c>
      <c r="F4399" s="14" t="s">
        <v>3486</v>
      </c>
      <c r="G4399" s="14" t="s">
        <v>3487</v>
      </c>
      <c r="H4399" s="2" t="s">
        <v>24</v>
      </c>
      <c r="I4399" s="2" t="s">
        <v>3491</v>
      </c>
      <c r="J4399" s="2">
        <v>1.0</v>
      </c>
      <c r="K4399" s="23" t="s">
        <v>4135</v>
      </c>
      <c r="L4399" s="11">
        <v>0.0</v>
      </c>
      <c r="N4399" s="2"/>
      <c r="O4399" s="2" t="b">
        <v>0</v>
      </c>
    </row>
    <row r="4400">
      <c r="A4400" s="8" t="s">
        <v>3360</v>
      </c>
      <c r="B4400" s="8" t="s">
        <v>3360</v>
      </c>
      <c r="C4400" s="13">
        <v>46119.60967592592</v>
      </c>
      <c r="D4400" s="2" t="s">
        <v>2577</v>
      </c>
      <c r="E4400" s="2" t="s">
        <v>2578</v>
      </c>
      <c r="F4400" s="14" t="s">
        <v>4203</v>
      </c>
      <c r="G4400" s="14" t="s">
        <v>4204</v>
      </c>
      <c r="H4400" s="2" t="s">
        <v>24</v>
      </c>
      <c r="I4400" s="2" t="s">
        <v>3491</v>
      </c>
      <c r="J4400" s="2">
        <v>3.0</v>
      </c>
      <c r="K4400" s="23" t="s">
        <v>6607</v>
      </c>
      <c r="L4400" s="11">
        <v>0.0</v>
      </c>
      <c r="N4400" s="2"/>
      <c r="O4400" s="2" t="b">
        <v>0</v>
      </c>
    </row>
    <row r="4401">
      <c r="A4401" s="8" t="s">
        <v>3361</v>
      </c>
      <c r="B4401" s="8" t="s">
        <v>3361</v>
      </c>
      <c r="C4401" s="13">
        <v>46119.61032407408</v>
      </c>
      <c r="D4401" s="2" t="s">
        <v>786</v>
      </c>
      <c r="E4401" s="2" t="s">
        <v>787</v>
      </c>
      <c r="F4401" s="14" t="s">
        <v>3486</v>
      </c>
      <c r="G4401" s="14" t="s">
        <v>3487</v>
      </c>
      <c r="H4401" s="2" t="s">
        <v>24</v>
      </c>
      <c r="I4401" s="2" t="s">
        <v>3491</v>
      </c>
      <c r="J4401" s="2">
        <v>3.0</v>
      </c>
      <c r="K4401" s="23" t="s">
        <v>6608</v>
      </c>
      <c r="L4401" s="11">
        <v>0.0</v>
      </c>
      <c r="N4401" s="2"/>
      <c r="O4401" s="2" t="b">
        <v>0</v>
      </c>
    </row>
    <row r="4402">
      <c r="A4402" s="8" t="s">
        <v>3361</v>
      </c>
      <c r="B4402" s="8" t="s">
        <v>3361</v>
      </c>
      <c r="C4402" s="13">
        <v>46119.61032407408</v>
      </c>
      <c r="D4402" s="2" t="s">
        <v>786</v>
      </c>
      <c r="E4402" s="2" t="s">
        <v>787</v>
      </c>
      <c r="F4402" s="14" t="s">
        <v>3516</v>
      </c>
      <c r="G4402" s="14" t="s">
        <v>3517</v>
      </c>
      <c r="H4402" s="2" t="s">
        <v>24</v>
      </c>
      <c r="I4402" s="2" t="s">
        <v>3491</v>
      </c>
      <c r="J4402" s="2">
        <v>1.0</v>
      </c>
      <c r="K4402" s="23" t="s">
        <v>5331</v>
      </c>
      <c r="L4402" s="11">
        <v>0.0</v>
      </c>
      <c r="N4402" s="2"/>
      <c r="O4402" s="2" t="b">
        <v>0</v>
      </c>
    </row>
    <row r="4403">
      <c r="A4403" s="8" t="s">
        <v>3362</v>
      </c>
      <c r="B4403" s="8" t="s">
        <v>3362</v>
      </c>
      <c r="C4403" s="13">
        <v>46119.67454861111</v>
      </c>
      <c r="D4403" s="2" t="s">
        <v>326</v>
      </c>
      <c r="E4403" s="2" t="s">
        <v>327</v>
      </c>
      <c r="F4403" s="14" t="s">
        <v>3486</v>
      </c>
      <c r="G4403" s="14" t="s">
        <v>3487</v>
      </c>
      <c r="H4403" s="2" t="s">
        <v>24</v>
      </c>
      <c r="I4403" s="2" t="s">
        <v>3491</v>
      </c>
      <c r="J4403" s="2">
        <v>5.0</v>
      </c>
      <c r="K4403" s="23" t="s">
        <v>6609</v>
      </c>
      <c r="L4403" s="11">
        <v>0.0</v>
      </c>
      <c r="N4403" s="2"/>
      <c r="O4403" s="2" t="b">
        <v>0</v>
      </c>
    </row>
    <row r="4404">
      <c r="A4404" s="8" t="s">
        <v>3363</v>
      </c>
      <c r="B4404" s="8" t="s">
        <v>3363</v>
      </c>
      <c r="C4404" s="13">
        <v>46119.67502314815</v>
      </c>
      <c r="D4404" s="2" t="s">
        <v>1993</v>
      </c>
      <c r="E4404" s="2" t="s">
        <v>1994</v>
      </c>
      <c r="F4404" s="14" t="s">
        <v>3486</v>
      </c>
      <c r="G4404" s="14" t="s">
        <v>3487</v>
      </c>
      <c r="H4404" s="2" t="s">
        <v>24</v>
      </c>
      <c r="I4404" s="2" t="s">
        <v>3491</v>
      </c>
      <c r="J4404" s="2">
        <v>5.0</v>
      </c>
      <c r="K4404" s="23" t="s">
        <v>6610</v>
      </c>
      <c r="L4404" s="11">
        <v>0.0</v>
      </c>
      <c r="N4404" s="2"/>
      <c r="O4404" s="2" t="b">
        <v>0</v>
      </c>
    </row>
    <row r="4405">
      <c r="A4405" s="8" t="s">
        <v>3363</v>
      </c>
      <c r="B4405" s="8" t="s">
        <v>3363</v>
      </c>
      <c r="C4405" s="13">
        <v>46119.67502314815</v>
      </c>
      <c r="D4405" s="2" t="s">
        <v>1993</v>
      </c>
      <c r="E4405" s="2" t="s">
        <v>1994</v>
      </c>
      <c r="F4405" s="14" t="s">
        <v>4203</v>
      </c>
      <c r="G4405" s="14" t="s">
        <v>4204</v>
      </c>
      <c r="H4405" s="2" t="s">
        <v>24</v>
      </c>
      <c r="I4405" s="2" t="s">
        <v>3491</v>
      </c>
      <c r="J4405" s="2">
        <v>1.0</v>
      </c>
      <c r="K4405" s="23" t="s">
        <v>4406</v>
      </c>
      <c r="L4405" s="11">
        <v>0.0</v>
      </c>
      <c r="N4405" s="2"/>
      <c r="O4405" s="2" t="b">
        <v>0</v>
      </c>
    </row>
    <row r="4406">
      <c r="A4406" s="8" t="s">
        <v>3363</v>
      </c>
      <c r="B4406" s="8" t="s">
        <v>3363</v>
      </c>
      <c r="C4406" s="13">
        <v>46119.67502314815</v>
      </c>
      <c r="D4406" s="2" t="s">
        <v>1993</v>
      </c>
      <c r="E4406" s="2" t="s">
        <v>1994</v>
      </c>
      <c r="F4406" s="14" t="s">
        <v>3516</v>
      </c>
      <c r="G4406" s="14" t="s">
        <v>3517</v>
      </c>
      <c r="H4406" s="2" t="s">
        <v>24</v>
      </c>
      <c r="I4406" s="2" t="s">
        <v>3491</v>
      </c>
      <c r="J4406" s="2">
        <v>3.0</v>
      </c>
      <c r="K4406" s="23" t="s">
        <v>6611</v>
      </c>
      <c r="L4406" s="11">
        <v>0.0</v>
      </c>
      <c r="N4406" s="2"/>
      <c r="O4406" s="2" t="b">
        <v>0</v>
      </c>
    </row>
    <row r="4407">
      <c r="A4407" s="8" t="s">
        <v>3364</v>
      </c>
      <c r="B4407" s="8" t="s">
        <v>3364</v>
      </c>
      <c r="C4407" s="13">
        <v>46120.351064814815</v>
      </c>
      <c r="D4407" s="2" t="s">
        <v>2543</v>
      </c>
      <c r="E4407" s="2" t="s">
        <v>2544</v>
      </c>
      <c r="F4407" s="14" t="s">
        <v>3516</v>
      </c>
      <c r="G4407" s="14" t="s">
        <v>3517</v>
      </c>
      <c r="H4407" s="2" t="s">
        <v>16</v>
      </c>
      <c r="I4407" s="2" t="s">
        <v>3488</v>
      </c>
      <c r="J4407" s="2">
        <v>5.0</v>
      </c>
      <c r="K4407" s="23" t="s">
        <v>6612</v>
      </c>
      <c r="L4407" s="11">
        <v>190000.0</v>
      </c>
      <c r="N4407" s="2"/>
      <c r="O4407" s="2" t="b">
        <v>0</v>
      </c>
    </row>
    <row r="4408">
      <c r="A4408" s="8" t="s">
        <v>3365</v>
      </c>
      <c r="B4408" s="8" t="s">
        <v>3365</v>
      </c>
      <c r="C4408" s="13">
        <v>46120.35475694444</v>
      </c>
      <c r="D4408" s="2" t="s">
        <v>786</v>
      </c>
      <c r="E4408" s="2" t="s">
        <v>787</v>
      </c>
      <c r="F4408" s="14" t="s">
        <v>3486</v>
      </c>
      <c r="G4408" s="14" t="s">
        <v>3487</v>
      </c>
      <c r="H4408" s="2" t="s">
        <v>16</v>
      </c>
      <c r="I4408" s="2" t="s">
        <v>3488</v>
      </c>
      <c r="J4408" s="2">
        <v>6.0</v>
      </c>
      <c r="K4408" s="23" t="s">
        <v>6613</v>
      </c>
      <c r="L4408" s="11">
        <v>60000.0</v>
      </c>
      <c r="N4408" s="2"/>
      <c r="O4408" s="2" t="b">
        <v>0</v>
      </c>
    </row>
    <row r="4409">
      <c r="A4409" s="8" t="s">
        <v>3365</v>
      </c>
      <c r="B4409" s="8" t="s">
        <v>3365</v>
      </c>
      <c r="C4409" s="13">
        <v>46120.35475694444</v>
      </c>
      <c r="D4409" s="2" t="s">
        <v>786</v>
      </c>
      <c r="E4409" s="2" t="s">
        <v>787</v>
      </c>
      <c r="F4409" s="14" t="s">
        <v>3516</v>
      </c>
      <c r="G4409" s="14" t="s">
        <v>3517</v>
      </c>
      <c r="H4409" s="2" t="s">
        <v>16</v>
      </c>
      <c r="I4409" s="2" t="s">
        <v>3488</v>
      </c>
      <c r="J4409" s="2">
        <v>1.0</v>
      </c>
      <c r="K4409" s="23" t="s">
        <v>5383</v>
      </c>
      <c r="L4409" s="11">
        <v>180000.0</v>
      </c>
      <c r="N4409" s="2"/>
      <c r="O4409" s="2" t="b">
        <v>0</v>
      </c>
    </row>
    <row r="4410">
      <c r="A4410" s="8" t="s">
        <v>3366</v>
      </c>
      <c r="B4410" s="8" t="s">
        <v>3366</v>
      </c>
      <c r="C4410" s="13">
        <v>46120.358136574076</v>
      </c>
      <c r="D4410" s="2" t="s">
        <v>1963</v>
      </c>
      <c r="E4410" s="2" t="s">
        <v>1964</v>
      </c>
      <c r="F4410" s="14" t="s">
        <v>3486</v>
      </c>
      <c r="G4410" s="14" t="s">
        <v>3487</v>
      </c>
      <c r="H4410" s="2" t="s">
        <v>16</v>
      </c>
      <c r="I4410" s="2" t="s">
        <v>3488</v>
      </c>
      <c r="J4410" s="2">
        <v>2.0</v>
      </c>
      <c r="K4410" s="23" t="s">
        <v>6614</v>
      </c>
      <c r="L4410" s="11">
        <v>60000.0</v>
      </c>
      <c r="N4410" s="2"/>
      <c r="O4410" s="2" t="b">
        <v>0</v>
      </c>
    </row>
    <row r="4411">
      <c r="A4411" s="8" t="s">
        <v>3367</v>
      </c>
      <c r="B4411" s="8" t="s">
        <v>3367</v>
      </c>
      <c r="C4411" s="13">
        <v>46120.361608796295</v>
      </c>
      <c r="D4411" s="2" t="s">
        <v>2081</v>
      </c>
      <c r="E4411" s="2" t="s">
        <v>2082</v>
      </c>
      <c r="F4411" s="14" t="s">
        <v>3506</v>
      </c>
      <c r="G4411" s="14" t="s">
        <v>3507</v>
      </c>
      <c r="H4411" s="2" t="s">
        <v>16</v>
      </c>
      <c r="I4411" s="2" t="s">
        <v>3488</v>
      </c>
      <c r="J4411" s="2">
        <v>1.0</v>
      </c>
      <c r="K4411" s="12"/>
      <c r="L4411" s="11">
        <v>55000.0</v>
      </c>
      <c r="N4411" s="2"/>
      <c r="O4411" s="2" t="b">
        <v>0</v>
      </c>
    </row>
    <row r="4412">
      <c r="A4412" s="8" t="s">
        <v>3367</v>
      </c>
      <c r="B4412" s="8" t="s">
        <v>3367</v>
      </c>
      <c r="C4412" s="13">
        <v>46120.361608796295</v>
      </c>
      <c r="D4412" s="2" t="s">
        <v>2081</v>
      </c>
      <c r="E4412" s="2" t="s">
        <v>2082</v>
      </c>
      <c r="F4412" s="14" t="s">
        <v>5565</v>
      </c>
      <c r="G4412" s="14" t="s">
        <v>5566</v>
      </c>
      <c r="H4412" s="2" t="s">
        <v>16</v>
      </c>
      <c r="I4412" s="2" t="s">
        <v>3488</v>
      </c>
      <c r="J4412" s="2">
        <v>1.0</v>
      </c>
      <c r="K4412" s="12"/>
      <c r="L4412" s="11">
        <v>30000.0</v>
      </c>
      <c r="N4412" s="2"/>
      <c r="O4412" s="2" t="b">
        <v>0</v>
      </c>
    </row>
    <row r="4413">
      <c r="A4413" s="8" t="s">
        <v>3368</v>
      </c>
      <c r="B4413" s="8" t="s">
        <v>3368</v>
      </c>
      <c r="C4413" s="13">
        <v>46120.361979166664</v>
      </c>
      <c r="D4413" s="2" t="s">
        <v>943</v>
      </c>
      <c r="E4413" s="2" t="s">
        <v>944</v>
      </c>
      <c r="F4413" s="14" t="s">
        <v>3506</v>
      </c>
      <c r="G4413" s="14" t="s">
        <v>3507</v>
      </c>
      <c r="H4413" s="2" t="s">
        <v>16</v>
      </c>
      <c r="I4413" s="2" t="s">
        <v>3488</v>
      </c>
      <c r="J4413" s="2">
        <v>2.0</v>
      </c>
      <c r="K4413" s="12"/>
      <c r="L4413" s="11">
        <v>50000.0</v>
      </c>
      <c r="N4413" s="2"/>
      <c r="O4413" s="2" t="b">
        <v>0</v>
      </c>
    </row>
    <row r="4414">
      <c r="A4414" s="8" t="s">
        <v>3369</v>
      </c>
      <c r="B4414" s="8" t="s">
        <v>3369</v>
      </c>
      <c r="C4414" s="13">
        <v>46120.36988425926</v>
      </c>
      <c r="D4414" s="2" t="s">
        <v>1993</v>
      </c>
      <c r="E4414" s="2" t="s">
        <v>1994</v>
      </c>
      <c r="F4414" s="14" t="s">
        <v>3486</v>
      </c>
      <c r="G4414" s="14" t="s">
        <v>3487</v>
      </c>
      <c r="H4414" s="2" t="s">
        <v>16</v>
      </c>
      <c r="I4414" s="2" t="s">
        <v>3488</v>
      </c>
      <c r="J4414" s="2">
        <v>10.0</v>
      </c>
      <c r="K4414" s="23" t="s">
        <v>6615</v>
      </c>
      <c r="L4414" s="11">
        <v>65000.0</v>
      </c>
      <c r="N4414" s="2"/>
      <c r="O4414" s="2" t="b">
        <v>0</v>
      </c>
    </row>
    <row r="4415">
      <c r="A4415" s="8" t="s">
        <v>3369</v>
      </c>
      <c r="B4415" s="8" t="s">
        <v>3369</v>
      </c>
      <c r="C4415" s="13">
        <v>46120.36988425926</v>
      </c>
      <c r="D4415" s="2" t="s">
        <v>1993</v>
      </c>
      <c r="E4415" s="2" t="s">
        <v>1994</v>
      </c>
      <c r="F4415" s="14" t="s">
        <v>3516</v>
      </c>
      <c r="G4415" s="14" t="s">
        <v>3517</v>
      </c>
      <c r="H4415" s="2" t="s">
        <v>16</v>
      </c>
      <c r="I4415" s="2" t="s">
        <v>3488</v>
      </c>
      <c r="J4415" s="2">
        <v>3.0</v>
      </c>
      <c r="K4415" s="23" t="s">
        <v>6616</v>
      </c>
      <c r="L4415" s="11">
        <v>190000.0</v>
      </c>
      <c r="N4415" s="2"/>
      <c r="O4415" s="2" t="b">
        <v>0</v>
      </c>
    </row>
    <row r="4416">
      <c r="A4416" s="8" t="s">
        <v>3369</v>
      </c>
      <c r="B4416" s="8" t="s">
        <v>3369</v>
      </c>
      <c r="C4416" s="13">
        <v>46120.36988425926</v>
      </c>
      <c r="D4416" s="2" t="s">
        <v>1993</v>
      </c>
      <c r="E4416" s="2" t="s">
        <v>1994</v>
      </c>
      <c r="F4416" s="14" t="s">
        <v>3493</v>
      </c>
      <c r="G4416" s="14" t="s">
        <v>3494</v>
      </c>
      <c r="H4416" s="2" t="s">
        <v>16</v>
      </c>
      <c r="I4416" s="2" t="s">
        <v>3488</v>
      </c>
      <c r="J4416" s="2">
        <v>2.0</v>
      </c>
      <c r="K4416" s="12"/>
      <c r="L4416" s="11">
        <v>200000.0</v>
      </c>
      <c r="N4416" s="2"/>
      <c r="O4416" s="2" t="b">
        <v>0</v>
      </c>
    </row>
    <row r="4417">
      <c r="A4417" s="8" t="s">
        <v>3371</v>
      </c>
      <c r="B4417" s="8" t="s">
        <v>3371</v>
      </c>
      <c r="C4417" s="13">
        <v>46120.49753472222</v>
      </c>
      <c r="D4417" s="2" t="s">
        <v>786</v>
      </c>
      <c r="E4417" s="2" t="s">
        <v>787</v>
      </c>
      <c r="F4417" s="14" t="s">
        <v>3486</v>
      </c>
      <c r="G4417" s="14" t="s">
        <v>3487</v>
      </c>
      <c r="H4417" s="2" t="s">
        <v>24</v>
      </c>
      <c r="I4417" s="2" t="s">
        <v>3491</v>
      </c>
      <c r="J4417" s="2">
        <v>6.0</v>
      </c>
      <c r="K4417" s="23" t="s">
        <v>6617</v>
      </c>
      <c r="L4417" s="11">
        <v>0.0</v>
      </c>
      <c r="N4417" s="2"/>
      <c r="O4417" s="2" t="b">
        <v>0</v>
      </c>
    </row>
    <row r="4418">
      <c r="A4418" s="8" t="s">
        <v>3371</v>
      </c>
      <c r="B4418" s="8" t="s">
        <v>3371</v>
      </c>
      <c r="C4418" s="13">
        <v>46120.49753472222</v>
      </c>
      <c r="D4418" s="2" t="s">
        <v>786</v>
      </c>
      <c r="E4418" s="2" t="s">
        <v>787</v>
      </c>
      <c r="F4418" s="14" t="s">
        <v>3516</v>
      </c>
      <c r="G4418" s="14" t="s">
        <v>3517</v>
      </c>
      <c r="H4418" s="2" t="s">
        <v>24</v>
      </c>
      <c r="I4418" s="2" t="s">
        <v>3491</v>
      </c>
      <c r="J4418" s="2">
        <v>1.0</v>
      </c>
      <c r="K4418" s="23" t="s">
        <v>4967</v>
      </c>
      <c r="L4418" s="11">
        <v>0.0</v>
      </c>
      <c r="N4418" s="2"/>
      <c r="O4418" s="2" t="b">
        <v>0</v>
      </c>
    </row>
    <row r="4419">
      <c r="A4419" s="8" t="s">
        <v>3372</v>
      </c>
      <c r="B4419" s="8" t="s">
        <v>3372</v>
      </c>
      <c r="C4419" s="13">
        <v>46120.498344907406</v>
      </c>
      <c r="D4419" s="2" t="s">
        <v>2543</v>
      </c>
      <c r="E4419" s="2" t="s">
        <v>2544</v>
      </c>
      <c r="F4419" s="14" t="s">
        <v>3516</v>
      </c>
      <c r="G4419" s="14" t="s">
        <v>3517</v>
      </c>
      <c r="H4419" s="2" t="s">
        <v>24</v>
      </c>
      <c r="I4419" s="2" t="s">
        <v>3491</v>
      </c>
      <c r="J4419" s="2">
        <v>1.0</v>
      </c>
      <c r="K4419" s="23" t="s">
        <v>4733</v>
      </c>
      <c r="L4419" s="11">
        <v>0.0</v>
      </c>
      <c r="N4419" s="2"/>
      <c r="O4419" s="2" t="b">
        <v>0</v>
      </c>
    </row>
    <row r="4420">
      <c r="A4420" s="8" t="s">
        <v>3370</v>
      </c>
      <c r="B4420" s="8" t="s">
        <v>3370</v>
      </c>
      <c r="C4420" s="13">
        <v>46120.4969212963</v>
      </c>
      <c r="D4420" s="2" t="s">
        <v>1618</v>
      </c>
      <c r="E4420" s="2" t="s">
        <v>1619</v>
      </c>
      <c r="F4420" s="14" t="s">
        <v>3516</v>
      </c>
      <c r="G4420" s="14" t="s">
        <v>3517</v>
      </c>
      <c r="H4420" s="2" t="s">
        <v>16</v>
      </c>
      <c r="I4420" s="2" t="s">
        <v>3488</v>
      </c>
      <c r="J4420" s="2">
        <v>4.0</v>
      </c>
      <c r="K4420" s="23" t="s">
        <v>6618</v>
      </c>
      <c r="L4420" s="11">
        <v>190000.0</v>
      </c>
      <c r="N4420" s="2"/>
      <c r="O4420" s="2" t="b">
        <v>0</v>
      </c>
    </row>
    <row r="4421">
      <c r="A4421" s="8" t="s">
        <v>3373</v>
      </c>
      <c r="B4421" s="8" t="s">
        <v>3373</v>
      </c>
      <c r="C4421" s="13">
        <v>46120.49905092592</v>
      </c>
      <c r="D4421" s="2" t="s">
        <v>885</v>
      </c>
      <c r="E4421" s="2" t="s">
        <v>886</v>
      </c>
      <c r="F4421" s="14" t="s">
        <v>3522</v>
      </c>
      <c r="G4421" s="14" t="s">
        <v>3523</v>
      </c>
      <c r="H4421" s="2" t="s">
        <v>16</v>
      </c>
      <c r="I4421" s="2" t="s">
        <v>3488</v>
      </c>
      <c r="J4421" s="2">
        <v>4.0</v>
      </c>
      <c r="K4421" s="23" t="s">
        <v>6619</v>
      </c>
      <c r="L4421" s="11">
        <v>210000.0</v>
      </c>
      <c r="N4421" s="2"/>
      <c r="O4421" s="2" t="b">
        <v>0</v>
      </c>
    </row>
    <row r="4422">
      <c r="A4422" s="8" t="s">
        <v>3374</v>
      </c>
      <c r="B4422" s="8" t="s">
        <v>3374</v>
      </c>
      <c r="C4422" s="13">
        <v>46120.62568287037</v>
      </c>
      <c r="D4422" s="2" t="s">
        <v>943</v>
      </c>
      <c r="E4422" s="2" t="s">
        <v>944</v>
      </c>
      <c r="F4422" s="14" t="s">
        <v>3506</v>
      </c>
      <c r="G4422" s="14" t="s">
        <v>3507</v>
      </c>
      <c r="H4422" s="2" t="s">
        <v>24</v>
      </c>
      <c r="I4422" s="2" t="s">
        <v>3491</v>
      </c>
      <c r="J4422" s="2">
        <v>1.0</v>
      </c>
      <c r="K4422" s="12"/>
      <c r="L4422" s="11">
        <v>0.0</v>
      </c>
      <c r="N4422" s="2"/>
      <c r="O4422" s="2" t="b">
        <v>0</v>
      </c>
    </row>
    <row r="4423">
      <c r="A4423" s="8" t="s">
        <v>3375</v>
      </c>
      <c r="B4423" s="8" t="s">
        <v>3375</v>
      </c>
      <c r="C4423" s="13">
        <v>46120.62604166667</v>
      </c>
      <c r="D4423" s="2" t="s">
        <v>2081</v>
      </c>
      <c r="E4423" s="2" t="s">
        <v>2082</v>
      </c>
      <c r="F4423" s="14" t="s">
        <v>3506</v>
      </c>
      <c r="G4423" s="14" t="s">
        <v>3507</v>
      </c>
      <c r="H4423" s="2" t="s">
        <v>24</v>
      </c>
      <c r="I4423" s="2" t="s">
        <v>3491</v>
      </c>
      <c r="J4423" s="2">
        <v>1.0</v>
      </c>
      <c r="K4423" s="12"/>
      <c r="L4423" s="11">
        <v>0.0</v>
      </c>
      <c r="N4423" s="2"/>
      <c r="O4423" s="2" t="b">
        <v>0</v>
      </c>
    </row>
    <row r="4424">
      <c r="A4424" s="8" t="s">
        <v>3376</v>
      </c>
      <c r="B4424" s="8" t="s">
        <v>3376</v>
      </c>
      <c r="C4424" s="13">
        <v>46120.62633101852</v>
      </c>
      <c r="D4424" s="2" t="s">
        <v>1228</v>
      </c>
      <c r="E4424" s="2" t="s">
        <v>1229</v>
      </c>
      <c r="F4424" s="14" t="s">
        <v>3486</v>
      </c>
      <c r="G4424" s="14" t="s">
        <v>3487</v>
      </c>
      <c r="H4424" s="2" t="s">
        <v>24</v>
      </c>
      <c r="I4424" s="2" t="s">
        <v>3491</v>
      </c>
      <c r="J4424" s="2">
        <v>6.0</v>
      </c>
      <c r="K4424" s="23" t="s">
        <v>6620</v>
      </c>
      <c r="L4424" s="11">
        <v>0.0</v>
      </c>
      <c r="N4424" s="2"/>
      <c r="O4424" s="2" t="b">
        <v>0</v>
      </c>
    </row>
    <row r="4425">
      <c r="A4425" s="8" t="s">
        <v>3376</v>
      </c>
      <c r="B4425" s="8" t="s">
        <v>3376</v>
      </c>
      <c r="C4425" s="13">
        <v>46120.62633101852</v>
      </c>
      <c r="D4425" s="2" t="s">
        <v>1228</v>
      </c>
      <c r="E4425" s="2" t="s">
        <v>1229</v>
      </c>
      <c r="F4425" s="14" t="s">
        <v>4203</v>
      </c>
      <c r="G4425" s="14" t="s">
        <v>4204</v>
      </c>
      <c r="H4425" s="2" t="s">
        <v>24</v>
      </c>
      <c r="I4425" s="2" t="s">
        <v>3491</v>
      </c>
      <c r="J4425" s="2">
        <v>1.0</v>
      </c>
      <c r="K4425" s="23" t="s">
        <v>4406</v>
      </c>
      <c r="L4425" s="11">
        <v>0.0</v>
      </c>
      <c r="N4425" s="2"/>
      <c r="O4425" s="2" t="b">
        <v>1</v>
      </c>
    </row>
    <row r="4426">
      <c r="A4426" s="8" t="s">
        <v>3377</v>
      </c>
      <c r="B4426" s="8" t="s">
        <v>3377</v>
      </c>
      <c r="C4426" s="13">
        <v>46120.62761574074</v>
      </c>
      <c r="D4426" s="2" t="s">
        <v>2640</v>
      </c>
      <c r="E4426" s="2" t="s">
        <v>2641</v>
      </c>
      <c r="F4426" s="14" t="s">
        <v>3486</v>
      </c>
      <c r="G4426" s="14" t="s">
        <v>3487</v>
      </c>
      <c r="H4426" s="2" t="s">
        <v>24</v>
      </c>
      <c r="I4426" s="2" t="s">
        <v>3491</v>
      </c>
      <c r="J4426" s="2">
        <v>2.0</v>
      </c>
      <c r="K4426" s="23" t="s">
        <v>6621</v>
      </c>
      <c r="L4426" s="11">
        <v>0.0</v>
      </c>
      <c r="N4426" s="2"/>
      <c r="O4426" s="2" t="b">
        <v>0</v>
      </c>
    </row>
    <row r="4427">
      <c r="A4427" s="8" t="s">
        <v>3377</v>
      </c>
      <c r="B4427" s="8" t="s">
        <v>3377</v>
      </c>
      <c r="C4427" s="13">
        <v>46120.62761574074</v>
      </c>
      <c r="D4427" s="2" t="s">
        <v>2640</v>
      </c>
      <c r="E4427" s="2" t="s">
        <v>2641</v>
      </c>
      <c r="F4427" s="14" t="s">
        <v>3516</v>
      </c>
      <c r="G4427" s="14" t="s">
        <v>3517</v>
      </c>
      <c r="H4427" s="2" t="s">
        <v>24</v>
      </c>
      <c r="I4427" s="2" t="s">
        <v>3491</v>
      </c>
      <c r="J4427" s="2">
        <v>1.0</v>
      </c>
      <c r="K4427" s="23" t="s">
        <v>6622</v>
      </c>
      <c r="L4427" s="11">
        <v>0.0</v>
      </c>
      <c r="N4427" s="2"/>
      <c r="O4427" s="2" t="b">
        <v>0</v>
      </c>
    </row>
    <row r="4428">
      <c r="A4428" s="8" t="s">
        <v>3378</v>
      </c>
      <c r="B4428" s="8" t="s">
        <v>3378</v>
      </c>
      <c r="C4428" s="13">
        <v>46120.64890046296</v>
      </c>
      <c r="D4428" s="2" t="s">
        <v>2503</v>
      </c>
      <c r="E4428" s="2" t="s">
        <v>2504</v>
      </c>
      <c r="F4428" s="14" t="s">
        <v>3486</v>
      </c>
      <c r="G4428" s="14" t="s">
        <v>3487</v>
      </c>
      <c r="H4428" s="2" t="s">
        <v>24</v>
      </c>
      <c r="I4428" s="2" t="s">
        <v>3491</v>
      </c>
      <c r="J4428" s="2">
        <v>4.0</v>
      </c>
      <c r="K4428" s="23" t="s">
        <v>6623</v>
      </c>
      <c r="L4428" s="11">
        <v>0.0</v>
      </c>
      <c r="N4428" s="2"/>
      <c r="O4428" s="2" t="b">
        <v>0</v>
      </c>
    </row>
    <row r="4429">
      <c r="A4429" s="8" t="s">
        <v>3204</v>
      </c>
      <c r="B4429" s="8" t="s">
        <v>3204</v>
      </c>
      <c r="C4429" s="13">
        <v>46097.591261574074</v>
      </c>
      <c r="D4429" s="2" t="s">
        <v>1993</v>
      </c>
      <c r="E4429" s="2" t="s">
        <v>1994</v>
      </c>
      <c r="F4429" s="14" t="s">
        <v>3516</v>
      </c>
      <c r="G4429" s="14" t="s">
        <v>3517</v>
      </c>
      <c r="H4429" s="2" t="s">
        <v>24</v>
      </c>
      <c r="I4429" s="2" t="s">
        <v>3491</v>
      </c>
      <c r="J4429" s="2">
        <v>1.0</v>
      </c>
      <c r="K4429" s="23" t="s">
        <v>5751</v>
      </c>
      <c r="L4429" s="11">
        <v>0.0</v>
      </c>
      <c r="N4429" s="2"/>
      <c r="O4429" s="2" t="b">
        <v>1</v>
      </c>
    </row>
    <row r="4430">
      <c r="A4430" s="8" t="s">
        <v>3379</v>
      </c>
      <c r="B4430" s="8" t="s">
        <v>3379</v>
      </c>
      <c r="C4430" s="13">
        <v>46120.668854166666</v>
      </c>
      <c r="D4430" s="2" t="s">
        <v>885</v>
      </c>
      <c r="E4430" s="2" t="s">
        <v>886</v>
      </c>
      <c r="F4430" s="14" t="s">
        <v>3522</v>
      </c>
      <c r="G4430" s="14" t="s">
        <v>3523</v>
      </c>
      <c r="H4430" s="2" t="s">
        <v>24</v>
      </c>
      <c r="I4430" s="2" t="s">
        <v>3491</v>
      </c>
      <c r="J4430" s="2">
        <v>1.0</v>
      </c>
      <c r="K4430" s="23" t="s">
        <v>6624</v>
      </c>
      <c r="L4430" s="11">
        <v>0.0</v>
      </c>
      <c r="N4430" s="2"/>
      <c r="O4430" s="2" t="b">
        <v>0</v>
      </c>
    </row>
    <row r="4431">
      <c r="A4431" s="8" t="s">
        <v>3379</v>
      </c>
      <c r="B4431" s="8" t="s">
        <v>3379</v>
      </c>
      <c r="C4431" s="13">
        <v>46120.668854166666</v>
      </c>
      <c r="D4431" s="2" t="s">
        <v>885</v>
      </c>
      <c r="E4431" s="2" t="s">
        <v>886</v>
      </c>
      <c r="F4431" s="14" t="s">
        <v>5765</v>
      </c>
      <c r="G4431" s="14" t="s">
        <v>5766</v>
      </c>
      <c r="H4431" s="2" t="s">
        <v>24</v>
      </c>
      <c r="I4431" s="2" t="s">
        <v>3491</v>
      </c>
      <c r="J4431" s="2">
        <v>2.0</v>
      </c>
      <c r="K4431" s="23" t="s">
        <v>6625</v>
      </c>
      <c r="L4431" s="11">
        <v>0.0</v>
      </c>
      <c r="N4431" s="2"/>
      <c r="O4431" s="2" t="b">
        <v>0</v>
      </c>
    </row>
    <row r="4432">
      <c r="A4432" s="8" t="s">
        <v>3380</v>
      </c>
      <c r="B4432" s="8" t="s">
        <v>3380</v>
      </c>
      <c r="C4432" s="13">
        <v>46120.66931712963</v>
      </c>
      <c r="D4432" s="2" t="s">
        <v>320</v>
      </c>
      <c r="E4432" s="2" t="s">
        <v>321</v>
      </c>
      <c r="F4432" s="14" t="s">
        <v>3486</v>
      </c>
      <c r="G4432" s="14" t="s">
        <v>3487</v>
      </c>
      <c r="H4432" s="2" t="s">
        <v>24</v>
      </c>
      <c r="I4432" s="2" t="s">
        <v>3491</v>
      </c>
      <c r="J4432" s="2">
        <v>2.0</v>
      </c>
      <c r="K4432" s="23" t="s">
        <v>6626</v>
      </c>
      <c r="L4432" s="11">
        <v>0.0</v>
      </c>
      <c r="N4432" s="2"/>
      <c r="O4432" s="2" t="b">
        <v>0</v>
      </c>
    </row>
    <row r="4433">
      <c r="A4433" s="8" t="s">
        <v>3380</v>
      </c>
      <c r="B4433" s="8" t="s">
        <v>3380</v>
      </c>
      <c r="C4433" s="13">
        <v>46120.66931712963</v>
      </c>
      <c r="D4433" s="2" t="s">
        <v>320</v>
      </c>
      <c r="E4433" s="2" t="s">
        <v>321</v>
      </c>
      <c r="F4433" s="14" t="s">
        <v>3516</v>
      </c>
      <c r="G4433" s="14" t="s">
        <v>3517</v>
      </c>
      <c r="H4433" s="2" t="s">
        <v>24</v>
      </c>
      <c r="I4433" s="2" t="s">
        <v>3491</v>
      </c>
      <c r="J4433" s="2">
        <v>1.0</v>
      </c>
      <c r="K4433" s="23" t="s">
        <v>5047</v>
      </c>
      <c r="L4433" s="11">
        <v>0.0</v>
      </c>
      <c r="N4433" s="2"/>
      <c r="O4433" s="2" t="b">
        <v>0</v>
      </c>
    </row>
    <row r="4434">
      <c r="A4434" s="8" t="s">
        <v>3381</v>
      </c>
      <c r="B4434" s="8" t="s">
        <v>3381</v>
      </c>
      <c r="C4434" s="13">
        <v>46120.66972222222</v>
      </c>
      <c r="D4434" s="2" t="s">
        <v>1618</v>
      </c>
      <c r="E4434" s="2" t="s">
        <v>1619</v>
      </c>
      <c r="F4434" s="14" t="s">
        <v>3516</v>
      </c>
      <c r="G4434" s="14" t="s">
        <v>3517</v>
      </c>
      <c r="H4434" s="2" t="s">
        <v>24</v>
      </c>
      <c r="I4434" s="2" t="s">
        <v>3491</v>
      </c>
      <c r="J4434" s="2">
        <v>2.0</v>
      </c>
      <c r="K4434" s="23" t="s">
        <v>6627</v>
      </c>
      <c r="L4434" s="11">
        <v>0.0</v>
      </c>
      <c r="N4434" s="2"/>
      <c r="O4434" s="2" t="b">
        <v>0</v>
      </c>
    </row>
    <row r="4435">
      <c r="A4435" s="8" t="s">
        <v>3382</v>
      </c>
      <c r="B4435" s="8" t="s">
        <v>3382</v>
      </c>
      <c r="C4435" s="13">
        <v>46120.67042824074</v>
      </c>
      <c r="D4435" s="2" t="s">
        <v>131</v>
      </c>
      <c r="E4435" s="2" t="s">
        <v>132</v>
      </c>
      <c r="F4435" s="14" t="s">
        <v>4203</v>
      </c>
      <c r="G4435" s="14" t="s">
        <v>4204</v>
      </c>
      <c r="H4435" s="2" t="s">
        <v>24</v>
      </c>
      <c r="I4435" s="2" t="s">
        <v>3491</v>
      </c>
      <c r="J4435" s="2">
        <v>4.0</v>
      </c>
      <c r="K4435" s="23" t="s">
        <v>6628</v>
      </c>
      <c r="L4435" s="11">
        <v>0.0</v>
      </c>
      <c r="N4435" s="2"/>
      <c r="O4435" s="2" t="b">
        <v>0</v>
      </c>
    </row>
    <row r="4436">
      <c r="A4436" s="8" t="s">
        <v>3383</v>
      </c>
      <c r="B4436" s="8" t="s">
        <v>3383</v>
      </c>
      <c r="C4436" s="13">
        <v>46121.36016203704</v>
      </c>
      <c r="D4436" s="2" t="s">
        <v>320</v>
      </c>
      <c r="E4436" s="2" t="s">
        <v>321</v>
      </c>
      <c r="F4436" s="14" t="s">
        <v>3486</v>
      </c>
      <c r="G4436" s="14" t="s">
        <v>3487</v>
      </c>
      <c r="H4436" s="2" t="s">
        <v>16</v>
      </c>
      <c r="I4436" s="2" t="s">
        <v>3488</v>
      </c>
      <c r="J4436" s="2">
        <v>2.0</v>
      </c>
      <c r="K4436" s="23" t="s">
        <v>6629</v>
      </c>
      <c r="L4436" s="11">
        <v>70000.0</v>
      </c>
      <c r="N4436" s="2"/>
      <c r="O4436" s="2" t="b">
        <v>0</v>
      </c>
    </row>
    <row r="4437">
      <c r="A4437" s="8" t="s">
        <v>3383</v>
      </c>
      <c r="B4437" s="8" t="s">
        <v>3383</v>
      </c>
      <c r="C4437" s="13">
        <v>46121.36016203704</v>
      </c>
      <c r="D4437" s="2" t="s">
        <v>320</v>
      </c>
      <c r="E4437" s="2" t="s">
        <v>321</v>
      </c>
      <c r="F4437" s="14" t="s">
        <v>3516</v>
      </c>
      <c r="G4437" s="14" t="s">
        <v>3517</v>
      </c>
      <c r="H4437" s="2" t="s">
        <v>16</v>
      </c>
      <c r="I4437" s="2" t="s">
        <v>3488</v>
      </c>
      <c r="J4437" s="2">
        <v>1.0</v>
      </c>
      <c r="K4437" s="23" t="s">
        <v>6630</v>
      </c>
      <c r="L4437" s="11">
        <v>190000.0</v>
      </c>
      <c r="N4437" s="2"/>
      <c r="O4437" s="2" t="b">
        <v>0</v>
      </c>
    </row>
    <row r="4438">
      <c r="A4438" s="8" t="s">
        <v>3384</v>
      </c>
      <c r="B4438" s="8" t="s">
        <v>3384</v>
      </c>
      <c r="C4438" s="13">
        <v>46121.38113425926</v>
      </c>
      <c r="D4438" s="2" t="s">
        <v>2081</v>
      </c>
      <c r="E4438" s="2" t="s">
        <v>2082</v>
      </c>
      <c r="F4438" s="14" t="s">
        <v>3506</v>
      </c>
      <c r="G4438" s="14" t="s">
        <v>3507</v>
      </c>
      <c r="H4438" s="2" t="s">
        <v>16</v>
      </c>
      <c r="I4438" s="2" t="s">
        <v>3488</v>
      </c>
      <c r="J4438" s="2">
        <v>1.0</v>
      </c>
      <c r="K4438" s="12"/>
      <c r="L4438" s="11">
        <v>55000.0</v>
      </c>
      <c r="N4438" s="2"/>
      <c r="O4438" s="2" t="b">
        <v>0</v>
      </c>
    </row>
    <row r="4439">
      <c r="A4439" s="8" t="s">
        <v>3385</v>
      </c>
      <c r="B4439" s="8" t="s">
        <v>3385</v>
      </c>
      <c r="C4439" s="13">
        <v>46121.38958333333</v>
      </c>
      <c r="D4439" s="2" t="s">
        <v>1084</v>
      </c>
      <c r="E4439" s="2" t="s">
        <v>1085</v>
      </c>
      <c r="F4439" s="14" t="s">
        <v>3486</v>
      </c>
      <c r="G4439" s="14" t="s">
        <v>3487</v>
      </c>
      <c r="H4439" s="2" t="s">
        <v>16</v>
      </c>
      <c r="I4439" s="2" t="s">
        <v>3488</v>
      </c>
      <c r="J4439" s="2">
        <v>10.0</v>
      </c>
      <c r="K4439" s="23" t="s">
        <v>6631</v>
      </c>
      <c r="L4439" s="11">
        <v>60000.0</v>
      </c>
      <c r="N4439" s="2"/>
      <c r="O4439" s="2" t="b">
        <v>0</v>
      </c>
    </row>
    <row r="4440">
      <c r="A4440" s="8" t="s">
        <v>3386</v>
      </c>
      <c r="B4440" s="8" t="s">
        <v>3386</v>
      </c>
      <c r="C4440" s="13">
        <v>46121.39466435185</v>
      </c>
      <c r="D4440" s="2" t="s">
        <v>2005</v>
      </c>
      <c r="E4440" s="2" t="s">
        <v>2006</v>
      </c>
      <c r="F4440" s="14" t="s">
        <v>3486</v>
      </c>
      <c r="G4440" s="14" t="s">
        <v>3487</v>
      </c>
      <c r="H4440" s="2" t="s">
        <v>16</v>
      </c>
      <c r="I4440" s="2" t="s">
        <v>3488</v>
      </c>
      <c r="J4440" s="2">
        <v>9.0</v>
      </c>
      <c r="K4440" s="23" t="s">
        <v>6632</v>
      </c>
      <c r="L4440" s="11">
        <v>60000.0</v>
      </c>
      <c r="N4440" s="2"/>
      <c r="O4440" s="2" t="b">
        <v>0</v>
      </c>
    </row>
    <row r="4441">
      <c r="A4441" s="8" t="s">
        <v>3386</v>
      </c>
      <c r="B4441" s="8" t="s">
        <v>3386</v>
      </c>
      <c r="C4441" s="13">
        <v>46121.39466435185</v>
      </c>
      <c r="D4441" s="2" t="s">
        <v>2005</v>
      </c>
      <c r="E4441" s="2" t="s">
        <v>2006</v>
      </c>
      <c r="F4441" s="14" t="s">
        <v>4203</v>
      </c>
      <c r="G4441" s="14" t="s">
        <v>4204</v>
      </c>
      <c r="H4441" s="2" t="s">
        <v>16</v>
      </c>
      <c r="I4441" s="2" t="s">
        <v>3488</v>
      </c>
      <c r="J4441" s="2">
        <v>1.0</v>
      </c>
      <c r="K4441" s="23" t="s">
        <v>4406</v>
      </c>
      <c r="L4441" s="11">
        <v>65000.0</v>
      </c>
      <c r="N4441" s="2" t="s">
        <v>6633</v>
      </c>
      <c r="O4441" s="2" t="b">
        <v>0</v>
      </c>
    </row>
    <row r="4442">
      <c r="A4442" s="8" t="s">
        <v>3387</v>
      </c>
      <c r="B4442" s="8" t="s">
        <v>3387</v>
      </c>
      <c r="C4442" s="13">
        <v>46121.5628125</v>
      </c>
      <c r="D4442" s="2" t="s">
        <v>2005</v>
      </c>
      <c r="E4442" s="2" t="s">
        <v>2006</v>
      </c>
      <c r="F4442" s="14" t="s">
        <v>3486</v>
      </c>
      <c r="G4442" s="14" t="s">
        <v>3487</v>
      </c>
      <c r="H4442" s="2" t="s">
        <v>24</v>
      </c>
      <c r="I4442" s="2" t="s">
        <v>3491</v>
      </c>
      <c r="J4442" s="2">
        <v>9.0</v>
      </c>
      <c r="K4442" s="23" t="s">
        <v>6634</v>
      </c>
      <c r="L4442" s="11">
        <v>0.0</v>
      </c>
      <c r="N4442" s="2"/>
      <c r="O4442" s="2" t="b">
        <v>0</v>
      </c>
    </row>
    <row r="4443">
      <c r="A4443" s="8" t="s">
        <v>3387</v>
      </c>
      <c r="B4443" s="8" t="s">
        <v>3387</v>
      </c>
      <c r="C4443" s="13">
        <v>46121.5628125</v>
      </c>
      <c r="D4443" s="2" t="s">
        <v>2005</v>
      </c>
      <c r="E4443" s="2" t="s">
        <v>2006</v>
      </c>
      <c r="F4443" s="14" t="s">
        <v>4203</v>
      </c>
      <c r="G4443" s="14" t="s">
        <v>4204</v>
      </c>
      <c r="H4443" s="2" t="s">
        <v>24</v>
      </c>
      <c r="I4443" s="2" t="s">
        <v>3491</v>
      </c>
      <c r="J4443" s="2">
        <v>3.0</v>
      </c>
      <c r="K4443" s="23" t="s">
        <v>6635</v>
      </c>
      <c r="L4443" s="11">
        <v>0.0</v>
      </c>
      <c r="N4443" s="2"/>
      <c r="O4443" s="2" t="b">
        <v>0</v>
      </c>
    </row>
    <row r="4444">
      <c r="A4444" s="8" t="s">
        <v>3387</v>
      </c>
      <c r="B4444" s="8" t="s">
        <v>3387</v>
      </c>
      <c r="C4444" s="13">
        <v>46121.5628125</v>
      </c>
      <c r="D4444" s="2" t="s">
        <v>2005</v>
      </c>
      <c r="E4444" s="2" t="s">
        <v>2006</v>
      </c>
      <c r="F4444" s="14" t="s">
        <v>3493</v>
      </c>
      <c r="G4444" s="14" t="s">
        <v>3494</v>
      </c>
      <c r="H4444" s="2" t="s">
        <v>24</v>
      </c>
      <c r="I4444" s="2" t="s">
        <v>3491</v>
      </c>
      <c r="J4444" s="2">
        <v>2.0</v>
      </c>
      <c r="K4444" s="12" t="s">
        <v>6440</v>
      </c>
      <c r="L4444" s="11">
        <v>0.0</v>
      </c>
      <c r="N4444" s="2"/>
      <c r="O4444" s="2" t="b">
        <v>0</v>
      </c>
    </row>
    <row r="4445">
      <c r="A4445" s="8" t="s">
        <v>3388</v>
      </c>
      <c r="B4445" s="8" t="s">
        <v>3388</v>
      </c>
      <c r="C4445" s="13">
        <v>46121.5646875</v>
      </c>
      <c r="D4445" s="2" t="s">
        <v>2913</v>
      </c>
      <c r="E4445" s="2" t="s">
        <v>2914</v>
      </c>
      <c r="F4445" s="14" t="s">
        <v>4203</v>
      </c>
      <c r="G4445" s="14" t="s">
        <v>4204</v>
      </c>
      <c r="H4445" s="2" t="s">
        <v>24</v>
      </c>
      <c r="I4445" s="2" t="s">
        <v>3491</v>
      </c>
      <c r="J4445" s="2">
        <v>3.0</v>
      </c>
      <c r="K4445" s="23" t="s">
        <v>6636</v>
      </c>
      <c r="L4445" s="11">
        <v>0.0</v>
      </c>
      <c r="N4445" s="2"/>
      <c r="O4445" s="2" t="b">
        <v>0</v>
      </c>
    </row>
    <row r="4446">
      <c r="A4446" s="8" t="s">
        <v>3389</v>
      </c>
      <c r="B4446" s="8" t="s">
        <v>3389</v>
      </c>
      <c r="C4446" s="13">
        <v>46121.56539351852</v>
      </c>
      <c r="D4446" s="2" t="s">
        <v>1084</v>
      </c>
      <c r="E4446" s="2" t="s">
        <v>1085</v>
      </c>
      <c r="F4446" s="14" t="s">
        <v>4203</v>
      </c>
      <c r="G4446" s="14" t="s">
        <v>4204</v>
      </c>
      <c r="H4446" s="2" t="s">
        <v>24</v>
      </c>
      <c r="I4446" s="2" t="s">
        <v>3491</v>
      </c>
      <c r="J4446" s="2">
        <v>2.0</v>
      </c>
      <c r="K4446" s="23" t="s">
        <v>6637</v>
      </c>
      <c r="L4446" s="11">
        <v>0.0</v>
      </c>
      <c r="N4446" s="2"/>
      <c r="O4446" s="2" t="b">
        <v>0</v>
      </c>
    </row>
    <row r="4447">
      <c r="A4447" s="8" t="s">
        <v>3390</v>
      </c>
      <c r="B4447" s="8" t="s">
        <v>3390</v>
      </c>
      <c r="C4447" s="13">
        <v>46121.5700462963</v>
      </c>
      <c r="D4447" s="2" t="s">
        <v>2543</v>
      </c>
      <c r="E4447" s="2" t="s">
        <v>2544</v>
      </c>
      <c r="F4447" s="14" t="s">
        <v>3516</v>
      </c>
      <c r="G4447" s="14" t="s">
        <v>3517</v>
      </c>
      <c r="H4447" s="2" t="s">
        <v>16</v>
      </c>
      <c r="I4447" s="2" t="s">
        <v>3488</v>
      </c>
      <c r="J4447" s="2">
        <v>3.0</v>
      </c>
      <c r="K4447" s="23" t="s">
        <v>6638</v>
      </c>
      <c r="L4447" s="11">
        <v>190000.0</v>
      </c>
      <c r="N4447" s="2"/>
      <c r="O4447" s="2" t="b">
        <v>0</v>
      </c>
    </row>
    <row r="4448">
      <c r="A4448" s="8" t="s">
        <v>3390</v>
      </c>
      <c r="B4448" s="8" t="s">
        <v>3390</v>
      </c>
      <c r="C4448" s="13">
        <v>46121.5700462963</v>
      </c>
      <c r="D4448" s="2" t="s">
        <v>2543</v>
      </c>
      <c r="E4448" s="2" t="s">
        <v>2544</v>
      </c>
      <c r="F4448" s="14" t="s">
        <v>3486</v>
      </c>
      <c r="G4448" s="14" t="s">
        <v>3487</v>
      </c>
      <c r="H4448" s="2" t="s">
        <v>16</v>
      </c>
      <c r="I4448" s="2" t="s">
        <v>3488</v>
      </c>
      <c r="J4448" s="2">
        <v>3.0</v>
      </c>
      <c r="K4448" s="23" t="s">
        <v>6639</v>
      </c>
      <c r="L4448" s="11">
        <v>60000.0</v>
      </c>
      <c r="N4448" s="2"/>
      <c r="O4448" s="2" t="b">
        <v>0</v>
      </c>
    </row>
    <row r="4449">
      <c r="A4449" s="8" t="s">
        <v>3233</v>
      </c>
      <c r="B4449" s="8" t="s">
        <v>3233</v>
      </c>
      <c r="C4449" s="13">
        <v>46107.49145833333</v>
      </c>
      <c r="D4449" s="2" t="s">
        <v>2005</v>
      </c>
      <c r="E4449" s="2" t="s">
        <v>2006</v>
      </c>
      <c r="F4449" s="14" t="s">
        <v>3493</v>
      </c>
      <c r="G4449" s="14" t="s">
        <v>3494</v>
      </c>
      <c r="H4449" s="2" t="s">
        <v>24</v>
      </c>
      <c r="I4449" s="2" t="s">
        <v>3491</v>
      </c>
      <c r="J4449" s="2">
        <v>1.0</v>
      </c>
      <c r="K4449" s="12" t="s">
        <v>5857</v>
      </c>
      <c r="L4449" s="11">
        <v>0.0</v>
      </c>
      <c r="N4449" s="2"/>
      <c r="O4449" s="2" t="b">
        <v>0</v>
      </c>
    </row>
    <row r="4450">
      <c r="A4450" s="8" t="s">
        <v>3391</v>
      </c>
      <c r="B4450" s="8" t="s">
        <v>3391</v>
      </c>
      <c r="C4450" s="13">
        <v>46122.35650462963</v>
      </c>
      <c r="D4450" s="2" t="s">
        <v>2543</v>
      </c>
      <c r="E4450" s="2" t="s">
        <v>2544</v>
      </c>
      <c r="F4450" s="14" t="s">
        <v>3486</v>
      </c>
      <c r="G4450" s="14" t="s">
        <v>3487</v>
      </c>
      <c r="H4450" s="2" t="s">
        <v>24</v>
      </c>
      <c r="I4450" s="2" t="s">
        <v>3491</v>
      </c>
      <c r="J4450" s="2">
        <v>2.0</v>
      </c>
      <c r="K4450" s="23" t="s">
        <v>6640</v>
      </c>
      <c r="L4450" s="11">
        <v>0.0</v>
      </c>
      <c r="N4450" s="2"/>
      <c r="O4450" s="2" t="b">
        <v>0</v>
      </c>
    </row>
    <row r="4451">
      <c r="A4451" s="8" t="s">
        <v>3391</v>
      </c>
      <c r="B4451" s="8" t="s">
        <v>3391</v>
      </c>
      <c r="C4451" s="13">
        <v>46122.35650462963</v>
      </c>
      <c r="D4451" s="2" t="s">
        <v>2543</v>
      </c>
      <c r="E4451" s="2" t="s">
        <v>2544</v>
      </c>
      <c r="F4451" s="14" t="s">
        <v>3516</v>
      </c>
      <c r="G4451" s="14" t="s">
        <v>3517</v>
      </c>
      <c r="H4451" s="2" t="s">
        <v>24</v>
      </c>
      <c r="I4451" s="2" t="s">
        <v>3491</v>
      </c>
      <c r="J4451" s="2">
        <v>1.0</v>
      </c>
      <c r="K4451" s="23" t="s">
        <v>4588</v>
      </c>
      <c r="L4451" s="11">
        <v>0.0</v>
      </c>
      <c r="N4451" s="2"/>
      <c r="O4451" s="2" t="b">
        <v>0</v>
      </c>
    </row>
    <row r="4452">
      <c r="A4452" s="8" t="s">
        <v>3392</v>
      </c>
      <c r="B4452" s="8" t="s">
        <v>3392</v>
      </c>
      <c r="C4452" s="13">
        <v>46122.364224537036</v>
      </c>
      <c r="D4452" s="2" t="s">
        <v>786</v>
      </c>
      <c r="E4452" s="2" t="s">
        <v>787</v>
      </c>
      <c r="F4452" s="14" t="s">
        <v>3486</v>
      </c>
      <c r="G4452" s="14" t="s">
        <v>3487</v>
      </c>
      <c r="H4452" s="2" t="s">
        <v>16</v>
      </c>
      <c r="I4452" s="2" t="s">
        <v>3488</v>
      </c>
      <c r="J4452" s="2">
        <v>4.0</v>
      </c>
      <c r="K4452" s="23" t="s">
        <v>6641</v>
      </c>
      <c r="L4452" s="11">
        <v>60000.0</v>
      </c>
      <c r="N4452" s="2"/>
      <c r="O4452" s="2" t="b">
        <v>0</v>
      </c>
    </row>
    <row r="4453">
      <c r="A4453" s="8" t="s">
        <v>3392</v>
      </c>
      <c r="B4453" s="8" t="s">
        <v>3392</v>
      </c>
      <c r="C4453" s="13">
        <v>46122.364224537036</v>
      </c>
      <c r="D4453" s="2" t="s">
        <v>786</v>
      </c>
      <c r="E4453" s="2" t="s">
        <v>787</v>
      </c>
      <c r="F4453" s="14" t="s">
        <v>3516</v>
      </c>
      <c r="G4453" s="14" t="s">
        <v>3517</v>
      </c>
      <c r="H4453" s="2" t="s">
        <v>16</v>
      </c>
      <c r="I4453" s="2" t="s">
        <v>3488</v>
      </c>
      <c r="J4453" s="2">
        <v>2.0</v>
      </c>
      <c r="K4453" s="23" t="s">
        <v>6642</v>
      </c>
      <c r="L4453" s="11">
        <v>180000.0</v>
      </c>
      <c r="N4453" s="2"/>
      <c r="O4453" s="2" t="b">
        <v>0</v>
      </c>
    </row>
    <row r="4454">
      <c r="A4454" s="8" t="s">
        <v>3393</v>
      </c>
      <c r="B4454" s="8" t="s">
        <v>3393</v>
      </c>
      <c r="C4454" s="13">
        <v>46122.54613425926</v>
      </c>
      <c r="D4454" s="2" t="s">
        <v>1228</v>
      </c>
      <c r="E4454" s="2" t="s">
        <v>1229</v>
      </c>
      <c r="F4454" s="14" t="s">
        <v>3486</v>
      </c>
      <c r="G4454" s="14" t="s">
        <v>3487</v>
      </c>
      <c r="H4454" s="2" t="s">
        <v>16</v>
      </c>
      <c r="I4454" s="2" t="s">
        <v>3488</v>
      </c>
      <c r="J4454" s="2">
        <v>7.0</v>
      </c>
      <c r="K4454" s="23" t="s">
        <v>6643</v>
      </c>
      <c r="L4454" s="11">
        <v>55000.0</v>
      </c>
      <c r="N4454" s="2"/>
      <c r="O4454" s="2" t="b">
        <v>0</v>
      </c>
    </row>
    <row r="4455">
      <c r="A4455" s="8" t="s">
        <v>3394</v>
      </c>
      <c r="B4455" s="8" t="s">
        <v>3394</v>
      </c>
      <c r="C4455" s="13">
        <v>46122.58615740741</v>
      </c>
      <c r="D4455" s="2" t="s">
        <v>786</v>
      </c>
      <c r="E4455" s="2" t="s">
        <v>787</v>
      </c>
      <c r="F4455" s="14" t="s">
        <v>3486</v>
      </c>
      <c r="G4455" s="14" t="s">
        <v>3487</v>
      </c>
      <c r="H4455" s="2" t="s">
        <v>24</v>
      </c>
      <c r="I4455" s="2" t="s">
        <v>3491</v>
      </c>
      <c r="J4455" s="2">
        <v>5.0</v>
      </c>
      <c r="K4455" s="23" t="s">
        <v>6644</v>
      </c>
      <c r="L4455" s="11">
        <v>0.0</v>
      </c>
      <c r="N4455" s="2"/>
      <c r="O4455" s="2" t="b">
        <v>0</v>
      </c>
    </row>
    <row r="4456">
      <c r="A4456" s="8" t="s">
        <v>3395</v>
      </c>
      <c r="B4456" s="8" t="s">
        <v>3395</v>
      </c>
      <c r="C4456" s="13">
        <v>46123.37553240741</v>
      </c>
      <c r="D4456" s="2" t="s">
        <v>786</v>
      </c>
      <c r="E4456" s="2" t="s">
        <v>787</v>
      </c>
      <c r="F4456" s="14" t="s">
        <v>3486</v>
      </c>
      <c r="G4456" s="14" t="s">
        <v>3487</v>
      </c>
      <c r="H4456" s="2" t="s">
        <v>16</v>
      </c>
      <c r="I4456" s="2" t="s">
        <v>3488</v>
      </c>
      <c r="J4456" s="2">
        <v>4.0</v>
      </c>
      <c r="K4456" s="23" t="s">
        <v>6645</v>
      </c>
      <c r="L4456" s="11">
        <v>60000.0</v>
      </c>
      <c r="N4456" s="2"/>
      <c r="O4456" s="2" t="b">
        <v>0</v>
      </c>
    </row>
    <row r="4457">
      <c r="A4457" s="8" t="s">
        <v>3395</v>
      </c>
      <c r="B4457" s="8" t="s">
        <v>3395</v>
      </c>
      <c r="C4457" s="13">
        <v>46123.37553240741</v>
      </c>
      <c r="D4457" s="2" t="s">
        <v>786</v>
      </c>
      <c r="E4457" s="2" t="s">
        <v>787</v>
      </c>
      <c r="F4457" s="14" t="s">
        <v>3516</v>
      </c>
      <c r="G4457" s="14" t="s">
        <v>3517</v>
      </c>
      <c r="H4457" s="2" t="s">
        <v>16</v>
      </c>
      <c r="I4457" s="2" t="s">
        <v>3488</v>
      </c>
      <c r="J4457" s="2">
        <v>2.0</v>
      </c>
      <c r="K4457" s="23" t="s">
        <v>6646</v>
      </c>
      <c r="L4457" s="11">
        <v>180000.0</v>
      </c>
      <c r="N4457" s="2"/>
      <c r="O4457" s="2" t="b">
        <v>0</v>
      </c>
    </row>
    <row r="4458">
      <c r="A4458" s="8" t="s">
        <v>3396</v>
      </c>
      <c r="B4458" s="8" t="s">
        <v>3396</v>
      </c>
      <c r="C4458" s="13">
        <v>46123.39258101852</v>
      </c>
      <c r="D4458" s="2" t="s">
        <v>1993</v>
      </c>
      <c r="E4458" s="2" t="s">
        <v>1994</v>
      </c>
      <c r="F4458" s="14" t="s">
        <v>4203</v>
      </c>
      <c r="G4458" s="14" t="s">
        <v>4204</v>
      </c>
      <c r="H4458" s="2" t="s">
        <v>16</v>
      </c>
      <c r="I4458" s="2" t="s">
        <v>3488</v>
      </c>
      <c r="J4458" s="2">
        <v>9.0</v>
      </c>
      <c r="K4458" s="23" t="s">
        <v>6647</v>
      </c>
      <c r="L4458" s="11">
        <v>65000.0</v>
      </c>
      <c r="N4458" s="2"/>
      <c r="O4458" s="2" t="b">
        <v>0</v>
      </c>
    </row>
    <row r="4459">
      <c r="A4459" s="8" t="s">
        <v>3396</v>
      </c>
      <c r="B4459" s="8" t="s">
        <v>3396</v>
      </c>
      <c r="C4459" s="13">
        <v>46123.39258101852</v>
      </c>
      <c r="D4459" s="2" t="s">
        <v>1993</v>
      </c>
      <c r="E4459" s="2" t="s">
        <v>1994</v>
      </c>
      <c r="F4459" s="14" t="s">
        <v>4203</v>
      </c>
      <c r="G4459" s="14" t="s">
        <v>4204</v>
      </c>
      <c r="H4459" s="2" t="s">
        <v>16</v>
      </c>
      <c r="I4459" s="2" t="s">
        <v>3488</v>
      </c>
      <c r="J4459" s="2">
        <v>1.0</v>
      </c>
      <c r="K4459" s="23" t="s">
        <v>4406</v>
      </c>
      <c r="L4459" s="11">
        <v>65000.0</v>
      </c>
      <c r="N4459" s="2" t="s">
        <v>6648</v>
      </c>
      <c r="O4459" s="2" t="b">
        <v>1</v>
      </c>
    </row>
    <row r="4460">
      <c r="A4460" s="8" t="s">
        <v>3396</v>
      </c>
      <c r="B4460" s="8" t="s">
        <v>3396</v>
      </c>
      <c r="C4460" s="13">
        <v>46123.39258101852</v>
      </c>
      <c r="D4460" s="2" t="s">
        <v>1993</v>
      </c>
      <c r="E4460" s="2" t="s">
        <v>1994</v>
      </c>
      <c r="F4460" s="14" t="s">
        <v>3516</v>
      </c>
      <c r="G4460" s="14" t="s">
        <v>3517</v>
      </c>
      <c r="H4460" s="2" t="s">
        <v>16</v>
      </c>
      <c r="I4460" s="2" t="s">
        <v>3488</v>
      </c>
      <c r="J4460" s="2">
        <v>3.0</v>
      </c>
      <c r="K4460" s="23" t="s">
        <v>6649</v>
      </c>
      <c r="L4460" s="11">
        <v>190000.0</v>
      </c>
      <c r="N4460" s="2"/>
      <c r="O4460" s="2" t="b">
        <v>0</v>
      </c>
    </row>
    <row r="4461">
      <c r="A4461" s="8" t="s">
        <v>3397</v>
      </c>
      <c r="B4461" s="8" t="s">
        <v>3397</v>
      </c>
      <c r="C4461" s="13">
        <v>46123.55792824074</v>
      </c>
      <c r="D4461" s="2" t="s">
        <v>131</v>
      </c>
      <c r="E4461" s="2" t="s">
        <v>132</v>
      </c>
      <c r="F4461" s="14" t="s">
        <v>3486</v>
      </c>
      <c r="G4461" s="14" t="s">
        <v>3487</v>
      </c>
      <c r="H4461" s="2" t="s">
        <v>16</v>
      </c>
      <c r="I4461" s="2" t="s">
        <v>3488</v>
      </c>
      <c r="J4461" s="2">
        <v>6.0</v>
      </c>
      <c r="K4461" s="23" t="s">
        <v>6650</v>
      </c>
      <c r="L4461" s="11">
        <v>60000.0</v>
      </c>
      <c r="N4461" s="2"/>
      <c r="O4461" s="2" t="b">
        <v>0</v>
      </c>
    </row>
    <row r="4462">
      <c r="A4462" s="8" t="s">
        <v>3397</v>
      </c>
      <c r="B4462" s="8" t="s">
        <v>3397</v>
      </c>
      <c r="C4462" s="13">
        <v>46123.55792824074</v>
      </c>
      <c r="D4462" s="2" t="s">
        <v>131</v>
      </c>
      <c r="E4462" s="2" t="s">
        <v>132</v>
      </c>
      <c r="F4462" s="14" t="s">
        <v>3516</v>
      </c>
      <c r="G4462" s="14" t="s">
        <v>3517</v>
      </c>
      <c r="H4462" s="2" t="s">
        <v>16</v>
      </c>
      <c r="I4462" s="2" t="s">
        <v>3488</v>
      </c>
      <c r="J4462" s="2">
        <v>3.0</v>
      </c>
      <c r="K4462" s="23" t="s">
        <v>6651</v>
      </c>
      <c r="L4462" s="11">
        <v>180000.0</v>
      </c>
      <c r="N4462" s="2"/>
      <c r="O4462" s="2" t="b">
        <v>0</v>
      </c>
    </row>
    <row r="4463">
      <c r="A4463" s="8" t="s">
        <v>3398</v>
      </c>
      <c r="B4463" s="8" t="s">
        <v>3398</v>
      </c>
      <c r="C4463" s="13">
        <v>46123.55924768518</v>
      </c>
      <c r="D4463" s="2" t="s">
        <v>786</v>
      </c>
      <c r="E4463" s="2" t="s">
        <v>787</v>
      </c>
      <c r="F4463" s="14" t="s">
        <v>3486</v>
      </c>
      <c r="G4463" s="14" t="s">
        <v>3487</v>
      </c>
      <c r="H4463" s="2" t="s">
        <v>24</v>
      </c>
      <c r="I4463" s="2" t="s">
        <v>3491</v>
      </c>
      <c r="J4463" s="2">
        <v>1.0</v>
      </c>
      <c r="K4463" s="23" t="s">
        <v>4528</v>
      </c>
      <c r="L4463" s="11">
        <v>0.0</v>
      </c>
      <c r="N4463" s="2"/>
      <c r="O4463" s="2" t="b">
        <v>0</v>
      </c>
    </row>
    <row r="4464">
      <c r="A4464" s="8" t="s">
        <v>3398</v>
      </c>
      <c r="B4464" s="8" t="s">
        <v>3398</v>
      </c>
      <c r="C4464" s="13">
        <v>46123.55924768518</v>
      </c>
      <c r="D4464" s="2" t="s">
        <v>786</v>
      </c>
      <c r="E4464" s="2" t="s">
        <v>787</v>
      </c>
      <c r="F4464" s="14" t="s">
        <v>3516</v>
      </c>
      <c r="G4464" s="14" t="s">
        <v>3517</v>
      </c>
      <c r="H4464" s="2" t="s">
        <v>24</v>
      </c>
      <c r="I4464" s="2" t="s">
        <v>3491</v>
      </c>
      <c r="J4464" s="2">
        <v>4.0</v>
      </c>
      <c r="K4464" s="23" t="s">
        <v>6652</v>
      </c>
      <c r="L4464" s="11">
        <v>0.0</v>
      </c>
      <c r="N4464" s="2"/>
      <c r="O4464" s="2" t="b">
        <v>0</v>
      </c>
    </row>
    <row r="4465">
      <c r="A4465" s="8" t="s">
        <v>3399</v>
      </c>
      <c r="B4465" s="8" t="s">
        <v>3399</v>
      </c>
      <c r="C4465" s="13">
        <v>46123.56076388889</v>
      </c>
      <c r="D4465" s="2" t="s">
        <v>1975</v>
      </c>
      <c r="E4465" s="2" t="s">
        <v>1976</v>
      </c>
      <c r="F4465" s="14" t="s">
        <v>3486</v>
      </c>
      <c r="G4465" s="14" t="s">
        <v>3487</v>
      </c>
      <c r="H4465" s="2" t="s">
        <v>24</v>
      </c>
      <c r="I4465" s="2" t="s">
        <v>3491</v>
      </c>
      <c r="J4465" s="2">
        <v>6.0</v>
      </c>
      <c r="K4465" s="23" t="s">
        <v>6653</v>
      </c>
      <c r="L4465" s="11">
        <v>0.0</v>
      </c>
      <c r="N4465" s="2"/>
      <c r="O4465" s="2" t="b">
        <v>0</v>
      </c>
    </row>
    <row r="4466">
      <c r="A4466" s="8" t="s">
        <v>3399</v>
      </c>
      <c r="B4466" s="8" t="s">
        <v>3399</v>
      </c>
      <c r="C4466" s="13">
        <v>46123.56076388889</v>
      </c>
      <c r="D4466" s="2" t="s">
        <v>1975</v>
      </c>
      <c r="E4466" s="2" t="s">
        <v>1976</v>
      </c>
      <c r="F4466" s="14" t="s">
        <v>4203</v>
      </c>
      <c r="G4466" s="14" t="s">
        <v>4204</v>
      </c>
      <c r="H4466" s="2" t="s">
        <v>24</v>
      </c>
      <c r="I4466" s="2" t="s">
        <v>3491</v>
      </c>
      <c r="J4466" s="2">
        <v>1.0</v>
      </c>
      <c r="K4466" s="23" t="s">
        <v>4183</v>
      </c>
      <c r="L4466" s="11">
        <v>0.0</v>
      </c>
      <c r="N4466" s="2"/>
      <c r="O4466" s="2" t="b">
        <v>0</v>
      </c>
    </row>
    <row r="4467">
      <c r="A4467" s="8" t="s">
        <v>3400</v>
      </c>
      <c r="B4467" s="8" t="s">
        <v>3400</v>
      </c>
      <c r="C4467" s="13">
        <v>46123.5624537037</v>
      </c>
      <c r="D4467" s="2" t="s">
        <v>131</v>
      </c>
      <c r="E4467" s="2" t="s">
        <v>132</v>
      </c>
      <c r="F4467" s="14" t="s">
        <v>4203</v>
      </c>
      <c r="G4467" s="14" t="s">
        <v>4204</v>
      </c>
      <c r="H4467" s="2" t="s">
        <v>24</v>
      </c>
      <c r="I4467" s="2" t="s">
        <v>3491</v>
      </c>
      <c r="J4467" s="2">
        <v>1.0</v>
      </c>
      <c r="K4467" s="23" t="s">
        <v>5410</v>
      </c>
      <c r="L4467" s="11">
        <v>0.0</v>
      </c>
      <c r="N4467" s="2"/>
      <c r="O4467" s="2" t="b">
        <v>0</v>
      </c>
    </row>
    <row r="4468">
      <c r="A4468" s="8" t="s">
        <v>3400</v>
      </c>
      <c r="B4468" s="8" t="s">
        <v>3400</v>
      </c>
      <c r="C4468" s="13">
        <v>46123.5624537037</v>
      </c>
      <c r="D4468" s="2" t="s">
        <v>131</v>
      </c>
      <c r="E4468" s="2" t="s">
        <v>132</v>
      </c>
      <c r="F4468" s="14" t="s">
        <v>3516</v>
      </c>
      <c r="G4468" s="14" t="s">
        <v>3517</v>
      </c>
      <c r="H4468" s="2" t="s">
        <v>24</v>
      </c>
      <c r="I4468" s="2" t="s">
        <v>3491</v>
      </c>
      <c r="J4468" s="2">
        <v>3.0</v>
      </c>
      <c r="K4468" s="23" t="s">
        <v>6654</v>
      </c>
      <c r="L4468" s="11">
        <v>0.0</v>
      </c>
      <c r="N4468" s="2"/>
      <c r="O4468" s="2" t="b">
        <v>0</v>
      </c>
    </row>
    <row r="4469">
      <c r="A4469" s="8" t="s">
        <v>3401</v>
      </c>
      <c r="B4469" s="8" t="s">
        <v>3401</v>
      </c>
      <c r="C4469" s="13">
        <v>46123.56820601852</v>
      </c>
      <c r="D4469" s="2" t="s">
        <v>1993</v>
      </c>
      <c r="E4469" s="2" t="s">
        <v>1994</v>
      </c>
      <c r="F4469" s="14" t="s">
        <v>3493</v>
      </c>
      <c r="G4469" s="14" t="s">
        <v>3494</v>
      </c>
      <c r="H4469" s="2" t="s">
        <v>24</v>
      </c>
      <c r="I4469" s="2" t="s">
        <v>3491</v>
      </c>
      <c r="J4469" s="2">
        <v>1.0</v>
      </c>
      <c r="K4469" s="12"/>
      <c r="L4469" s="11">
        <v>0.0</v>
      </c>
      <c r="N4469" s="2"/>
      <c r="O4469" s="2" t="b">
        <v>0</v>
      </c>
    </row>
    <row r="4470">
      <c r="A4470" s="8" t="s">
        <v>3401</v>
      </c>
      <c r="B4470" s="8" t="s">
        <v>3401</v>
      </c>
      <c r="C4470" s="13">
        <v>46123.56820601852</v>
      </c>
      <c r="D4470" s="2" t="s">
        <v>1993</v>
      </c>
      <c r="E4470" s="2" t="s">
        <v>1994</v>
      </c>
      <c r="F4470" s="14" t="s">
        <v>3486</v>
      </c>
      <c r="G4470" s="14" t="s">
        <v>3487</v>
      </c>
      <c r="H4470" s="2" t="s">
        <v>24</v>
      </c>
      <c r="I4470" s="2" t="s">
        <v>3491</v>
      </c>
      <c r="J4470" s="2">
        <v>8.0</v>
      </c>
      <c r="K4470" s="23" t="s">
        <v>6655</v>
      </c>
      <c r="L4470" s="11">
        <v>0.0</v>
      </c>
      <c r="N4470" s="2"/>
      <c r="O4470" s="2" t="b">
        <v>0</v>
      </c>
    </row>
    <row r="4471">
      <c r="A4471" s="8" t="s">
        <v>3401</v>
      </c>
      <c r="B4471" s="8" t="s">
        <v>3401</v>
      </c>
      <c r="C4471" s="13">
        <v>46123.56820601852</v>
      </c>
      <c r="D4471" s="2" t="s">
        <v>1993</v>
      </c>
      <c r="E4471" s="2" t="s">
        <v>1994</v>
      </c>
      <c r="F4471" s="14" t="s">
        <v>3486</v>
      </c>
      <c r="G4471" s="14" t="s">
        <v>3487</v>
      </c>
      <c r="H4471" s="2" t="s">
        <v>24</v>
      </c>
      <c r="I4471" s="2" t="s">
        <v>3491</v>
      </c>
      <c r="J4471" s="2">
        <v>1.0</v>
      </c>
      <c r="K4471" s="23" t="s">
        <v>5934</v>
      </c>
      <c r="L4471" s="11">
        <v>0.0</v>
      </c>
      <c r="N4471" s="2"/>
      <c r="O4471" s="2" t="b">
        <v>1</v>
      </c>
    </row>
    <row r="4472">
      <c r="A4472" s="8" t="s">
        <v>3401</v>
      </c>
      <c r="B4472" s="8" t="s">
        <v>3401</v>
      </c>
      <c r="C4472" s="13">
        <v>46123.56820601852</v>
      </c>
      <c r="D4472" s="2" t="s">
        <v>1993</v>
      </c>
      <c r="E4472" s="2" t="s">
        <v>1994</v>
      </c>
      <c r="F4472" s="14" t="s">
        <v>3516</v>
      </c>
      <c r="G4472" s="14" t="s">
        <v>3517</v>
      </c>
      <c r="H4472" s="2" t="s">
        <v>24</v>
      </c>
      <c r="I4472" s="2" t="s">
        <v>3491</v>
      </c>
      <c r="J4472" s="2">
        <v>2.0</v>
      </c>
      <c r="K4472" s="23" t="s">
        <v>6656</v>
      </c>
      <c r="L4472" s="11">
        <v>0.0</v>
      </c>
      <c r="N4472" s="2"/>
      <c r="O4472" s="2" t="b">
        <v>0</v>
      </c>
    </row>
    <row r="4473">
      <c r="A4473" s="8" t="s">
        <v>3402</v>
      </c>
      <c r="B4473" s="8" t="s">
        <v>3402</v>
      </c>
      <c r="C4473" s="13">
        <v>46123.570706018516</v>
      </c>
      <c r="D4473" s="2" t="s">
        <v>2913</v>
      </c>
      <c r="E4473" s="2" t="s">
        <v>2914</v>
      </c>
      <c r="F4473" s="14" t="s">
        <v>4203</v>
      </c>
      <c r="G4473" s="14" t="s">
        <v>4204</v>
      </c>
      <c r="H4473" s="2" t="s">
        <v>24</v>
      </c>
      <c r="I4473" s="2" t="s">
        <v>3491</v>
      </c>
      <c r="J4473" s="2">
        <v>2.0</v>
      </c>
      <c r="K4473" s="23" t="s">
        <v>6657</v>
      </c>
      <c r="L4473" s="11">
        <v>0.0</v>
      </c>
      <c r="N4473" s="2"/>
      <c r="O4473" s="2" t="b">
        <v>0</v>
      </c>
    </row>
    <row r="4474">
      <c r="A4474" s="8" t="s">
        <v>3403</v>
      </c>
      <c r="B4474" s="8" t="s">
        <v>3403</v>
      </c>
      <c r="C4474" s="13">
        <v>46123.57103009259</v>
      </c>
      <c r="D4474" s="2" t="s">
        <v>2005</v>
      </c>
      <c r="E4474" s="2" t="s">
        <v>2006</v>
      </c>
      <c r="F4474" s="14" t="s">
        <v>3486</v>
      </c>
      <c r="G4474" s="14" t="s">
        <v>3487</v>
      </c>
      <c r="H4474" s="2" t="s">
        <v>24</v>
      </c>
      <c r="I4474" s="2" t="s">
        <v>3491</v>
      </c>
      <c r="J4474" s="2">
        <v>2.0</v>
      </c>
      <c r="K4474" s="23" t="s">
        <v>6658</v>
      </c>
      <c r="L4474" s="11">
        <v>0.0</v>
      </c>
      <c r="N4474" s="2"/>
      <c r="O4474" s="2" t="b">
        <v>0</v>
      </c>
    </row>
    <row r="4475">
      <c r="A4475" s="8" t="s">
        <v>3404</v>
      </c>
      <c r="B4475" s="8" t="s">
        <v>3404</v>
      </c>
      <c r="C4475" s="13">
        <v>46123.571388888886</v>
      </c>
      <c r="D4475" s="2" t="s">
        <v>951</v>
      </c>
      <c r="E4475" s="2" t="s">
        <v>952</v>
      </c>
      <c r="F4475" s="14" t="s">
        <v>3486</v>
      </c>
      <c r="G4475" s="14" t="s">
        <v>3487</v>
      </c>
      <c r="H4475" s="2" t="s">
        <v>24</v>
      </c>
      <c r="I4475" s="2" t="s">
        <v>3491</v>
      </c>
      <c r="J4475" s="2">
        <v>3.0</v>
      </c>
      <c r="K4475" s="23" t="s">
        <v>6659</v>
      </c>
      <c r="L4475" s="11">
        <v>0.0</v>
      </c>
      <c r="N4475" s="2"/>
      <c r="O4475" s="2" t="b">
        <v>0</v>
      </c>
    </row>
    <row r="4476">
      <c r="A4476" s="8" t="s">
        <v>3404</v>
      </c>
      <c r="B4476" s="8" t="s">
        <v>3404</v>
      </c>
      <c r="C4476" s="13">
        <v>46123.571388888886</v>
      </c>
      <c r="D4476" s="2" t="s">
        <v>951</v>
      </c>
      <c r="E4476" s="2" t="s">
        <v>952</v>
      </c>
      <c r="F4476" s="14" t="s">
        <v>3516</v>
      </c>
      <c r="G4476" s="14" t="s">
        <v>3517</v>
      </c>
      <c r="H4476" s="2" t="s">
        <v>24</v>
      </c>
      <c r="I4476" s="2" t="s">
        <v>3491</v>
      </c>
      <c r="J4476" s="2">
        <v>1.0</v>
      </c>
      <c r="K4476" s="23" t="s">
        <v>5598</v>
      </c>
      <c r="L4476" s="11">
        <v>0.0</v>
      </c>
      <c r="N4476" s="2"/>
      <c r="O4476" s="2" t="b">
        <v>0</v>
      </c>
    </row>
    <row r="4477">
      <c r="A4477" s="8" t="s">
        <v>3405</v>
      </c>
      <c r="B4477" s="8" t="s">
        <v>3405</v>
      </c>
      <c r="C4477" s="13">
        <v>46125.35922453704</v>
      </c>
      <c r="D4477" s="2" t="s">
        <v>786</v>
      </c>
      <c r="E4477" s="2" t="s">
        <v>787</v>
      </c>
      <c r="F4477" s="14" t="s">
        <v>4203</v>
      </c>
      <c r="G4477" s="14" t="s">
        <v>4204</v>
      </c>
      <c r="H4477" s="2" t="s">
        <v>16</v>
      </c>
      <c r="I4477" s="2" t="s">
        <v>3488</v>
      </c>
      <c r="J4477" s="2">
        <v>3.0</v>
      </c>
      <c r="K4477" s="23" t="s">
        <v>6660</v>
      </c>
      <c r="L4477" s="11">
        <v>60000.0</v>
      </c>
      <c r="N4477" s="2"/>
      <c r="O4477" s="2" t="b">
        <v>0</v>
      </c>
    </row>
    <row r="4478">
      <c r="A4478" s="8" t="s">
        <v>3405</v>
      </c>
      <c r="B4478" s="8" t="s">
        <v>3405</v>
      </c>
      <c r="C4478" s="13">
        <v>46125.35922453704</v>
      </c>
      <c r="D4478" s="2" t="s">
        <v>786</v>
      </c>
      <c r="E4478" s="2" t="s">
        <v>787</v>
      </c>
      <c r="F4478" s="14" t="s">
        <v>3516</v>
      </c>
      <c r="G4478" s="14" t="s">
        <v>3517</v>
      </c>
      <c r="H4478" s="2" t="s">
        <v>16</v>
      </c>
      <c r="I4478" s="2" t="s">
        <v>3488</v>
      </c>
      <c r="J4478" s="2">
        <v>3.0</v>
      </c>
      <c r="K4478" s="23" t="s">
        <v>6661</v>
      </c>
      <c r="L4478" s="11">
        <v>180000.0</v>
      </c>
      <c r="N4478" s="2"/>
      <c r="O4478" s="2" t="b">
        <v>0</v>
      </c>
    </row>
    <row r="4479">
      <c r="A4479" s="8" t="s">
        <v>3406</v>
      </c>
      <c r="B4479" s="8" t="s">
        <v>3406</v>
      </c>
      <c r="C4479" s="13">
        <v>46125.360034722224</v>
      </c>
      <c r="D4479" s="2" t="s">
        <v>2913</v>
      </c>
      <c r="E4479" s="2" t="s">
        <v>2914</v>
      </c>
      <c r="F4479" s="14" t="s">
        <v>4203</v>
      </c>
      <c r="G4479" s="14" t="s">
        <v>4204</v>
      </c>
      <c r="H4479" s="2" t="s">
        <v>16</v>
      </c>
      <c r="I4479" s="2" t="s">
        <v>3488</v>
      </c>
      <c r="J4479" s="2">
        <v>7.0</v>
      </c>
      <c r="K4479" s="23" t="s">
        <v>6662</v>
      </c>
      <c r="L4479" s="11">
        <v>50000.0</v>
      </c>
      <c r="N4479" s="2"/>
      <c r="O4479" s="2" t="b">
        <v>0</v>
      </c>
    </row>
    <row r="4480">
      <c r="A4480" s="8" t="s">
        <v>3407</v>
      </c>
      <c r="B4480" s="8" t="s">
        <v>3407</v>
      </c>
      <c r="C4480" s="13">
        <v>46125.36314814815</v>
      </c>
      <c r="D4480" s="2" t="s">
        <v>1975</v>
      </c>
      <c r="E4480" s="2" t="s">
        <v>1976</v>
      </c>
      <c r="F4480" s="14" t="s">
        <v>3486</v>
      </c>
      <c r="G4480" s="14" t="s">
        <v>3487</v>
      </c>
      <c r="H4480" s="2" t="s">
        <v>16</v>
      </c>
      <c r="I4480" s="2" t="s">
        <v>3488</v>
      </c>
      <c r="J4480" s="2">
        <v>10.0</v>
      </c>
      <c r="K4480" s="23" t="s">
        <v>6663</v>
      </c>
      <c r="L4480" s="11">
        <v>60000.0</v>
      </c>
      <c r="N4480" s="2"/>
      <c r="O4480" s="2" t="b">
        <v>0</v>
      </c>
    </row>
    <row r="4481">
      <c r="A4481" s="8" t="s">
        <v>3408</v>
      </c>
      <c r="B4481" s="8" t="s">
        <v>3408</v>
      </c>
      <c r="C4481" s="13">
        <v>46125.36599537037</v>
      </c>
      <c r="D4481" s="2" t="s">
        <v>1963</v>
      </c>
      <c r="E4481" s="2" t="s">
        <v>1964</v>
      </c>
      <c r="F4481" s="14" t="s">
        <v>3486</v>
      </c>
      <c r="G4481" s="14" t="s">
        <v>3487</v>
      </c>
      <c r="H4481" s="2" t="s">
        <v>16</v>
      </c>
      <c r="I4481" s="2" t="s">
        <v>3488</v>
      </c>
      <c r="J4481" s="2">
        <v>7.0</v>
      </c>
      <c r="K4481" s="23" t="s">
        <v>6664</v>
      </c>
      <c r="L4481" s="11">
        <v>60000.0</v>
      </c>
      <c r="N4481" s="2"/>
      <c r="O4481" s="2" t="b">
        <v>0</v>
      </c>
    </row>
    <row r="4482">
      <c r="A4482" s="8" t="s">
        <v>3408</v>
      </c>
      <c r="B4482" s="8" t="s">
        <v>3408</v>
      </c>
      <c r="C4482" s="13">
        <v>46125.36599537037</v>
      </c>
      <c r="D4482" s="2" t="s">
        <v>1963</v>
      </c>
      <c r="E4482" s="2" t="s">
        <v>1964</v>
      </c>
      <c r="F4482" s="14" t="s">
        <v>4203</v>
      </c>
      <c r="G4482" s="14" t="s">
        <v>4204</v>
      </c>
      <c r="H4482" s="2" t="s">
        <v>16</v>
      </c>
      <c r="I4482" s="2" t="s">
        <v>3488</v>
      </c>
      <c r="J4482" s="2">
        <v>3.0</v>
      </c>
      <c r="K4482" s="23" t="s">
        <v>6665</v>
      </c>
      <c r="L4482" s="11">
        <v>60000.0</v>
      </c>
      <c r="N4482" s="2"/>
      <c r="O4482" s="2" t="b">
        <v>0</v>
      </c>
    </row>
    <row r="4483">
      <c r="A4483" s="8" t="s">
        <v>3409</v>
      </c>
      <c r="B4483" s="8" t="s">
        <v>3409</v>
      </c>
      <c r="C4483" s="13">
        <v>46125.4134375</v>
      </c>
      <c r="D4483" s="2" t="s">
        <v>3298</v>
      </c>
      <c r="E4483" s="2" t="s">
        <v>3299</v>
      </c>
      <c r="F4483" s="14" t="s">
        <v>4203</v>
      </c>
      <c r="G4483" s="14" t="s">
        <v>4204</v>
      </c>
      <c r="H4483" s="2" t="s">
        <v>16</v>
      </c>
      <c r="I4483" s="2" t="s">
        <v>3488</v>
      </c>
      <c r="J4483" s="2">
        <v>2.0</v>
      </c>
      <c r="K4483" s="23" t="s">
        <v>6666</v>
      </c>
      <c r="L4483" s="11">
        <v>65000.0</v>
      </c>
      <c r="N4483" s="2"/>
      <c r="O4483" s="2" t="b">
        <v>0</v>
      </c>
    </row>
    <row r="4484">
      <c r="A4484" s="8" t="s">
        <v>3410</v>
      </c>
      <c r="B4484" s="8" t="s">
        <v>3410</v>
      </c>
      <c r="C4484" s="13">
        <v>46125.42545138889</v>
      </c>
      <c r="D4484" s="2" t="s">
        <v>2913</v>
      </c>
      <c r="E4484" s="2" t="s">
        <v>2914</v>
      </c>
      <c r="F4484" s="14" t="s">
        <v>4203</v>
      </c>
      <c r="G4484" s="14" t="s">
        <v>4204</v>
      </c>
      <c r="H4484" s="2" t="s">
        <v>24</v>
      </c>
      <c r="I4484" s="2" t="s">
        <v>3491</v>
      </c>
      <c r="J4484" s="2">
        <v>1.0</v>
      </c>
      <c r="K4484" s="23" t="s">
        <v>6045</v>
      </c>
      <c r="L4484" s="11">
        <v>0.0</v>
      </c>
      <c r="N4484" s="2"/>
      <c r="O4484" s="2" t="b">
        <v>0</v>
      </c>
    </row>
    <row r="4485">
      <c r="A4485" s="8" t="s">
        <v>3411</v>
      </c>
      <c r="B4485" s="8" t="s">
        <v>3411</v>
      </c>
      <c r="C4485" s="13">
        <v>46125.52912037037</v>
      </c>
      <c r="D4485" s="2" t="s">
        <v>3298</v>
      </c>
      <c r="E4485" s="2" t="s">
        <v>3299</v>
      </c>
      <c r="F4485" s="14" t="s">
        <v>3486</v>
      </c>
      <c r="G4485" s="14" t="s">
        <v>3487</v>
      </c>
      <c r="H4485" s="2" t="s">
        <v>24</v>
      </c>
      <c r="I4485" s="2" t="s">
        <v>3491</v>
      </c>
      <c r="J4485" s="2">
        <v>1.0</v>
      </c>
      <c r="K4485" s="23" t="s">
        <v>6192</v>
      </c>
      <c r="L4485" s="11">
        <v>0.0</v>
      </c>
      <c r="N4485" s="2"/>
      <c r="O4485" s="2" t="b">
        <v>0</v>
      </c>
    </row>
    <row r="4486">
      <c r="A4486" s="8" t="s">
        <v>3412</v>
      </c>
      <c r="B4486" s="8" t="s">
        <v>3412</v>
      </c>
      <c r="C4486" s="13">
        <v>46125.52958333334</v>
      </c>
      <c r="D4486" s="2" t="s">
        <v>1993</v>
      </c>
      <c r="E4486" s="2" t="s">
        <v>1994</v>
      </c>
      <c r="F4486" s="14" t="s">
        <v>3486</v>
      </c>
      <c r="G4486" s="14" t="s">
        <v>3487</v>
      </c>
      <c r="H4486" s="2" t="s">
        <v>24</v>
      </c>
      <c r="I4486" s="2" t="s">
        <v>3491</v>
      </c>
      <c r="J4486" s="2">
        <v>6.0</v>
      </c>
      <c r="K4486" s="23" t="s">
        <v>6667</v>
      </c>
      <c r="L4486" s="11">
        <v>0.0</v>
      </c>
      <c r="N4486" s="2"/>
      <c r="O4486" s="2" t="b">
        <v>0</v>
      </c>
    </row>
    <row r="4487">
      <c r="A4487" s="8" t="s">
        <v>3412</v>
      </c>
      <c r="B4487" s="8" t="s">
        <v>3412</v>
      </c>
      <c r="C4487" s="13">
        <v>46125.52958333334</v>
      </c>
      <c r="D4487" s="2" t="s">
        <v>1993</v>
      </c>
      <c r="E4487" s="2" t="s">
        <v>1994</v>
      </c>
      <c r="F4487" s="14" t="s">
        <v>4203</v>
      </c>
      <c r="G4487" s="14" t="s">
        <v>4204</v>
      </c>
      <c r="H4487" s="2" t="s">
        <v>24</v>
      </c>
      <c r="I4487" s="2" t="s">
        <v>3491</v>
      </c>
      <c r="J4487" s="2">
        <v>2.0</v>
      </c>
      <c r="K4487" s="23" t="s">
        <v>6668</v>
      </c>
      <c r="L4487" s="11">
        <v>0.0</v>
      </c>
      <c r="N4487" s="2"/>
      <c r="O4487" s="2" t="b">
        <v>0</v>
      </c>
    </row>
    <row r="4488">
      <c r="A4488" s="8" t="s">
        <v>3413</v>
      </c>
      <c r="B4488" s="8" t="s">
        <v>3413</v>
      </c>
      <c r="C4488" s="13">
        <v>46125.531909722224</v>
      </c>
      <c r="D4488" s="2" t="s">
        <v>786</v>
      </c>
      <c r="E4488" s="2" t="s">
        <v>787</v>
      </c>
      <c r="F4488" s="14" t="s">
        <v>3486</v>
      </c>
      <c r="G4488" s="14" t="s">
        <v>3487</v>
      </c>
      <c r="H4488" s="2" t="s">
        <v>24</v>
      </c>
      <c r="I4488" s="2" t="s">
        <v>3491</v>
      </c>
      <c r="J4488" s="2">
        <v>3.0</v>
      </c>
      <c r="K4488" s="23" t="s">
        <v>6669</v>
      </c>
      <c r="L4488" s="11">
        <v>0.0</v>
      </c>
      <c r="N4488" s="2"/>
      <c r="O4488" s="2" t="b">
        <v>0</v>
      </c>
    </row>
    <row r="4489">
      <c r="A4489" s="8" t="s">
        <v>3413</v>
      </c>
      <c r="B4489" s="8" t="s">
        <v>3413</v>
      </c>
      <c r="C4489" s="13">
        <v>46125.531909722224</v>
      </c>
      <c r="D4489" s="2" t="s">
        <v>786</v>
      </c>
      <c r="E4489" s="2" t="s">
        <v>787</v>
      </c>
      <c r="F4489" s="14" t="s">
        <v>3516</v>
      </c>
      <c r="G4489" s="14" t="s">
        <v>3517</v>
      </c>
      <c r="H4489" s="2" t="s">
        <v>24</v>
      </c>
      <c r="I4489" s="2" t="s">
        <v>3491</v>
      </c>
      <c r="J4489" s="2">
        <v>2.0</v>
      </c>
      <c r="K4489" s="23" t="s">
        <v>6642</v>
      </c>
      <c r="L4489" s="11">
        <v>0.0</v>
      </c>
      <c r="N4489" s="2"/>
      <c r="O4489" s="2" t="b">
        <v>0</v>
      </c>
    </row>
    <row r="4490">
      <c r="A4490" s="8" t="s">
        <v>3414</v>
      </c>
      <c r="B4490" s="8" t="s">
        <v>3414</v>
      </c>
      <c r="C4490" s="13">
        <v>46125.53266203704</v>
      </c>
      <c r="D4490" s="2" t="s">
        <v>1975</v>
      </c>
      <c r="E4490" s="2" t="s">
        <v>1976</v>
      </c>
      <c r="F4490" s="14" t="s">
        <v>3486</v>
      </c>
      <c r="G4490" s="14" t="s">
        <v>3487</v>
      </c>
      <c r="H4490" s="2" t="s">
        <v>24</v>
      </c>
      <c r="I4490" s="2" t="s">
        <v>3491</v>
      </c>
      <c r="J4490" s="2">
        <v>1.0</v>
      </c>
      <c r="K4490" s="23" t="s">
        <v>6670</v>
      </c>
      <c r="L4490" s="11">
        <v>0.0</v>
      </c>
      <c r="N4490" s="2"/>
      <c r="O4490" s="2" t="b">
        <v>0</v>
      </c>
    </row>
    <row r="4491">
      <c r="A4491" s="8" t="s">
        <v>3415</v>
      </c>
      <c r="B4491" s="8" t="s">
        <v>3415</v>
      </c>
      <c r="C4491" s="13">
        <v>46125.53293981482</v>
      </c>
      <c r="D4491" s="2" t="s">
        <v>326</v>
      </c>
      <c r="E4491" s="2" t="s">
        <v>327</v>
      </c>
      <c r="F4491" s="14" t="s">
        <v>3486</v>
      </c>
      <c r="G4491" s="14" t="s">
        <v>3487</v>
      </c>
      <c r="H4491" s="2" t="s">
        <v>24</v>
      </c>
      <c r="I4491" s="2" t="s">
        <v>3491</v>
      </c>
      <c r="J4491" s="2">
        <v>2.0</v>
      </c>
      <c r="K4491" s="23" t="s">
        <v>6671</v>
      </c>
      <c r="L4491" s="11">
        <v>0.0</v>
      </c>
      <c r="N4491" s="2"/>
      <c r="O4491" s="2" t="b">
        <v>0</v>
      </c>
    </row>
    <row r="4492">
      <c r="A4492" s="8" t="s">
        <v>3415</v>
      </c>
      <c r="B4492" s="8" t="s">
        <v>3415</v>
      </c>
      <c r="C4492" s="13">
        <v>46125.53293981482</v>
      </c>
      <c r="D4492" s="2" t="s">
        <v>326</v>
      </c>
      <c r="E4492" s="2" t="s">
        <v>327</v>
      </c>
      <c r="F4492" s="14" t="s">
        <v>4203</v>
      </c>
      <c r="G4492" s="14" t="s">
        <v>4204</v>
      </c>
      <c r="H4492" s="2" t="s">
        <v>24</v>
      </c>
      <c r="I4492" s="2" t="s">
        <v>3491</v>
      </c>
      <c r="J4492" s="2">
        <v>1.0</v>
      </c>
      <c r="K4492" s="23" t="s">
        <v>5498</v>
      </c>
      <c r="L4492" s="11">
        <v>0.0</v>
      </c>
      <c r="N4492" s="2"/>
      <c r="O4492" s="2" t="b">
        <v>0</v>
      </c>
    </row>
    <row r="4493">
      <c r="A4493" s="8" t="s">
        <v>3416</v>
      </c>
      <c r="B4493" s="8" t="s">
        <v>3416</v>
      </c>
      <c r="C4493" s="13">
        <v>46125.55100694444</v>
      </c>
      <c r="D4493" s="2" t="s">
        <v>2032</v>
      </c>
      <c r="E4493" s="2" t="s">
        <v>2033</v>
      </c>
      <c r="F4493" s="14" t="s">
        <v>3486</v>
      </c>
      <c r="G4493" s="14" t="s">
        <v>3487</v>
      </c>
      <c r="H4493" s="2" t="s">
        <v>16</v>
      </c>
      <c r="I4493" s="2" t="s">
        <v>3488</v>
      </c>
      <c r="J4493" s="2">
        <v>1.0</v>
      </c>
      <c r="K4493" s="23" t="s">
        <v>6540</v>
      </c>
      <c r="L4493" s="11">
        <v>60000.0</v>
      </c>
      <c r="N4493" s="2"/>
      <c r="O4493" s="2" t="b">
        <v>0</v>
      </c>
    </row>
    <row r="4494">
      <c r="A4494" s="8" t="s">
        <v>3417</v>
      </c>
      <c r="B4494" s="8" t="s">
        <v>3417</v>
      </c>
      <c r="C4494" s="13">
        <v>46125.62530092592</v>
      </c>
      <c r="D4494" s="2" t="s">
        <v>1519</v>
      </c>
      <c r="E4494" s="2" t="s">
        <v>1520</v>
      </c>
      <c r="F4494" s="14" t="s">
        <v>3522</v>
      </c>
      <c r="G4494" s="14" t="s">
        <v>3523</v>
      </c>
      <c r="H4494" s="2" t="s">
        <v>16</v>
      </c>
      <c r="I4494" s="2" t="s">
        <v>3488</v>
      </c>
      <c r="J4494" s="2">
        <v>1.0</v>
      </c>
      <c r="K4494" s="23" t="s">
        <v>6624</v>
      </c>
      <c r="L4494" s="11">
        <v>200000.0</v>
      </c>
      <c r="N4494" s="2"/>
      <c r="O4494" s="2" t="b">
        <v>0</v>
      </c>
    </row>
    <row r="4495">
      <c r="A4495" s="8" t="s">
        <v>3418</v>
      </c>
      <c r="B4495" s="8" t="s">
        <v>3418</v>
      </c>
      <c r="C4495" s="13">
        <v>46125.65087962963</v>
      </c>
      <c r="D4495" s="2" t="s">
        <v>1519</v>
      </c>
      <c r="E4495" s="2" t="s">
        <v>1520</v>
      </c>
      <c r="F4495" s="14" t="s">
        <v>4203</v>
      </c>
      <c r="G4495" s="14" t="s">
        <v>4204</v>
      </c>
      <c r="H4495" s="2" t="s">
        <v>24</v>
      </c>
      <c r="I4495" s="2" t="s">
        <v>3614</v>
      </c>
      <c r="J4495" s="2">
        <v>2.0</v>
      </c>
      <c r="K4495" s="23" t="s">
        <v>6672</v>
      </c>
      <c r="L4495" s="11">
        <v>0.0</v>
      </c>
      <c r="N4495" s="2" t="s">
        <v>6673</v>
      </c>
      <c r="O4495" s="2" t="b">
        <v>1</v>
      </c>
    </row>
    <row r="4496">
      <c r="A4496" s="8" t="s">
        <v>3418</v>
      </c>
      <c r="B4496" s="8" t="s">
        <v>3418</v>
      </c>
      <c r="C4496" s="13">
        <v>46125.65087962963</v>
      </c>
      <c r="D4496" s="2" t="s">
        <v>1519</v>
      </c>
      <c r="E4496" s="2" t="s">
        <v>1520</v>
      </c>
      <c r="F4496" s="14" t="s">
        <v>3522</v>
      </c>
      <c r="G4496" s="14" t="s">
        <v>3523</v>
      </c>
      <c r="H4496" s="2" t="s">
        <v>24</v>
      </c>
      <c r="I4496" s="2" t="s">
        <v>3491</v>
      </c>
      <c r="J4496" s="2">
        <v>1.0</v>
      </c>
      <c r="K4496" s="23" t="s">
        <v>4910</v>
      </c>
      <c r="L4496" s="11">
        <v>0.0</v>
      </c>
      <c r="N4496" s="2"/>
      <c r="O4496" s="2" t="b">
        <v>0</v>
      </c>
    </row>
    <row r="4497">
      <c r="A4497" s="8" t="s">
        <v>3419</v>
      </c>
      <c r="B4497" s="8" t="s">
        <v>3419</v>
      </c>
      <c r="C4497" s="13">
        <v>46126.35537037037</v>
      </c>
      <c r="D4497" s="2" t="s">
        <v>1776</v>
      </c>
      <c r="E4497" s="2" t="s">
        <v>1777</v>
      </c>
      <c r="F4497" s="14" t="s">
        <v>4203</v>
      </c>
      <c r="G4497" s="14" t="s">
        <v>4204</v>
      </c>
      <c r="H4497" s="2" t="s">
        <v>16</v>
      </c>
      <c r="I4497" s="2" t="s">
        <v>3488</v>
      </c>
      <c r="J4497" s="2">
        <v>2.0</v>
      </c>
      <c r="K4497" s="23" t="s">
        <v>6674</v>
      </c>
      <c r="L4497" s="11">
        <v>80000.0</v>
      </c>
      <c r="N4497" s="2"/>
      <c r="O4497" s="2" t="b">
        <v>0</v>
      </c>
    </row>
    <row r="4498">
      <c r="A4498" s="8" t="s">
        <v>3420</v>
      </c>
      <c r="B4498" s="8" t="s">
        <v>3420</v>
      </c>
      <c r="C4498" s="13">
        <v>46126.36181712963</v>
      </c>
      <c r="D4498" s="2" t="s">
        <v>3421</v>
      </c>
      <c r="E4498" s="2" t="s">
        <v>3422</v>
      </c>
      <c r="F4498" s="14" t="s">
        <v>3547</v>
      </c>
      <c r="G4498" s="14" t="s">
        <v>3548</v>
      </c>
      <c r="H4498" s="2" t="s">
        <v>16</v>
      </c>
      <c r="I4498" s="2" t="s">
        <v>3488</v>
      </c>
      <c r="J4498" s="2">
        <v>2.0</v>
      </c>
      <c r="K4498" s="12" t="s">
        <v>6675</v>
      </c>
      <c r="L4498" s="11">
        <v>1036036.0</v>
      </c>
      <c r="N4498" s="2"/>
      <c r="O4498" s="2" t="b">
        <v>0</v>
      </c>
    </row>
    <row r="4499">
      <c r="A4499" s="8" t="s">
        <v>3424</v>
      </c>
      <c r="B4499" s="8" t="s">
        <v>3424</v>
      </c>
      <c r="C4499" s="13">
        <v>46126.37909722222</v>
      </c>
      <c r="D4499" s="2" t="s">
        <v>1993</v>
      </c>
      <c r="E4499" s="2" t="s">
        <v>1994</v>
      </c>
      <c r="F4499" s="14" t="s">
        <v>3486</v>
      </c>
      <c r="G4499" s="14" t="s">
        <v>3487</v>
      </c>
      <c r="H4499" s="2" t="s">
        <v>16</v>
      </c>
      <c r="I4499" s="2" t="s">
        <v>3488</v>
      </c>
      <c r="J4499" s="2">
        <v>10.0</v>
      </c>
      <c r="K4499" s="23" t="s">
        <v>6676</v>
      </c>
      <c r="L4499" s="11">
        <v>65000.0</v>
      </c>
      <c r="N4499" s="2"/>
      <c r="O4499" s="2" t="b">
        <v>0</v>
      </c>
    </row>
    <row r="4500">
      <c r="A4500" s="8" t="s">
        <v>3424</v>
      </c>
      <c r="B4500" s="8" t="s">
        <v>3424</v>
      </c>
      <c r="C4500" s="13">
        <v>46126.37909722222</v>
      </c>
      <c r="D4500" s="2" t="s">
        <v>1993</v>
      </c>
      <c r="E4500" s="2" t="s">
        <v>1994</v>
      </c>
      <c r="F4500" s="14" t="s">
        <v>3516</v>
      </c>
      <c r="G4500" s="14" t="s">
        <v>3517</v>
      </c>
      <c r="H4500" s="2" t="s">
        <v>16</v>
      </c>
      <c r="I4500" s="2" t="s">
        <v>3488</v>
      </c>
      <c r="J4500" s="2">
        <v>2.0</v>
      </c>
      <c r="K4500" s="23" t="s">
        <v>6677</v>
      </c>
      <c r="L4500" s="11">
        <v>190000.0</v>
      </c>
      <c r="N4500" s="2"/>
      <c r="O4500" s="2" t="b">
        <v>0</v>
      </c>
    </row>
    <row r="4501">
      <c r="A4501" s="8" t="s">
        <v>3425</v>
      </c>
      <c r="B4501" s="8" t="s">
        <v>3425</v>
      </c>
      <c r="C4501" s="13">
        <v>46126.3822337963</v>
      </c>
      <c r="D4501" s="2" t="s">
        <v>2577</v>
      </c>
      <c r="E4501" s="2" t="s">
        <v>2578</v>
      </c>
      <c r="F4501" s="14" t="s">
        <v>3486</v>
      </c>
      <c r="G4501" s="14" t="s">
        <v>3487</v>
      </c>
      <c r="H4501" s="2" t="s">
        <v>16</v>
      </c>
      <c r="I4501" s="2" t="s">
        <v>3488</v>
      </c>
      <c r="J4501" s="2">
        <v>6.0</v>
      </c>
      <c r="K4501" s="23" t="s">
        <v>6678</v>
      </c>
      <c r="L4501" s="11">
        <v>58558.56</v>
      </c>
      <c r="N4501" s="2"/>
      <c r="O4501" s="2" t="b">
        <v>0</v>
      </c>
    </row>
    <row r="4502">
      <c r="A4502" s="8" t="s">
        <v>3425</v>
      </c>
      <c r="B4502" s="8" t="s">
        <v>3425</v>
      </c>
      <c r="C4502" s="13">
        <v>46126.3822337963</v>
      </c>
      <c r="D4502" s="2" t="s">
        <v>2577</v>
      </c>
      <c r="E4502" s="2" t="s">
        <v>2578</v>
      </c>
      <c r="F4502" s="14" t="s">
        <v>4203</v>
      </c>
      <c r="G4502" s="14" t="s">
        <v>4204</v>
      </c>
      <c r="H4502" s="2" t="s">
        <v>16</v>
      </c>
      <c r="I4502" s="2" t="s">
        <v>3488</v>
      </c>
      <c r="J4502" s="2">
        <v>4.0</v>
      </c>
      <c r="K4502" s="23" t="s">
        <v>6679</v>
      </c>
      <c r="L4502" s="11">
        <v>58558.56</v>
      </c>
      <c r="N4502" s="2"/>
      <c r="O4502" s="2" t="b">
        <v>0</v>
      </c>
    </row>
    <row r="4503">
      <c r="A4503" s="8" t="s">
        <v>3426</v>
      </c>
      <c r="B4503" s="8" t="s">
        <v>3426</v>
      </c>
      <c r="C4503" s="13">
        <v>46126.4128125</v>
      </c>
      <c r="D4503" s="2" t="s">
        <v>3427</v>
      </c>
      <c r="E4503" s="2" t="s">
        <v>3428</v>
      </c>
      <c r="F4503" s="14" t="s">
        <v>3493</v>
      </c>
      <c r="G4503" s="14" t="s">
        <v>3494</v>
      </c>
      <c r="H4503" s="2" t="s">
        <v>16</v>
      </c>
      <c r="I4503" s="2" t="s">
        <v>3488</v>
      </c>
      <c r="J4503" s="2">
        <v>1.0</v>
      </c>
      <c r="K4503" s="12" t="s">
        <v>5817</v>
      </c>
      <c r="L4503" s="11">
        <v>205000.0</v>
      </c>
      <c r="N4503" s="2"/>
      <c r="O4503" s="2" t="b">
        <v>0</v>
      </c>
    </row>
    <row r="4504">
      <c r="A4504" s="8" t="s">
        <v>3430</v>
      </c>
      <c r="B4504" s="8" t="s">
        <v>3430</v>
      </c>
      <c r="C4504" s="13">
        <v>46126.45863425926</v>
      </c>
      <c r="D4504" s="2" t="s">
        <v>904</v>
      </c>
      <c r="E4504" s="2" t="s">
        <v>905</v>
      </c>
      <c r="F4504" s="14" t="s">
        <v>4203</v>
      </c>
      <c r="G4504" s="14" t="s">
        <v>4204</v>
      </c>
      <c r="H4504" s="2" t="s">
        <v>16</v>
      </c>
      <c r="I4504" s="2" t="s">
        <v>3488</v>
      </c>
      <c r="J4504" s="2">
        <v>2.0</v>
      </c>
      <c r="K4504" s="23" t="s">
        <v>6680</v>
      </c>
      <c r="L4504" s="11">
        <v>70000.0</v>
      </c>
      <c r="N4504" s="2"/>
      <c r="O4504" s="2" t="b">
        <v>0</v>
      </c>
    </row>
    <row r="4505">
      <c r="A4505" s="8" t="s">
        <v>3431</v>
      </c>
      <c r="B4505" s="8" t="s">
        <v>3431</v>
      </c>
      <c r="C4505" s="13">
        <v>46126.45951388889</v>
      </c>
      <c r="D4505" s="2" t="s">
        <v>464</v>
      </c>
      <c r="E4505" s="2" t="s">
        <v>465</v>
      </c>
      <c r="F4505" s="14" t="s">
        <v>3486</v>
      </c>
      <c r="G4505" s="14" t="s">
        <v>3487</v>
      </c>
      <c r="H4505" s="2" t="s">
        <v>16</v>
      </c>
      <c r="I4505" s="2" t="s">
        <v>3488</v>
      </c>
      <c r="J4505" s="2">
        <v>3.0</v>
      </c>
      <c r="K4505" s="23" t="s">
        <v>6681</v>
      </c>
      <c r="L4505" s="11">
        <v>55000.0</v>
      </c>
      <c r="N4505" s="2"/>
      <c r="O4505" s="2" t="b">
        <v>0</v>
      </c>
    </row>
    <row r="4506">
      <c r="A4506" s="8" t="s">
        <v>3432</v>
      </c>
      <c r="B4506" s="8" t="s">
        <v>3432</v>
      </c>
      <c r="C4506" s="13">
        <v>46126.4659375</v>
      </c>
      <c r="D4506" s="2" t="s">
        <v>3421</v>
      </c>
      <c r="E4506" s="2" t="s">
        <v>3422</v>
      </c>
      <c r="F4506" s="14" t="s">
        <v>3547</v>
      </c>
      <c r="G4506" s="14" t="s">
        <v>3548</v>
      </c>
      <c r="H4506" s="2" t="s">
        <v>24</v>
      </c>
      <c r="I4506" s="2" t="s">
        <v>3491</v>
      </c>
      <c r="J4506" s="2">
        <v>2.0</v>
      </c>
      <c r="K4506" s="12" t="s">
        <v>6682</v>
      </c>
      <c r="L4506" s="11">
        <v>0.0</v>
      </c>
      <c r="N4506" s="2"/>
      <c r="O4506" s="2" t="b">
        <v>0</v>
      </c>
    </row>
    <row r="4507">
      <c r="A4507" s="8" t="s">
        <v>3433</v>
      </c>
      <c r="B4507" s="8" t="s">
        <v>3433</v>
      </c>
      <c r="C4507" s="13">
        <v>46126.47209490741</v>
      </c>
      <c r="D4507" s="2" t="s">
        <v>951</v>
      </c>
      <c r="E4507" s="2" t="s">
        <v>952</v>
      </c>
      <c r="F4507" s="14" t="s">
        <v>3486</v>
      </c>
      <c r="G4507" s="14" t="s">
        <v>3487</v>
      </c>
      <c r="H4507" s="2" t="s">
        <v>16</v>
      </c>
      <c r="I4507" s="2" t="s">
        <v>3488</v>
      </c>
      <c r="J4507" s="2">
        <v>1.0</v>
      </c>
      <c r="K4507" s="23" t="s">
        <v>6135</v>
      </c>
      <c r="L4507" s="11">
        <v>55000.0</v>
      </c>
      <c r="N4507" s="2"/>
      <c r="O4507" s="2" t="b">
        <v>0</v>
      </c>
    </row>
    <row r="4508">
      <c r="A4508" s="8" t="s">
        <v>3433</v>
      </c>
      <c r="B4508" s="8" t="s">
        <v>3433</v>
      </c>
      <c r="C4508" s="13">
        <v>46126.47209490741</v>
      </c>
      <c r="D4508" s="2" t="s">
        <v>951</v>
      </c>
      <c r="E4508" s="2" t="s">
        <v>952</v>
      </c>
      <c r="F4508" s="14" t="s">
        <v>3486</v>
      </c>
      <c r="G4508" s="14" t="s">
        <v>3487</v>
      </c>
      <c r="H4508" s="2" t="s">
        <v>16</v>
      </c>
      <c r="I4508" s="2" t="s">
        <v>3488</v>
      </c>
      <c r="J4508" s="2">
        <v>2.0</v>
      </c>
      <c r="K4508" s="23" t="s">
        <v>6683</v>
      </c>
      <c r="L4508" s="11">
        <v>55000.0</v>
      </c>
      <c r="N4508" s="2"/>
      <c r="O4508" s="2" t="b">
        <v>1</v>
      </c>
    </row>
    <row r="4509">
      <c r="A4509" s="8" t="s">
        <v>3433</v>
      </c>
      <c r="B4509" s="8" t="s">
        <v>3433</v>
      </c>
      <c r="C4509" s="13">
        <v>46126.47209490741</v>
      </c>
      <c r="D4509" s="2" t="s">
        <v>951</v>
      </c>
      <c r="E4509" s="2" t="s">
        <v>952</v>
      </c>
      <c r="F4509" s="14" t="s">
        <v>4203</v>
      </c>
      <c r="G4509" s="14" t="s">
        <v>4204</v>
      </c>
      <c r="H4509" s="2" t="s">
        <v>16</v>
      </c>
      <c r="I4509" s="2" t="s">
        <v>3488</v>
      </c>
      <c r="J4509" s="2">
        <v>1.0</v>
      </c>
      <c r="K4509" s="23" t="s">
        <v>6449</v>
      </c>
      <c r="L4509" s="11">
        <v>55000.0</v>
      </c>
      <c r="N4509" s="2"/>
      <c r="O4509" s="2" t="b">
        <v>0</v>
      </c>
    </row>
    <row r="4510">
      <c r="A4510" s="8" t="s">
        <v>3433</v>
      </c>
      <c r="B4510" s="8" t="s">
        <v>3433</v>
      </c>
      <c r="C4510" s="13">
        <v>46126.47209490741</v>
      </c>
      <c r="D4510" s="2" t="s">
        <v>951</v>
      </c>
      <c r="E4510" s="2" t="s">
        <v>952</v>
      </c>
      <c r="F4510" s="14" t="s">
        <v>3516</v>
      </c>
      <c r="G4510" s="14" t="s">
        <v>3517</v>
      </c>
      <c r="H4510" s="2" t="s">
        <v>16</v>
      </c>
      <c r="I4510" s="2" t="s">
        <v>3488</v>
      </c>
      <c r="J4510" s="2">
        <v>2.0</v>
      </c>
      <c r="K4510" s="23" t="s">
        <v>6684</v>
      </c>
      <c r="L4510" s="11">
        <v>175000.0</v>
      </c>
      <c r="N4510" s="2"/>
      <c r="O4510" s="2" t="b">
        <v>0</v>
      </c>
    </row>
    <row r="4511">
      <c r="A4511" s="8" t="s">
        <v>3434</v>
      </c>
      <c r="B4511" s="8" t="s">
        <v>3434</v>
      </c>
      <c r="C4511" s="13">
        <v>46126.473287037035</v>
      </c>
      <c r="D4511" s="2" t="s">
        <v>1993</v>
      </c>
      <c r="E4511" s="2" t="s">
        <v>1994</v>
      </c>
      <c r="F4511" s="14" t="s">
        <v>4203</v>
      </c>
      <c r="G4511" s="14" t="s">
        <v>4204</v>
      </c>
      <c r="H4511" s="2" t="s">
        <v>24</v>
      </c>
      <c r="I4511" s="2" t="s">
        <v>3491</v>
      </c>
      <c r="J4511" s="2">
        <v>1.0</v>
      </c>
      <c r="K4511" s="23" t="s">
        <v>5799</v>
      </c>
      <c r="L4511" s="11">
        <v>0.0</v>
      </c>
      <c r="N4511" s="2"/>
      <c r="O4511" s="2" t="b">
        <v>0</v>
      </c>
    </row>
    <row r="4512">
      <c r="A4512" s="8" t="s">
        <v>3435</v>
      </c>
      <c r="B4512" s="8" t="s">
        <v>3435</v>
      </c>
      <c r="C4512" s="13">
        <v>46126.47398148148</v>
      </c>
      <c r="D4512" s="2" t="s">
        <v>1776</v>
      </c>
      <c r="E4512" s="2" t="s">
        <v>1777</v>
      </c>
      <c r="F4512" s="14" t="s">
        <v>4203</v>
      </c>
      <c r="G4512" s="14" t="s">
        <v>4204</v>
      </c>
      <c r="H4512" s="2" t="s">
        <v>24</v>
      </c>
      <c r="I4512" s="2" t="s">
        <v>3491</v>
      </c>
      <c r="J4512" s="2">
        <v>1.0</v>
      </c>
      <c r="K4512" s="23" t="s">
        <v>5245</v>
      </c>
      <c r="L4512" s="11">
        <v>0.0</v>
      </c>
      <c r="N4512" s="2"/>
      <c r="O4512" s="2" t="b">
        <v>0</v>
      </c>
    </row>
    <row r="4513">
      <c r="A4513" s="8" t="s">
        <v>3436</v>
      </c>
      <c r="B4513" s="8" t="s">
        <v>3436</v>
      </c>
      <c r="C4513" s="13">
        <v>46126.474699074075</v>
      </c>
      <c r="D4513" s="2" t="s">
        <v>3427</v>
      </c>
      <c r="E4513" s="2" t="s">
        <v>3428</v>
      </c>
      <c r="F4513" s="14" t="s">
        <v>3493</v>
      </c>
      <c r="G4513" s="14" t="s">
        <v>3494</v>
      </c>
      <c r="H4513" s="2" t="s">
        <v>24</v>
      </c>
      <c r="I4513" s="2" t="s">
        <v>3491</v>
      </c>
      <c r="J4513" s="2">
        <v>1.0</v>
      </c>
      <c r="K4513" s="12" t="s">
        <v>5817</v>
      </c>
      <c r="L4513" s="11">
        <v>0.0</v>
      </c>
      <c r="N4513" s="2"/>
      <c r="O4513" s="2" t="b">
        <v>0</v>
      </c>
    </row>
    <row r="4514">
      <c r="A4514" s="8" t="s">
        <v>3437</v>
      </c>
      <c r="B4514" s="8" t="s">
        <v>3437</v>
      </c>
      <c r="C4514" s="13">
        <v>46126.55189814815</v>
      </c>
      <c r="D4514" s="2" t="s">
        <v>2577</v>
      </c>
      <c r="E4514" s="2" t="s">
        <v>2578</v>
      </c>
      <c r="F4514" s="14" t="s">
        <v>4203</v>
      </c>
      <c r="G4514" s="14" t="s">
        <v>4204</v>
      </c>
      <c r="H4514" s="2" t="s">
        <v>24</v>
      </c>
      <c r="I4514" s="2" t="s">
        <v>3491</v>
      </c>
      <c r="J4514" s="2">
        <v>1.0</v>
      </c>
      <c r="K4514" s="23" t="s">
        <v>5458</v>
      </c>
      <c r="L4514" s="11">
        <v>0.0</v>
      </c>
      <c r="N4514" s="2"/>
      <c r="O4514" s="2" t="b">
        <v>0</v>
      </c>
    </row>
    <row r="4515">
      <c r="A4515" s="8" t="s">
        <v>3438</v>
      </c>
      <c r="B4515" s="8" t="s">
        <v>3438</v>
      </c>
      <c r="C4515" s="13">
        <v>46126.64498842593</v>
      </c>
      <c r="D4515" s="2" t="s">
        <v>904</v>
      </c>
      <c r="E4515" s="2" t="s">
        <v>905</v>
      </c>
      <c r="F4515" s="14" t="s">
        <v>3486</v>
      </c>
      <c r="G4515" s="14" t="s">
        <v>3487</v>
      </c>
      <c r="H4515" s="2" t="s">
        <v>24</v>
      </c>
      <c r="I4515" s="2" t="s">
        <v>3491</v>
      </c>
      <c r="J4515" s="2">
        <v>3.0</v>
      </c>
      <c r="K4515" s="23" t="s">
        <v>6685</v>
      </c>
      <c r="L4515" s="11">
        <v>0.0</v>
      </c>
      <c r="N4515" s="2"/>
      <c r="O4515" s="2" t="b">
        <v>0</v>
      </c>
    </row>
    <row r="4516">
      <c r="A4516" s="8" t="s">
        <v>3439</v>
      </c>
      <c r="B4516" s="8" t="s">
        <v>3439</v>
      </c>
      <c r="C4516" s="13">
        <v>46126.645949074074</v>
      </c>
      <c r="D4516" s="2" t="s">
        <v>951</v>
      </c>
      <c r="E4516" s="2" t="s">
        <v>3440</v>
      </c>
      <c r="F4516" s="14" t="s">
        <v>3486</v>
      </c>
      <c r="G4516" s="14" t="s">
        <v>3487</v>
      </c>
      <c r="H4516" s="2" t="s">
        <v>24</v>
      </c>
      <c r="I4516" s="2" t="s">
        <v>3491</v>
      </c>
      <c r="J4516" s="2">
        <v>2.0</v>
      </c>
      <c r="K4516" s="23" t="s">
        <v>6686</v>
      </c>
      <c r="L4516" s="11">
        <v>0.0</v>
      </c>
      <c r="N4516" s="2"/>
      <c r="O4516" s="2" t="b">
        <v>0</v>
      </c>
    </row>
    <row r="4517">
      <c r="A4517" s="8" t="s">
        <v>3439</v>
      </c>
      <c r="B4517" s="8" t="s">
        <v>3439</v>
      </c>
      <c r="C4517" s="13">
        <v>46126.645949074074</v>
      </c>
      <c r="D4517" s="2" t="s">
        <v>951</v>
      </c>
      <c r="E4517" s="2" t="s">
        <v>3440</v>
      </c>
      <c r="F4517" s="14" t="s">
        <v>3516</v>
      </c>
      <c r="G4517" s="14" t="s">
        <v>3517</v>
      </c>
      <c r="H4517" s="2" t="s">
        <v>24</v>
      </c>
      <c r="I4517" s="2" t="s">
        <v>3491</v>
      </c>
      <c r="J4517" s="2">
        <v>1.0</v>
      </c>
      <c r="K4517" s="23" t="s">
        <v>6120</v>
      </c>
      <c r="L4517" s="11">
        <v>0.0</v>
      </c>
      <c r="N4517" s="2"/>
      <c r="O4517" s="2" t="b">
        <v>0</v>
      </c>
    </row>
    <row r="4518">
      <c r="A4518" s="8" t="s">
        <v>3441</v>
      </c>
      <c r="B4518" s="8" t="s">
        <v>3441</v>
      </c>
      <c r="C4518" s="13">
        <v>46126.64641203704</v>
      </c>
      <c r="D4518" s="2" t="s">
        <v>1756</v>
      </c>
      <c r="E4518" s="2" t="s">
        <v>1757</v>
      </c>
      <c r="F4518" s="14" t="s">
        <v>3486</v>
      </c>
      <c r="G4518" s="14" t="s">
        <v>3487</v>
      </c>
      <c r="H4518" s="2" t="s">
        <v>24</v>
      </c>
      <c r="I4518" s="2" t="s">
        <v>3491</v>
      </c>
      <c r="J4518" s="2">
        <v>1.0</v>
      </c>
      <c r="K4518" s="23" t="s">
        <v>6573</v>
      </c>
      <c r="L4518" s="11">
        <v>0.0</v>
      </c>
      <c r="N4518" s="2"/>
      <c r="O4518" s="2" t="b">
        <v>0</v>
      </c>
    </row>
    <row r="4519">
      <c r="A4519" s="8" t="s">
        <v>3442</v>
      </c>
      <c r="B4519" s="8" t="s">
        <v>3442</v>
      </c>
      <c r="C4519" s="13">
        <v>46126.64672453704</v>
      </c>
      <c r="D4519" s="2" t="s">
        <v>464</v>
      </c>
      <c r="E4519" s="2" t="s">
        <v>465</v>
      </c>
      <c r="F4519" s="14" t="s">
        <v>3506</v>
      </c>
      <c r="G4519" s="14" t="s">
        <v>3507</v>
      </c>
      <c r="H4519" s="2" t="s">
        <v>24</v>
      </c>
      <c r="I4519" s="2" t="s">
        <v>3491</v>
      </c>
      <c r="J4519" s="2">
        <v>3.0</v>
      </c>
      <c r="K4519" s="12"/>
      <c r="L4519" s="11">
        <v>0.0</v>
      </c>
      <c r="N4519" s="2"/>
      <c r="O4519" s="2" t="b">
        <v>0</v>
      </c>
    </row>
    <row r="4520">
      <c r="A4520" s="8" t="s">
        <v>3443</v>
      </c>
      <c r="B4520" s="8" t="s">
        <v>3443</v>
      </c>
      <c r="C4520" s="13">
        <v>46127.36693287037</v>
      </c>
      <c r="D4520" s="2" t="s">
        <v>786</v>
      </c>
      <c r="E4520" s="2" t="s">
        <v>787</v>
      </c>
      <c r="F4520" s="14" t="s">
        <v>3486</v>
      </c>
      <c r="G4520" s="14" t="s">
        <v>3487</v>
      </c>
      <c r="H4520" s="2" t="s">
        <v>16</v>
      </c>
      <c r="I4520" s="2" t="s">
        <v>3488</v>
      </c>
      <c r="J4520" s="2">
        <v>3.0</v>
      </c>
      <c r="K4520" s="23" t="s">
        <v>6687</v>
      </c>
      <c r="L4520" s="11">
        <v>60000.0</v>
      </c>
      <c r="N4520" s="2"/>
      <c r="O4520" s="2" t="b">
        <v>0</v>
      </c>
    </row>
    <row r="4521">
      <c r="A4521" s="8" t="s">
        <v>3443</v>
      </c>
      <c r="B4521" s="8" t="s">
        <v>3443</v>
      </c>
      <c r="C4521" s="13">
        <v>46127.36693287037</v>
      </c>
      <c r="D4521" s="2" t="s">
        <v>786</v>
      </c>
      <c r="E4521" s="2" t="s">
        <v>787</v>
      </c>
      <c r="F4521" s="14" t="s">
        <v>3516</v>
      </c>
      <c r="G4521" s="14" t="s">
        <v>3517</v>
      </c>
      <c r="H4521" s="2" t="s">
        <v>16</v>
      </c>
      <c r="I4521" s="2" t="s">
        <v>3488</v>
      </c>
      <c r="J4521" s="2">
        <v>3.0</v>
      </c>
      <c r="K4521" s="23" t="s">
        <v>6688</v>
      </c>
      <c r="L4521" s="11">
        <v>180000.0</v>
      </c>
      <c r="N4521" s="2"/>
      <c r="O4521" s="2" t="b">
        <v>0</v>
      </c>
    </row>
    <row r="4522">
      <c r="A4522" s="8" t="s">
        <v>3444</v>
      </c>
      <c r="B4522" s="8" t="s">
        <v>3444</v>
      </c>
      <c r="C4522" s="13">
        <v>46127.367731481485</v>
      </c>
      <c r="D4522" s="2" t="s">
        <v>1705</v>
      </c>
      <c r="E4522" s="2" t="s">
        <v>1706</v>
      </c>
      <c r="F4522" s="14" t="s">
        <v>4203</v>
      </c>
      <c r="G4522" s="14" t="s">
        <v>4204</v>
      </c>
      <c r="H4522" s="2" t="s">
        <v>16</v>
      </c>
      <c r="I4522" s="2" t="s">
        <v>3488</v>
      </c>
      <c r="J4522" s="2">
        <v>2.0</v>
      </c>
      <c r="K4522" s="23" t="s">
        <v>6689</v>
      </c>
      <c r="L4522" s="11">
        <v>65000.0</v>
      </c>
      <c r="N4522" s="2"/>
      <c r="O4522" s="2" t="b">
        <v>0</v>
      </c>
    </row>
    <row r="4523">
      <c r="A4523" s="8" t="s">
        <v>3445</v>
      </c>
      <c r="B4523" s="8" t="s">
        <v>3445</v>
      </c>
      <c r="C4523" s="13">
        <v>46127.608506944445</v>
      </c>
      <c r="D4523" s="2" t="s">
        <v>2913</v>
      </c>
      <c r="E4523" s="2" t="s">
        <v>2914</v>
      </c>
      <c r="F4523" s="14" t="s">
        <v>4203</v>
      </c>
      <c r="G4523" s="14" t="s">
        <v>4204</v>
      </c>
      <c r="H4523" s="2" t="s">
        <v>24</v>
      </c>
      <c r="I4523" s="2" t="s">
        <v>3491</v>
      </c>
      <c r="J4523" s="2">
        <v>3.0</v>
      </c>
      <c r="K4523" s="23" t="s">
        <v>6690</v>
      </c>
      <c r="L4523" s="11">
        <v>0.0</v>
      </c>
      <c r="N4523" s="2"/>
      <c r="O4523" s="2" t="b">
        <v>0</v>
      </c>
    </row>
    <row r="4524">
      <c r="A4524" s="8" t="s">
        <v>3445</v>
      </c>
      <c r="B4524" s="8" t="s">
        <v>3445</v>
      </c>
      <c r="C4524" s="13">
        <v>46127.608506944445</v>
      </c>
      <c r="D4524" s="2" t="s">
        <v>2913</v>
      </c>
      <c r="E4524" s="2" t="s">
        <v>2914</v>
      </c>
      <c r="F4524" s="14" t="s">
        <v>4203</v>
      </c>
      <c r="G4524" s="14" t="s">
        <v>4204</v>
      </c>
      <c r="H4524" s="2" t="s">
        <v>24</v>
      </c>
      <c r="I4524" s="2" t="s">
        <v>3491</v>
      </c>
      <c r="J4524" s="2">
        <v>1.0</v>
      </c>
      <c r="K4524" s="23" t="s">
        <v>6288</v>
      </c>
      <c r="L4524" s="11">
        <v>0.0</v>
      </c>
      <c r="N4524" s="2"/>
      <c r="O4524" s="2" t="b">
        <v>1</v>
      </c>
    </row>
    <row r="4525">
      <c r="A4525" s="8" t="s">
        <v>3446</v>
      </c>
      <c r="B4525" s="8" t="s">
        <v>3446</v>
      </c>
      <c r="C4525" s="13">
        <v>46127.609560185185</v>
      </c>
      <c r="D4525" s="2" t="s">
        <v>2005</v>
      </c>
      <c r="E4525" s="2" t="s">
        <v>2006</v>
      </c>
      <c r="F4525" s="14" t="s">
        <v>3486</v>
      </c>
      <c r="G4525" s="14" t="s">
        <v>3487</v>
      </c>
      <c r="H4525" s="2" t="s">
        <v>24</v>
      </c>
      <c r="I4525" s="2" t="s">
        <v>3491</v>
      </c>
      <c r="J4525" s="2">
        <v>2.0</v>
      </c>
      <c r="K4525" s="23" t="s">
        <v>6691</v>
      </c>
      <c r="L4525" s="11">
        <v>0.0</v>
      </c>
      <c r="N4525" s="2"/>
      <c r="O4525" s="2" t="b">
        <v>0</v>
      </c>
    </row>
    <row r="4526">
      <c r="A4526" s="8" t="s">
        <v>3447</v>
      </c>
      <c r="B4526" s="8" t="s">
        <v>3447</v>
      </c>
      <c r="C4526" s="13">
        <v>46127.609872685185</v>
      </c>
      <c r="D4526" s="2" t="s">
        <v>109</v>
      </c>
      <c r="E4526" s="2" t="s">
        <v>110</v>
      </c>
      <c r="F4526" s="14" t="s">
        <v>3486</v>
      </c>
      <c r="G4526" s="14" t="s">
        <v>3487</v>
      </c>
      <c r="H4526" s="2" t="s">
        <v>24</v>
      </c>
      <c r="I4526" s="2" t="s">
        <v>3491</v>
      </c>
      <c r="J4526" s="2">
        <v>1.0</v>
      </c>
      <c r="K4526" s="23" t="s">
        <v>6692</v>
      </c>
      <c r="L4526" s="11">
        <v>0.0</v>
      </c>
      <c r="N4526" s="2"/>
      <c r="O4526" s="2" t="b">
        <v>0</v>
      </c>
    </row>
    <row r="4527">
      <c r="A4527" s="8" t="s">
        <v>3447</v>
      </c>
      <c r="B4527" s="8" t="s">
        <v>3447</v>
      </c>
      <c r="C4527" s="13">
        <v>46127.609872685185</v>
      </c>
      <c r="D4527" s="2" t="s">
        <v>109</v>
      </c>
      <c r="E4527" s="2" t="s">
        <v>110</v>
      </c>
      <c r="F4527" s="14" t="s">
        <v>3516</v>
      </c>
      <c r="G4527" s="14" t="s">
        <v>3517</v>
      </c>
      <c r="H4527" s="2" t="s">
        <v>24</v>
      </c>
      <c r="I4527" s="2" t="s">
        <v>3491</v>
      </c>
      <c r="J4527" s="2">
        <v>4.0</v>
      </c>
      <c r="K4527" s="23" t="s">
        <v>6693</v>
      </c>
      <c r="L4527" s="11">
        <v>0.0</v>
      </c>
      <c r="N4527" s="2"/>
      <c r="O4527" s="2" t="b">
        <v>0</v>
      </c>
    </row>
    <row r="4528">
      <c r="A4528" s="8" t="s">
        <v>3447</v>
      </c>
      <c r="B4528" s="8" t="s">
        <v>3447</v>
      </c>
      <c r="C4528" s="13">
        <v>46127.609872685185</v>
      </c>
      <c r="D4528" s="2" t="s">
        <v>109</v>
      </c>
      <c r="E4528" s="2" t="s">
        <v>110</v>
      </c>
      <c r="F4528" s="14" t="s">
        <v>3522</v>
      </c>
      <c r="G4528" s="14" t="s">
        <v>3523</v>
      </c>
      <c r="H4528" s="2" t="s">
        <v>24</v>
      </c>
      <c r="I4528" s="2" t="s">
        <v>3491</v>
      </c>
      <c r="J4528" s="2">
        <v>1.0</v>
      </c>
      <c r="K4528" s="23" t="s">
        <v>6694</v>
      </c>
      <c r="L4528" s="11">
        <v>0.0</v>
      </c>
      <c r="N4528" s="2"/>
      <c r="O4528" s="2" t="b">
        <v>0</v>
      </c>
    </row>
    <row r="4529">
      <c r="A4529" s="8" t="s">
        <v>3448</v>
      </c>
      <c r="B4529" s="8" t="s">
        <v>3448</v>
      </c>
      <c r="C4529" s="13">
        <v>46127.61054398148</v>
      </c>
      <c r="D4529" s="2" t="s">
        <v>2543</v>
      </c>
      <c r="E4529" s="2" t="s">
        <v>2544</v>
      </c>
      <c r="F4529" s="14" t="s">
        <v>3486</v>
      </c>
      <c r="G4529" s="14" t="s">
        <v>3487</v>
      </c>
      <c r="H4529" s="2" t="s">
        <v>24</v>
      </c>
      <c r="I4529" s="2" t="s">
        <v>3491</v>
      </c>
      <c r="J4529" s="2">
        <v>1.0</v>
      </c>
      <c r="K4529" s="23" t="s">
        <v>4774</v>
      </c>
      <c r="L4529" s="11">
        <v>0.0</v>
      </c>
      <c r="N4529" s="2"/>
      <c r="O4529" s="2" t="b">
        <v>0</v>
      </c>
    </row>
    <row r="4530">
      <c r="A4530" s="8" t="s">
        <v>3448</v>
      </c>
      <c r="B4530" s="8" t="s">
        <v>3448</v>
      </c>
      <c r="C4530" s="13">
        <v>46127.61054398148</v>
      </c>
      <c r="D4530" s="2" t="s">
        <v>2543</v>
      </c>
      <c r="E4530" s="2" t="s">
        <v>2544</v>
      </c>
      <c r="F4530" s="14" t="s">
        <v>3585</v>
      </c>
      <c r="G4530" s="14" t="s">
        <v>3586</v>
      </c>
      <c r="H4530" s="2" t="s">
        <v>24</v>
      </c>
      <c r="I4530" s="2" t="s">
        <v>3491</v>
      </c>
      <c r="J4530" s="2">
        <v>1.0</v>
      </c>
      <c r="K4530" s="23" t="s">
        <v>6450</v>
      </c>
      <c r="L4530" s="11">
        <v>0.0</v>
      </c>
      <c r="N4530" s="2"/>
      <c r="O4530" s="2" t="b">
        <v>0</v>
      </c>
    </row>
    <row r="4531">
      <c r="A4531" s="8" t="s">
        <v>3449</v>
      </c>
      <c r="B4531" s="8" t="s">
        <v>3449</v>
      </c>
      <c r="C4531" s="13">
        <v>46127.62965277778</v>
      </c>
      <c r="D4531" s="2" t="s">
        <v>1705</v>
      </c>
      <c r="E4531" s="2" t="s">
        <v>1706</v>
      </c>
      <c r="F4531" s="14" t="s">
        <v>4203</v>
      </c>
      <c r="G4531" s="14" t="s">
        <v>4204</v>
      </c>
      <c r="H4531" s="2" t="s">
        <v>24</v>
      </c>
      <c r="I4531" s="2" t="s">
        <v>3491</v>
      </c>
      <c r="J4531" s="2">
        <v>3.0</v>
      </c>
      <c r="K4531" s="23" t="s">
        <v>6695</v>
      </c>
      <c r="L4531" s="11">
        <v>0.0</v>
      </c>
      <c r="N4531" s="2"/>
      <c r="O4531" s="2" t="b">
        <v>0</v>
      </c>
    </row>
    <row r="4532">
      <c r="A4532" s="8" t="s">
        <v>3450</v>
      </c>
      <c r="B4532" s="8" t="s">
        <v>3450</v>
      </c>
      <c r="C4532" s="13">
        <v>46127.63135416667</v>
      </c>
      <c r="D4532" s="2" t="s">
        <v>1084</v>
      </c>
      <c r="E4532" s="2" t="s">
        <v>1085</v>
      </c>
      <c r="F4532" s="14" t="s">
        <v>4203</v>
      </c>
      <c r="G4532" s="14" t="s">
        <v>4204</v>
      </c>
      <c r="H4532" s="2" t="s">
        <v>24</v>
      </c>
      <c r="I4532" s="2" t="s">
        <v>3491</v>
      </c>
      <c r="J4532" s="2">
        <v>3.0</v>
      </c>
      <c r="K4532" s="23" t="s">
        <v>6696</v>
      </c>
      <c r="L4532" s="11">
        <v>0.0</v>
      </c>
      <c r="N4532" s="2"/>
      <c r="O4532" s="2" t="b">
        <v>0</v>
      </c>
    </row>
    <row r="4533">
      <c r="A4533" s="8" t="s">
        <v>3450</v>
      </c>
      <c r="B4533" s="8" t="s">
        <v>3450</v>
      </c>
      <c r="C4533" s="13">
        <v>46127.63135416667</v>
      </c>
      <c r="D4533" s="2" t="s">
        <v>1084</v>
      </c>
      <c r="E4533" s="2" t="s">
        <v>1085</v>
      </c>
      <c r="F4533" s="14" t="s">
        <v>3486</v>
      </c>
      <c r="G4533" s="14" t="s">
        <v>3487</v>
      </c>
      <c r="H4533" s="2" t="s">
        <v>24</v>
      </c>
      <c r="I4533" s="2" t="s">
        <v>3491</v>
      </c>
      <c r="J4533" s="2">
        <v>2.0</v>
      </c>
      <c r="K4533" s="23" t="s">
        <v>6697</v>
      </c>
      <c r="L4533" s="11">
        <v>0.0</v>
      </c>
      <c r="N4533" s="2"/>
      <c r="O4533" s="2" t="b">
        <v>0</v>
      </c>
    </row>
    <row r="4534">
      <c r="A4534" s="8" t="s">
        <v>3451</v>
      </c>
      <c r="B4534" s="8" t="s">
        <v>3451</v>
      </c>
      <c r="C4534" s="13">
        <v>46127.633356481485</v>
      </c>
      <c r="D4534" s="2" t="s">
        <v>786</v>
      </c>
      <c r="E4534" s="2" t="s">
        <v>787</v>
      </c>
      <c r="F4534" s="14" t="s">
        <v>3486</v>
      </c>
      <c r="G4534" s="14" t="s">
        <v>3487</v>
      </c>
      <c r="H4534" s="2" t="s">
        <v>24</v>
      </c>
      <c r="I4534" s="2" t="s">
        <v>3491</v>
      </c>
      <c r="J4534" s="2">
        <v>5.0</v>
      </c>
      <c r="K4534" s="23" t="s">
        <v>6698</v>
      </c>
      <c r="L4534" s="11">
        <v>0.0</v>
      </c>
      <c r="N4534" s="2"/>
      <c r="O4534" s="2" t="b">
        <v>0</v>
      </c>
    </row>
    <row r="4535">
      <c r="A4535" s="8" t="s">
        <v>3451</v>
      </c>
      <c r="B4535" s="8" t="s">
        <v>3451</v>
      </c>
      <c r="C4535" s="13">
        <v>46127.633356481485</v>
      </c>
      <c r="D4535" s="2" t="s">
        <v>786</v>
      </c>
      <c r="E4535" s="2" t="s">
        <v>787</v>
      </c>
      <c r="F4535" s="14" t="s">
        <v>4203</v>
      </c>
      <c r="G4535" s="14" t="s">
        <v>4204</v>
      </c>
      <c r="H4535" s="2" t="s">
        <v>24</v>
      </c>
      <c r="I4535" s="2" t="s">
        <v>3491</v>
      </c>
      <c r="J4535" s="2">
        <v>1.0</v>
      </c>
      <c r="K4535" s="23" t="s">
        <v>5349</v>
      </c>
      <c r="L4535" s="11">
        <v>0.0</v>
      </c>
      <c r="N4535" s="2"/>
      <c r="O4535" s="2" t="b">
        <v>0</v>
      </c>
    </row>
    <row r="4536">
      <c r="A4536" s="8" t="s">
        <v>3451</v>
      </c>
      <c r="B4536" s="8" t="s">
        <v>3451</v>
      </c>
      <c r="C4536" s="13">
        <v>46127.633356481485</v>
      </c>
      <c r="D4536" s="2" t="s">
        <v>786</v>
      </c>
      <c r="E4536" s="2" t="s">
        <v>787</v>
      </c>
      <c r="F4536" s="14" t="s">
        <v>3516</v>
      </c>
      <c r="G4536" s="14" t="s">
        <v>3517</v>
      </c>
      <c r="H4536" s="2" t="s">
        <v>24</v>
      </c>
      <c r="I4536" s="2" t="s">
        <v>3491</v>
      </c>
      <c r="J4536" s="2">
        <v>5.0</v>
      </c>
      <c r="K4536" s="23" t="s">
        <v>6699</v>
      </c>
      <c r="L4536" s="11">
        <v>0.0</v>
      </c>
      <c r="N4536" s="2"/>
      <c r="O4536" s="2" t="b">
        <v>0</v>
      </c>
    </row>
    <row r="4537">
      <c r="A4537" s="8" t="s">
        <v>3452</v>
      </c>
      <c r="B4537" s="8" t="s">
        <v>3452</v>
      </c>
      <c r="C4537" s="13">
        <v>46127.64528935185</v>
      </c>
      <c r="D4537" s="2" t="s">
        <v>20</v>
      </c>
      <c r="E4537" s="2" t="s">
        <v>21</v>
      </c>
      <c r="F4537" s="14" t="s">
        <v>3486</v>
      </c>
      <c r="G4537" s="14" t="s">
        <v>3487</v>
      </c>
      <c r="H4537" s="2" t="s">
        <v>24</v>
      </c>
      <c r="I4537" s="2" t="s">
        <v>3491</v>
      </c>
      <c r="J4537" s="2">
        <v>1.0</v>
      </c>
      <c r="K4537" s="23" t="s">
        <v>6700</v>
      </c>
      <c r="L4537" s="11">
        <v>0.0</v>
      </c>
      <c r="N4537" s="2"/>
      <c r="O4537" s="2" t="b">
        <v>0</v>
      </c>
    </row>
    <row r="4538">
      <c r="A4538" s="8" t="s">
        <v>3452</v>
      </c>
      <c r="B4538" s="8" t="s">
        <v>3452</v>
      </c>
      <c r="C4538" s="13">
        <v>46127.64528935185</v>
      </c>
      <c r="D4538" s="2" t="s">
        <v>20</v>
      </c>
      <c r="E4538" s="2" t="s">
        <v>21</v>
      </c>
      <c r="F4538" s="14" t="s">
        <v>3493</v>
      </c>
      <c r="G4538" s="14" t="s">
        <v>3494</v>
      </c>
      <c r="H4538" s="2" t="s">
        <v>24</v>
      </c>
      <c r="I4538" s="2" t="s">
        <v>3491</v>
      </c>
      <c r="J4538" s="2">
        <v>1.0</v>
      </c>
      <c r="K4538" s="12"/>
      <c r="L4538" s="11">
        <v>0.0</v>
      </c>
      <c r="N4538" s="2"/>
      <c r="O4538" s="2" t="b">
        <v>0</v>
      </c>
    </row>
    <row r="4539">
      <c r="A4539" s="8" t="s">
        <v>3453</v>
      </c>
      <c r="B4539" s="8" t="s">
        <v>3453</v>
      </c>
      <c r="C4539" s="13">
        <v>46128.32983796296</v>
      </c>
      <c r="D4539" s="2" t="s">
        <v>1963</v>
      </c>
      <c r="E4539" s="2" t="s">
        <v>1964</v>
      </c>
      <c r="F4539" s="14" t="s">
        <v>3486</v>
      </c>
      <c r="G4539" s="14" t="s">
        <v>3487</v>
      </c>
      <c r="H4539" s="2" t="s">
        <v>16</v>
      </c>
      <c r="I4539" s="2" t="s">
        <v>3488</v>
      </c>
      <c r="J4539" s="2">
        <v>5.0</v>
      </c>
      <c r="K4539" s="23" t="s">
        <v>6701</v>
      </c>
      <c r="L4539" s="11">
        <v>60000.0</v>
      </c>
      <c r="N4539" s="2"/>
      <c r="O4539" s="2" t="b">
        <v>0</v>
      </c>
    </row>
    <row r="4540">
      <c r="A4540" s="8" t="s">
        <v>3454</v>
      </c>
      <c r="B4540" s="8" t="s">
        <v>3454</v>
      </c>
      <c r="C4540" s="13">
        <v>46128.36524305555</v>
      </c>
      <c r="D4540" s="2" t="s">
        <v>2913</v>
      </c>
      <c r="E4540" s="2" t="s">
        <v>2914</v>
      </c>
      <c r="F4540" s="14" t="s">
        <v>5765</v>
      </c>
      <c r="G4540" s="14" t="s">
        <v>5766</v>
      </c>
      <c r="H4540" s="2" t="s">
        <v>16</v>
      </c>
      <c r="I4540" s="2" t="s">
        <v>3488</v>
      </c>
      <c r="J4540" s="2">
        <v>3.0</v>
      </c>
      <c r="K4540" s="23" t="s">
        <v>6237</v>
      </c>
      <c r="L4540" s="11">
        <v>75000.0</v>
      </c>
      <c r="N4540" s="2"/>
      <c r="O4540" s="2" t="b">
        <v>0</v>
      </c>
    </row>
    <row r="4541">
      <c r="A4541" s="8" t="s">
        <v>3455</v>
      </c>
      <c r="B4541" s="8" t="s">
        <v>3455</v>
      </c>
      <c r="C4541" s="13">
        <v>46128.36734953704</v>
      </c>
      <c r="D4541" s="2" t="s">
        <v>464</v>
      </c>
      <c r="E4541" s="2" t="s">
        <v>465</v>
      </c>
      <c r="F4541" s="14" t="s">
        <v>3506</v>
      </c>
      <c r="G4541" s="14" t="s">
        <v>3507</v>
      </c>
      <c r="H4541" s="2" t="s">
        <v>16</v>
      </c>
      <c r="I4541" s="2" t="s">
        <v>3488</v>
      </c>
      <c r="J4541" s="2">
        <v>3.0</v>
      </c>
      <c r="K4541" s="12"/>
      <c r="L4541" s="11">
        <v>55000.0</v>
      </c>
      <c r="N4541" s="2"/>
      <c r="O4541" s="2" t="b">
        <v>0</v>
      </c>
    </row>
    <row r="4542">
      <c r="A4542" s="8" t="s">
        <v>3456</v>
      </c>
      <c r="B4542" s="8" t="s">
        <v>3456</v>
      </c>
      <c r="C4542" s="13">
        <v>46128.36765046296</v>
      </c>
      <c r="D4542" s="2" t="s">
        <v>904</v>
      </c>
      <c r="E4542" s="2" t="s">
        <v>905</v>
      </c>
      <c r="F4542" s="14" t="s">
        <v>3486</v>
      </c>
      <c r="G4542" s="14" t="s">
        <v>3487</v>
      </c>
      <c r="H4542" s="2" t="s">
        <v>16</v>
      </c>
      <c r="I4542" s="2" t="s">
        <v>3488</v>
      </c>
      <c r="J4542" s="2">
        <v>1.0</v>
      </c>
      <c r="K4542" s="23" t="s">
        <v>6702</v>
      </c>
      <c r="L4542" s="11">
        <v>70000.0</v>
      </c>
      <c r="N4542" s="2"/>
      <c r="O4542" s="2" t="b">
        <v>0</v>
      </c>
    </row>
    <row r="4543">
      <c r="A4543" s="8" t="s">
        <v>3457</v>
      </c>
      <c r="B4543" s="8" t="s">
        <v>3457</v>
      </c>
      <c r="C4543" s="13">
        <v>46128.36791666667</v>
      </c>
      <c r="D4543" s="2" t="s">
        <v>943</v>
      </c>
      <c r="E4543" s="2" t="s">
        <v>944</v>
      </c>
      <c r="F4543" s="14" t="s">
        <v>3506</v>
      </c>
      <c r="G4543" s="14" t="s">
        <v>3507</v>
      </c>
      <c r="H4543" s="2" t="s">
        <v>16</v>
      </c>
      <c r="I4543" s="2" t="s">
        <v>3488</v>
      </c>
      <c r="J4543" s="2">
        <v>1.0</v>
      </c>
      <c r="K4543" s="12"/>
      <c r="L4543" s="11">
        <v>50000.0</v>
      </c>
      <c r="N4543" s="2"/>
      <c r="O4543" s="2" t="b">
        <v>0</v>
      </c>
    </row>
    <row r="4544">
      <c r="A4544" s="8" t="s">
        <v>3458</v>
      </c>
      <c r="B4544" s="8" t="s">
        <v>3458</v>
      </c>
      <c r="C4544" s="13">
        <v>46128.60192129629</v>
      </c>
      <c r="D4544" s="2" t="s">
        <v>885</v>
      </c>
      <c r="E4544" s="2" t="s">
        <v>886</v>
      </c>
      <c r="F4544" s="14" t="s">
        <v>3522</v>
      </c>
      <c r="G4544" s="14" t="s">
        <v>3523</v>
      </c>
      <c r="H4544" s="2" t="s">
        <v>16</v>
      </c>
      <c r="I4544" s="2" t="s">
        <v>3488</v>
      </c>
      <c r="J4544" s="2">
        <v>3.0</v>
      </c>
      <c r="K4544" s="23" t="s">
        <v>6703</v>
      </c>
      <c r="L4544" s="11">
        <v>210000.0</v>
      </c>
      <c r="N4544" s="2"/>
      <c r="O4544" s="2" t="b">
        <v>0</v>
      </c>
    </row>
    <row r="4545">
      <c r="A4545" s="8" t="s">
        <v>3459</v>
      </c>
      <c r="B4545" s="8" t="s">
        <v>3459</v>
      </c>
      <c r="C4545" s="13">
        <v>46128.602789351855</v>
      </c>
      <c r="D4545" s="2" t="s">
        <v>1975</v>
      </c>
      <c r="E4545" s="2" t="s">
        <v>1976</v>
      </c>
      <c r="F4545" s="14" t="s">
        <v>3486</v>
      </c>
      <c r="G4545" s="14" t="s">
        <v>3487</v>
      </c>
      <c r="H4545" s="2" t="s">
        <v>24</v>
      </c>
      <c r="I4545" s="2" t="s">
        <v>3491</v>
      </c>
      <c r="J4545" s="2">
        <v>3.0</v>
      </c>
      <c r="K4545" s="23" t="s">
        <v>6704</v>
      </c>
      <c r="L4545" s="11">
        <v>0.0</v>
      </c>
      <c r="N4545" s="2"/>
      <c r="O4545" s="2" t="b">
        <v>0</v>
      </c>
    </row>
    <row r="4546">
      <c r="A4546" s="8" t="s">
        <v>3460</v>
      </c>
      <c r="B4546" s="8" t="s">
        <v>3460</v>
      </c>
      <c r="C4546" s="13">
        <v>46128.60517361111</v>
      </c>
      <c r="D4546" s="2" t="s">
        <v>786</v>
      </c>
      <c r="E4546" s="2" t="s">
        <v>787</v>
      </c>
      <c r="F4546" s="14" t="s">
        <v>3486</v>
      </c>
      <c r="G4546" s="14" t="s">
        <v>3487</v>
      </c>
      <c r="H4546" s="2" t="s">
        <v>24</v>
      </c>
      <c r="I4546" s="2" t="s">
        <v>3491</v>
      </c>
      <c r="J4546" s="2">
        <v>1.0</v>
      </c>
      <c r="K4546" s="23" t="s">
        <v>6542</v>
      </c>
      <c r="L4546" s="11">
        <v>0.0</v>
      </c>
      <c r="N4546" s="2"/>
      <c r="O4546" s="2" t="b">
        <v>0</v>
      </c>
    </row>
    <row r="4547">
      <c r="A4547" s="8" t="s">
        <v>3460</v>
      </c>
      <c r="B4547" s="8" t="s">
        <v>3460</v>
      </c>
      <c r="C4547" s="13">
        <v>46128.60517361111</v>
      </c>
      <c r="D4547" s="2" t="s">
        <v>786</v>
      </c>
      <c r="E4547" s="2" t="s">
        <v>787</v>
      </c>
      <c r="F4547" s="14" t="s">
        <v>4203</v>
      </c>
      <c r="G4547" s="14" t="s">
        <v>4204</v>
      </c>
      <c r="H4547" s="2" t="s">
        <v>24</v>
      </c>
      <c r="I4547" s="2" t="s">
        <v>3491</v>
      </c>
      <c r="J4547" s="2">
        <v>2.0</v>
      </c>
      <c r="K4547" s="23" t="s">
        <v>6705</v>
      </c>
      <c r="L4547" s="11">
        <v>0.0</v>
      </c>
      <c r="N4547" s="2"/>
      <c r="O4547" s="2" t="b">
        <v>0</v>
      </c>
    </row>
    <row r="4548">
      <c r="A4548" s="8" t="s">
        <v>3460</v>
      </c>
      <c r="B4548" s="8" t="s">
        <v>3460</v>
      </c>
      <c r="C4548" s="13">
        <v>46128.60517361111</v>
      </c>
      <c r="D4548" s="2" t="s">
        <v>786</v>
      </c>
      <c r="E4548" s="2" t="s">
        <v>787</v>
      </c>
      <c r="F4548" s="14" t="s">
        <v>3516</v>
      </c>
      <c r="G4548" s="14" t="s">
        <v>3517</v>
      </c>
      <c r="H4548" s="2" t="s">
        <v>24</v>
      </c>
      <c r="I4548" s="2" t="s">
        <v>3491</v>
      </c>
      <c r="J4548" s="2">
        <v>1.0</v>
      </c>
      <c r="K4548" s="23" t="s">
        <v>6120</v>
      </c>
      <c r="L4548" s="11">
        <v>0.0</v>
      </c>
      <c r="N4548" s="2"/>
      <c r="O4548" s="2" t="b">
        <v>0</v>
      </c>
    </row>
    <row r="4549">
      <c r="A4549" s="8" t="s">
        <v>3460</v>
      </c>
      <c r="B4549" s="8" t="s">
        <v>3460</v>
      </c>
      <c r="C4549" s="13">
        <v>46128.60517361111</v>
      </c>
      <c r="D4549" s="2" t="s">
        <v>786</v>
      </c>
      <c r="E4549" s="2" t="s">
        <v>787</v>
      </c>
      <c r="F4549" s="14" t="s">
        <v>3506</v>
      </c>
      <c r="G4549" s="14" t="s">
        <v>3507</v>
      </c>
      <c r="H4549" s="2" t="s">
        <v>24</v>
      </c>
      <c r="I4549" s="2" t="s">
        <v>3491</v>
      </c>
      <c r="J4549" s="2">
        <v>3.0</v>
      </c>
      <c r="K4549" s="12"/>
      <c r="L4549" s="11">
        <v>0.0</v>
      </c>
      <c r="N4549" s="2"/>
      <c r="O4549" s="2" t="b">
        <v>0</v>
      </c>
    </row>
    <row r="4550">
      <c r="A4550" s="8" t="s">
        <v>3461</v>
      </c>
      <c r="B4550" s="8" t="s">
        <v>3461</v>
      </c>
      <c r="C4550" s="13">
        <v>46128.606620370374</v>
      </c>
      <c r="D4550" s="2" t="s">
        <v>2510</v>
      </c>
      <c r="E4550" s="2" t="s">
        <v>2511</v>
      </c>
      <c r="F4550" s="14" t="s">
        <v>3486</v>
      </c>
      <c r="G4550" s="14" t="s">
        <v>3487</v>
      </c>
      <c r="H4550" s="2" t="s">
        <v>24</v>
      </c>
      <c r="I4550" s="2" t="s">
        <v>3491</v>
      </c>
      <c r="J4550" s="2">
        <v>1.0</v>
      </c>
      <c r="K4550" s="23" t="s">
        <v>6706</v>
      </c>
      <c r="L4550" s="11">
        <v>0.0</v>
      </c>
      <c r="N4550" s="2"/>
      <c r="O4550" s="2" t="b">
        <v>0</v>
      </c>
    </row>
    <row r="4551">
      <c r="A4551" s="8" t="s">
        <v>3462</v>
      </c>
      <c r="B4551" s="8" t="s">
        <v>3462</v>
      </c>
      <c r="C4551" s="13">
        <v>46128.607152777775</v>
      </c>
      <c r="D4551" s="2" t="s">
        <v>2131</v>
      </c>
      <c r="E4551" s="2" t="s">
        <v>2132</v>
      </c>
      <c r="F4551" s="14" t="s">
        <v>3486</v>
      </c>
      <c r="G4551" s="14" t="s">
        <v>3487</v>
      </c>
      <c r="H4551" s="2" t="s">
        <v>24</v>
      </c>
      <c r="I4551" s="2" t="s">
        <v>3491</v>
      </c>
      <c r="J4551" s="2">
        <v>1.0</v>
      </c>
      <c r="K4551" s="23" t="s">
        <v>6707</v>
      </c>
      <c r="L4551" s="11">
        <v>0.0</v>
      </c>
      <c r="N4551" s="2"/>
      <c r="O4551" s="2" t="b">
        <v>0</v>
      </c>
    </row>
    <row r="4552">
      <c r="A4552" s="8" t="s">
        <v>3463</v>
      </c>
      <c r="B4552" s="8" t="s">
        <v>3463</v>
      </c>
      <c r="C4552" s="13">
        <v>46128.60747685185</v>
      </c>
      <c r="D4552" s="2" t="s">
        <v>213</v>
      </c>
      <c r="E4552" s="2" t="s">
        <v>214</v>
      </c>
      <c r="F4552" s="14" t="s">
        <v>3486</v>
      </c>
      <c r="G4552" s="14" t="s">
        <v>3487</v>
      </c>
      <c r="H4552" s="2" t="s">
        <v>24</v>
      </c>
      <c r="I4552" s="2" t="s">
        <v>3491</v>
      </c>
      <c r="J4552" s="2">
        <v>4.0</v>
      </c>
      <c r="K4552" s="23" t="s">
        <v>6708</v>
      </c>
      <c r="L4552" s="11">
        <v>0.0</v>
      </c>
      <c r="N4552" s="2"/>
      <c r="O4552" s="2" t="b">
        <v>0</v>
      </c>
    </row>
    <row r="4553">
      <c r="A4553" s="8" t="s">
        <v>3464</v>
      </c>
      <c r="B4553" s="8" t="s">
        <v>3464</v>
      </c>
      <c r="C4553" s="13">
        <v>46128.647048611114</v>
      </c>
      <c r="D4553" s="2" t="s">
        <v>1963</v>
      </c>
      <c r="E4553" s="2" t="s">
        <v>1964</v>
      </c>
      <c r="F4553" s="14" t="s">
        <v>4203</v>
      </c>
      <c r="G4553" s="14" t="s">
        <v>4204</v>
      </c>
      <c r="H4553" s="2" t="s">
        <v>24</v>
      </c>
      <c r="I4553" s="2" t="s">
        <v>3491</v>
      </c>
      <c r="J4553" s="2">
        <v>1.0</v>
      </c>
      <c r="K4553" s="23" t="s">
        <v>6451</v>
      </c>
      <c r="L4553" s="11">
        <v>0.0</v>
      </c>
      <c r="N4553" s="2"/>
      <c r="O4553" s="2" t="b">
        <v>0</v>
      </c>
    </row>
    <row r="4554">
      <c r="A4554" s="8" t="s">
        <v>3464</v>
      </c>
      <c r="B4554" s="8" t="s">
        <v>3464</v>
      </c>
      <c r="C4554" s="13">
        <v>46128.647048611114</v>
      </c>
      <c r="D4554" s="2" t="s">
        <v>1963</v>
      </c>
      <c r="E4554" s="2" t="s">
        <v>1964</v>
      </c>
      <c r="F4554" s="14" t="s">
        <v>3486</v>
      </c>
      <c r="G4554" s="14" t="s">
        <v>3487</v>
      </c>
      <c r="H4554" s="2" t="s">
        <v>24</v>
      </c>
      <c r="I4554" s="2" t="s">
        <v>3491</v>
      </c>
      <c r="J4554" s="2">
        <v>5.0</v>
      </c>
      <c r="K4554" s="23" t="s">
        <v>6709</v>
      </c>
      <c r="L4554" s="11">
        <v>0.0</v>
      </c>
      <c r="N4554" s="2"/>
      <c r="O4554" s="2" t="b">
        <v>0</v>
      </c>
    </row>
    <row r="4555">
      <c r="A4555" s="8" t="s">
        <v>3465</v>
      </c>
      <c r="B4555" s="8" t="s">
        <v>3465</v>
      </c>
      <c r="C4555" s="13">
        <v>46128.64797453704</v>
      </c>
      <c r="D4555" s="2" t="s">
        <v>885</v>
      </c>
      <c r="E4555" s="2" t="s">
        <v>886</v>
      </c>
      <c r="F4555" s="14" t="s">
        <v>5765</v>
      </c>
      <c r="G4555" s="14" t="s">
        <v>5766</v>
      </c>
      <c r="H4555" s="2" t="s">
        <v>24</v>
      </c>
      <c r="I4555" s="2" t="s">
        <v>3491</v>
      </c>
      <c r="J4555" s="2">
        <v>4.0</v>
      </c>
      <c r="K4555" s="23" t="s">
        <v>6710</v>
      </c>
      <c r="L4555" s="11">
        <v>0.0</v>
      </c>
      <c r="N4555" s="2"/>
      <c r="O4555" s="2" t="b">
        <v>0</v>
      </c>
    </row>
    <row r="4556">
      <c r="A4556" s="8" t="s">
        <v>3466</v>
      </c>
      <c r="B4556" s="8" t="s">
        <v>3466</v>
      </c>
      <c r="C4556" s="13">
        <v>46129.34570601852</v>
      </c>
      <c r="D4556" s="2" t="s">
        <v>3335</v>
      </c>
      <c r="E4556" s="2" t="s">
        <v>3336</v>
      </c>
      <c r="F4556" s="14" t="s">
        <v>3486</v>
      </c>
      <c r="G4556" s="14" t="s">
        <v>3487</v>
      </c>
      <c r="H4556" s="2" t="s">
        <v>16</v>
      </c>
      <c r="I4556" s="2" t="s">
        <v>3488</v>
      </c>
      <c r="J4556" s="2">
        <v>2.0</v>
      </c>
      <c r="K4556" s="23" t="s">
        <v>6711</v>
      </c>
      <c r="L4556" s="11">
        <v>65000.0</v>
      </c>
      <c r="N4556" s="2"/>
      <c r="O4556" s="2" t="b">
        <v>0</v>
      </c>
    </row>
    <row r="4557">
      <c r="A4557" s="8" t="s">
        <v>3467</v>
      </c>
      <c r="B4557" s="8" t="s">
        <v>3467</v>
      </c>
      <c r="C4557" s="13">
        <v>46129.397939814815</v>
      </c>
      <c r="D4557" s="2" t="s">
        <v>786</v>
      </c>
      <c r="E4557" s="2" t="s">
        <v>787</v>
      </c>
      <c r="F4557" s="14" t="s">
        <v>3506</v>
      </c>
      <c r="G4557" s="14" t="s">
        <v>3507</v>
      </c>
      <c r="H4557" s="2" t="s">
        <v>16</v>
      </c>
      <c r="I4557" s="2" t="s">
        <v>3488</v>
      </c>
      <c r="J4557" s="2">
        <v>3.0</v>
      </c>
      <c r="K4557" s="12"/>
      <c r="L4557" s="11">
        <v>55000.0</v>
      </c>
      <c r="N4557" s="2"/>
      <c r="O4557" s="2" t="b">
        <v>0</v>
      </c>
    </row>
    <row r="4558">
      <c r="A4558" s="8" t="s">
        <v>3468</v>
      </c>
      <c r="B4558" s="8" t="s">
        <v>3468</v>
      </c>
      <c r="C4558" s="13">
        <v>46129.40001157407</v>
      </c>
      <c r="D4558" s="2" t="s">
        <v>3335</v>
      </c>
      <c r="E4558" s="2" t="s">
        <v>3336</v>
      </c>
      <c r="F4558" s="14" t="s">
        <v>3486</v>
      </c>
      <c r="G4558" s="14" t="s">
        <v>3487</v>
      </c>
      <c r="H4558" s="2" t="s">
        <v>24</v>
      </c>
      <c r="I4558" s="2" t="s">
        <v>3491</v>
      </c>
      <c r="J4558" s="2">
        <v>2.0</v>
      </c>
      <c r="K4558" s="23" t="s">
        <v>6712</v>
      </c>
      <c r="L4558" s="11">
        <v>0.0</v>
      </c>
      <c r="N4558" s="2"/>
      <c r="O4558" s="2" t="b">
        <v>0</v>
      </c>
    </row>
    <row r="4559">
      <c r="A4559" s="8" t="s">
        <v>3469</v>
      </c>
      <c r="B4559" s="8" t="s">
        <v>3469</v>
      </c>
      <c r="C4559" s="13">
        <v>46129.400405092594</v>
      </c>
      <c r="D4559" s="2" t="s">
        <v>353</v>
      </c>
      <c r="E4559" s="2" t="s">
        <v>1500</v>
      </c>
      <c r="F4559" s="14" t="s">
        <v>3486</v>
      </c>
      <c r="G4559" s="14" t="s">
        <v>3487</v>
      </c>
      <c r="H4559" s="2" t="s">
        <v>24</v>
      </c>
      <c r="I4559" s="2" t="s">
        <v>3491</v>
      </c>
      <c r="J4559" s="2">
        <v>1.0</v>
      </c>
      <c r="K4559" s="23" t="s">
        <v>4810</v>
      </c>
      <c r="L4559" s="11">
        <v>0.0</v>
      </c>
      <c r="N4559" s="2"/>
      <c r="O4559" s="2" t="b">
        <v>0</v>
      </c>
    </row>
    <row r="4560">
      <c r="A4560" s="8" t="s">
        <v>3469</v>
      </c>
      <c r="B4560" s="8" t="s">
        <v>3469</v>
      </c>
      <c r="C4560" s="13">
        <v>46129.400405092594</v>
      </c>
      <c r="D4560" s="2" t="s">
        <v>353</v>
      </c>
      <c r="E4560" s="2" t="s">
        <v>1500</v>
      </c>
      <c r="F4560" s="14" t="s">
        <v>3486</v>
      </c>
      <c r="G4560" s="14" t="s">
        <v>3487</v>
      </c>
      <c r="H4560" s="2" t="s">
        <v>24</v>
      </c>
      <c r="I4560" s="2" t="s">
        <v>3491</v>
      </c>
      <c r="J4560" s="2">
        <v>1.0</v>
      </c>
      <c r="K4560" s="23" t="s">
        <v>4062</v>
      </c>
      <c r="L4560" s="11">
        <v>0.0</v>
      </c>
      <c r="N4560" s="2" t="s">
        <v>6713</v>
      </c>
      <c r="O4560" s="2" t="b">
        <v>1</v>
      </c>
    </row>
    <row r="4561">
      <c r="A4561" s="8" t="s">
        <v>3470</v>
      </c>
      <c r="B4561" s="8" t="s">
        <v>3470</v>
      </c>
      <c r="C4561" s="13">
        <v>46129.401770833334</v>
      </c>
      <c r="D4561" s="2" t="s">
        <v>1144</v>
      </c>
      <c r="E4561" s="2" t="s">
        <v>1145</v>
      </c>
      <c r="F4561" s="14" t="s">
        <v>5055</v>
      </c>
      <c r="G4561" s="14" t="s">
        <v>5056</v>
      </c>
      <c r="H4561" s="2" t="s">
        <v>24</v>
      </c>
      <c r="I4561" s="2" t="s">
        <v>3491</v>
      </c>
      <c r="J4561" s="2">
        <v>2.0</v>
      </c>
      <c r="K4561" s="12"/>
      <c r="L4561" s="11">
        <v>0.0</v>
      </c>
      <c r="N4561" s="2"/>
      <c r="O4561" s="2" t="b">
        <v>0</v>
      </c>
    </row>
    <row r="4562">
      <c r="A4562" s="8" t="s">
        <v>3470</v>
      </c>
      <c r="B4562" s="8" t="s">
        <v>3470</v>
      </c>
      <c r="C4562" s="13">
        <v>46129.401770833334</v>
      </c>
      <c r="D4562" s="2" t="s">
        <v>1144</v>
      </c>
      <c r="E4562" s="2" t="s">
        <v>1145</v>
      </c>
      <c r="F4562" s="14" t="s">
        <v>3522</v>
      </c>
      <c r="G4562" s="14" t="s">
        <v>3523</v>
      </c>
      <c r="H4562" s="2" t="s">
        <v>24</v>
      </c>
      <c r="I4562" s="2" t="s">
        <v>3491</v>
      </c>
      <c r="J4562" s="2">
        <v>1.0</v>
      </c>
      <c r="K4562" s="23" t="s">
        <v>4476</v>
      </c>
      <c r="L4562" s="11">
        <v>0.0</v>
      </c>
      <c r="N4562" s="2"/>
      <c r="O4562" s="2" t="b">
        <v>0</v>
      </c>
    </row>
    <row r="4563">
      <c r="A4563" s="8" t="s">
        <v>3471</v>
      </c>
      <c r="B4563" s="8" t="s">
        <v>3471</v>
      </c>
      <c r="C4563" s="13">
        <v>46129.4637037037</v>
      </c>
      <c r="D4563" s="2" t="s">
        <v>951</v>
      </c>
      <c r="E4563" s="2" t="s">
        <v>3440</v>
      </c>
      <c r="F4563" s="14" t="s">
        <v>3486</v>
      </c>
      <c r="G4563" s="14" t="s">
        <v>3487</v>
      </c>
      <c r="H4563" s="2" t="s">
        <v>16</v>
      </c>
      <c r="I4563" s="2" t="s">
        <v>3488</v>
      </c>
      <c r="J4563" s="2">
        <v>4.0</v>
      </c>
      <c r="K4563" s="23" t="s">
        <v>6714</v>
      </c>
      <c r="L4563" s="11">
        <v>55000.0</v>
      </c>
      <c r="N4563" s="2"/>
      <c r="O4563" s="2" t="b">
        <v>0</v>
      </c>
    </row>
    <row r="4564">
      <c r="A4564" s="8" t="s">
        <v>3471</v>
      </c>
      <c r="B4564" s="8" t="s">
        <v>3471</v>
      </c>
      <c r="C4564" s="13">
        <v>46129.4637037037</v>
      </c>
      <c r="D4564" s="2" t="s">
        <v>951</v>
      </c>
      <c r="E4564" s="2" t="s">
        <v>3440</v>
      </c>
      <c r="F4564" s="14" t="s">
        <v>3486</v>
      </c>
      <c r="G4564" s="14" t="s">
        <v>3487</v>
      </c>
      <c r="H4564" s="2" t="s">
        <v>16</v>
      </c>
      <c r="I4564" s="2" t="s">
        <v>3488</v>
      </c>
      <c r="J4564" s="2">
        <v>1.0</v>
      </c>
      <c r="K4564" s="23" t="s">
        <v>6715</v>
      </c>
      <c r="L4564" s="11">
        <v>55000.0</v>
      </c>
      <c r="N4564" s="2"/>
      <c r="O4564" s="2" t="b">
        <v>1</v>
      </c>
    </row>
    <row r="4565">
      <c r="A4565" s="8" t="s">
        <v>3472</v>
      </c>
      <c r="B4565" s="8" t="s">
        <v>3472</v>
      </c>
      <c r="C4565" s="13">
        <v>46129.47017361111</v>
      </c>
      <c r="D4565" s="2" t="s">
        <v>320</v>
      </c>
      <c r="E4565" s="2" t="s">
        <v>321</v>
      </c>
      <c r="F4565" s="14" t="s">
        <v>3486</v>
      </c>
      <c r="G4565" s="14" t="s">
        <v>3487</v>
      </c>
      <c r="H4565" s="2" t="s">
        <v>24</v>
      </c>
      <c r="I4565" s="2" t="s">
        <v>3491</v>
      </c>
      <c r="J4565" s="2">
        <v>2.0</v>
      </c>
      <c r="K4565" s="23" t="s">
        <v>6716</v>
      </c>
      <c r="L4565" s="11">
        <v>0.0</v>
      </c>
      <c r="N4565" s="2"/>
      <c r="O4565" s="2" t="b">
        <v>0</v>
      </c>
    </row>
    <row r="4566">
      <c r="A4566" s="8" t="s">
        <v>3472</v>
      </c>
      <c r="B4566" s="8" t="s">
        <v>3472</v>
      </c>
      <c r="C4566" s="13">
        <v>46129.47017361111</v>
      </c>
      <c r="D4566" s="2" t="s">
        <v>320</v>
      </c>
      <c r="E4566" s="2" t="s">
        <v>321</v>
      </c>
      <c r="F4566" s="14" t="s">
        <v>3516</v>
      </c>
      <c r="G4566" s="14" t="s">
        <v>3517</v>
      </c>
      <c r="H4566" s="2" t="s">
        <v>24</v>
      </c>
      <c r="I4566" s="2" t="s">
        <v>3491</v>
      </c>
      <c r="J4566" s="2">
        <v>1.0</v>
      </c>
      <c r="K4566" s="23" t="s">
        <v>6717</v>
      </c>
      <c r="L4566" s="11">
        <v>0.0</v>
      </c>
      <c r="N4566" s="2"/>
      <c r="O4566" s="2" t="b">
        <v>0</v>
      </c>
    </row>
    <row r="4567">
      <c r="A4567" s="8" t="s">
        <v>3473</v>
      </c>
      <c r="B4567" s="8" t="s">
        <v>3473</v>
      </c>
      <c r="C4567" s="13">
        <v>46129.4705787037</v>
      </c>
      <c r="D4567" s="2" t="s">
        <v>169</v>
      </c>
      <c r="E4567" s="2" t="s">
        <v>170</v>
      </c>
      <c r="F4567" s="14" t="s">
        <v>3486</v>
      </c>
      <c r="G4567" s="14" t="s">
        <v>3487</v>
      </c>
      <c r="H4567" s="2" t="s">
        <v>24</v>
      </c>
      <c r="I4567" s="2" t="s">
        <v>3491</v>
      </c>
      <c r="J4567" s="2">
        <v>1.0</v>
      </c>
      <c r="K4567" s="23" t="s">
        <v>5438</v>
      </c>
      <c r="L4567" s="11">
        <v>0.0</v>
      </c>
      <c r="N4567" s="2"/>
      <c r="O4567" s="2" t="b">
        <v>0</v>
      </c>
    </row>
    <row r="4568">
      <c r="A4568" s="8" t="s">
        <v>3474</v>
      </c>
      <c r="B4568" s="8" t="s">
        <v>3474</v>
      </c>
      <c r="C4568" s="13">
        <v>46129.47087962963</v>
      </c>
      <c r="D4568" s="2" t="s">
        <v>2005</v>
      </c>
      <c r="E4568" s="2" t="s">
        <v>2006</v>
      </c>
      <c r="F4568" s="14" t="s">
        <v>3486</v>
      </c>
      <c r="G4568" s="14" t="s">
        <v>3487</v>
      </c>
      <c r="H4568" s="2" t="s">
        <v>24</v>
      </c>
      <c r="I4568" s="2" t="s">
        <v>3491</v>
      </c>
      <c r="J4568" s="2">
        <v>1.0</v>
      </c>
      <c r="K4568" s="23" t="s">
        <v>4481</v>
      </c>
      <c r="L4568" s="11">
        <v>0.0</v>
      </c>
      <c r="N4568" s="2"/>
      <c r="O4568" s="2" t="b">
        <v>0</v>
      </c>
    </row>
    <row r="4569">
      <c r="A4569" s="8" t="s">
        <v>3475</v>
      </c>
      <c r="B4569" s="8" t="s">
        <v>3475</v>
      </c>
      <c r="C4569" s="13">
        <v>46129.47119212963</v>
      </c>
      <c r="D4569" s="2" t="s">
        <v>1993</v>
      </c>
      <c r="E4569" s="2" t="s">
        <v>1994</v>
      </c>
      <c r="F4569" s="14" t="s">
        <v>3486</v>
      </c>
      <c r="G4569" s="14" t="s">
        <v>3487</v>
      </c>
      <c r="H4569" s="2" t="s">
        <v>24</v>
      </c>
      <c r="I4569" s="2" t="s">
        <v>3491</v>
      </c>
      <c r="J4569" s="2">
        <v>1.0</v>
      </c>
      <c r="K4569" s="23" t="s">
        <v>6718</v>
      </c>
      <c r="L4569" s="11">
        <v>0.0</v>
      </c>
      <c r="N4569" s="2"/>
      <c r="O4569" s="2" t="b">
        <v>0</v>
      </c>
    </row>
    <row r="4570">
      <c r="A4570" s="8" t="s">
        <v>3475</v>
      </c>
      <c r="B4570" s="8" t="s">
        <v>3475</v>
      </c>
      <c r="C4570" s="13">
        <v>46129.47119212963</v>
      </c>
      <c r="D4570" s="2" t="s">
        <v>1993</v>
      </c>
      <c r="E4570" s="2" t="s">
        <v>1994</v>
      </c>
      <c r="F4570" s="14" t="s">
        <v>4203</v>
      </c>
      <c r="G4570" s="14" t="s">
        <v>4204</v>
      </c>
      <c r="H4570" s="2" t="s">
        <v>24</v>
      </c>
      <c r="I4570" s="2" t="s">
        <v>3491</v>
      </c>
      <c r="J4570" s="2">
        <v>1.0</v>
      </c>
      <c r="K4570" s="23" t="s">
        <v>4406</v>
      </c>
      <c r="L4570" s="11">
        <v>0.0</v>
      </c>
      <c r="N4570" s="2"/>
      <c r="O4570" s="2" t="b">
        <v>0</v>
      </c>
    </row>
    <row r="4571">
      <c r="A4571" s="8" t="s">
        <v>3475</v>
      </c>
      <c r="B4571" s="8" t="s">
        <v>3475</v>
      </c>
      <c r="C4571" s="13">
        <v>46129.47119212963</v>
      </c>
      <c r="D4571" s="2" t="s">
        <v>1993</v>
      </c>
      <c r="E4571" s="2" t="s">
        <v>1994</v>
      </c>
      <c r="F4571" s="14" t="s">
        <v>3516</v>
      </c>
      <c r="G4571" s="14" t="s">
        <v>3517</v>
      </c>
      <c r="H4571" s="2" t="s">
        <v>24</v>
      </c>
      <c r="I4571" s="2" t="s">
        <v>3491</v>
      </c>
      <c r="J4571" s="2">
        <v>3.0</v>
      </c>
      <c r="K4571" s="23" t="s">
        <v>6719</v>
      </c>
      <c r="L4571" s="11">
        <v>0.0</v>
      </c>
      <c r="N4571" s="2"/>
      <c r="O4571" s="2" t="b">
        <v>0</v>
      </c>
    </row>
    <row r="4572">
      <c r="A4572" s="8" t="s">
        <v>3476</v>
      </c>
      <c r="B4572" s="8" t="s">
        <v>3476</v>
      </c>
      <c r="C4572" s="13">
        <v>46129.51082175926</v>
      </c>
      <c r="D4572" s="2" t="s">
        <v>786</v>
      </c>
      <c r="E4572" s="2" t="s">
        <v>787</v>
      </c>
      <c r="F4572" s="14" t="s">
        <v>3486</v>
      </c>
      <c r="G4572" s="14" t="s">
        <v>3487</v>
      </c>
      <c r="H4572" s="2" t="s">
        <v>16</v>
      </c>
      <c r="I4572" s="2" t="s">
        <v>3488</v>
      </c>
      <c r="J4572" s="2">
        <v>2.0</v>
      </c>
      <c r="K4572" s="23" t="s">
        <v>6720</v>
      </c>
      <c r="L4572" s="11">
        <v>60000.0</v>
      </c>
      <c r="N4572" s="2"/>
      <c r="O4572" s="2" t="b">
        <v>0</v>
      </c>
    </row>
    <row r="4573">
      <c r="A4573" s="8" t="s">
        <v>3476</v>
      </c>
      <c r="B4573" s="8" t="s">
        <v>3476</v>
      </c>
      <c r="C4573" s="13">
        <v>46129.51082175926</v>
      </c>
      <c r="D4573" s="2" t="s">
        <v>786</v>
      </c>
      <c r="E4573" s="2" t="s">
        <v>787</v>
      </c>
      <c r="F4573" s="14" t="s">
        <v>3516</v>
      </c>
      <c r="G4573" s="14" t="s">
        <v>3517</v>
      </c>
      <c r="H4573" s="2" t="s">
        <v>16</v>
      </c>
      <c r="I4573" s="2" t="s">
        <v>3488</v>
      </c>
      <c r="J4573" s="2">
        <v>2.0</v>
      </c>
      <c r="K4573" s="23" t="s">
        <v>6721</v>
      </c>
      <c r="L4573" s="11">
        <v>180000.0</v>
      </c>
      <c r="N4573" s="2"/>
      <c r="O4573" s="2" t="b">
        <v>0</v>
      </c>
    </row>
  </sheetData>
  <autoFilter ref="$A$1:$AE$3925">
    <filterColumn colId="4">
      <filters>
        <filter val="Toko Setya ( Mas Farid )"/>
        <filter val="PT GEMILANG CIPTA WAWASAN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6722</v>
      </c>
      <c r="B1" s="2" t="s">
        <v>6723</v>
      </c>
      <c r="C1" s="2" t="s">
        <v>1</v>
      </c>
      <c r="D1" s="2" t="s">
        <v>3477</v>
      </c>
      <c r="E1" s="2" t="s">
        <v>3481</v>
      </c>
      <c r="F1" s="2" t="s">
        <v>6</v>
      </c>
    </row>
    <row r="2">
      <c r="A2" s="2" t="s">
        <v>6724</v>
      </c>
      <c r="B2" s="10" t="s">
        <v>6725</v>
      </c>
      <c r="C2" s="10" t="s">
        <v>2794</v>
      </c>
      <c r="D2" s="2" t="s">
        <v>3486</v>
      </c>
      <c r="E2" s="10" t="s">
        <v>5441</v>
      </c>
      <c r="F2" s="2" t="s">
        <v>16</v>
      </c>
    </row>
    <row r="3">
      <c r="A3" s="2" t="s">
        <v>6726</v>
      </c>
      <c r="B3" s="10" t="s">
        <v>6727</v>
      </c>
      <c r="C3" s="10" t="s">
        <v>2794</v>
      </c>
      <c r="D3" s="2" t="s">
        <v>3835</v>
      </c>
      <c r="E3" s="10" t="s">
        <v>5770</v>
      </c>
      <c r="F3" s="2" t="s">
        <v>16</v>
      </c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15.75"/>
  </cols>
  <sheetData>
    <row r="1">
      <c r="A1" s="2" t="s">
        <v>2</v>
      </c>
      <c r="B1" s="2" t="s">
        <v>3</v>
      </c>
      <c r="C1" s="2" t="s">
        <v>6728</v>
      </c>
      <c r="D1" s="2" t="s">
        <v>6729</v>
      </c>
      <c r="E1" s="2" t="s">
        <v>5</v>
      </c>
      <c r="F1" s="2" t="s">
        <v>6730</v>
      </c>
      <c r="G1" s="2" t="s">
        <v>6731</v>
      </c>
      <c r="H1" s="2" t="s">
        <v>6732</v>
      </c>
    </row>
    <row r="2">
      <c r="A2" s="5" t="s">
        <v>55</v>
      </c>
      <c r="B2" s="5" t="s">
        <v>56</v>
      </c>
      <c r="C2" s="22" t="s">
        <v>6733</v>
      </c>
      <c r="D2" s="30" t="b">
        <v>1</v>
      </c>
      <c r="E2" s="7" t="s">
        <v>57</v>
      </c>
      <c r="F2" s="31">
        <v>30.0</v>
      </c>
      <c r="H2" s="6">
        <v>45887.854166666664</v>
      </c>
    </row>
    <row r="3">
      <c r="A3" s="5" t="s">
        <v>28</v>
      </c>
      <c r="B3" s="5" t="s">
        <v>29</v>
      </c>
      <c r="D3" s="30" t="b">
        <v>1</v>
      </c>
      <c r="E3" s="7" t="s">
        <v>30</v>
      </c>
      <c r="F3" s="31">
        <v>30.0</v>
      </c>
    </row>
    <row r="4">
      <c r="A4" s="5" t="s">
        <v>45</v>
      </c>
      <c r="B4" s="5" t="s">
        <v>46</v>
      </c>
      <c r="C4" s="22" t="s">
        <v>6734</v>
      </c>
      <c r="D4" s="30" t="b">
        <v>1</v>
      </c>
      <c r="E4" s="7" t="s">
        <v>47</v>
      </c>
      <c r="F4" s="31">
        <v>30.0</v>
      </c>
      <c r="H4" s="6">
        <v>46081.60934027778</v>
      </c>
    </row>
    <row r="5">
      <c r="A5" s="5" t="s">
        <v>49</v>
      </c>
      <c r="B5" s="5" t="s">
        <v>50</v>
      </c>
      <c r="C5" s="22" t="s">
        <v>6735</v>
      </c>
      <c r="D5" s="30" t="b">
        <v>1</v>
      </c>
      <c r="E5" s="7" t="s">
        <v>51</v>
      </c>
      <c r="F5" s="31">
        <v>30.0</v>
      </c>
    </row>
    <row r="6">
      <c r="A6" s="5" t="s">
        <v>13</v>
      </c>
      <c r="B6" s="5" t="s">
        <v>14</v>
      </c>
      <c r="D6" s="30" t="b">
        <v>0</v>
      </c>
      <c r="E6" s="7" t="s">
        <v>15</v>
      </c>
      <c r="F6" s="31">
        <v>14.0</v>
      </c>
    </row>
    <row r="7">
      <c r="A7" s="5" t="s">
        <v>20</v>
      </c>
      <c r="B7" s="5" t="s">
        <v>21</v>
      </c>
      <c r="D7" s="30" t="b">
        <v>0</v>
      </c>
      <c r="E7" s="7" t="s">
        <v>22</v>
      </c>
      <c r="F7" s="31">
        <v>14.0</v>
      </c>
    </row>
    <row r="8">
      <c r="A8" s="5" t="s">
        <v>39</v>
      </c>
      <c r="B8" s="5" t="s">
        <v>40</v>
      </c>
      <c r="D8" s="30" t="b">
        <v>1</v>
      </c>
      <c r="E8" s="7"/>
      <c r="F8" s="31">
        <v>14.0</v>
      </c>
    </row>
    <row r="9">
      <c r="A9" s="5" t="s">
        <v>34</v>
      </c>
      <c r="B9" s="5" t="s">
        <v>35</v>
      </c>
      <c r="D9" s="30" t="b">
        <v>1</v>
      </c>
      <c r="E9" s="7"/>
      <c r="F9" s="31">
        <v>14.0</v>
      </c>
    </row>
    <row r="10">
      <c r="A10" s="5" t="s">
        <v>75</v>
      </c>
      <c r="B10" s="5" t="s">
        <v>76</v>
      </c>
      <c r="D10" s="30" t="b">
        <v>1</v>
      </c>
      <c r="E10" s="7" t="s">
        <v>77</v>
      </c>
      <c r="F10" s="31">
        <v>14.0</v>
      </c>
    </row>
    <row r="11">
      <c r="A11" s="5" t="s">
        <v>3168</v>
      </c>
      <c r="B11" s="5" t="s">
        <v>3169</v>
      </c>
      <c r="D11" s="30" t="b">
        <v>1</v>
      </c>
      <c r="E11" s="7" t="s">
        <v>3170</v>
      </c>
      <c r="F11" s="31"/>
    </row>
    <row r="12">
      <c r="A12" s="5" t="s">
        <v>91</v>
      </c>
      <c r="B12" s="5" t="s">
        <v>92</v>
      </c>
      <c r="D12" s="30" t="b">
        <v>1</v>
      </c>
      <c r="E12" s="7" t="s">
        <v>93</v>
      </c>
      <c r="F12" s="31">
        <v>14.0</v>
      </c>
    </row>
    <row r="13">
      <c r="A13" s="5" t="s">
        <v>109</v>
      </c>
      <c r="B13" s="5" t="s">
        <v>110</v>
      </c>
      <c r="D13" s="30" t="b">
        <v>0</v>
      </c>
      <c r="E13" s="7" t="s">
        <v>111</v>
      </c>
      <c r="F13" s="31">
        <v>30.0</v>
      </c>
      <c r="H13" s="6">
        <v>46030.643900462965</v>
      </c>
    </row>
    <row r="14">
      <c r="A14" s="22" t="s">
        <v>114</v>
      </c>
      <c r="B14" s="5" t="s">
        <v>115</v>
      </c>
      <c r="C14" s="22" t="s">
        <v>6736</v>
      </c>
      <c r="D14" s="30" t="b">
        <v>1</v>
      </c>
      <c r="E14" s="3" t="s">
        <v>116</v>
      </c>
      <c r="F14" s="31">
        <v>60.0</v>
      </c>
    </row>
    <row r="15">
      <c r="A15" s="5" t="s">
        <v>122</v>
      </c>
      <c r="B15" s="5" t="s">
        <v>123</v>
      </c>
      <c r="D15" s="30" t="b">
        <v>0</v>
      </c>
      <c r="E15" s="7" t="s">
        <v>124</v>
      </c>
      <c r="F15" s="31">
        <v>14.0</v>
      </c>
    </row>
    <row r="16">
      <c r="A16" s="5" t="s">
        <v>126</v>
      </c>
      <c r="B16" s="5" t="s">
        <v>127</v>
      </c>
      <c r="C16" s="22" t="s">
        <v>6737</v>
      </c>
      <c r="D16" s="30" t="b">
        <v>1</v>
      </c>
      <c r="E16" s="7" t="s">
        <v>128</v>
      </c>
      <c r="F16" s="31">
        <v>60.0</v>
      </c>
      <c r="H16" s="6">
        <v>45885.79336805556</v>
      </c>
    </row>
    <row r="17">
      <c r="A17" s="5" t="s">
        <v>131</v>
      </c>
      <c r="B17" s="5" t="s">
        <v>132</v>
      </c>
      <c r="D17" s="30" t="b">
        <v>0</v>
      </c>
      <c r="E17" s="7" t="s">
        <v>133</v>
      </c>
      <c r="F17" s="31">
        <v>14.0</v>
      </c>
    </row>
    <row r="18">
      <c r="A18" s="5" t="s">
        <v>149</v>
      </c>
      <c r="B18" s="5" t="s">
        <v>150</v>
      </c>
      <c r="C18" s="22" t="s">
        <v>6738</v>
      </c>
      <c r="D18" s="30" t="b">
        <v>1</v>
      </c>
      <c r="E18" s="3" t="s">
        <v>151</v>
      </c>
      <c r="F18" s="31">
        <v>30.0</v>
      </c>
    </row>
    <row r="19">
      <c r="A19" s="5" t="s">
        <v>169</v>
      </c>
      <c r="B19" s="5" t="s">
        <v>170</v>
      </c>
      <c r="C19" s="22" t="s">
        <v>6739</v>
      </c>
      <c r="D19" s="30" t="b">
        <v>1</v>
      </c>
      <c r="E19" s="3" t="s">
        <v>171</v>
      </c>
      <c r="F19" s="31">
        <v>30.0</v>
      </c>
    </row>
    <row r="20">
      <c r="A20" s="5" t="s">
        <v>6740</v>
      </c>
      <c r="B20" s="5" t="s">
        <v>6741</v>
      </c>
      <c r="D20" s="30" t="b">
        <v>1</v>
      </c>
      <c r="E20" s="7" t="s">
        <v>6742</v>
      </c>
      <c r="F20" s="31">
        <v>30.0</v>
      </c>
    </row>
    <row r="21">
      <c r="A21" s="5" t="s">
        <v>6743</v>
      </c>
      <c r="B21" s="5" t="s">
        <v>6744</v>
      </c>
      <c r="D21" s="30" t="b">
        <v>0</v>
      </c>
      <c r="E21" s="7" t="s">
        <v>215</v>
      </c>
      <c r="F21" s="31">
        <v>30.0</v>
      </c>
    </row>
    <row r="22">
      <c r="A22" s="5" t="s">
        <v>283</v>
      </c>
      <c r="B22" s="5" t="s">
        <v>284</v>
      </c>
      <c r="C22" s="22" t="s">
        <v>6745</v>
      </c>
      <c r="D22" s="30" t="b">
        <v>1</v>
      </c>
      <c r="E22" s="7" t="s">
        <v>285</v>
      </c>
      <c r="F22" s="31">
        <v>14.0</v>
      </c>
    </row>
    <row r="23">
      <c r="A23" s="5" t="s">
        <v>305</v>
      </c>
      <c r="B23" s="5" t="s">
        <v>306</v>
      </c>
      <c r="C23" s="22" t="s">
        <v>6746</v>
      </c>
      <c r="D23" s="30" t="b">
        <v>1</v>
      </c>
      <c r="E23" s="7" t="s">
        <v>307</v>
      </c>
      <c r="F23" s="31">
        <v>60.0</v>
      </c>
    </row>
    <row r="24">
      <c r="A24" s="5" t="s">
        <v>3250</v>
      </c>
      <c r="B24" s="5" t="s">
        <v>3251</v>
      </c>
      <c r="D24" s="30" t="b">
        <v>0</v>
      </c>
      <c r="E24" s="7" t="s">
        <v>617</v>
      </c>
      <c r="F24" s="31"/>
    </row>
    <row r="25">
      <c r="A25" s="5" t="s">
        <v>320</v>
      </c>
      <c r="B25" s="5" t="s">
        <v>321</v>
      </c>
      <c r="D25" s="30" t="b">
        <v>0</v>
      </c>
      <c r="E25" s="7" t="s">
        <v>322</v>
      </c>
      <c r="F25" s="31">
        <v>14.0</v>
      </c>
    </row>
    <row r="26">
      <c r="A26" s="5" t="s">
        <v>6747</v>
      </c>
      <c r="B26" s="5" t="s">
        <v>6748</v>
      </c>
      <c r="D26" s="30" t="b">
        <v>0</v>
      </c>
      <c r="E26" s="7" t="s">
        <v>328</v>
      </c>
      <c r="F26" s="31">
        <v>14.0</v>
      </c>
    </row>
    <row r="27">
      <c r="A27" s="5" t="s">
        <v>345</v>
      </c>
      <c r="B27" s="5" t="s">
        <v>346</v>
      </c>
      <c r="D27" s="30" t="b">
        <v>1</v>
      </c>
      <c r="E27" s="7" t="s">
        <v>347</v>
      </c>
      <c r="F27" s="31">
        <v>30.0</v>
      </c>
    </row>
    <row r="28">
      <c r="A28" s="5" t="s">
        <v>349</v>
      </c>
      <c r="B28" s="5" t="s">
        <v>350</v>
      </c>
      <c r="D28" s="30" t="b">
        <v>1</v>
      </c>
      <c r="E28" s="7" t="s">
        <v>351</v>
      </c>
      <c r="F28" s="31">
        <v>7.0</v>
      </c>
    </row>
    <row r="29">
      <c r="A29" s="5" t="s">
        <v>367</v>
      </c>
      <c r="B29" s="5" t="s">
        <v>368</v>
      </c>
      <c r="D29" s="30" t="b">
        <v>0</v>
      </c>
      <c r="E29" s="7" t="s">
        <v>369</v>
      </c>
      <c r="F29" s="31">
        <v>30.0</v>
      </c>
    </row>
    <row r="30">
      <c r="A30" s="5" t="s">
        <v>373</v>
      </c>
      <c r="B30" s="5" t="s">
        <v>374</v>
      </c>
      <c r="D30" s="30" t="b">
        <v>0</v>
      </c>
      <c r="E30" s="7" t="s">
        <v>375</v>
      </c>
      <c r="F30" s="31">
        <v>14.0</v>
      </c>
    </row>
    <row r="31">
      <c r="A31" s="5" t="s">
        <v>383</v>
      </c>
      <c r="B31" s="5" t="s">
        <v>384</v>
      </c>
      <c r="D31" s="30" t="b">
        <v>0</v>
      </c>
      <c r="E31" s="7" t="s">
        <v>385</v>
      </c>
      <c r="F31" s="31">
        <v>14.0</v>
      </c>
    </row>
    <row r="32">
      <c r="A32" s="5" t="s">
        <v>326</v>
      </c>
      <c r="B32" s="5" t="s">
        <v>327</v>
      </c>
      <c r="D32" s="30" t="b">
        <v>0</v>
      </c>
      <c r="E32" s="7" t="s">
        <v>328</v>
      </c>
      <c r="F32" s="31">
        <v>14.0</v>
      </c>
      <c r="H32" s="6">
        <v>46029.52123842593</v>
      </c>
    </row>
    <row r="33">
      <c r="A33" s="5" t="s">
        <v>213</v>
      </c>
      <c r="B33" s="5" t="s">
        <v>214</v>
      </c>
      <c r="D33" s="30" t="b">
        <v>0</v>
      </c>
      <c r="E33" s="7" t="s">
        <v>215</v>
      </c>
      <c r="F33" s="31">
        <v>30.0</v>
      </c>
    </row>
    <row r="34">
      <c r="A34" s="5" t="s">
        <v>397</v>
      </c>
      <c r="B34" s="5" t="s">
        <v>398</v>
      </c>
      <c r="D34" s="30" t="b">
        <v>0</v>
      </c>
      <c r="E34" s="7" t="s">
        <v>399</v>
      </c>
      <c r="F34" s="31">
        <v>14.0</v>
      </c>
    </row>
    <row r="35">
      <c r="A35" s="5" t="s">
        <v>392</v>
      </c>
      <c r="B35" s="5" t="s">
        <v>393</v>
      </c>
      <c r="D35" s="30" t="b">
        <v>0</v>
      </c>
      <c r="E35" s="7" t="s">
        <v>394</v>
      </c>
      <c r="F35" s="31">
        <v>14.0</v>
      </c>
    </row>
    <row r="36">
      <c r="A36" s="5" t="s">
        <v>441</v>
      </c>
      <c r="B36" s="5" t="s">
        <v>442</v>
      </c>
      <c r="D36" s="30" t="b">
        <v>1</v>
      </c>
      <c r="E36" s="3" t="s">
        <v>443</v>
      </c>
      <c r="F36" s="31">
        <v>30.0</v>
      </c>
    </row>
    <row r="37">
      <c r="A37" s="5" t="s">
        <v>458</v>
      </c>
      <c r="B37" s="5" t="s">
        <v>459</v>
      </c>
      <c r="D37" s="30" t="b">
        <v>0</v>
      </c>
      <c r="E37" s="7"/>
      <c r="F37" s="31"/>
    </row>
    <row r="38">
      <c r="A38" s="5" t="s">
        <v>464</v>
      </c>
      <c r="B38" s="5" t="s">
        <v>465</v>
      </c>
      <c r="D38" s="30" t="b">
        <v>0</v>
      </c>
      <c r="E38" s="7" t="s">
        <v>466</v>
      </c>
      <c r="F38" s="31">
        <v>30.0</v>
      </c>
    </row>
    <row r="39">
      <c r="A39" s="5" t="s">
        <v>493</v>
      </c>
      <c r="B39" s="5" t="s">
        <v>494</v>
      </c>
      <c r="D39" s="30" t="b">
        <v>0</v>
      </c>
      <c r="E39" s="7" t="s">
        <v>495</v>
      </c>
      <c r="F39" s="31">
        <v>7.0</v>
      </c>
    </row>
    <row r="40">
      <c r="A40" s="5" t="s">
        <v>505</v>
      </c>
      <c r="B40" s="5" t="s">
        <v>506</v>
      </c>
      <c r="D40" s="30" t="b">
        <v>0</v>
      </c>
      <c r="E40" s="3" t="s">
        <v>507</v>
      </c>
      <c r="F40" s="31">
        <v>14.0</v>
      </c>
    </row>
    <row r="41">
      <c r="A41" s="5" t="s">
        <v>552</v>
      </c>
      <c r="B41" s="5" t="s">
        <v>553</v>
      </c>
      <c r="D41" s="32" t="b">
        <v>0</v>
      </c>
      <c r="E41" s="7"/>
      <c r="F41" s="31"/>
    </row>
    <row r="42">
      <c r="A42" s="5" t="s">
        <v>6749</v>
      </c>
      <c r="B42" s="5" t="s">
        <v>6750</v>
      </c>
      <c r="D42" s="30" t="b">
        <v>0</v>
      </c>
      <c r="E42" s="7"/>
      <c r="F42" s="31">
        <v>30.0</v>
      </c>
    </row>
    <row r="43">
      <c r="A43" s="5" t="s">
        <v>654</v>
      </c>
      <c r="B43" s="5" t="s">
        <v>655</v>
      </c>
      <c r="D43" s="30" t="b">
        <v>0</v>
      </c>
      <c r="E43" s="7" t="s">
        <v>656</v>
      </c>
      <c r="F43" s="31">
        <v>15.0</v>
      </c>
    </row>
    <row r="44">
      <c r="A44" s="5" t="s">
        <v>679</v>
      </c>
      <c r="B44" s="5" t="s">
        <v>680</v>
      </c>
      <c r="D44" s="30" t="b">
        <v>0</v>
      </c>
      <c r="E44" s="7" t="s">
        <v>681</v>
      </c>
      <c r="F44" s="31">
        <v>14.0</v>
      </c>
    </row>
    <row r="45">
      <c r="A45" s="5" t="s">
        <v>685</v>
      </c>
      <c r="B45" s="5" t="s">
        <v>686</v>
      </c>
      <c r="D45" s="30" t="b">
        <v>1</v>
      </c>
      <c r="E45" s="7" t="s">
        <v>687</v>
      </c>
      <c r="F45" s="31">
        <v>7.0</v>
      </c>
    </row>
    <row r="46">
      <c r="A46" s="5" t="s">
        <v>786</v>
      </c>
      <c r="B46" s="5" t="s">
        <v>787</v>
      </c>
      <c r="D46" s="30" t="b">
        <v>0</v>
      </c>
      <c r="E46" s="7" t="s">
        <v>788</v>
      </c>
      <c r="F46" s="31">
        <v>14.0</v>
      </c>
      <c r="H46" s="6">
        <v>46029.62641203704</v>
      </c>
    </row>
    <row r="47">
      <c r="A47" s="5" t="s">
        <v>799</v>
      </c>
      <c r="B47" s="5" t="s">
        <v>800</v>
      </c>
      <c r="D47" s="30" t="b">
        <v>1</v>
      </c>
      <c r="E47" s="7" t="s">
        <v>801</v>
      </c>
      <c r="F47" s="31">
        <v>30.0</v>
      </c>
    </row>
    <row r="48">
      <c r="A48" s="5" t="s">
        <v>812</v>
      </c>
      <c r="B48" s="5" t="s">
        <v>813</v>
      </c>
      <c r="D48" s="30" t="b">
        <v>0</v>
      </c>
      <c r="E48" s="7" t="s">
        <v>814</v>
      </c>
      <c r="F48" s="31">
        <v>14.0</v>
      </c>
    </row>
    <row r="49">
      <c r="A49" s="5" t="s">
        <v>1014</v>
      </c>
      <c r="B49" s="5" t="s">
        <v>1015</v>
      </c>
      <c r="D49" s="30" t="b">
        <v>0</v>
      </c>
      <c r="E49" s="7" t="s">
        <v>1016</v>
      </c>
      <c r="F49" s="31">
        <v>14.0</v>
      </c>
    </row>
    <row r="50">
      <c r="A50" s="5" t="s">
        <v>885</v>
      </c>
      <c r="B50" s="5" t="s">
        <v>886</v>
      </c>
      <c r="D50" s="30" t="b">
        <v>0</v>
      </c>
      <c r="E50" s="7" t="s">
        <v>887</v>
      </c>
      <c r="F50" s="31">
        <v>14.0</v>
      </c>
    </row>
    <row r="51">
      <c r="A51" s="5" t="s">
        <v>309</v>
      </c>
      <c r="B51" s="5" t="s">
        <v>310</v>
      </c>
      <c r="D51" s="30" t="b">
        <v>0</v>
      </c>
      <c r="E51" s="7" t="s">
        <v>311</v>
      </c>
      <c r="F51" s="31">
        <v>14.0</v>
      </c>
    </row>
    <row r="52">
      <c r="A52" s="5" t="s">
        <v>904</v>
      </c>
      <c r="B52" s="5" t="s">
        <v>905</v>
      </c>
      <c r="D52" s="30" t="b">
        <v>0</v>
      </c>
      <c r="E52" s="7" t="s">
        <v>906</v>
      </c>
      <c r="F52" s="31"/>
    </row>
    <row r="53">
      <c r="A53" s="5" t="s">
        <v>934</v>
      </c>
      <c r="B53" s="5" t="s">
        <v>935</v>
      </c>
      <c r="D53" s="30" t="b">
        <v>0</v>
      </c>
      <c r="E53" s="7" t="s">
        <v>936</v>
      </c>
      <c r="F53" s="31">
        <v>30.0</v>
      </c>
    </row>
    <row r="54">
      <c r="A54" s="5" t="s">
        <v>943</v>
      </c>
      <c r="B54" s="5" t="s">
        <v>944</v>
      </c>
      <c r="D54" s="30" t="b">
        <v>0</v>
      </c>
      <c r="E54" s="7" t="s">
        <v>945</v>
      </c>
      <c r="F54" s="31">
        <v>30.0</v>
      </c>
    </row>
    <row r="55">
      <c r="A55" s="5" t="s">
        <v>951</v>
      </c>
      <c r="B55" s="2" t="s">
        <v>3440</v>
      </c>
      <c r="D55" s="30" t="b">
        <v>0</v>
      </c>
      <c r="E55" s="7" t="s">
        <v>953</v>
      </c>
      <c r="F55" s="31">
        <v>14.0</v>
      </c>
    </row>
    <row r="56">
      <c r="A56" s="5" t="s">
        <v>957</v>
      </c>
      <c r="B56" s="5" t="s">
        <v>958</v>
      </c>
      <c r="D56" s="30" t="b">
        <v>0</v>
      </c>
      <c r="E56" s="7" t="s">
        <v>959</v>
      </c>
      <c r="F56" s="31">
        <v>14.0</v>
      </c>
    </row>
    <row r="57">
      <c r="A57" s="5" t="s">
        <v>1018</v>
      </c>
      <c r="B57" s="5" t="s">
        <v>1019</v>
      </c>
      <c r="D57" s="30" t="b">
        <v>0</v>
      </c>
      <c r="E57" s="7" t="s">
        <v>1020</v>
      </c>
      <c r="F57" s="31">
        <v>14.0</v>
      </c>
    </row>
    <row r="58">
      <c r="A58" s="5" t="s">
        <v>1084</v>
      </c>
      <c r="B58" s="5" t="s">
        <v>1085</v>
      </c>
      <c r="D58" s="30" t="b">
        <v>0</v>
      </c>
      <c r="E58" s="7" t="s">
        <v>1086</v>
      </c>
      <c r="F58" s="31"/>
    </row>
    <row r="59">
      <c r="A59" s="5" t="s">
        <v>1183</v>
      </c>
      <c r="B59" s="5" t="s">
        <v>1184</v>
      </c>
      <c r="D59" s="30" t="b">
        <v>0</v>
      </c>
      <c r="E59" s="7" t="s">
        <v>1185</v>
      </c>
      <c r="F59" s="31">
        <v>7.0</v>
      </c>
    </row>
    <row r="60">
      <c r="A60" s="5" t="s">
        <v>1203</v>
      </c>
      <c r="B60" s="5" t="s">
        <v>1204</v>
      </c>
      <c r="D60" s="30" t="b">
        <v>0</v>
      </c>
      <c r="E60" s="3" t="s">
        <v>1205</v>
      </c>
      <c r="F60" s="33">
        <v>45.0</v>
      </c>
    </row>
    <row r="61">
      <c r="A61" s="5" t="s">
        <v>1228</v>
      </c>
      <c r="B61" s="5" t="s">
        <v>1229</v>
      </c>
      <c r="D61" s="30" t="b">
        <v>0</v>
      </c>
      <c r="E61" s="7" t="s">
        <v>1230</v>
      </c>
      <c r="F61" s="31">
        <v>30.0</v>
      </c>
    </row>
    <row r="62">
      <c r="A62" s="34" t="s">
        <v>1237</v>
      </c>
      <c r="B62" s="34" t="s">
        <v>1238</v>
      </c>
      <c r="C62" s="35" t="s">
        <v>6751</v>
      </c>
      <c r="D62" s="36" t="b">
        <v>1</v>
      </c>
      <c r="E62" s="37" t="s">
        <v>1239</v>
      </c>
      <c r="F62" s="38">
        <v>30.0</v>
      </c>
    </row>
    <row r="63">
      <c r="A63" s="2" t="s">
        <v>1303</v>
      </c>
      <c r="B63" s="2" t="s">
        <v>1304</v>
      </c>
      <c r="D63" s="2" t="b">
        <v>0</v>
      </c>
      <c r="E63" s="2" t="s">
        <v>1305</v>
      </c>
    </row>
    <row r="64">
      <c r="A64" s="2" t="s">
        <v>1311</v>
      </c>
      <c r="B64" s="2" t="s">
        <v>1010</v>
      </c>
      <c r="D64" s="2" t="b">
        <v>0</v>
      </c>
      <c r="E64" s="2" t="s">
        <v>1312</v>
      </c>
    </row>
    <row r="65">
      <c r="A65" s="2" t="s">
        <v>1144</v>
      </c>
      <c r="B65" s="2" t="s">
        <v>1145</v>
      </c>
      <c r="D65" s="2" t="b">
        <v>0</v>
      </c>
      <c r="E65" s="2" t="s">
        <v>1440</v>
      </c>
      <c r="F65" s="2">
        <v>7.0</v>
      </c>
    </row>
    <row r="66">
      <c r="A66" s="2" t="s">
        <v>690</v>
      </c>
      <c r="B66" s="2" t="s">
        <v>6752</v>
      </c>
      <c r="D66" s="2" t="b">
        <v>0</v>
      </c>
      <c r="E66" s="2" t="s">
        <v>6753</v>
      </c>
    </row>
    <row r="67">
      <c r="A67" s="2"/>
      <c r="B67" s="2"/>
    </row>
    <row r="68">
      <c r="A68" s="2" t="s">
        <v>1371</v>
      </c>
      <c r="B68" s="2" t="s">
        <v>1372</v>
      </c>
      <c r="D68" s="2" t="b">
        <v>0</v>
      </c>
      <c r="E68" s="2" t="s">
        <v>1373</v>
      </c>
      <c r="F68" s="2">
        <v>30.0</v>
      </c>
      <c r="G68" s="10" t="s">
        <v>6754</v>
      </c>
      <c r="H68" s="6">
        <v>45896.3875</v>
      </c>
    </row>
    <row r="69">
      <c r="A69" s="10" t="s">
        <v>1399</v>
      </c>
      <c r="B69" s="2" t="s">
        <v>1400</v>
      </c>
      <c r="D69" s="2" t="b">
        <v>0</v>
      </c>
      <c r="E69" s="2" t="s">
        <v>1401</v>
      </c>
    </row>
    <row r="70">
      <c r="A70" s="2" t="s">
        <v>1406</v>
      </c>
      <c r="B70" s="2" t="s">
        <v>1407</v>
      </c>
      <c r="D70" s="2" t="b">
        <v>0</v>
      </c>
      <c r="E70" s="2" t="s">
        <v>1408</v>
      </c>
    </row>
    <row r="72">
      <c r="A72" s="2" t="s">
        <v>1476</v>
      </c>
      <c r="B72" s="2" t="s">
        <v>1477</v>
      </c>
      <c r="D72" s="2" t="b">
        <v>0</v>
      </c>
      <c r="E72" s="2" t="s">
        <v>1478</v>
      </c>
      <c r="G72" s="10" t="s">
        <v>6755</v>
      </c>
    </row>
    <row r="73">
      <c r="A73" s="2" t="s">
        <v>353</v>
      </c>
      <c r="B73" s="2" t="s">
        <v>1500</v>
      </c>
      <c r="D73" s="2" t="b">
        <v>0</v>
      </c>
      <c r="E73" s="2" t="s">
        <v>1501</v>
      </c>
    </row>
    <row r="74">
      <c r="A74" s="2" t="s">
        <v>849</v>
      </c>
      <c r="B74" s="2" t="s">
        <v>850</v>
      </c>
      <c r="D74" s="2" t="b">
        <v>0</v>
      </c>
    </row>
    <row r="75">
      <c r="A75" s="2" t="s">
        <v>805</v>
      </c>
      <c r="B75" s="2" t="s">
        <v>806</v>
      </c>
    </row>
    <row r="76">
      <c r="A76" s="2" t="s">
        <v>774</v>
      </c>
      <c r="B76" s="2" t="s">
        <v>775</v>
      </c>
    </row>
    <row r="77">
      <c r="A77" s="2" t="s">
        <v>1519</v>
      </c>
      <c r="B77" s="2" t="s">
        <v>1520</v>
      </c>
      <c r="D77" s="2" t="b">
        <v>0</v>
      </c>
      <c r="E77" s="2" t="s">
        <v>1521</v>
      </c>
      <c r="F77" s="2">
        <v>14.0</v>
      </c>
      <c r="G77" s="10" t="s">
        <v>6756</v>
      </c>
    </row>
    <row r="78">
      <c r="A78" s="2" t="s">
        <v>1523</v>
      </c>
      <c r="B78" s="2" t="s">
        <v>1524</v>
      </c>
      <c r="D78" s="2" t="b">
        <v>0</v>
      </c>
      <c r="E78" s="2" t="s">
        <v>1525</v>
      </c>
      <c r="G78" s="10" t="s">
        <v>6757</v>
      </c>
    </row>
    <row r="79">
      <c r="A79" s="2" t="s">
        <v>1564</v>
      </c>
      <c r="B79" s="2" t="s">
        <v>3073</v>
      </c>
      <c r="D79" s="2" t="b">
        <v>1</v>
      </c>
      <c r="E79" s="2" t="s">
        <v>3074</v>
      </c>
      <c r="F79" s="2">
        <v>14.0</v>
      </c>
      <c r="G79" s="10" t="s">
        <v>6758</v>
      </c>
    </row>
    <row r="80">
      <c r="A80" s="2" t="s">
        <v>1573</v>
      </c>
      <c r="B80" s="2" t="s">
        <v>1574</v>
      </c>
      <c r="D80" s="2" t="b">
        <v>0</v>
      </c>
      <c r="E80" s="2" t="s">
        <v>1575</v>
      </c>
      <c r="G80" s="10" t="s">
        <v>6759</v>
      </c>
    </row>
    <row r="81">
      <c r="A81" s="2" t="s">
        <v>6760</v>
      </c>
      <c r="B81" s="2" t="s">
        <v>6761</v>
      </c>
      <c r="D81" s="2" t="b">
        <v>0</v>
      </c>
      <c r="E81" s="2" t="s">
        <v>1589</v>
      </c>
    </row>
    <row r="82">
      <c r="A82" s="2" t="s">
        <v>1592</v>
      </c>
      <c r="B82" s="2" t="s">
        <v>1593</v>
      </c>
      <c r="D82" s="2" t="b">
        <v>0</v>
      </c>
      <c r="E82" s="2" t="s">
        <v>1594</v>
      </c>
      <c r="F82" s="2">
        <v>8.2148811707E10</v>
      </c>
      <c r="H82" s="6">
        <v>45933.34861111111</v>
      </c>
    </row>
    <row r="83">
      <c r="A83" s="2" t="s">
        <v>6762</v>
      </c>
      <c r="B83" s="2" t="s">
        <v>6763</v>
      </c>
      <c r="D83" s="2" t="b">
        <v>0</v>
      </c>
      <c r="E83" s="2" t="s">
        <v>6764</v>
      </c>
    </row>
    <row r="84">
      <c r="A84" s="2" t="s">
        <v>1606</v>
      </c>
      <c r="B84" s="2" t="s">
        <v>1629</v>
      </c>
      <c r="D84" s="2" t="b">
        <v>0</v>
      </c>
      <c r="E84" s="2" t="s">
        <v>1608</v>
      </c>
      <c r="G84" s="10" t="s">
        <v>6765</v>
      </c>
    </row>
    <row r="85">
      <c r="A85" s="2" t="s">
        <v>1613</v>
      </c>
      <c r="B85" s="2" t="s">
        <v>1614</v>
      </c>
      <c r="D85" s="2" t="b">
        <v>0</v>
      </c>
      <c r="E85" s="2" t="s">
        <v>1615</v>
      </c>
      <c r="G85" s="10" t="s">
        <v>6766</v>
      </c>
    </row>
    <row r="86">
      <c r="A86" s="2" t="s">
        <v>1618</v>
      </c>
      <c r="B86" s="2" t="s">
        <v>1619</v>
      </c>
      <c r="D86" s="2" t="b">
        <v>0</v>
      </c>
      <c r="E86" s="2" t="s">
        <v>1620</v>
      </c>
      <c r="F86" s="2">
        <v>14.0</v>
      </c>
    </row>
    <row r="87">
      <c r="A87" s="2" t="s">
        <v>1705</v>
      </c>
      <c r="B87" s="2" t="s">
        <v>1706</v>
      </c>
      <c r="D87" s="2" t="b">
        <v>0</v>
      </c>
      <c r="E87" s="2" t="s">
        <v>1707</v>
      </c>
      <c r="F87" s="2">
        <v>14.0</v>
      </c>
      <c r="G87" s="10" t="s">
        <v>6767</v>
      </c>
    </row>
    <row r="88">
      <c r="A88" s="2" t="s">
        <v>1756</v>
      </c>
      <c r="B88" s="2" t="s">
        <v>1757</v>
      </c>
      <c r="D88" s="2" t="b">
        <v>0</v>
      </c>
      <c r="E88" s="2" t="s">
        <v>1758</v>
      </c>
      <c r="F88" s="2">
        <v>14.0</v>
      </c>
      <c r="G88" s="10" t="s">
        <v>6768</v>
      </c>
    </row>
    <row r="89">
      <c r="A89" s="2" t="s">
        <v>1745</v>
      </c>
      <c r="B89" s="2" t="s">
        <v>1746</v>
      </c>
      <c r="D89" s="2" t="b">
        <v>0</v>
      </c>
      <c r="E89" s="2" t="s">
        <v>1747</v>
      </c>
      <c r="F89" s="2">
        <v>14.0</v>
      </c>
      <c r="G89" s="10" t="s">
        <v>6769</v>
      </c>
    </row>
    <row r="90">
      <c r="A90" s="2" t="s">
        <v>1763</v>
      </c>
      <c r="B90" s="2" t="s">
        <v>1764</v>
      </c>
      <c r="D90" s="2" t="b">
        <v>0</v>
      </c>
      <c r="E90" s="2" t="s">
        <v>1765</v>
      </c>
      <c r="F90" s="2">
        <v>10.0</v>
      </c>
      <c r="G90" s="10" t="s">
        <v>6770</v>
      </c>
    </row>
    <row r="91">
      <c r="A91" s="2" t="s">
        <v>1776</v>
      </c>
      <c r="B91" s="2" t="s">
        <v>1777</v>
      </c>
      <c r="D91" s="2" t="b">
        <v>0</v>
      </c>
      <c r="E91" s="2" t="s">
        <v>1778</v>
      </c>
      <c r="F91" s="2">
        <v>14.0</v>
      </c>
    </row>
    <row r="92">
      <c r="A92" s="2" t="s">
        <v>1810</v>
      </c>
      <c r="B92" s="2" t="s">
        <v>1811</v>
      </c>
      <c r="D92" s="2" t="b">
        <v>0</v>
      </c>
      <c r="E92" s="2" t="s">
        <v>1812</v>
      </c>
      <c r="G92" s="10" t="s">
        <v>6771</v>
      </c>
    </row>
    <row r="93">
      <c r="A93" s="2" t="s">
        <v>1830</v>
      </c>
      <c r="B93" s="2" t="s">
        <v>1831</v>
      </c>
      <c r="D93" s="2" t="b">
        <v>0</v>
      </c>
      <c r="E93" s="2" t="s">
        <v>1832</v>
      </c>
    </row>
    <row r="94">
      <c r="A94" s="2" t="s">
        <v>1838</v>
      </c>
      <c r="B94" s="2" t="s">
        <v>1839</v>
      </c>
      <c r="D94" s="2" t="b">
        <v>0</v>
      </c>
      <c r="E94" s="2" t="s">
        <v>1840</v>
      </c>
      <c r="F94" s="2">
        <v>14.0</v>
      </c>
      <c r="G94" s="10" t="s">
        <v>6772</v>
      </c>
    </row>
    <row r="95">
      <c r="A95" s="2" t="s">
        <v>1873</v>
      </c>
      <c r="B95" s="2" t="s">
        <v>1874</v>
      </c>
      <c r="D95" s="2" t="b">
        <v>0</v>
      </c>
      <c r="E95" s="2" t="s">
        <v>1875</v>
      </c>
      <c r="F95" s="2">
        <v>14.0</v>
      </c>
      <c r="G95" s="10" t="s">
        <v>6773</v>
      </c>
      <c r="H95" s="6">
        <v>45966.493055555555</v>
      </c>
    </row>
    <row r="96">
      <c r="A96" s="2" t="s">
        <v>1889</v>
      </c>
      <c r="B96" s="2" t="s">
        <v>1890</v>
      </c>
      <c r="D96" s="2" t="b">
        <v>0</v>
      </c>
      <c r="E96" s="2" t="s">
        <v>1891</v>
      </c>
      <c r="F96" s="2">
        <v>14.0</v>
      </c>
      <c r="G96" s="10" t="s">
        <v>6774</v>
      </c>
    </row>
    <row r="97">
      <c r="A97" s="2" t="s">
        <v>1904</v>
      </c>
      <c r="B97" s="2" t="s">
        <v>1905</v>
      </c>
      <c r="D97" s="2" t="b">
        <v>0</v>
      </c>
      <c r="E97" s="2" t="s">
        <v>1906</v>
      </c>
      <c r="F97" s="2">
        <v>30.0</v>
      </c>
      <c r="G97" s="10" t="s">
        <v>6775</v>
      </c>
      <c r="H97" s="6">
        <v>45968.60138888889</v>
      </c>
    </row>
    <row r="98">
      <c r="A98" s="2" t="s">
        <v>1963</v>
      </c>
      <c r="B98" s="2" t="s">
        <v>1964</v>
      </c>
      <c r="D98" s="2" t="b">
        <v>0</v>
      </c>
      <c r="E98" s="2" t="s">
        <v>1965</v>
      </c>
      <c r="F98" s="2">
        <v>15.0</v>
      </c>
      <c r="G98" s="10" t="s">
        <v>6776</v>
      </c>
    </row>
    <row r="99">
      <c r="A99" s="2"/>
      <c r="B99" s="2"/>
      <c r="D99" s="2"/>
    </row>
    <row r="100">
      <c r="A100" s="2"/>
      <c r="B100" s="2"/>
      <c r="D100" s="2"/>
      <c r="E100" s="2"/>
    </row>
    <row r="101">
      <c r="A101" s="2" t="s">
        <v>1975</v>
      </c>
      <c r="B101" s="2" t="s">
        <v>1976</v>
      </c>
      <c r="D101" s="2" t="b">
        <v>0</v>
      </c>
      <c r="E101" s="2" t="s">
        <v>1977</v>
      </c>
      <c r="F101" s="2">
        <v>15.0</v>
      </c>
      <c r="G101" s="10" t="s">
        <v>6777</v>
      </c>
    </row>
    <row r="102">
      <c r="A102" s="2" t="s">
        <v>1993</v>
      </c>
      <c r="B102" s="2" t="s">
        <v>1994</v>
      </c>
      <c r="D102" s="2" t="b">
        <v>0</v>
      </c>
      <c r="E102" s="2" t="s">
        <v>1995</v>
      </c>
      <c r="F102" s="2">
        <v>15.0</v>
      </c>
      <c r="G102" s="10" t="s">
        <v>6778</v>
      </c>
    </row>
    <row r="103">
      <c r="A103" s="2" t="s">
        <v>2005</v>
      </c>
      <c r="B103" s="2" t="s">
        <v>2006</v>
      </c>
      <c r="D103" s="2" t="b">
        <v>0</v>
      </c>
      <c r="E103" s="2" t="s">
        <v>2007</v>
      </c>
      <c r="F103" s="2">
        <v>30.0</v>
      </c>
      <c r="G103" s="10" t="s">
        <v>6779</v>
      </c>
    </row>
    <row r="104">
      <c r="A104" s="2" t="s">
        <v>2032</v>
      </c>
      <c r="B104" s="2" t="s">
        <v>2033</v>
      </c>
      <c r="D104" s="2" t="b">
        <v>0</v>
      </c>
      <c r="E104" s="2" t="s">
        <v>2803</v>
      </c>
      <c r="F104" s="2">
        <v>15.0</v>
      </c>
      <c r="G104" s="10" t="s">
        <v>6780</v>
      </c>
    </row>
    <row r="105">
      <c r="A105" s="2" t="s">
        <v>2131</v>
      </c>
      <c r="B105" s="2" t="s">
        <v>2132</v>
      </c>
      <c r="D105" s="2" t="b">
        <v>0</v>
      </c>
      <c r="E105" s="2" t="s">
        <v>2133</v>
      </c>
      <c r="F105" s="2">
        <v>15.0</v>
      </c>
      <c r="G105" s="10" t="s">
        <v>6781</v>
      </c>
    </row>
    <row r="106">
      <c r="A106" s="2" t="s">
        <v>2081</v>
      </c>
      <c r="B106" s="2" t="s">
        <v>2082</v>
      </c>
      <c r="D106" s="2" t="b">
        <v>0</v>
      </c>
      <c r="E106" s="2" t="s">
        <v>2083</v>
      </c>
      <c r="F106" s="2">
        <v>15.0</v>
      </c>
      <c r="G106" s="10" t="s">
        <v>6782</v>
      </c>
    </row>
    <row r="107">
      <c r="A107" s="2" t="s">
        <v>2150</v>
      </c>
      <c r="B107" s="2" t="s">
        <v>2591</v>
      </c>
      <c r="D107" s="2" t="b">
        <v>0</v>
      </c>
      <c r="E107" s="2" t="s">
        <v>2152</v>
      </c>
      <c r="F107" s="2">
        <v>10.0</v>
      </c>
      <c r="G107" s="10" t="s">
        <v>6783</v>
      </c>
    </row>
    <row r="108">
      <c r="A108" s="2" t="s">
        <v>2196</v>
      </c>
      <c r="B108" s="2" t="s">
        <v>2197</v>
      </c>
      <c r="D108" s="2" t="b">
        <v>0</v>
      </c>
      <c r="E108" s="2" t="s">
        <v>2198</v>
      </c>
      <c r="F108" s="2">
        <v>15.0</v>
      </c>
      <c r="G108" s="10" t="s">
        <v>6784</v>
      </c>
    </row>
    <row r="109">
      <c r="A109" s="2" t="s">
        <v>2217</v>
      </c>
      <c r="B109" s="2" t="s">
        <v>2218</v>
      </c>
      <c r="D109" s="2" t="b">
        <v>0</v>
      </c>
      <c r="E109" s="2" t="s">
        <v>2219</v>
      </c>
      <c r="G109" s="2">
        <v>15.0</v>
      </c>
    </row>
    <row r="110">
      <c r="A110" s="2" t="s">
        <v>2266</v>
      </c>
      <c r="B110" s="2" t="s">
        <v>2267</v>
      </c>
      <c r="D110" s="2" t="b">
        <v>0</v>
      </c>
      <c r="E110" s="2" t="s">
        <v>2268</v>
      </c>
      <c r="F110" s="2">
        <v>15.0</v>
      </c>
      <c r="G110" s="10" t="s">
        <v>6785</v>
      </c>
    </row>
    <row r="111">
      <c r="A111" s="2" t="s">
        <v>2270</v>
      </c>
      <c r="B111" s="2" t="s">
        <v>2271</v>
      </c>
      <c r="D111" s="2" t="b">
        <v>0</v>
      </c>
      <c r="E111" s="2" t="s">
        <v>2272</v>
      </c>
      <c r="F111" s="2">
        <v>15.0</v>
      </c>
      <c r="G111" s="10" t="s">
        <v>6786</v>
      </c>
    </row>
    <row r="112">
      <c r="A112" s="2" t="s">
        <v>2349</v>
      </c>
      <c r="B112" s="2" t="s">
        <v>2350</v>
      </c>
      <c r="D112" s="2" t="b">
        <v>0</v>
      </c>
      <c r="E112" s="2" t="s">
        <v>2351</v>
      </c>
    </row>
    <row r="113">
      <c r="A113" s="2" t="s">
        <v>2459</v>
      </c>
      <c r="B113" s="2" t="s">
        <v>2460</v>
      </c>
      <c r="D113" s="2" t="b">
        <v>0</v>
      </c>
      <c r="E113" s="2" t="s">
        <v>2461</v>
      </c>
      <c r="F113" s="2">
        <v>15.0</v>
      </c>
      <c r="G113" s="10" t="s">
        <v>6787</v>
      </c>
    </row>
    <row r="114">
      <c r="A114" s="2" t="s">
        <v>2466</v>
      </c>
      <c r="B114" s="2" t="s">
        <v>2467</v>
      </c>
      <c r="D114" s="2" t="b">
        <v>0</v>
      </c>
      <c r="E114" s="2" t="s">
        <v>2468</v>
      </c>
      <c r="F114" s="2">
        <v>15.0</v>
      </c>
    </row>
    <row r="115">
      <c r="A115" s="2" t="s">
        <v>2503</v>
      </c>
      <c r="B115" s="2" t="s">
        <v>2504</v>
      </c>
      <c r="D115" s="2" t="b">
        <v>0</v>
      </c>
      <c r="E115" s="2" t="s">
        <v>2505</v>
      </c>
      <c r="F115" s="2">
        <v>15.0</v>
      </c>
      <c r="G115" s="10" t="s">
        <v>6788</v>
      </c>
    </row>
    <row r="116">
      <c r="A116" s="2" t="s">
        <v>2510</v>
      </c>
      <c r="B116" s="2" t="s">
        <v>2511</v>
      </c>
      <c r="D116" s="2" t="b">
        <v>0</v>
      </c>
      <c r="E116" s="2" t="s">
        <v>2512</v>
      </c>
      <c r="F116" s="2">
        <v>15.0</v>
      </c>
      <c r="G116" s="10" t="s">
        <v>6789</v>
      </c>
    </row>
    <row r="117">
      <c r="A117" s="2" t="s">
        <v>2543</v>
      </c>
      <c r="B117" s="2" t="s">
        <v>2544</v>
      </c>
      <c r="D117" s="2" t="b">
        <v>0</v>
      </c>
      <c r="E117" s="2" t="s">
        <v>2545</v>
      </c>
      <c r="F117" s="2">
        <v>30.0</v>
      </c>
    </row>
    <row r="118">
      <c r="A118" s="2" t="s">
        <v>2577</v>
      </c>
      <c r="B118" s="2" t="s">
        <v>2578</v>
      </c>
      <c r="D118" s="2" t="b">
        <v>1</v>
      </c>
      <c r="E118" s="2" t="s">
        <v>2579</v>
      </c>
      <c r="F118" s="2">
        <v>30.0</v>
      </c>
    </row>
    <row r="119">
      <c r="A119" s="2" t="s">
        <v>2623</v>
      </c>
      <c r="B119" s="2" t="s">
        <v>2624</v>
      </c>
      <c r="D119" s="2" t="b">
        <v>0</v>
      </c>
      <c r="E119" s="2" t="s">
        <v>2625</v>
      </c>
      <c r="F119" s="2">
        <v>15.0</v>
      </c>
      <c r="G119" s="10" t="s">
        <v>6790</v>
      </c>
    </row>
    <row r="120">
      <c r="A120" s="2" t="s">
        <v>2640</v>
      </c>
      <c r="B120" s="2" t="s">
        <v>2641</v>
      </c>
      <c r="D120" s="2" t="b">
        <v>0</v>
      </c>
      <c r="E120" s="2" t="s">
        <v>2642</v>
      </c>
      <c r="F120" s="2">
        <v>30.0</v>
      </c>
      <c r="G120" s="10" t="s">
        <v>6791</v>
      </c>
    </row>
    <row r="121">
      <c r="A121" s="2" t="s">
        <v>2686</v>
      </c>
      <c r="B121" s="2" t="s">
        <v>2687</v>
      </c>
      <c r="D121" s="2" t="b">
        <v>1</v>
      </c>
      <c r="E121" s="2" t="s">
        <v>2688</v>
      </c>
      <c r="F121" s="2">
        <v>30.0</v>
      </c>
    </row>
    <row r="122">
      <c r="A122" s="2" t="s">
        <v>2728</v>
      </c>
      <c r="B122" s="2" t="s">
        <v>2729</v>
      </c>
      <c r="D122" s="2" t="b">
        <v>0</v>
      </c>
      <c r="E122" s="2" t="s">
        <v>2730</v>
      </c>
      <c r="F122" s="2">
        <v>15.0</v>
      </c>
      <c r="G122" s="10" t="s">
        <v>6792</v>
      </c>
    </row>
    <row r="123">
      <c r="A123" s="2" t="s">
        <v>2774</v>
      </c>
      <c r="B123" s="2" t="s">
        <v>2775</v>
      </c>
      <c r="D123" s="2" t="b">
        <v>0</v>
      </c>
      <c r="E123" s="2" t="s">
        <v>2776</v>
      </c>
      <c r="F123" s="2">
        <v>30.0</v>
      </c>
      <c r="G123" s="10" t="s">
        <v>6793</v>
      </c>
    </row>
    <row r="124">
      <c r="A124" s="2" t="s">
        <v>6794</v>
      </c>
      <c r="B124" s="2" t="s">
        <v>6795</v>
      </c>
      <c r="D124" s="2" t="b">
        <v>0</v>
      </c>
      <c r="E124" s="2" t="s">
        <v>6796</v>
      </c>
    </row>
    <row r="125">
      <c r="A125" s="2" t="s">
        <v>2835</v>
      </c>
      <c r="B125" s="2" t="s">
        <v>2836</v>
      </c>
      <c r="D125" s="2" t="b">
        <v>0</v>
      </c>
      <c r="E125" s="2" t="s">
        <v>2837</v>
      </c>
      <c r="G125" s="10" t="s">
        <v>6797</v>
      </c>
    </row>
    <row r="126">
      <c r="A126" s="2" t="s">
        <v>1587</v>
      </c>
      <c r="B126" s="2" t="s">
        <v>1588</v>
      </c>
      <c r="C126" s="10" t="s">
        <v>6798</v>
      </c>
      <c r="D126" s="2" t="b">
        <v>1</v>
      </c>
      <c r="E126" s="2" t="s">
        <v>1589</v>
      </c>
    </row>
    <row r="127">
      <c r="A127" s="2" t="s">
        <v>2909</v>
      </c>
      <c r="B127" s="2" t="s">
        <v>2910</v>
      </c>
      <c r="D127" s="2" t="b">
        <v>0</v>
      </c>
      <c r="E127" s="2" t="s">
        <v>2911</v>
      </c>
      <c r="F127" s="2">
        <v>30.0</v>
      </c>
    </row>
    <row r="128">
      <c r="A128" s="2" t="s">
        <v>2913</v>
      </c>
      <c r="B128" s="2" t="s">
        <v>2914</v>
      </c>
      <c r="D128" s="2" t="b">
        <v>0</v>
      </c>
      <c r="E128" s="2" t="s">
        <v>2915</v>
      </c>
      <c r="F128" s="2">
        <v>30.0</v>
      </c>
    </row>
    <row r="129">
      <c r="A129" s="2" t="s">
        <v>3060</v>
      </c>
      <c r="B129" s="2" t="s">
        <v>3061</v>
      </c>
      <c r="D129" s="2" t="b">
        <v>0</v>
      </c>
      <c r="E129" s="2" t="s">
        <v>443</v>
      </c>
      <c r="F129" s="2">
        <v>14.0</v>
      </c>
    </row>
    <row r="130">
      <c r="A130" s="10" t="s">
        <v>3122</v>
      </c>
      <c r="B130" s="2" t="s">
        <v>3123</v>
      </c>
      <c r="D130" s="2" t="b">
        <v>0</v>
      </c>
      <c r="E130" s="2" t="s">
        <v>3124</v>
      </c>
      <c r="F130" s="2">
        <v>10.0</v>
      </c>
    </row>
    <row r="131">
      <c r="A131" s="2" t="s">
        <v>3288</v>
      </c>
      <c r="B131" s="2" t="s">
        <v>3289</v>
      </c>
      <c r="D131" s="2" t="b">
        <v>0</v>
      </c>
      <c r="E131" s="2" t="s">
        <v>3290</v>
      </c>
      <c r="F131" s="2">
        <v>15.0</v>
      </c>
      <c r="G131" s="10" t="s">
        <v>6799</v>
      </c>
    </row>
    <row r="132">
      <c r="A132" s="2" t="s">
        <v>3298</v>
      </c>
      <c r="B132" s="2" t="s">
        <v>3299</v>
      </c>
      <c r="D132" s="2" t="b">
        <v>0</v>
      </c>
      <c r="E132" s="2" t="s">
        <v>3300</v>
      </c>
      <c r="F132" s="2">
        <v>15.0</v>
      </c>
      <c r="G132" s="10" t="s">
        <v>6800</v>
      </c>
    </row>
    <row r="133">
      <c r="A133" s="2" t="s">
        <v>3313</v>
      </c>
      <c r="B133" s="2" t="s">
        <v>3314</v>
      </c>
      <c r="D133" s="2" t="b">
        <v>0</v>
      </c>
      <c r="E133" s="2" t="s">
        <v>3315</v>
      </c>
      <c r="F133" s="2">
        <v>15.0</v>
      </c>
      <c r="G133" s="10" t="s">
        <v>6801</v>
      </c>
    </row>
    <row r="134">
      <c r="A134" s="2" t="s">
        <v>3335</v>
      </c>
      <c r="B134" s="2" t="s">
        <v>3336</v>
      </c>
      <c r="D134" s="2" t="b">
        <v>0</v>
      </c>
      <c r="E134" s="2" t="s">
        <v>3337</v>
      </c>
    </row>
    <row r="135">
      <c r="A135" s="2" t="s">
        <v>3421</v>
      </c>
      <c r="B135" s="2" t="s">
        <v>3422</v>
      </c>
      <c r="D135" s="2" t="b">
        <v>1</v>
      </c>
      <c r="E135" s="2" t="s">
        <v>3423</v>
      </c>
      <c r="F135" s="2">
        <v>15.0</v>
      </c>
      <c r="G135" s="10" t="s">
        <v>6802</v>
      </c>
    </row>
    <row r="136">
      <c r="A136" s="2" t="s">
        <v>3427</v>
      </c>
      <c r="B136" s="2" t="s">
        <v>3428</v>
      </c>
      <c r="D136" s="2" t="b">
        <v>0</v>
      </c>
      <c r="E136" s="2" t="s">
        <v>3429</v>
      </c>
      <c r="F136" s="2">
        <v>10.0</v>
      </c>
    </row>
    <row r="137">
      <c r="A137" s="2" t="s">
        <v>6803</v>
      </c>
      <c r="B137" s="2" t="s">
        <v>6804</v>
      </c>
      <c r="C137" s="10" t="s">
        <v>6805</v>
      </c>
      <c r="D137" s="2" t="b">
        <v>1</v>
      </c>
      <c r="E137" s="2" t="s">
        <v>6806</v>
      </c>
      <c r="F137" s="2">
        <v>30.0</v>
      </c>
      <c r="G137" s="10" t="s">
        <v>6807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5" max="5" width="17.63"/>
  </cols>
  <sheetData>
    <row r="1">
      <c r="A1" s="39" t="s">
        <v>6808</v>
      </c>
      <c r="B1" s="40" t="s">
        <v>1</v>
      </c>
      <c r="C1" s="39" t="s">
        <v>2</v>
      </c>
      <c r="D1" s="39" t="s">
        <v>3</v>
      </c>
      <c r="E1" s="39" t="s">
        <v>4</v>
      </c>
      <c r="F1" s="41" t="s">
        <v>6809</v>
      </c>
      <c r="G1" s="39"/>
      <c r="H1" s="39"/>
      <c r="I1" s="39"/>
      <c r="J1" s="39"/>
      <c r="K1" s="39"/>
      <c r="L1" s="39"/>
      <c r="N1" s="1"/>
      <c r="O1" s="42"/>
    </row>
    <row r="2">
      <c r="A2" s="16" t="str">
        <f t="shared" ref="A2:A72" si="1">IF(ISBLANK($E2),"",TEXT($E2, "2yy") &amp; IFS($C1&amp;$E1=$C2&amp;$E2,TEXT(MATCH($C2&amp;$E2, INDEX($C$1:$C2 &amp; $E$1:$E2, 0, 1), 0)-1, "0000"), $C2=C1, TEXT(MATCH($C2&amp;$E2, INDEX($C$1:C2 &amp; $E$1:E2, 0, 1), 0)-1, "0000"),$C2&lt;&gt;$C1,TEXT(MATCH($C2&amp;$E2, INDEX($C$1:$C2 &amp; $E$1:$E2, 0, 1), 0)-1, "0000")))</f>
        <v>2250001</v>
      </c>
      <c r="B2" s="43" t="s">
        <v>1140</v>
      </c>
      <c r="C2" s="14" t="s">
        <v>45</v>
      </c>
      <c r="D2" s="18" t="s">
        <v>46</v>
      </c>
      <c r="E2" s="44">
        <v>45887.945</v>
      </c>
      <c r="F2" s="45">
        <v>45841.0</v>
      </c>
      <c r="G2" s="17"/>
      <c r="H2" s="14"/>
      <c r="I2" s="17"/>
      <c r="J2" s="16"/>
      <c r="K2" s="17"/>
      <c r="L2" s="16"/>
      <c r="N2" s="1"/>
      <c r="O2" s="42"/>
      <c r="T2" s="6"/>
      <c r="U2" s="42"/>
    </row>
    <row r="3">
      <c r="A3" s="16" t="str">
        <f t="shared" si="1"/>
        <v>2250001</v>
      </c>
      <c r="B3" s="43" t="s">
        <v>1164</v>
      </c>
      <c r="C3" s="14" t="s">
        <v>45</v>
      </c>
      <c r="D3" s="18" t="s">
        <v>46</v>
      </c>
      <c r="E3" s="44">
        <v>45887.945</v>
      </c>
      <c r="F3" s="45">
        <v>45846.0</v>
      </c>
      <c r="G3" s="17"/>
      <c r="H3" s="14"/>
      <c r="I3" s="17"/>
      <c r="J3" s="16"/>
      <c r="K3" s="17"/>
      <c r="L3" s="16"/>
      <c r="N3" s="1"/>
      <c r="O3" s="42"/>
      <c r="T3" s="6"/>
      <c r="U3" s="42"/>
    </row>
    <row r="4">
      <c r="A4" s="16" t="str">
        <f t="shared" si="1"/>
        <v>2250003</v>
      </c>
      <c r="B4" s="43" t="s">
        <v>1218</v>
      </c>
      <c r="C4" s="14" t="s">
        <v>45</v>
      </c>
      <c r="D4" s="18" t="s">
        <v>46</v>
      </c>
      <c r="E4" s="44">
        <v>45887.94540509259</v>
      </c>
      <c r="F4" s="45">
        <v>45861.0</v>
      </c>
      <c r="G4" s="17"/>
      <c r="H4" s="14"/>
      <c r="I4" s="17"/>
      <c r="J4" s="16"/>
      <c r="K4" s="17"/>
      <c r="L4" s="17"/>
      <c r="N4" s="1"/>
      <c r="O4" s="42"/>
      <c r="T4" s="6"/>
      <c r="U4" s="42"/>
    </row>
    <row r="5">
      <c r="A5" s="16" t="str">
        <f t="shared" si="1"/>
        <v>2250004</v>
      </c>
      <c r="B5" s="43" t="s">
        <v>1160</v>
      </c>
      <c r="C5" s="14" t="s">
        <v>1084</v>
      </c>
      <c r="D5" s="18" t="s">
        <v>1085</v>
      </c>
      <c r="E5" s="44">
        <v>45889.557233796295</v>
      </c>
      <c r="F5" s="45">
        <v>45846.0</v>
      </c>
      <c r="G5" s="17"/>
      <c r="H5" s="14"/>
      <c r="I5" s="17"/>
      <c r="J5" s="16"/>
      <c r="K5" s="17"/>
      <c r="L5" s="16"/>
      <c r="N5" s="1"/>
      <c r="O5" s="42"/>
      <c r="T5" s="6"/>
      <c r="U5" s="42"/>
    </row>
    <row r="6">
      <c r="A6" s="16" t="str">
        <f t="shared" si="1"/>
        <v>2250004</v>
      </c>
      <c r="B6" s="43" t="s">
        <v>1215</v>
      </c>
      <c r="C6" s="14" t="s">
        <v>1084</v>
      </c>
      <c r="D6" s="18" t="s">
        <v>1085</v>
      </c>
      <c r="E6" s="44">
        <v>45889.557233796295</v>
      </c>
      <c r="F6" s="45">
        <v>45860.0</v>
      </c>
      <c r="G6" s="17"/>
      <c r="H6" s="14"/>
      <c r="I6" s="17"/>
      <c r="J6" s="16"/>
      <c r="K6" s="17"/>
      <c r="L6" s="16"/>
      <c r="N6" s="1"/>
      <c r="O6" s="42"/>
      <c r="T6" s="6"/>
      <c r="U6" s="42"/>
    </row>
    <row r="7">
      <c r="A7" s="16" t="str">
        <f t="shared" si="1"/>
        <v>2250004</v>
      </c>
      <c r="B7" s="43" t="s">
        <v>1233</v>
      </c>
      <c r="C7" s="14" t="s">
        <v>1084</v>
      </c>
      <c r="D7" s="18" t="s">
        <v>1085</v>
      </c>
      <c r="E7" s="44">
        <v>45889.557233796295</v>
      </c>
      <c r="F7" s="45">
        <v>45862.0</v>
      </c>
      <c r="G7" s="17"/>
      <c r="H7" s="14"/>
      <c r="I7" s="17"/>
      <c r="J7" s="16"/>
      <c r="K7" s="17"/>
      <c r="L7" s="17"/>
      <c r="N7" s="1"/>
      <c r="O7" s="42"/>
      <c r="T7" s="6"/>
      <c r="U7" s="42"/>
    </row>
    <row r="8">
      <c r="A8" s="16" t="str">
        <f t="shared" si="1"/>
        <v>2250007</v>
      </c>
      <c r="B8" s="43" t="s">
        <v>1236</v>
      </c>
      <c r="C8" s="14" t="s">
        <v>1237</v>
      </c>
      <c r="D8" s="18" t="s">
        <v>1238</v>
      </c>
      <c r="E8" s="44">
        <v>45901.84395833333</v>
      </c>
      <c r="F8" s="45">
        <v>45863.0</v>
      </c>
      <c r="G8" s="17"/>
      <c r="H8" s="14"/>
      <c r="I8" s="17"/>
      <c r="J8" s="16"/>
      <c r="K8" s="17"/>
      <c r="L8" s="16"/>
      <c r="N8" s="1"/>
      <c r="O8" s="46"/>
      <c r="T8" s="6"/>
      <c r="U8" s="42"/>
    </row>
    <row r="9">
      <c r="A9" s="16" t="str">
        <f t="shared" si="1"/>
        <v>2250007</v>
      </c>
      <c r="B9" s="43" t="s">
        <v>1265</v>
      </c>
      <c r="C9" s="14" t="s">
        <v>1237</v>
      </c>
      <c r="D9" s="18" t="s">
        <v>1238</v>
      </c>
      <c r="E9" s="44">
        <v>45901.84395833333</v>
      </c>
      <c r="F9" s="45">
        <v>45869.0</v>
      </c>
      <c r="G9" s="17"/>
      <c r="H9" s="14"/>
      <c r="I9" s="17"/>
      <c r="J9" s="16"/>
      <c r="K9" s="17"/>
      <c r="L9" s="17"/>
      <c r="N9" s="1"/>
      <c r="O9" s="46"/>
      <c r="T9" s="6"/>
      <c r="U9" s="42"/>
    </row>
    <row r="10">
      <c r="A10" s="16" t="str">
        <f t="shared" si="1"/>
        <v>2250009</v>
      </c>
      <c r="B10" s="43" t="s">
        <v>1013</v>
      </c>
      <c r="C10" s="14" t="s">
        <v>1014</v>
      </c>
      <c r="D10" s="18" t="s">
        <v>1015</v>
      </c>
      <c r="E10" s="44">
        <v>45889.57982638889</v>
      </c>
      <c r="F10" s="45">
        <v>45810.0</v>
      </c>
      <c r="G10" s="17"/>
      <c r="H10" s="14"/>
      <c r="I10" s="17"/>
      <c r="J10" s="16"/>
      <c r="K10" s="17"/>
      <c r="L10" s="17"/>
      <c r="N10" s="1"/>
      <c r="O10" s="46"/>
      <c r="T10" s="6"/>
      <c r="U10" s="46"/>
    </row>
    <row r="11">
      <c r="A11" s="16" t="str">
        <f t="shared" si="1"/>
        <v>2250010</v>
      </c>
      <c r="B11" s="43" t="s">
        <v>1259</v>
      </c>
      <c r="C11" s="14" t="s">
        <v>464</v>
      </c>
      <c r="D11" s="18" t="s">
        <v>465</v>
      </c>
      <c r="E11" s="44">
        <v>45891.48484953704</v>
      </c>
      <c r="F11" s="45">
        <v>45868.0</v>
      </c>
      <c r="G11" s="17"/>
      <c r="H11" s="14"/>
      <c r="I11" s="17"/>
      <c r="J11" s="16"/>
      <c r="K11" s="17"/>
      <c r="L11" s="16"/>
      <c r="N11" s="1"/>
      <c r="O11" s="42"/>
      <c r="T11" s="6"/>
      <c r="U11" s="46"/>
    </row>
    <row r="12">
      <c r="A12" s="16" t="str">
        <f t="shared" si="1"/>
        <v>2250011</v>
      </c>
      <c r="B12" s="43" t="s">
        <v>1288</v>
      </c>
      <c r="C12" s="14" t="s">
        <v>464</v>
      </c>
      <c r="D12" s="18" t="s">
        <v>465</v>
      </c>
      <c r="E12" s="44">
        <v>45891.47793981482</v>
      </c>
      <c r="F12" s="45">
        <v>45876.0</v>
      </c>
      <c r="G12" s="17"/>
      <c r="H12" s="14"/>
      <c r="I12" s="17"/>
      <c r="J12" s="16"/>
      <c r="K12" s="17"/>
      <c r="L12" s="18"/>
      <c r="N12" s="1"/>
      <c r="O12" s="42"/>
      <c r="T12" s="6"/>
      <c r="U12" s="42"/>
    </row>
    <row r="13">
      <c r="A13" s="16" t="str">
        <f t="shared" si="1"/>
        <v>2250010</v>
      </c>
      <c r="B13" s="43" t="s">
        <v>1334</v>
      </c>
      <c r="C13" s="14" t="s">
        <v>464</v>
      </c>
      <c r="D13" s="18" t="s">
        <v>465</v>
      </c>
      <c r="E13" s="44">
        <v>45891.48484953704</v>
      </c>
      <c r="F13" s="45">
        <v>45888.0</v>
      </c>
      <c r="G13" s="17"/>
      <c r="H13" s="14"/>
      <c r="I13" s="17"/>
      <c r="J13" s="16"/>
      <c r="K13" s="17"/>
      <c r="L13" s="17"/>
      <c r="N13" s="1"/>
      <c r="O13" s="42"/>
      <c r="T13" s="6"/>
      <c r="U13" s="42"/>
    </row>
    <row r="14">
      <c r="A14" s="16" t="str">
        <f t="shared" si="1"/>
        <v>2250010</v>
      </c>
      <c r="B14" s="43" t="s">
        <v>1277</v>
      </c>
      <c r="C14" s="14" t="s">
        <v>464</v>
      </c>
      <c r="D14" s="18" t="s">
        <v>465</v>
      </c>
      <c r="E14" s="44">
        <v>45891.48484953704</v>
      </c>
      <c r="F14" s="45">
        <v>45874.0</v>
      </c>
      <c r="G14" s="17"/>
      <c r="H14" s="14"/>
      <c r="I14" s="17"/>
      <c r="J14" s="16"/>
      <c r="K14" s="17"/>
      <c r="L14" s="17"/>
      <c r="N14" s="1"/>
      <c r="O14" s="42"/>
      <c r="T14" s="6"/>
      <c r="U14" s="42"/>
    </row>
    <row r="15">
      <c r="A15" s="16" t="str">
        <f t="shared" si="1"/>
        <v>2250010</v>
      </c>
      <c r="B15" s="43" t="s">
        <v>1348</v>
      </c>
      <c r="C15" s="14" t="s">
        <v>464</v>
      </c>
      <c r="D15" s="18" t="s">
        <v>465</v>
      </c>
      <c r="E15" s="44">
        <v>45891.48484953704</v>
      </c>
      <c r="F15" s="45">
        <v>45891.0</v>
      </c>
      <c r="G15" s="17"/>
      <c r="H15" s="17"/>
      <c r="I15" s="17"/>
      <c r="J15" s="16"/>
      <c r="K15" s="17"/>
      <c r="L15" s="18"/>
      <c r="N15" s="1"/>
      <c r="O15" s="42"/>
      <c r="T15" s="6"/>
      <c r="U15" s="42"/>
    </row>
    <row r="16">
      <c r="A16" s="16" t="str">
        <f t="shared" si="1"/>
        <v>2250015</v>
      </c>
      <c r="B16" s="43" t="s">
        <v>1270</v>
      </c>
      <c r="C16" s="14" t="s">
        <v>45</v>
      </c>
      <c r="D16" s="18" t="s">
        <v>46</v>
      </c>
      <c r="E16" s="44">
        <v>45895.51002314815</v>
      </c>
      <c r="F16" s="45">
        <v>45873.0</v>
      </c>
      <c r="G16" s="17"/>
      <c r="H16" s="17"/>
      <c r="I16" s="17"/>
      <c r="J16" s="16"/>
      <c r="K16" s="17"/>
      <c r="L16" s="17"/>
      <c r="N16" s="1"/>
      <c r="O16" s="42"/>
      <c r="T16" s="6"/>
      <c r="U16" s="42"/>
    </row>
    <row r="17">
      <c r="A17" s="16" t="str">
        <f t="shared" si="1"/>
        <v>2250016</v>
      </c>
      <c r="B17" s="43" t="s">
        <v>1319</v>
      </c>
      <c r="C17" s="14" t="s">
        <v>45</v>
      </c>
      <c r="D17" s="18" t="s">
        <v>46</v>
      </c>
      <c r="E17" s="44">
        <v>45895.510104166664</v>
      </c>
      <c r="F17" s="45">
        <v>45882.0</v>
      </c>
      <c r="G17" s="17"/>
      <c r="H17" s="17"/>
      <c r="I17" s="17"/>
      <c r="J17" s="16"/>
      <c r="K17" s="17"/>
      <c r="L17" s="18"/>
      <c r="N17" s="1"/>
      <c r="O17" s="42"/>
      <c r="T17" s="6"/>
      <c r="U17" s="42"/>
    </row>
    <row r="18">
      <c r="A18" s="16" t="str">
        <f t="shared" si="1"/>
        <v>2250017</v>
      </c>
      <c r="B18" s="43" t="s">
        <v>1329</v>
      </c>
      <c r="C18" s="14" t="s">
        <v>45</v>
      </c>
      <c r="D18" s="18" t="s">
        <v>46</v>
      </c>
      <c r="E18" s="44">
        <v>45901.83283564815</v>
      </c>
      <c r="F18" s="45">
        <v>45885.0</v>
      </c>
      <c r="G18" s="17"/>
      <c r="H18" s="17"/>
      <c r="I18" s="17"/>
      <c r="J18" s="16"/>
      <c r="K18" s="17"/>
      <c r="L18" s="17"/>
      <c r="N18" s="1"/>
      <c r="O18" s="42"/>
      <c r="T18" s="6"/>
      <c r="U18" s="47"/>
    </row>
    <row r="19">
      <c r="A19" s="16" t="str">
        <f t="shared" si="1"/>
        <v>2250018</v>
      </c>
      <c r="B19" s="43" t="s">
        <v>1318</v>
      </c>
      <c r="C19" s="14" t="s">
        <v>1203</v>
      </c>
      <c r="D19" s="18" t="s">
        <v>1204</v>
      </c>
      <c r="E19" s="44">
        <v>45960.46934027778</v>
      </c>
      <c r="F19" s="45">
        <v>45882.0</v>
      </c>
      <c r="G19" s="17"/>
      <c r="H19" s="14"/>
      <c r="I19" s="17"/>
      <c r="J19" s="16"/>
      <c r="K19" s="17"/>
      <c r="L19" s="16"/>
      <c r="N19" s="1"/>
      <c r="O19" s="42"/>
      <c r="T19" s="6"/>
      <c r="U19" s="42"/>
    </row>
    <row r="20">
      <c r="A20" s="16" t="str">
        <f t="shared" si="1"/>
        <v>2250018</v>
      </c>
      <c r="B20" s="43" t="s">
        <v>1361</v>
      </c>
      <c r="C20" s="14" t="s">
        <v>1203</v>
      </c>
      <c r="D20" s="18" t="s">
        <v>1204</v>
      </c>
      <c r="E20" s="44">
        <v>45960.46934027778</v>
      </c>
      <c r="F20" s="45">
        <v>45894.0</v>
      </c>
      <c r="G20" s="17"/>
      <c r="H20" s="14"/>
      <c r="I20" s="17"/>
      <c r="J20" s="16"/>
      <c r="K20" s="17"/>
      <c r="L20" s="17"/>
      <c r="N20" s="1"/>
      <c r="O20" s="42"/>
      <c r="T20" s="6"/>
      <c r="U20" s="42"/>
    </row>
    <row r="21">
      <c r="A21" s="16" t="str">
        <f t="shared" si="1"/>
        <v>2250020</v>
      </c>
      <c r="B21" s="43" t="s">
        <v>1273</v>
      </c>
      <c r="C21" s="14" t="s">
        <v>1084</v>
      </c>
      <c r="D21" s="18" t="s">
        <v>1085</v>
      </c>
      <c r="E21" s="44">
        <v>45901.77443287037</v>
      </c>
      <c r="F21" s="45">
        <v>45873.0</v>
      </c>
      <c r="G21" s="17"/>
      <c r="H21" s="14"/>
      <c r="I21" s="17"/>
      <c r="J21" s="16"/>
      <c r="K21" s="17"/>
      <c r="L21" s="17"/>
      <c r="N21" s="1"/>
      <c r="O21" s="42"/>
      <c r="T21" s="6"/>
      <c r="U21" s="42"/>
    </row>
    <row r="22">
      <c r="A22" s="16" t="str">
        <f t="shared" si="1"/>
        <v>2250020</v>
      </c>
      <c r="B22" s="43" t="s">
        <v>1313</v>
      </c>
      <c r="C22" s="14" t="s">
        <v>1084</v>
      </c>
      <c r="D22" s="18" t="s">
        <v>1085</v>
      </c>
      <c r="E22" s="44">
        <v>45901.77443287037</v>
      </c>
      <c r="F22" s="45">
        <v>45880.0</v>
      </c>
      <c r="G22" s="17"/>
      <c r="H22" s="14"/>
      <c r="I22" s="17"/>
      <c r="J22" s="16"/>
      <c r="K22" s="17"/>
      <c r="L22" s="16"/>
      <c r="N22" s="1"/>
      <c r="O22" s="42"/>
    </row>
    <row r="23">
      <c r="A23" s="16" t="str">
        <f t="shared" si="1"/>
        <v>2250020</v>
      </c>
      <c r="B23" s="43" t="s">
        <v>1380</v>
      </c>
      <c r="C23" s="14" t="s">
        <v>1084</v>
      </c>
      <c r="D23" s="18" t="s">
        <v>1085</v>
      </c>
      <c r="E23" s="44">
        <v>45901.77443287037</v>
      </c>
      <c r="F23" s="45">
        <v>45897.0</v>
      </c>
      <c r="G23" s="17"/>
      <c r="H23" s="14"/>
      <c r="I23" s="17"/>
      <c r="J23" s="16"/>
      <c r="K23" s="17"/>
      <c r="L23" s="16"/>
      <c r="N23" s="1"/>
      <c r="O23" s="42"/>
    </row>
    <row r="24">
      <c r="A24" s="16" t="str">
        <f t="shared" si="1"/>
        <v>2250020</v>
      </c>
      <c r="B24" s="43" t="s">
        <v>1332</v>
      </c>
      <c r="C24" s="14" t="s">
        <v>1084</v>
      </c>
      <c r="D24" s="18" t="s">
        <v>1085</v>
      </c>
      <c r="E24" s="44">
        <v>45901.77443287037</v>
      </c>
      <c r="F24" s="45">
        <v>45888.0</v>
      </c>
      <c r="G24" s="17"/>
      <c r="H24" s="14"/>
      <c r="I24" s="17"/>
      <c r="J24" s="16"/>
      <c r="K24" s="17"/>
      <c r="L24" s="16"/>
      <c r="N24" s="1"/>
      <c r="O24" s="42"/>
    </row>
    <row r="25">
      <c r="A25" s="16" t="str">
        <f t="shared" si="1"/>
        <v>2250017</v>
      </c>
      <c r="B25" s="43" t="s">
        <v>1345</v>
      </c>
      <c r="C25" s="14" t="s">
        <v>45</v>
      </c>
      <c r="D25" s="18" t="s">
        <v>46</v>
      </c>
      <c r="E25" s="44">
        <v>45901.83283564815</v>
      </c>
      <c r="F25" s="45">
        <v>45890.0</v>
      </c>
      <c r="G25" s="17"/>
      <c r="H25" s="14"/>
      <c r="I25" s="17"/>
      <c r="J25" s="16"/>
      <c r="K25" s="17"/>
      <c r="L25" s="17"/>
      <c r="N25" s="1"/>
      <c r="O25" s="42"/>
    </row>
    <row r="26">
      <c r="A26" s="16" t="str">
        <f t="shared" si="1"/>
        <v>2250025</v>
      </c>
      <c r="B26" s="43" t="s">
        <v>1359</v>
      </c>
      <c r="C26" s="14" t="s">
        <v>45</v>
      </c>
      <c r="D26" s="18" t="s">
        <v>46</v>
      </c>
      <c r="E26" s="44">
        <v>45901.827002314814</v>
      </c>
      <c r="F26" s="45">
        <v>45894.0</v>
      </c>
      <c r="G26" s="17"/>
      <c r="H26" s="17"/>
      <c r="I26" s="17"/>
      <c r="J26" s="16"/>
      <c r="K26" s="17"/>
      <c r="L26" s="16"/>
      <c r="N26" s="1"/>
      <c r="O26" s="42"/>
    </row>
    <row r="27">
      <c r="A27" s="16" t="str">
        <f t="shared" si="1"/>
        <v>2250025</v>
      </c>
      <c r="B27" s="43" t="s">
        <v>1363</v>
      </c>
      <c r="C27" s="14" t="s">
        <v>45</v>
      </c>
      <c r="D27" s="18" t="s">
        <v>46</v>
      </c>
      <c r="E27" s="44">
        <v>45901.827002314814</v>
      </c>
      <c r="F27" s="45">
        <v>45895.0</v>
      </c>
      <c r="G27" s="17"/>
      <c r="H27" s="14"/>
      <c r="I27" s="17"/>
      <c r="J27" s="16"/>
      <c r="K27" s="17"/>
      <c r="L27" s="16"/>
      <c r="N27" s="1"/>
      <c r="O27" s="42"/>
    </row>
    <row r="28">
      <c r="A28" s="16" t="str">
        <f t="shared" si="1"/>
        <v>2250027</v>
      </c>
      <c r="B28" s="43" t="s">
        <v>1379</v>
      </c>
      <c r="C28" s="14" t="s">
        <v>45</v>
      </c>
      <c r="D28" s="18" t="s">
        <v>46</v>
      </c>
      <c r="E28" s="44">
        <v>45901.82925925926</v>
      </c>
      <c r="F28" s="45">
        <v>45897.0</v>
      </c>
      <c r="G28" s="17"/>
      <c r="H28" s="14"/>
      <c r="I28" s="17"/>
      <c r="J28" s="16"/>
      <c r="K28" s="17"/>
      <c r="L28" s="16"/>
      <c r="N28" s="1"/>
      <c r="O28" s="42"/>
    </row>
    <row r="29">
      <c r="A29" s="16" t="str">
        <f t="shared" si="1"/>
        <v>2250027</v>
      </c>
      <c r="B29" s="43" t="s">
        <v>1392</v>
      </c>
      <c r="C29" s="14" t="s">
        <v>45</v>
      </c>
      <c r="D29" s="18" t="s">
        <v>46</v>
      </c>
      <c r="E29" s="44">
        <v>45901.82925925926</v>
      </c>
      <c r="F29" s="45">
        <v>45899.0</v>
      </c>
      <c r="G29" s="17"/>
      <c r="H29" s="14"/>
      <c r="I29" s="17"/>
      <c r="J29" s="16"/>
      <c r="K29" s="17"/>
      <c r="L29" s="17"/>
      <c r="N29" s="1"/>
      <c r="O29" s="42"/>
    </row>
    <row r="30">
      <c r="A30" s="16" t="str">
        <f t="shared" si="1"/>
        <v>2250029</v>
      </c>
      <c r="B30" s="43" t="s">
        <v>1133</v>
      </c>
      <c r="C30" s="14" t="s">
        <v>169</v>
      </c>
      <c r="D30" s="18" t="s">
        <v>170</v>
      </c>
      <c r="E30" s="44">
        <v>45901.848275462966</v>
      </c>
      <c r="F30" s="45">
        <v>45840.0</v>
      </c>
      <c r="G30" s="17"/>
      <c r="H30" s="14"/>
      <c r="I30" s="17"/>
      <c r="J30" s="16"/>
      <c r="K30" s="17"/>
      <c r="L30" s="16"/>
      <c r="N30" s="1"/>
      <c r="O30" s="42"/>
    </row>
    <row r="31">
      <c r="A31" s="16" t="str">
        <f t="shared" si="1"/>
        <v>2250029</v>
      </c>
      <c r="B31" s="43" t="s">
        <v>1285</v>
      </c>
      <c r="C31" s="14" t="s">
        <v>169</v>
      </c>
      <c r="D31" s="18" t="s">
        <v>170</v>
      </c>
      <c r="E31" s="44">
        <v>45901.848275462966</v>
      </c>
      <c r="F31" s="45">
        <v>45875.0</v>
      </c>
      <c r="G31" s="17"/>
      <c r="H31" s="14"/>
      <c r="I31" s="17"/>
      <c r="J31" s="16"/>
      <c r="K31" s="17"/>
      <c r="L31" s="16"/>
      <c r="N31" s="1"/>
      <c r="O31" s="42"/>
    </row>
    <row r="32">
      <c r="A32" s="16" t="str">
        <f t="shared" si="1"/>
        <v>2250029</v>
      </c>
      <c r="B32" s="43" t="s">
        <v>1333</v>
      </c>
      <c r="C32" s="14" t="s">
        <v>169</v>
      </c>
      <c r="D32" s="18" t="s">
        <v>170</v>
      </c>
      <c r="E32" s="44">
        <v>45901.848275462966</v>
      </c>
      <c r="F32" s="45">
        <v>45888.0</v>
      </c>
      <c r="G32" s="17"/>
      <c r="H32" s="14"/>
      <c r="I32" s="17"/>
      <c r="J32" s="16"/>
      <c r="K32" s="17"/>
      <c r="L32" s="16"/>
      <c r="N32" s="1"/>
      <c r="O32" s="42"/>
    </row>
    <row r="33">
      <c r="A33" s="16" t="str">
        <f t="shared" si="1"/>
        <v>2250029</v>
      </c>
      <c r="B33" s="43" t="s">
        <v>1382</v>
      </c>
      <c r="C33" s="14" t="s">
        <v>169</v>
      </c>
      <c r="D33" s="18" t="s">
        <v>170</v>
      </c>
      <c r="E33" s="44">
        <v>45901.848275462966</v>
      </c>
      <c r="F33" s="45">
        <v>45897.0</v>
      </c>
      <c r="G33" s="17"/>
      <c r="H33" s="14"/>
      <c r="I33" s="17"/>
      <c r="J33" s="16"/>
      <c r="K33" s="17"/>
      <c r="L33" s="17"/>
      <c r="N33" s="1"/>
      <c r="O33" s="46"/>
    </row>
    <row r="34">
      <c r="A34" s="16" t="str">
        <f t="shared" si="1"/>
        <v>2250033</v>
      </c>
      <c r="B34" s="43" t="s">
        <v>1227</v>
      </c>
      <c r="C34" s="14" t="s">
        <v>1228</v>
      </c>
      <c r="D34" s="18" t="s">
        <v>1229</v>
      </c>
      <c r="E34" s="44">
        <v>45906.546215277776</v>
      </c>
      <c r="F34" s="45">
        <v>45861.0</v>
      </c>
      <c r="G34" s="17"/>
      <c r="H34" s="14"/>
      <c r="I34" s="17"/>
      <c r="J34" s="16"/>
      <c r="K34" s="17"/>
      <c r="L34" s="17"/>
      <c r="N34" s="1"/>
      <c r="O34" s="46"/>
    </row>
    <row r="35">
      <c r="A35" s="16" t="str">
        <f t="shared" si="1"/>
        <v>2250033</v>
      </c>
      <c r="B35" s="43" t="s">
        <v>1436</v>
      </c>
      <c r="C35" s="14" t="s">
        <v>1228</v>
      </c>
      <c r="D35" s="18" t="s">
        <v>1229</v>
      </c>
      <c r="E35" s="44">
        <v>45906.546215277776</v>
      </c>
      <c r="F35" s="45">
        <v>45861.0</v>
      </c>
      <c r="G35" s="17"/>
      <c r="H35" s="14"/>
      <c r="I35" s="17"/>
      <c r="J35" s="16"/>
      <c r="K35" s="17"/>
      <c r="L35" s="17"/>
      <c r="N35" s="1"/>
      <c r="O35" s="46"/>
    </row>
    <row r="36">
      <c r="A36" s="16" t="str">
        <f t="shared" si="1"/>
        <v>2250018</v>
      </c>
      <c r="B36" s="43" t="s">
        <v>1420</v>
      </c>
      <c r="C36" s="14" t="s">
        <v>1203</v>
      </c>
      <c r="D36" s="18" t="s">
        <v>1204</v>
      </c>
      <c r="E36" s="44">
        <v>45960.46934027778</v>
      </c>
      <c r="F36" s="45">
        <v>45903.0</v>
      </c>
      <c r="G36" s="17"/>
      <c r="H36" s="14"/>
      <c r="I36" s="17"/>
      <c r="J36" s="16"/>
      <c r="K36" s="17"/>
      <c r="L36" s="17"/>
      <c r="N36" s="1"/>
      <c r="O36" s="46"/>
    </row>
    <row r="37">
      <c r="A37" s="16" t="str">
        <f t="shared" si="1"/>
        <v>2250036</v>
      </c>
      <c r="B37" s="43" t="s">
        <v>1417</v>
      </c>
      <c r="C37" s="14" t="s">
        <v>45</v>
      </c>
      <c r="D37" s="18" t="s">
        <v>46</v>
      </c>
      <c r="E37" s="44">
        <v>45917.50325231482</v>
      </c>
      <c r="F37" s="45">
        <v>45902.0</v>
      </c>
      <c r="G37" s="17"/>
      <c r="H37" s="14"/>
      <c r="I37" s="17"/>
      <c r="J37" s="16"/>
      <c r="K37" s="17"/>
      <c r="L37" s="17"/>
      <c r="N37" s="1"/>
      <c r="O37" s="46"/>
    </row>
    <row r="38">
      <c r="A38" s="16" t="str">
        <f t="shared" si="1"/>
        <v>2250036</v>
      </c>
      <c r="B38" s="43" t="s">
        <v>1448</v>
      </c>
      <c r="C38" s="14" t="s">
        <v>45</v>
      </c>
      <c r="D38" s="18" t="s">
        <v>46</v>
      </c>
      <c r="E38" s="44">
        <v>45917.50325231482</v>
      </c>
      <c r="F38" s="45">
        <v>45909.0</v>
      </c>
      <c r="G38" s="17"/>
      <c r="H38" s="14"/>
      <c r="I38" s="17"/>
      <c r="J38" s="16"/>
      <c r="K38" s="17"/>
      <c r="L38" s="17"/>
      <c r="N38" s="1"/>
      <c r="O38" s="46"/>
    </row>
    <row r="39">
      <c r="A39" s="16" t="str">
        <f t="shared" si="1"/>
        <v>2250038</v>
      </c>
      <c r="B39" s="43" t="s">
        <v>1453</v>
      </c>
      <c r="C39" s="14" t="s">
        <v>45</v>
      </c>
      <c r="D39" s="18" t="s">
        <v>46</v>
      </c>
      <c r="E39" s="44">
        <v>45917.503541666665</v>
      </c>
      <c r="F39" s="45">
        <v>45911.0</v>
      </c>
      <c r="G39" s="17"/>
      <c r="H39" s="14"/>
      <c r="I39" s="17"/>
      <c r="J39" s="16"/>
      <c r="K39" s="17"/>
      <c r="L39" s="16"/>
      <c r="N39" s="1"/>
      <c r="O39" s="46"/>
    </row>
    <row r="40">
      <c r="A40" s="16" t="str">
        <f t="shared" si="1"/>
        <v>2250038</v>
      </c>
      <c r="B40" s="43" t="s">
        <v>1469</v>
      </c>
      <c r="C40" s="14" t="s">
        <v>45</v>
      </c>
      <c r="D40" s="18" t="s">
        <v>46</v>
      </c>
      <c r="E40" s="44">
        <v>45917.503541666665</v>
      </c>
      <c r="F40" s="45">
        <v>45913.0</v>
      </c>
      <c r="G40" s="17"/>
      <c r="H40" s="14"/>
      <c r="I40" s="17"/>
      <c r="J40" s="16"/>
      <c r="K40" s="17"/>
      <c r="L40" s="16"/>
      <c r="N40" s="1"/>
      <c r="O40" s="42"/>
    </row>
    <row r="41">
      <c r="A41" s="16" t="str">
        <f t="shared" si="1"/>
        <v>2250038</v>
      </c>
      <c r="B41" s="43" t="s">
        <v>1483</v>
      </c>
      <c r="C41" s="14" t="s">
        <v>45</v>
      </c>
      <c r="D41" s="18" t="s">
        <v>46</v>
      </c>
      <c r="E41" s="44">
        <v>45917.503541666665</v>
      </c>
      <c r="F41" s="45">
        <v>45915.0</v>
      </c>
      <c r="G41" s="17"/>
      <c r="H41" s="17"/>
      <c r="I41" s="17"/>
      <c r="J41" s="16"/>
      <c r="K41" s="17"/>
      <c r="L41" s="16"/>
      <c r="N41" s="1"/>
      <c r="O41" s="42"/>
    </row>
    <row r="42">
      <c r="A42" s="16" t="str">
        <f t="shared" si="1"/>
        <v>2250038</v>
      </c>
      <c r="B42" s="43" t="s">
        <v>1485</v>
      </c>
      <c r="C42" s="14" t="s">
        <v>45</v>
      </c>
      <c r="D42" s="18" t="s">
        <v>46</v>
      </c>
      <c r="E42" s="44">
        <v>45917.503541666665</v>
      </c>
      <c r="F42" s="45">
        <v>45916.0</v>
      </c>
      <c r="G42" s="17"/>
      <c r="H42" s="17"/>
      <c r="I42" s="17"/>
      <c r="J42" s="16"/>
      <c r="K42" s="17"/>
      <c r="L42" s="17"/>
      <c r="N42" s="1"/>
      <c r="O42" s="42"/>
    </row>
    <row r="43">
      <c r="A43" s="16" t="str">
        <f t="shared" si="1"/>
        <v>2250042</v>
      </c>
      <c r="B43" s="43" t="s">
        <v>1213</v>
      </c>
      <c r="C43" s="14" t="s">
        <v>685</v>
      </c>
      <c r="D43" s="18" t="s">
        <v>686</v>
      </c>
      <c r="E43" s="44">
        <v>45917.558275462965</v>
      </c>
      <c r="F43" s="45">
        <v>45859.0</v>
      </c>
      <c r="G43" s="17"/>
      <c r="H43" s="14"/>
      <c r="I43" s="17"/>
      <c r="J43" s="16"/>
      <c r="K43" s="17"/>
      <c r="L43" s="17"/>
      <c r="N43" s="1"/>
      <c r="O43" s="42"/>
    </row>
    <row r="44">
      <c r="A44" s="16" t="str">
        <f t="shared" si="1"/>
        <v>2250042</v>
      </c>
      <c r="B44" s="43" t="s">
        <v>1306</v>
      </c>
      <c r="C44" s="14" t="s">
        <v>685</v>
      </c>
      <c r="D44" s="18" t="s">
        <v>686</v>
      </c>
      <c r="E44" s="44">
        <v>45917.558275462965</v>
      </c>
      <c r="F44" s="45">
        <v>45880.0</v>
      </c>
      <c r="G44" s="17"/>
      <c r="H44" s="14"/>
      <c r="I44" s="17"/>
      <c r="J44" s="16"/>
      <c r="K44" s="17"/>
      <c r="L44" s="17"/>
      <c r="N44" s="1"/>
      <c r="O44" s="42"/>
    </row>
    <row r="45">
      <c r="A45" s="16" t="str">
        <f t="shared" si="1"/>
        <v>2250042</v>
      </c>
      <c r="B45" s="43" t="s">
        <v>1336</v>
      </c>
      <c r="C45" s="14" t="s">
        <v>685</v>
      </c>
      <c r="D45" s="18" t="s">
        <v>686</v>
      </c>
      <c r="E45" s="44">
        <v>45917.558275462965</v>
      </c>
      <c r="F45" s="45">
        <v>45888.0</v>
      </c>
      <c r="G45" s="17"/>
      <c r="H45" s="14"/>
      <c r="I45" s="17"/>
      <c r="J45" s="16"/>
      <c r="K45" s="17"/>
      <c r="L45" s="17"/>
      <c r="N45" s="1"/>
      <c r="O45" s="42"/>
    </row>
    <row r="46">
      <c r="A46" s="16" t="str">
        <f t="shared" si="1"/>
        <v>2250045</v>
      </c>
      <c r="B46" s="43" t="s">
        <v>1455</v>
      </c>
      <c r="C46" s="14" t="s">
        <v>169</v>
      </c>
      <c r="D46" s="18" t="s">
        <v>170</v>
      </c>
      <c r="E46" s="44">
        <v>45926.399143518516</v>
      </c>
      <c r="F46" s="45">
        <v>45911.0</v>
      </c>
      <c r="G46" s="17"/>
      <c r="H46" s="14"/>
      <c r="I46" s="17"/>
      <c r="J46" s="16"/>
      <c r="K46" s="17"/>
      <c r="L46" s="16"/>
      <c r="N46" s="1"/>
      <c r="O46" s="42"/>
    </row>
    <row r="47">
      <c r="A47" s="16" t="str">
        <f t="shared" si="1"/>
        <v>2250045</v>
      </c>
      <c r="B47" s="43" t="s">
        <v>1544</v>
      </c>
      <c r="C47" s="14" t="s">
        <v>169</v>
      </c>
      <c r="D47" s="18" t="s">
        <v>170</v>
      </c>
      <c r="E47" s="44">
        <v>45926.399143518516</v>
      </c>
      <c r="F47" s="45">
        <v>45925.0</v>
      </c>
      <c r="G47" s="17"/>
      <c r="H47" s="14"/>
      <c r="I47" s="17"/>
      <c r="J47" s="16"/>
      <c r="K47" s="17"/>
      <c r="L47" s="17"/>
      <c r="N47" s="1"/>
      <c r="O47" s="42"/>
    </row>
    <row r="48">
      <c r="A48" s="16" t="str">
        <f t="shared" si="1"/>
        <v>2250047</v>
      </c>
      <c r="B48" s="43" t="s">
        <v>1514</v>
      </c>
      <c r="C48" s="14" t="s">
        <v>45</v>
      </c>
      <c r="D48" s="18" t="s">
        <v>46</v>
      </c>
      <c r="E48" s="44">
        <v>45938.56041666667</v>
      </c>
      <c r="F48" s="45">
        <v>45922.0</v>
      </c>
      <c r="G48" s="17"/>
      <c r="H48" s="14"/>
      <c r="I48" s="17"/>
      <c r="J48" s="16"/>
      <c r="K48" s="17"/>
      <c r="L48" s="17"/>
      <c r="N48" s="1"/>
      <c r="O48" s="42"/>
    </row>
    <row r="49">
      <c r="A49" s="16" t="str">
        <f t="shared" si="1"/>
        <v>2250047</v>
      </c>
      <c r="B49" s="43" t="s">
        <v>1536</v>
      </c>
      <c r="C49" s="14" t="s">
        <v>45</v>
      </c>
      <c r="D49" s="18" t="s">
        <v>46</v>
      </c>
      <c r="E49" s="44">
        <v>45938.56041666667</v>
      </c>
      <c r="F49" s="45">
        <v>45924.0</v>
      </c>
      <c r="G49" s="17"/>
      <c r="H49" s="14"/>
      <c r="I49" s="17"/>
      <c r="J49" s="16"/>
      <c r="K49" s="17"/>
      <c r="L49" s="16"/>
      <c r="N49" s="1"/>
      <c r="O49" s="42"/>
    </row>
    <row r="50">
      <c r="A50" s="16" t="str">
        <f t="shared" si="1"/>
        <v>2250049</v>
      </c>
      <c r="B50" s="43" t="s">
        <v>1553</v>
      </c>
      <c r="C50" s="14" t="s">
        <v>45</v>
      </c>
      <c r="D50" s="18" t="s">
        <v>46</v>
      </c>
      <c r="E50" s="44">
        <v>45938.56055555555</v>
      </c>
      <c r="F50" s="45">
        <v>45927.0</v>
      </c>
      <c r="G50" s="17"/>
      <c r="H50" s="14"/>
      <c r="I50" s="17"/>
      <c r="J50" s="16"/>
      <c r="K50" s="17"/>
      <c r="L50" s="16"/>
      <c r="N50" s="1"/>
      <c r="O50" s="42"/>
    </row>
    <row r="51">
      <c r="A51" s="16" t="str">
        <f t="shared" si="1"/>
        <v>2250049</v>
      </c>
      <c r="B51" s="43" t="s">
        <v>1581</v>
      </c>
      <c r="C51" s="14" t="s">
        <v>45</v>
      </c>
      <c r="D51" s="18" t="s">
        <v>46</v>
      </c>
      <c r="E51" s="44">
        <v>45938.56055555555</v>
      </c>
      <c r="F51" s="45">
        <v>45930.0</v>
      </c>
      <c r="G51" s="17"/>
      <c r="H51" s="14"/>
      <c r="I51" s="17"/>
      <c r="J51" s="16"/>
      <c r="K51" s="17"/>
      <c r="L51" s="16"/>
      <c r="N51" s="1"/>
      <c r="O51" s="42"/>
    </row>
    <row r="52">
      <c r="A52" s="16" t="str">
        <f t="shared" si="1"/>
        <v>2250051</v>
      </c>
      <c r="B52" s="43" t="s">
        <v>1402</v>
      </c>
      <c r="C52" s="14" t="s">
        <v>1084</v>
      </c>
      <c r="D52" s="18" t="s">
        <v>1085</v>
      </c>
      <c r="E52" s="44">
        <v>45963.83846064815</v>
      </c>
      <c r="F52" s="45">
        <v>45901.0</v>
      </c>
      <c r="G52" s="17"/>
      <c r="H52" s="14"/>
      <c r="I52" s="17"/>
      <c r="J52" s="16"/>
      <c r="K52" s="17"/>
      <c r="L52" s="17"/>
      <c r="N52" s="1"/>
      <c r="O52" s="42"/>
    </row>
    <row r="53">
      <c r="A53" s="16" t="str">
        <f t="shared" si="1"/>
        <v>2250051</v>
      </c>
      <c r="B53" s="43" t="s">
        <v>1441</v>
      </c>
      <c r="C53" s="14" t="s">
        <v>1084</v>
      </c>
      <c r="D53" s="18" t="s">
        <v>1085</v>
      </c>
      <c r="E53" s="44">
        <v>45963.83846064815</v>
      </c>
      <c r="F53" s="45">
        <v>45908.0</v>
      </c>
      <c r="G53" s="17"/>
      <c r="H53" s="14"/>
      <c r="I53" s="17"/>
      <c r="J53" s="16"/>
      <c r="K53" s="17"/>
      <c r="L53" s="17"/>
      <c r="N53" s="1"/>
      <c r="O53" s="42"/>
    </row>
    <row r="54">
      <c r="A54" s="16" t="str">
        <f t="shared" si="1"/>
        <v>2250051</v>
      </c>
      <c r="B54" s="43" t="s">
        <v>1447</v>
      </c>
      <c r="C54" s="14" t="s">
        <v>1084</v>
      </c>
      <c r="D54" s="18" t="s">
        <v>1085</v>
      </c>
      <c r="E54" s="44">
        <v>45963.83846064815</v>
      </c>
      <c r="F54" s="45">
        <v>45909.0</v>
      </c>
      <c r="G54" s="17"/>
      <c r="H54" s="14"/>
      <c r="I54" s="17"/>
      <c r="J54" s="16"/>
      <c r="K54" s="17"/>
      <c r="L54" s="16"/>
      <c r="N54" s="1"/>
      <c r="O54" s="42"/>
    </row>
    <row r="55">
      <c r="A55" s="16" t="str">
        <f t="shared" si="1"/>
        <v>2250051</v>
      </c>
      <c r="B55" s="43" t="s">
        <v>1534</v>
      </c>
      <c r="C55" s="14" t="s">
        <v>1084</v>
      </c>
      <c r="D55" s="18" t="s">
        <v>1085</v>
      </c>
      <c r="E55" s="44">
        <v>45963.83846064815</v>
      </c>
      <c r="F55" s="45">
        <v>45924.0</v>
      </c>
      <c r="G55" s="17"/>
      <c r="H55" s="14"/>
      <c r="I55" s="17"/>
      <c r="J55" s="16"/>
      <c r="K55" s="17"/>
      <c r="L55" s="16"/>
      <c r="N55" s="1"/>
      <c r="O55" s="42"/>
    </row>
    <row r="56">
      <c r="A56" s="16" t="str">
        <f t="shared" si="1"/>
        <v>2250055</v>
      </c>
      <c r="B56" s="43" t="s">
        <v>1624</v>
      </c>
      <c r="C56" s="14" t="s">
        <v>45</v>
      </c>
      <c r="D56" s="18" t="s">
        <v>46</v>
      </c>
      <c r="E56" s="44">
        <v>45950.4672337963</v>
      </c>
      <c r="F56" s="45">
        <v>45936.0</v>
      </c>
      <c r="G56" s="17"/>
      <c r="H56" s="14"/>
      <c r="I56" s="17"/>
      <c r="J56" s="16"/>
      <c r="K56" s="17"/>
      <c r="L56" s="17"/>
      <c r="N56" s="1"/>
      <c r="O56" s="42"/>
    </row>
    <row r="57">
      <c r="A57" s="16" t="str">
        <f t="shared" si="1"/>
        <v>2250055</v>
      </c>
      <c r="B57" s="43" t="s">
        <v>1639</v>
      </c>
      <c r="C57" s="14" t="s">
        <v>45</v>
      </c>
      <c r="D57" s="18" t="s">
        <v>46</v>
      </c>
      <c r="E57" s="44">
        <v>45950.4672337963</v>
      </c>
      <c r="F57" s="45">
        <v>45938.0</v>
      </c>
      <c r="G57" s="17"/>
      <c r="H57" s="14"/>
      <c r="I57" s="17"/>
      <c r="J57" s="16"/>
      <c r="K57" s="17"/>
      <c r="L57" s="17"/>
      <c r="N57" s="1"/>
      <c r="O57" s="42"/>
    </row>
    <row r="58">
      <c r="A58" s="16" t="str">
        <f t="shared" si="1"/>
        <v>2250055</v>
      </c>
      <c r="B58" s="43" t="s">
        <v>1652</v>
      </c>
      <c r="C58" s="14" t="s">
        <v>45</v>
      </c>
      <c r="D58" s="18" t="s">
        <v>46</v>
      </c>
      <c r="E58" s="44">
        <v>45950.4672337963</v>
      </c>
      <c r="F58" s="45">
        <v>45941.0</v>
      </c>
      <c r="G58" s="17"/>
      <c r="H58" s="17"/>
      <c r="I58" s="17"/>
      <c r="J58" s="16"/>
      <c r="K58" s="17"/>
      <c r="L58" s="16"/>
      <c r="N58" s="1"/>
      <c r="O58" s="42"/>
    </row>
    <row r="59">
      <c r="A59" s="16" t="str">
        <f t="shared" si="1"/>
        <v>2250058</v>
      </c>
      <c r="B59" s="43" t="s">
        <v>1698</v>
      </c>
      <c r="C59" s="14" t="s">
        <v>45</v>
      </c>
      <c r="D59" s="18" t="s">
        <v>46</v>
      </c>
      <c r="E59" s="44">
        <v>45950.467361111114</v>
      </c>
      <c r="F59" s="45">
        <v>45947.0</v>
      </c>
      <c r="G59" s="17"/>
      <c r="H59" s="14"/>
      <c r="I59" s="17"/>
      <c r="J59" s="16"/>
      <c r="K59" s="17"/>
      <c r="L59" s="17"/>
      <c r="N59" s="1"/>
      <c r="O59" s="42"/>
    </row>
    <row r="60">
      <c r="A60" s="16" t="str">
        <f t="shared" si="1"/>
        <v>2250058</v>
      </c>
      <c r="B60" s="43" t="s">
        <v>1711</v>
      </c>
      <c r="C60" s="14" t="s">
        <v>45</v>
      </c>
      <c r="D60" s="18" t="s">
        <v>46</v>
      </c>
      <c r="E60" s="44">
        <v>45950.467361111114</v>
      </c>
      <c r="F60" s="45">
        <v>45948.0</v>
      </c>
      <c r="G60" s="17"/>
      <c r="H60" s="14"/>
      <c r="I60" s="17"/>
      <c r="J60" s="16"/>
      <c r="K60" s="17"/>
      <c r="L60" s="16"/>
      <c r="N60" s="1"/>
      <c r="O60" s="42"/>
    </row>
    <row r="61">
      <c r="A61" s="16" t="str">
        <f t="shared" si="1"/>
        <v>2250060</v>
      </c>
      <c r="B61" s="43" t="s">
        <v>1719</v>
      </c>
      <c r="C61" s="14" t="s">
        <v>1203</v>
      </c>
      <c r="D61" s="18" t="s">
        <v>1204</v>
      </c>
      <c r="E61" s="44">
        <v>45955.48163194444</v>
      </c>
      <c r="F61" s="45">
        <v>45950.0</v>
      </c>
      <c r="G61" s="17"/>
      <c r="H61" s="14"/>
      <c r="I61" s="17"/>
      <c r="J61" s="16"/>
      <c r="K61" s="17"/>
      <c r="L61" s="17"/>
      <c r="N61" s="1"/>
      <c r="O61" s="42"/>
    </row>
    <row r="62">
      <c r="A62" s="16" t="str">
        <f t="shared" si="1"/>
        <v>2250061</v>
      </c>
      <c r="B62" s="43" t="s">
        <v>1497</v>
      </c>
      <c r="C62" s="14" t="s">
        <v>20</v>
      </c>
      <c r="D62" s="18" t="s">
        <v>21</v>
      </c>
      <c r="E62" s="44">
        <v>45959.41265046296</v>
      </c>
      <c r="F62" s="45">
        <v>45918.0</v>
      </c>
      <c r="G62" s="17"/>
      <c r="H62" s="17"/>
      <c r="I62" s="17"/>
      <c r="J62" s="16"/>
      <c r="K62" s="17"/>
      <c r="L62" s="17"/>
      <c r="N62" s="1"/>
      <c r="O62" s="42"/>
    </row>
    <row r="63">
      <c r="A63" s="16" t="str">
        <f t="shared" si="1"/>
        <v>2250061</v>
      </c>
      <c r="B63" s="43" t="s">
        <v>1537</v>
      </c>
      <c r="C63" s="14" t="s">
        <v>20</v>
      </c>
      <c r="D63" s="18" t="s">
        <v>21</v>
      </c>
      <c r="E63" s="44">
        <v>45959.41265046296</v>
      </c>
      <c r="F63" s="45">
        <v>45924.0</v>
      </c>
      <c r="G63" s="17"/>
      <c r="H63" s="17"/>
      <c r="I63" s="17"/>
      <c r="J63" s="16"/>
      <c r="K63" s="17"/>
      <c r="L63" s="17"/>
      <c r="N63" s="1"/>
      <c r="O63" s="42"/>
    </row>
    <row r="64">
      <c r="A64" s="16" t="str">
        <f t="shared" si="1"/>
        <v>2250061</v>
      </c>
      <c r="B64" s="43" t="s">
        <v>1560</v>
      </c>
      <c r="C64" s="14" t="s">
        <v>20</v>
      </c>
      <c r="D64" s="18" t="s">
        <v>21</v>
      </c>
      <c r="E64" s="44">
        <v>45959.41265046296</v>
      </c>
      <c r="F64" s="45">
        <v>45927.0</v>
      </c>
      <c r="G64" s="17"/>
      <c r="H64" s="14"/>
      <c r="I64" s="17"/>
      <c r="J64" s="16"/>
      <c r="K64" s="17"/>
      <c r="L64" s="16"/>
      <c r="N64" s="1"/>
      <c r="O64" s="42"/>
    </row>
    <row r="65">
      <c r="A65" s="16" t="str">
        <f t="shared" si="1"/>
        <v>2250061</v>
      </c>
      <c r="B65" s="43" t="s">
        <v>1577</v>
      </c>
      <c r="C65" s="14" t="s">
        <v>20</v>
      </c>
      <c r="D65" s="18" t="s">
        <v>21</v>
      </c>
      <c r="E65" s="44">
        <v>45959.41265046296</v>
      </c>
      <c r="F65" s="45">
        <v>45930.0</v>
      </c>
      <c r="G65" s="17"/>
      <c r="H65" s="14"/>
      <c r="I65" s="17"/>
      <c r="J65" s="16"/>
      <c r="K65" s="17"/>
      <c r="L65" s="17"/>
      <c r="N65" s="1"/>
      <c r="O65" s="42"/>
    </row>
    <row r="66">
      <c r="A66" s="16" t="str">
        <f t="shared" si="1"/>
        <v>2250061</v>
      </c>
      <c r="B66" s="43" t="s">
        <v>1582</v>
      </c>
      <c r="C66" s="14" t="s">
        <v>20</v>
      </c>
      <c r="D66" s="18" t="s">
        <v>21</v>
      </c>
      <c r="E66" s="44">
        <v>45959.41265046296</v>
      </c>
      <c r="F66" s="45">
        <v>45930.0</v>
      </c>
      <c r="G66" s="17"/>
      <c r="H66" s="14"/>
      <c r="I66" s="17"/>
      <c r="J66" s="16"/>
      <c r="K66" s="17"/>
      <c r="L66" s="17"/>
      <c r="N66" s="1"/>
      <c r="O66" s="42"/>
    </row>
    <row r="67">
      <c r="A67" s="16" t="str">
        <f t="shared" si="1"/>
        <v>2250061</v>
      </c>
      <c r="B67" s="43" t="s">
        <v>1604</v>
      </c>
      <c r="C67" s="14" t="s">
        <v>20</v>
      </c>
      <c r="D67" s="18" t="s">
        <v>21</v>
      </c>
      <c r="E67" s="44">
        <v>45959.41265046296</v>
      </c>
      <c r="F67" s="45">
        <v>45933.0</v>
      </c>
      <c r="G67" s="17"/>
      <c r="H67" s="17"/>
      <c r="I67" s="17"/>
      <c r="J67" s="16"/>
      <c r="K67" s="17"/>
      <c r="L67" s="17"/>
      <c r="N67" s="1"/>
      <c r="O67" s="42"/>
    </row>
    <row r="68">
      <c r="A68" s="16" t="str">
        <f t="shared" si="1"/>
        <v>2250061</v>
      </c>
      <c r="B68" s="43" t="s">
        <v>1631</v>
      </c>
      <c r="C68" s="14" t="s">
        <v>20</v>
      </c>
      <c r="D68" s="18" t="s">
        <v>21</v>
      </c>
      <c r="E68" s="44">
        <v>45959.41265046296</v>
      </c>
      <c r="F68" s="45">
        <v>45937.0</v>
      </c>
      <c r="G68" s="17"/>
      <c r="H68" s="14"/>
      <c r="I68" s="17"/>
      <c r="J68" s="16"/>
      <c r="K68" s="17"/>
      <c r="L68" s="16"/>
      <c r="N68" s="1"/>
      <c r="O68" s="42"/>
    </row>
    <row r="69">
      <c r="A69" s="16" t="str">
        <f t="shared" si="1"/>
        <v>2250061</v>
      </c>
      <c r="B69" s="43" t="s">
        <v>1655</v>
      </c>
      <c r="C69" s="14" t="s">
        <v>20</v>
      </c>
      <c r="D69" s="18" t="s">
        <v>21</v>
      </c>
      <c r="E69" s="44">
        <v>45959.41265046296</v>
      </c>
      <c r="F69" s="45">
        <v>45941.0</v>
      </c>
      <c r="G69" s="17"/>
      <c r="H69" s="14"/>
      <c r="I69" s="17"/>
      <c r="J69" s="16"/>
      <c r="K69" s="17"/>
      <c r="L69" s="16"/>
      <c r="N69" s="1"/>
      <c r="O69" s="42"/>
    </row>
    <row r="70">
      <c r="A70" s="16" t="str">
        <f t="shared" si="1"/>
        <v>2250018</v>
      </c>
      <c r="B70" s="43" t="s">
        <v>1202</v>
      </c>
      <c r="C70" s="14" t="s">
        <v>1203</v>
      </c>
      <c r="D70" s="18" t="s">
        <v>1204</v>
      </c>
      <c r="E70" s="44">
        <v>45960.46934027778</v>
      </c>
      <c r="F70" s="45">
        <v>45859.0</v>
      </c>
      <c r="G70" s="17"/>
      <c r="H70" s="14"/>
      <c r="I70" s="17"/>
      <c r="J70" s="16"/>
      <c r="K70" s="17"/>
      <c r="L70" s="17"/>
      <c r="N70" s="1"/>
      <c r="O70" s="42"/>
    </row>
    <row r="71">
      <c r="A71" s="16" t="str">
        <f t="shared" si="1"/>
        <v>2250018</v>
      </c>
      <c r="B71" s="43" t="s">
        <v>1247</v>
      </c>
      <c r="C71" s="14" t="s">
        <v>1203</v>
      </c>
      <c r="D71" s="18" t="s">
        <v>1204</v>
      </c>
      <c r="E71" s="44">
        <v>45960.46934027778</v>
      </c>
      <c r="F71" s="45">
        <v>45867.0</v>
      </c>
      <c r="G71" s="17"/>
      <c r="H71" s="14"/>
      <c r="I71" s="17"/>
      <c r="J71" s="16"/>
      <c r="K71" s="17"/>
      <c r="L71" s="17"/>
      <c r="N71" s="1"/>
      <c r="O71" s="42"/>
    </row>
    <row r="72">
      <c r="A72" s="16" t="str">
        <f t="shared" si="1"/>
        <v>2250018</v>
      </c>
      <c r="B72" s="43" t="s">
        <v>1271</v>
      </c>
      <c r="C72" s="14" t="s">
        <v>1203</v>
      </c>
      <c r="D72" s="18" t="s">
        <v>1204</v>
      </c>
      <c r="E72" s="44">
        <v>45960.46934027778</v>
      </c>
      <c r="F72" s="45">
        <v>45873.0</v>
      </c>
      <c r="G72" s="17"/>
      <c r="H72" s="14"/>
      <c r="I72" s="17"/>
      <c r="J72" s="16"/>
      <c r="K72" s="17"/>
      <c r="L72" s="17"/>
      <c r="N72" s="1"/>
      <c r="O72" s="42"/>
    </row>
    <row r="73">
      <c r="A73" s="16"/>
      <c r="B73" s="48"/>
      <c r="C73" s="14"/>
      <c r="D73" s="18"/>
      <c r="E73" s="44"/>
      <c r="F73" s="45"/>
      <c r="G73" s="17"/>
      <c r="H73" s="14"/>
      <c r="I73" s="17"/>
      <c r="J73" s="16"/>
      <c r="K73" s="17"/>
      <c r="L73" s="16"/>
      <c r="N73" s="1"/>
      <c r="O73" s="42"/>
    </row>
    <row r="74">
      <c r="A74" s="16"/>
      <c r="B74" s="48"/>
      <c r="C74" s="14"/>
      <c r="D74" s="18"/>
      <c r="E74" s="44"/>
      <c r="F74" s="45"/>
      <c r="G74" s="17"/>
      <c r="H74" s="14"/>
      <c r="I74" s="17"/>
      <c r="J74" s="16"/>
      <c r="K74" s="17"/>
      <c r="L74" s="16"/>
      <c r="N74" s="1"/>
      <c r="O74" s="42"/>
    </row>
    <row r="75">
      <c r="A75" s="16" t="str">
        <f t="shared" ref="A75:A140" si="2">IF(ISBLANK($E75),"",TEXT($E75, "2yy") &amp; IFS($C74&amp;$E74=$C75&amp;$E75,TEXT(MATCH($C75&amp;$E75, INDEX($C$1:$C75 &amp; $E$1:$E75, 0, 1), 0)-1, "0000"), $C75=C74, TEXT(MATCH($C75&amp;$E75, INDEX($C$1:C75 &amp; $E$1:E75, 0, 1), 0)-1, "0000"),$C75&lt;&gt;$C74,TEXT(MATCH($C75&amp;$E75, INDEX($C$1:$C75 &amp; $E$1:$E75, 0, 1), 0)-1, "0000")))</f>
        <v>2250074</v>
      </c>
      <c r="B75" s="43" t="s">
        <v>1728</v>
      </c>
      <c r="C75" s="14" t="s">
        <v>45</v>
      </c>
      <c r="D75" s="18" t="s">
        <v>46</v>
      </c>
      <c r="E75" s="44">
        <v>45961.48731481482</v>
      </c>
      <c r="F75" s="45">
        <v>45951.0</v>
      </c>
      <c r="G75" s="17"/>
      <c r="H75" s="14"/>
      <c r="I75" s="17"/>
      <c r="J75" s="16"/>
      <c r="K75" s="17"/>
      <c r="L75" s="17"/>
      <c r="N75" s="1"/>
      <c r="O75" s="46"/>
    </row>
    <row r="76">
      <c r="A76" s="16" t="str">
        <f t="shared" si="2"/>
        <v>2250074</v>
      </c>
      <c r="B76" s="43" t="s">
        <v>1742</v>
      </c>
      <c r="C76" s="14" t="s">
        <v>45</v>
      </c>
      <c r="D76" s="18" t="s">
        <v>46</v>
      </c>
      <c r="E76" s="44">
        <v>45961.48731481482</v>
      </c>
      <c r="F76" s="45">
        <v>45952.0</v>
      </c>
      <c r="G76" s="17"/>
      <c r="H76" s="14"/>
      <c r="I76" s="17"/>
      <c r="J76" s="16"/>
      <c r="K76" s="17"/>
      <c r="L76" s="17"/>
      <c r="N76" s="1"/>
      <c r="O76" s="46"/>
    </row>
    <row r="77">
      <c r="A77" s="16" t="str">
        <f t="shared" si="2"/>
        <v>2250074</v>
      </c>
      <c r="B77" s="43" t="s">
        <v>1770</v>
      </c>
      <c r="C77" s="14" t="s">
        <v>45</v>
      </c>
      <c r="D77" s="18" t="s">
        <v>46</v>
      </c>
      <c r="E77" s="44">
        <v>45961.48731481482</v>
      </c>
      <c r="F77" s="45">
        <v>45955.0</v>
      </c>
      <c r="G77" s="17"/>
      <c r="H77" s="14"/>
      <c r="I77" s="17"/>
      <c r="J77" s="16"/>
      <c r="K77" s="17"/>
      <c r="L77" s="17"/>
      <c r="N77" s="1"/>
      <c r="O77" s="46"/>
    </row>
    <row r="78">
      <c r="A78" s="16" t="str">
        <f t="shared" si="2"/>
        <v>2250077</v>
      </c>
      <c r="B78" s="43" t="s">
        <v>1790</v>
      </c>
      <c r="C78" s="14" t="s">
        <v>45</v>
      </c>
      <c r="D78" s="18" t="s">
        <v>46</v>
      </c>
      <c r="E78" s="44">
        <v>45961.4874537037</v>
      </c>
      <c r="F78" s="45">
        <v>45958.0</v>
      </c>
      <c r="G78" s="17"/>
      <c r="H78" s="14"/>
      <c r="I78" s="17"/>
      <c r="J78" s="16"/>
      <c r="K78" s="17"/>
      <c r="L78" s="17"/>
      <c r="N78" s="1"/>
      <c r="O78" s="46"/>
    </row>
    <row r="79">
      <c r="A79" s="16" t="str">
        <f t="shared" si="2"/>
        <v>2250077</v>
      </c>
      <c r="B79" s="43" t="s">
        <v>1813</v>
      </c>
      <c r="C79" s="14" t="s">
        <v>45</v>
      </c>
      <c r="D79" s="18" t="s">
        <v>46</v>
      </c>
      <c r="E79" s="44">
        <v>45961.4874537037</v>
      </c>
      <c r="F79" s="45">
        <v>45960.0</v>
      </c>
      <c r="G79" s="17"/>
      <c r="H79" s="14"/>
      <c r="I79" s="17"/>
      <c r="J79" s="16"/>
      <c r="K79" s="17"/>
      <c r="L79" s="16"/>
      <c r="N79" s="1"/>
      <c r="O79" s="46"/>
    </row>
    <row r="80">
      <c r="A80" s="16" t="str">
        <f t="shared" si="2"/>
        <v>2250079</v>
      </c>
      <c r="B80" s="43" t="s">
        <v>1617</v>
      </c>
      <c r="C80" s="14" t="s">
        <v>1618</v>
      </c>
      <c r="D80" s="18" t="s">
        <v>1619</v>
      </c>
      <c r="E80" s="44">
        <v>45962.83385416667</v>
      </c>
      <c r="F80" s="45">
        <v>45934.0</v>
      </c>
      <c r="G80" s="17"/>
      <c r="H80" s="17"/>
      <c r="I80" s="17"/>
      <c r="J80" s="16"/>
      <c r="K80" s="17"/>
      <c r="L80" s="16"/>
      <c r="N80" s="1"/>
      <c r="O80" s="46"/>
    </row>
    <row r="81">
      <c r="A81" s="16" t="str">
        <f t="shared" si="2"/>
        <v>2250079</v>
      </c>
      <c r="B81" s="43" t="s">
        <v>1740</v>
      </c>
      <c r="C81" s="14" t="s">
        <v>1618</v>
      </c>
      <c r="D81" s="18" t="s">
        <v>1619</v>
      </c>
      <c r="E81" s="44">
        <v>45962.83385416667</v>
      </c>
      <c r="F81" s="45">
        <v>45952.0</v>
      </c>
      <c r="G81" s="17"/>
      <c r="H81" s="14"/>
      <c r="I81" s="17"/>
      <c r="J81" s="16"/>
      <c r="K81" s="17"/>
      <c r="L81" s="17"/>
      <c r="N81" s="1"/>
      <c r="O81" s="46"/>
    </row>
    <row r="82">
      <c r="A82" s="16" t="str">
        <f t="shared" si="2"/>
        <v>2250079</v>
      </c>
      <c r="B82" s="43" t="s">
        <v>1759</v>
      </c>
      <c r="C82" s="14" t="s">
        <v>1618</v>
      </c>
      <c r="D82" s="18" t="s">
        <v>1619</v>
      </c>
      <c r="E82" s="44">
        <v>45962.83385416667</v>
      </c>
      <c r="F82" s="45">
        <v>45954.0</v>
      </c>
      <c r="G82" s="17"/>
      <c r="H82" s="14"/>
      <c r="I82" s="17"/>
      <c r="J82" s="16"/>
      <c r="K82" s="17"/>
      <c r="L82" s="16"/>
      <c r="N82" s="1"/>
      <c r="O82" s="46"/>
    </row>
    <row r="83">
      <c r="A83" s="16" t="str">
        <f t="shared" si="2"/>
        <v>2250082</v>
      </c>
      <c r="B83" s="43" t="s">
        <v>1584</v>
      </c>
      <c r="C83" s="14" t="s">
        <v>1084</v>
      </c>
      <c r="D83" s="18" t="s">
        <v>1085</v>
      </c>
      <c r="E83" s="49">
        <v>45974.0</v>
      </c>
      <c r="F83" s="45">
        <v>45931.0</v>
      </c>
      <c r="G83" s="17"/>
      <c r="H83" s="14"/>
      <c r="I83" s="17"/>
      <c r="J83" s="16"/>
      <c r="K83" s="17"/>
      <c r="L83" s="16"/>
      <c r="N83" s="1"/>
      <c r="O83" s="46"/>
    </row>
    <row r="84">
      <c r="A84" s="16" t="str">
        <f t="shared" si="2"/>
        <v>2250082</v>
      </c>
      <c r="B84" s="43" t="s">
        <v>1697</v>
      </c>
      <c r="C84" s="14" t="s">
        <v>1084</v>
      </c>
      <c r="D84" s="18" t="s">
        <v>1085</v>
      </c>
      <c r="E84" s="49">
        <v>45974.0</v>
      </c>
      <c r="F84" s="45">
        <v>45947.0</v>
      </c>
      <c r="G84" s="17"/>
      <c r="H84" s="14"/>
      <c r="I84" s="17"/>
      <c r="J84" s="16"/>
      <c r="K84" s="17"/>
      <c r="L84" s="17"/>
      <c r="N84" s="1"/>
      <c r="O84" s="46"/>
    </row>
    <row r="85">
      <c r="A85" s="16" t="str">
        <f t="shared" si="2"/>
        <v/>
      </c>
      <c r="B85" s="48"/>
      <c r="C85" s="14"/>
      <c r="D85" s="18"/>
      <c r="E85" s="44"/>
      <c r="F85" s="45"/>
      <c r="G85" s="17"/>
      <c r="H85" s="14"/>
      <c r="I85" s="17"/>
      <c r="J85" s="16"/>
      <c r="K85" s="17"/>
      <c r="L85" s="17"/>
      <c r="N85" s="1"/>
      <c r="O85" s="46"/>
    </row>
    <row r="86">
      <c r="A86" s="16" t="str">
        <f t="shared" si="2"/>
        <v>2250085</v>
      </c>
      <c r="B86" s="43" t="s">
        <v>1755</v>
      </c>
      <c r="C86" s="14" t="s">
        <v>1756</v>
      </c>
      <c r="D86" s="18" t="s">
        <v>1757</v>
      </c>
      <c r="E86" s="44">
        <v>45971.42576388889</v>
      </c>
      <c r="F86" s="45">
        <v>45954.0</v>
      </c>
      <c r="G86" s="17"/>
      <c r="H86" s="14"/>
      <c r="I86" s="17"/>
      <c r="J86" s="16"/>
      <c r="K86" s="17"/>
      <c r="L86" s="16"/>
      <c r="N86" s="1"/>
      <c r="O86" s="46"/>
    </row>
    <row r="87">
      <c r="A87" s="16" t="str">
        <f t="shared" si="2"/>
        <v>2250085</v>
      </c>
      <c r="B87" s="43" t="s">
        <v>1844</v>
      </c>
      <c r="C87" s="14" t="s">
        <v>1756</v>
      </c>
      <c r="D87" s="18" t="s">
        <v>1757</v>
      </c>
      <c r="E87" s="44">
        <v>45971.42576388889</v>
      </c>
      <c r="F87" s="45">
        <v>45964.0</v>
      </c>
      <c r="G87" s="17"/>
      <c r="H87" s="17"/>
      <c r="I87" s="17"/>
      <c r="J87" s="16"/>
      <c r="K87" s="17"/>
      <c r="L87" s="16"/>
      <c r="N87" s="1"/>
      <c r="O87" s="46"/>
    </row>
    <row r="88">
      <c r="A88" s="16" t="str">
        <f t="shared" si="2"/>
        <v>2250085</v>
      </c>
      <c r="B88" s="43" t="s">
        <v>1892</v>
      </c>
      <c r="C88" s="14" t="s">
        <v>1756</v>
      </c>
      <c r="D88" s="18" t="s">
        <v>1757</v>
      </c>
      <c r="E88" s="44">
        <v>45971.42576388889</v>
      </c>
      <c r="F88" s="45">
        <v>45967.0</v>
      </c>
      <c r="G88" s="17"/>
      <c r="H88" s="14"/>
      <c r="I88" s="17"/>
      <c r="J88" s="16"/>
      <c r="K88" s="17"/>
      <c r="L88" s="17"/>
      <c r="N88" s="1"/>
      <c r="O88" s="46"/>
    </row>
    <row r="89">
      <c r="A89" s="16" t="str">
        <f t="shared" si="2"/>
        <v/>
      </c>
      <c r="B89" s="48"/>
      <c r="C89" s="14"/>
      <c r="D89" s="18"/>
      <c r="E89" s="44"/>
      <c r="F89" s="45"/>
      <c r="G89" s="17"/>
      <c r="H89" s="14"/>
      <c r="I89" s="17"/>
      <c r="J89" s="16"/>
      <c r="K89" s="17"/>
      <c r="L89" s="17"/>
      <c r="N89" s="1"/>
      <c r="O89" s="46"/>
    </row>
    <row r="90">
      <c r="A90" s="16" t="str">
        <f t="shared" si="2"/>
        <v>2250089</v>
      </c>
      <c r="B90" s="43" t="s">
        <v>1610</v>
      </c>
      <c r="C90" s="14" t="s">
        <v>169</v>
      </c>
      <c r="D90" s="18" t="s">
        <v>170</v>
      </c>
      <c r="E90" s="44">
        <v>45972.64034722222</v>
      </c>
      <c r="F90" s="45">
        <v>45934.0</v>
      </c>
      <c r="G90" s="17"/>
      <c r="H90" s="17"/>
      <c r="I90" s="17"/>
      <c r="J90" s="16"/>
      <c r="K90" s="17"/>
      <c r="L90" s="17"/>
      <c r="N90" s="1"/>
      <c r="O90" s="46"/>
    </row>
    <row r="91">
      <c r="A91" s="16" t="str">
        <f t="shared" si="2"/>
        <v>2250089</v>
      </c>
      <c r="B91" s="43" t="s">
        <v>1635</v>
      </c>
      <c r="C91" s="14" t="s">
        <v>169</v>
      </c>
      <c r="D91" s="18" t="s">
        <v>170</v>
      </c>
      <c r="E91" s="44">
        <v>45972.64034722222</v>
      </c>
      <c r="F91" s="45">
        <v>45938.0</v>
      </c>
      <c r="G91" s="17"/>
      <c r="H91" s="14"/>
      <c r="I91" s="17"/>
      <c r="J91" s="16"/>
      <c r="K91" s="17"/>
      <c r="L91" s="16"/>
      <c r="N91" s="1"/>
      <c r="O91" s="46"/>
    </row>
    <row r="92">
      <c r="A92" s="16" t="str">
        <f t="shared" si="2"/>
        <v>2250089</v>
      </c>
      <c r="B92" s="43" t="s">
        <v>1680</v>
      </c>
      <c r="C92" s="14" t="s">
        <v>169</v>
      </c>
      <c r="D92" s="18" t="s">
        <v>170</v>
      </c>
      <c r="E92" s="44">
        <v>45972.64034722222</v>
      </c>
      <c r="F92" s="45">
        <v>45945.0</v>
      </c>
      <c r="G92" s="17"/>
      <c r="H92" s="14"/>
      <c r="I92" s="17"/>
      <c r="J92" s="16"/>
      <c r="K92" s="17"/>
      <c r="L92" s="16"/>
      <c r="N92" s="1"/>
      <c r="O92" s="46"/>
    </row>
    <row r="93">
      <c r="A93" s="16" t="str">
        <f t="shared" si="2"/>
        <v>2250089</v>
      </c>
      <c r="B93" s="43" t="s">
        <v>1699</v>
      </c>
      <c r="C93" s="14" t="s">
        <v>169</v>
      </c>
      <c r="D93" s="18" t="s">
        <v>170</v>
      </c>
      <c r="E93" s="44">
        <v>45972.64034722222</v>
      </c>
      <c r="F93" s="45">
        <v>45947.0</v>
      </c>
      <c r="G93" s="14"/>
      <c r="H93" s="14"/>
      <c r="I93" s="17"/>
      <c r="J93" s="16"/>
      <c r="K93" s="17"/>
      <c r="L93" s="16"/>
      <c r="N93" s="1"/>
      <c r="O93" s="42"/>
    </row>
    <row r="94">
      <c r="A94" s="16" t="str">
        <f t="shared" si="2"/>
        <v>2250089</v>
      </c>
      <c r="B94" s="43" t="s">
        <v>1786</v>
      </c>
      <c r="C94" s="14" t="s">
        <v>169</v>
      </c>
      <c r="D94" s="18" t="s">
        <v>170</v>
      </c>
      <c r="E94" s="44">
        <v>45972.64034722222</v>
      </c>
      <c r="F94" s="45">
        <v>45958.0</v>
      </c>
      <c r="G94" s="17"/>
      <c r="H94" s="14"/>
      <c r="I94" s="17"/>
      <c r="J94" s="16"/>
      <c r="K94" s="17"/>
      <c r="L94" s="16"/>
      <c r="N94" s="1"/>
      <c r="O94" s="42"/>
    </row>
    <row r="95">
      <c r="A95" s="16" t="str">
        <f t="shared" si="2"/>
        <v>2250094</v>
      </c>
      <c r="B95" s="43" t="s">
        <v>1849</v>
      </c>
      <c r="C95" s="14" t="s">
        <v>45</v>
      </c>
      <c r="D95" s="18" t="s">
        <v>46</v>
      </c>
      <c r="E95" s="44">
        <v>45974.460752314815</v>
      </c>
      <c r="F95" s="45">
        <v>45965.0</v>
      </c>
      <c r="G95" s="17"/>
      <c r="H95" s="14"/>
      <c r="I95" s="17"/>
      <c r="J95" s="16"/>
      <c r="K95" s="17"/>
      <c r="L95" s="16"/>
      <c r="N95" s="1"/>
      <c r="O95" s="42"/>
    </row>
    <row r="96">
      <c r="A96" s="16" t="str">
        <f t="shared" si="2"/>
        <v>2250094</v>
      </c>
      <c r="B96" s="43" t="s">
        <v>1883</v>
      </c>
      <c r="C96" s="14" t="s">
        <v>45</v>
      </c>
      <c r="D96" s="18" t="s">
        <v>46</v>
      </c>
      <c r="E96" s="44">
        <v>45974.460752314815</v>
      </c>
      <c r="F96" s="45">
        <v>45967.0</v>
      </c>
      <c r="G96" s="17"/>
      <c r="H96" s="17"/>
      <c r="I96" s="17"/>
      <c r="J96" s="16"/>
      <c r="K96" s="17"/>
      <c r="L96" s="16"/>
      <c r="N96" s="1"/>
      <c r="O96" s="42"/>
    </row>
    <row r="97">
      <c r="A97" s="16" t="str">
        <f t="shared" si="2"/>
        <v>2250096</v>
      </c>
      <c r="B97" s="43" t="s">
        <v>1924</v>
      </c>
      <c r="C97" s="14" t="s">
        <v>45</v>
      </c>
      <c r="D97" s="18" t="s">
        <v>46</v>
      </c>
      <c r="E97" s="44">
        <v>45974.460914351854</v>
      </c>
      <c r="F97" s="45">
        <v>45971.0</v>
      </c>
      <c r="G97" s="17"/>
      <c r="H97" s="14"/>
      <c r="I97" s="17"/>
      <c r="J97" s="16"/>
      <c r="K97" s="17"/>
      <c r="L97" s="17"/>
      <c r="N97" s="1"/>
      <c r="O97" s="42"/>
    </row>
    <row r="98">
      <c r="A98" s="16" t="str">
        <f t="shared" si="2"/>
        <v>2250096</v>
      </c>
      <c r="B98" s="43" t="s">
        <v>1938</v>
      </c>
      <c r="C98" s="14" t="s">
        <v>45</v>
      </c>
      <c r="D98" s="18" t="s">
        <v>46</v>
      </c>
      <c r="E98" s="44">
        <v>45974.460914351854</v>
      </c>
      <c r="F98" s="45">
        <v>45973.0</v>
      </c>
      <c r="G98" s="17"/>
      <c r="H98" s="14"/>
      <c r="I98" s="17"/>
      <c r="J98" s="16"/>
      <c r="K98" s="17"/>
      <c r="L98" s="17"/>
      <c r="N98" s="1"/>
      <c r="O98" s="42"/>
    </row>
    <row r="99">
      <c r="A99" s="16" t="str">
        <f t="shared" si="2"/>
        <v>2250098</v>
      </c>
      <c r="B99" s="43" t="s">
        <v>1659</v>
      </c>
      <c r="C99" s="14" t="s">
        <v>685</v>
      </c>
      <c r="D99" s="18" t="s">
        <v>686</v>
      </c>
      <c r="E99" s="44">
        <v>45974.46246527778</v>
      </c>
      <c r="F99" s="45">
        <v>45943.0</v>
      </c>
      <c r="G99" s="17"/>
      <c r="H99" s="14"/>
      <c r="I99" s="17"/>
      <c r="J99" s="16"/>
      <c r="K99" s="17"/>
      <c r="L99" s="17"/>
      <c r="N99" s="1"/>
      <c r="O99" s="42"/>
    </row>
    <row r="100">
      <c r="A100" s="16" t="str">
        <f t="shared" si="2"/>
        <v>2250098</v>
      </c>
      <c r="B100" s="43" t="s">
        <v>1814</v>
      </c>
      <c r="C100" s="14" t="s">
        <v>685</v>
      </c>
      <c r="D100" s="18" t="s">
        <v>686</v>
      </c>
      <c r="E100" s="44">
        <v>45974.46246527778</v>
      </c>
      <c r="F100" s="45">
        <v>45960.0</v>
      </c>
      <c r="G100" s="17"/>
      <c r="H100" s="17"/>
      <c r="I100" s="17"/>
      <c r="J100" s="16"/>
      <c r="K100" s="17"/>
      <c r="L100" s="17"/>
      <c r="N100" s="1"/>
      <c r="O100" s="42"/>
    </row>
    <row r="101">
      <c r="A101" s="16" t="str">
        <f t="shared" si="2"/>
        <v>2250100</v>
      </c>
      <c r="B101" s="43" t="s">
        <v>1829</v>
      </c>
      <c r="C101" s="14" t="s">
        <v>1830</v>
      </c>
      <c r="D101" s="18" t="s">
        <v>1831</v>
      </c>
      <c r="E101" s="44">
        <v>45978.36976851852</v>
      </c>
      <c r="F101" s="45">
        <v>45962.0</v>
      </c>
      <c r="G101" s="17"/>
      <c r="H101" s="14"/>
      <c r="I101" s="17"/>
      <c r="J101" s="16"/>
      <c r="K101" s="17"/>
      <c r="L101" s="16"/>
      <c r="N101" s="1"/>
      <c r="O101" s="42"/>
    </row>
    <row r="102">
      <c r="A102" s="16" t="str">
        <f t="shared" si="2"/>
        <v>2250100</v>
      </c>
      <c r="B102" s="43" t="s">
        <v>1853</v>
      </c>
      <c r="C102" s="14" t="s">
        <v>1830</v>
      </c>
      <c r="D102" s="18" t="s">
        <v>1831</v>
      </c>
      <c r="E102" s="44">
        <v>45978.36976851852</v>
      </c>
      <c r="F102" s="45">
        <v>45965.0</v>
      </c>
      <c r="G102" s="17"/>
      <c r="H102" s="14"/>
      <c r="I102" s="17"/>
      <c r="J102" s="16"/>
      <c r="K102" s="17"/>
      <c r="L102" s="16"/>
      <c r="N102" s="1"/>
      <c r="O102" s="42"/>
    </row>
    <row r="103">
      <c r="A103" s="16" t="str">
        <f t="shared" si="2"/>
        <v>2250100</v>
      </c>
      <c r="B103" s="43" t="s">
        <v>1867</v>
      </c>
      <c r="C103" s="14" t="s">
        <v>1830</v>
      </c>
      <c r="D103" s="18" t="s">
        <v>1831</v>
      </c>
      <c r="E103" s="44">
        <v>45978.36976851852</v>
      </c>
      <c r="F103" s="45">
        <v>45966.0</v>
      </c>
      <c r="G103" s="17"/>
      <c r="H103" s="14"/>
      <c r="I103" s="17"/>
      <c r="J103" s="16"/>
      <c r="K103" s="17"/>
      <c r="L103" s="16"/>
      <c r="N103" s="1"/>
      <c r="O103" s="42"/>
    </row>
    <row r="104">
      <c r="A104" s="16" t="str">
        <f t="shared" si="2"/>
        <v>2250100</v>
      </c>
      <c r="B104" s="43" t="s">
        <v>1893</v>
      </c>
      <c r="C104" s="14" t="s">
        <v>1830</v>
      </c>
      <c r="D104" s="18" t="s">
        <v>1831</v>
      </c>
      <c r="E104" s="44">
        <v>45978.36976851852</v>
      </c>
      <c r="F104" s="45">
        <v>45967.0</v>
      </c>
      <c r="G104" s="17"/>
      <c r="H104" s="14"/>
      <c r="I104" s="17"/>
      <c r="J104" s="16"/>
      <c r="K104" s="17"/>
      <c r="L104" s="16"/>
      <c r="N104" s="1"/>
      <c r="O104" s="42"/>
    </row>
    <row r="105">
      <c r="A105" s="16" t="str">
        <f t="shared" si="2"/>
        <v>2250100</v>
      </c>
      <c r="B105" s="43" t="s">
        <v>1916</v>
      </c>
      <c r="C105" s="14" t="s">
        <v>1830</v>
      </c>
      <c r="D105" s="18" t="s">
        <v>1831</v>
      </c>
      <c r="E105" s="44">
        <v>45978.36976851852</v>
      </c>
      <c r="F105" s="45">
        <v>45971.0</v>
      </c>
      <c r="G105" s="17"/>
      <c r="H105" s="14"/>
      <c r="I105" s="17"/>
      <c r="J105" s="16"/>
      <c r="K105" s="17"/>
      <c r="L105" s="16"/>
      <c r="N105" s="1"/>
      <c r="O105" s="42"/>
    </row>
    <row r="106">
      <c r="A106" s="16" t="str">
        <f t="shared" si="2"/>
        <v>2250100</v>
      </c>
      <c r="B106" s="43" t="s">
        <v>1932</v>
      </c>
      <c r="C106" s="14" t="s">
        <v>1830</v>
      </c>
      <c r="D106" s="18" t="s">
        <v>1831</v>
      </c>
      <c r="E106" s="44">
        <v>45978.36976851852</v>
      </c>
      <c r="F106" s="45">
        <v>45972.0</v>
      </c>
      <c r="G106" s="17"/>
      <c r="H106" s="14"/>
      <c r="I106" s="17"/>
      <c r="J106" s="16"/>
      <c r="K106" s="17"/>
      <c r="L106" s="17"/>
      <c r="N106" s="1"/>
      <c r="O106" s="42"/>
    </row>
    <row r="107">
      <c r="A107" s="16" t="str">
        <f t="shared" si="2"/>
        <v>2250100</v>
      </c>
      <c r="B107" s="43" t="s">
        <v>1945</v>
      </c>
      <c r="C107" s="14" t="s">
        <v>1830</v>
      </c>
      <c r="D107" s="18" t="s">
        <v>1831</v>
      </c>
      <c r="E107" s="44">
        <v>45978.36976851852</v>
      </c>
      <c r="F107" s="45">
        <v>45973.0</v>
      </c>
      <c r="G107" s="17"/>
      <c r="H107" s="14"/>
      <c r="I107" s="17"/>
      <c r="J107" s="16"/>
      <c r="K107" s="17"/>
      <c r="L107" s="16"/>
      <c r="N107" s="1"/>
      <c r="O107" s="42"/>
    </row>
    <row r="108">
      <c r="A108" s="16" t="str">
        <f t="shared" si="2"/>
        <v>2250100</v>
      </c>
      <c r="B108" s="43" t="s">
        <v>1954</v>
      </c>
      <c r="C108" s="14" t="s">
        <v>1830</v>
      </c>
      <c r="D108" s="18" t="s">
        <v>1831</v>
      </c>
      <c r="E108" s="44">
        <v>45978.36976851852</v>
      </c>
      <c r="F108" s="45">
        <v>45974.0</v>
      </c>
      <c r="G108" s="17"/>
      <c r="H108" s="14"/>
      <c r="I108" s="17"/>
      <c r="J108" s="16"/>
      <c r="K108" s="17"/>
      <c r="L108" s="16"/>
      <c r="N108" s="1"/>
      <c r="O108" s="42"/>
    </row>
    <row r="109">
      <c r="A109" s="16" t="str">
        <f t="shared" si="2"/>
        <v>2250108</v>
      </c>
      <c r="B109" s="43" t="s">
        <v>1903</v>
      </c>
      <c r="C109" s="14" t="s">
        <v>1904</v>
      </c>
      <c r="D109" s="18" t="s">
        <v>1905</v>
      </c>
      <c r="E109" s="44">
        <v>45981.35371527778</v>
      </c>
      <c r="F109" s="45">
        <v>45968.0</v>
      </c>
      <c r="G109" s="17"/>
      <c r="H109" s="17"/>
      <c r="I109" s="17"/>
      <c r="J109" s="16"/>
      <c r="K109" s="17"/>
      <c r="L109" s="16"/>
      <c r="N109" s="1"/>
      <c r="O109" s="42"/>
    </row>
    <row r="110">
      <c r="A110" s="16" t="str">
        <f t="shared" si="2"/>
        <v>2250108</v>
      </c>
      <c r="B110" s="43" t="s">
        <v>1950</v>
      </c>
      <c r="C110" s="14" t="s">
        <v>1904</v>
      </c>
      <c r="D110" s="18" t="s">
        <v>1905</v>
      </c>
      <c r="E110" s="44">
        <v>45981.35371527778</v>
      </c>
      <c r="F110" s="45">
        <v>45974.0</v>
      </c>
      <c r="G110" s="17"/>
      <c r="H110" s="14"/>
      <c r="I110" s="17"/>
      <c r="J110" s="16"/>
      <c r="K110" s="17"/>
      <c r="L110" s="16"/>
      <c r="N110" s="1"/>
      <c r="O110" s="42"/>
    </row>
    <row r="111">
      <c r="A111" s="16" t="str">
        <f t="shared" si="2"/>
        <v>2250108</v>
      </c>
      <c r="B111" s="43" t="s">
        <v>1984</v>
      </c>
      <c r="C111" s="14" t="s">
        <v>1904</v>
      </c>
      <c r="D111" s="18" t="s">
        <v>1905</v>
      </c>
      <c r="E111" s="44">
        <v>45981.35371527778</v>
      </c>
      <c r="F111" s="45">
        <v>45976.0</v>
      </c>
      <c r="G111" s="17"/>
      <c r="H111" s="14"/>
      <c r="I111" s="17"/>
      <c r="J111" s="16"/>
      <c r="K111" s="17"/>
      <c r="L111" s="17"/>
      <c r="N111" s="1"/>
      <c r="O111" s="42"/>
    </row>
    <row r="112">
      <c r="A112" s="16" t="str">
        <f t="shared" si="2"/>
        <v>2250108</v>
      </c>
      <c r="B112" s="43" t="s">
        <v>2010</v>
      </c>
      <c r="C112" s="14" t="s">
        <v>1904</v>
      </c>
      <c r="D112" s="18" t="s">
        <v>1905</v>
      </c>
      <c r="E112" s="44">
        <v>45981.35371527778</v>
      </c>
      <c r="F112" s="45">
        <v>45979.0</v>
      </c>
      <c r="G112" s="17"/>
      <c r="H112" s="14"/>
      <c r="I112" s="17"/>
      <c r="J112" s="16"/>
      <c r="K112" s="17"/>
      <c r="L112" s="17"/>
      <c r="N112" s="1"/>
      <c r="O112" s="42"/>
    </row>
    <row r="113">
      <c r="A113" s="16" t="str">
        <f t="shared" si="2"/>
        <v>2250108</v>
      </c>
      <c r="B113" s="43" t="s">
        <v>2024</v>
      </c>
      <c r="C113" s="14" t="s">
        <v>1904</v>
      </c>
      <c r="D113" s="18" t="s">
        <v>1905</v>
      </c>
      <c r="E113" s="44">
        <v>45981.35371527778</v>
      </c>
      <c r="F113" s="45">
        <v>45980.0</v>
      </c>
      <c r="G113" s="17"/>
      <c r="H113" s="17"/>
      <c r="I113" s="17"/>
      <c r="J113" s="16"/>
      <c r="K113" s="17"/>
      <c r="L113" s="17"/>
      <c r="N113" s="1"/>
      <c r="O113" s="42"/>
    </row>
    <row r="114">
      <c r="A114" s="16" t="str">
        <f t="shared" si="2"/>
        <v>2250113</v>
      </c>
      <c r="B114" s="43" t="s">
        <v>1980</v>
      </c>
      <c r="C114" s="14" t="s">
        <v>45</v>
      </c>
      <c r="D114" s="18" t="s">
        <v>46</v>
      </c>
      <c r="E114" s="44">
        <v>45983.56271990741</v>
      </c>
      <c r="F114" s="45">
        <v>45976.0</v>
      </c>
      <c r="G114" s="17"/>
      <c r="H114" s="14"/>
      <c r="I114" s="17"/>
      <c r="J114" s="16"/>
      <c r="K114" s="17"/>
      <c r="L114" s="17"/>
      <c r="N114" s="1"/>
      <c r="O114" s="42"/>
    </row>
    <row r="115">
      <c r="A115" s="16" t="str">
        <f t="shared" si="2"/>
        <v>2250113</v>
      </c>
      <c r="B115" s="43" t="s">
        <v>2023</v>
      </c>
      <c r="C115" s="14" t="s">
        <v>45</v>
      </c>
      <c r="D115" s="18" t="s">
        <v>46</v>
      </c>
      <c r="E115" s="44">
        <v>45983.56271990741</v>
      </c>
      <c r="F115" s="45">
        <v>45980.0</v>
      </c>
      <c r="G115" s="17"/>
      <c r="H115" s="14"/>
      <c r="I115" s="17"/>
      <c r="J115" s="16"/>
      <c r="K115" s="17"/>
      <c r="L115" s="16"/>
      <c r="N115" s="1"/>
      <c r="O115" s="42"/>
    </row>
    <row r="116">
      <c r="A116" s="16" t="str">
        <f t="shared" si="2"/>
        <v>2250115</v>
      </c>
      <c r="B116" s="43" t="s">
        <v>1841</v>
      </c>
      <c r="C116" s="14" t="s">
        <v>169</v>
      </c>
      <c r="D116" s="18" t="s">
        <v>170</v>
      </c>
      <c r="E116" s="44">
        <v>45989.50393518519</v>
      </c>
      <c r="F116" s="45">
        <v>45964.0</v>
      </c>
      <c r="G116" s="17"/>
      <c r="H116" s="14"/>
      <c r="I116" s="17"/>
      <c r="J116" s="16"/>
      <c r="K116" s="17"/>
      <c r="L116" s="16"/>
      <c r="N116" s="1"/>
      <c r="O116" s="42"/>
    </row>
    <row r="117">
      <c r="A117" s="16" t="str">
        <f t="shared" si="2"/>
        <v>2250116</v>
      </c>
      <c r="B117" s="43" t="s">
        <v>1858</v>
      </c>
      <c r="C117" s="14" t="s">
        <v>1618</v>
      </c>
      <c r="D117" s="18" t="s">
        <v>1619</v>
      </c>
      <c r="E117" s="44">
        <v>45989.50572916667</v>
      </c>
      <c r="F117" s="45">
        <v>45965.0</v>
      </c>
      <c r="G117" s="17"/>
      <c r="H117" s="14"/>
      <c r="I117" s="17"/>
      <c r="J117" s="16"/>
      <c r="K117" s="17"/>
      <c r="L117" s="17"/>
      <c r="N117" s="1"/>
      <c r="O117" s="42"/>
    </row>
    <row r="118">
      <c r="A118" s="16" t="str">
        <f t="shared" si="2"/>
        <v>2250116</v>
      </c>
      <c r="B118" s="43" t="s">
        <v>1971</v>
      </c>
      <c r="C118" s="14" t="s">
        <v>1618</v>
      </c>
      <c r="D118" s="18" t="s">
        <v>1619</v>
      </c>
      <c r="E118" s="44">
        <v>45989.50572916667</v>
      </c>
      <c r="F118" s="45">
        <v>45975.0</v>
      </c>
      <c r="G118" s="17"/>
      <c r="H118" s="14"/>
      <c r="I118" s="17"/>
      <c r="J118" s="16"/>
      <c r="K118" s="17"/>
      <c r="L118" s="17"/>
      <c r="N118" s="1"/>
      <c r="O118" s="42"/>
    </row>
    <row r="119">
      <c r="A119" s="16" t="str">
        <f t="shared" si="2"/>
        <v>2250116</v>
      </c>
      <c r="B119" s="43" t="s">
        <v>2084</v>
      </c>
      <c r="C119" s="14" t="s">
        <v>1618</v>
      </c>
      <c r="D119" s="18" t="s">
        <v>1619</v>
      </c>
      <c r="E119" s="44">
        <v>45989.50572916667</v>
      </c>
      <c r="F119" s="45">
        <v>45986.0</v>
      </c>
      <c r="G119" s="17"/>
      <c r="H119" s="14"/>
      <c r="I119" s="17"/>
      <c r="J119" s="16"/>
      <c r="K119" s="17"/>
      <c r="L119" s="17"/>
      <c r="N119" s="1"/>
      <c r="O119" s="42"/>
    </row>
    <row r="120">
      <c r="A120" s="16" t="str">
        <f t="shared" si="2"/>
        <v>2250119</v>
      </c>
      <c r="B120" s="43" t="s">
        <v>1992</v>
      </c>
      <c r="C120" s="14" t="s">
        <v>1993</v>
      </c>
      <c r="D120" s="18" t="s">
        <v>1994</v>
      </c>
      <c r="E120" s="44">
        <v>45989.51347222222</v>
      </c>
      <c r="F120" s="45">
        <v>45978.0</v>
      </c>
      <c r="G120" s="17"/>
      <c r="H120" s="14"/>
      <c r="I120" s="17"/>
      <c r="J120" s="16"/>
      <c r="K120" s="17"/>
      <c r="L120" s="17"/>
      <c r="N120" s="1"/>
      <c r="O120" s="42"/>
    </row>
    <row r="121">
      <c r="A121" s="16" t="str">
        <f t="shared" si="2"/>
        <v>2250119</v>
      </c>
      <c r="B121" s="43" t="s">
        <v>2008</v>
      </c>
      <c r="C121" s="14" t="s">
        <v>1993</v>
      </c>
      <c r="D121" s="18" t="s">
        <v>1994</v>
      </c>
      <c r="E121" s="44">
        <v>45989.51347222222</v>
      </c>
      <c r="F121" s="45">
        <v>45979.0</v>
      </c>
      <c r="G121" s="17"/>
      <c r="H121" s="14"/>
      <c r="I121" s="17"/>
      <c r="J121" s="16"/>
      <c r="K121" s="17"/>
      <c r="L121" s="16"/>
      <c r="N121" s="1"/>
      <c r="O121" s="42"/>
    </row>
    <row r="122">
      <c r="A122" s="16" t="str">
        <f t="shared" si="2"/>
        <v>2250119</v>
      </c>
      <c r="B122" s="43" t="s">
        <v>2009</v>
      </c>
      <c r="C122" s="14" t="s">
        <v>1993</v>
      </c>
      <c r="D122" s="18" t="s">
        <v>1994</v>
      </c>
      <c r="E122" s="44">
        <v>45989.51347222222</v>
      </c>
      <c r="F122" s="45">
        <v>45979.0</v>
      </c>
      <c r="G122" s="14"/>
      <c r="H122" s="14"/>
      <c r="I122" s="17"/>
      <c r="J122" s="16"/>
      <c r="K122" s="17"/>
      <c r="L122" s="16"/>
      <c r="N122" s="1"/>
      <c r="O122" s="42"/>
    </row>
    <row r="123">
      <c r="A123" s="16" t="str">
        <f t="shared" si="2"/>
        <v>2250119</v>
      </c>
      <c r="B123" s="43" t="s">
        <v>2097</v>
      </c>
      <c r="C123" s="14" t="s">
        <v>1993</v>
      </c>
      <c r="D123" s="18" t="s">
        <v>1994</v>
      </c>
      <c r="E123" s="44">
        <v>45989.51347222222</v>
      </c>
      <c r="F123" s="45">
        <v>45987.0</v>
      </c>
      <c r="G123" s="17"/>
      <c r="H123" s="14"/>
      <c r="I123" s="17"/>
      <c r="J123" s="16"/>
      <c r="K123" s="17"/>
      <c r="L123" s="16"/>
      <c r="N123" s="1"/>
      <c r="O123" s="42"/>
    </row>
    <row r="124">
      <c r="A124" s="16" t="str">
        <f t="shared" si="2"/>
        <v>2250123</v>
      </c>
      <c r="B124" s="43" t="s">
        <v>1661</v>
      </c>
      <c r="C124" s="50" t="s">
        <v>1399</v>
      </c>
      <c r="D124" s="18" t="s">
        <v>1400</v>
      </c>
      <c r="E124" s="44">
        <v>45989.513703703706</v>
      </c>
      <c r="F124" s="45">
        <v>45943.0</v>
      </c>
      <c r="G124" s="17"/>
      <c r="H124" s="14"/>
      <c r="I124" s="17"/>
      <c r="J124" s="16"/>
      <c r="K124" s="17"/>
      <c r="L124" s="17"/>
      <c r="N124" s="1"/>
      <c r="O124" s="42"/>
    </row>
    <row r="125">
      <c r="A125" s="16" t="str">
        <f t="shared" si="2"/>
        <v>2250123</v>
      </c>
      <c r="B125" s="43" t="s">
        <v>1826</v>
      </c>
      <c r="C125" s="50" t="s">
        <v>1399</v>
      </c>
      <c r="D125" s="18" t="s">
        <v>1400</v>
      </c>
      <c r="E125" s="44">
        <v>45989.513703703706</v>
      </c>
      <c r="F125" s="45">
        <v>45962.0</v>
      </c>
      <c r="G125" s="17"/>
      <c r="H125" s="14"/>
      <c r="I125" s="17"/>
      <c r="J125" s="16"/>
      <c r="K125" s="17"/>
      <c r="L125" s="17"/>
      <c r="N125" s="1"/>
      <c r="O125" s="42"/>
    </row>
    <row r="126">
      <c r="A126" s="16" t="str">
        <f t="shared" si="2"/>
        <v>2250123</v>
      </c>
      <c r="B126" s="43" t="s">
        <v>1866</v>
      </c>
      <c r="C126" s="50" t="s">
        <v>1399</v>
      </c>
      <c r="D126" s="18" t="s">
        <v>1400</v>
      </c>
      <c r="E126" s="44">
        <v>45989.513703703706</v>
      </c>
      <c r="F126" s="45">
        <v>45966.0</v>
      </c>
      <c r="G126" s="17"/>
      <c r="H126" s="14"/>
      <c r="I126" s="17"/>
      <c r="J126" s="16"/>
      <c r="K126" s="17"/>
      <c r="L126" s="16"/>
      <c r="N126" s="1"/>
      <c r="O126" s="42"/>
    </row>
    <row r="127">
      <c r="A127" s="16" t="str">
        <f t="shared" si="2"/>
        <v>2250126</v>
      </c>
      <c r="B127" s="43" t="s">
        <v>946</v>
      </c>
      <c r="C127" s="14" t="s">
        <v>55</v>
      </c>
      <c r="D127" s="18" t="s">
        <v>56</v>
      </c>
      <c r="E127" s="44">
        <v>45989.64078703704</v>
      </c>
      <c r="F127" s="45">
        <v>45793.0</v>
      </c>
      <c r="G127" s="17"/>
      <c r="H127" s="14"/>
      <c r="I127" s="17"/>
      <c r="J127" s="16"/>
      <c r="K127" s="17"/>
      <c r="L127" s="16"/>
      <c r="N127" s="1"/>
      <c r="O127" s="42"/>
    </row>
    <row r="128">
      <c r="A128" s="16" t="str">
        <f t="shared" si="2"/>
        <v>2250126</v>
      </c>
      <c r="B128" s="43" t="s">
        <v>997</v>
      </c>
      <c r="C128" s="14" t="s">
        <v>55</v>
      </c>
      <c r="D128" s="18" t="s">
        <v>56</v>
      </c>
      <c r="E128" s="44">
        <v>45989.64078703704</v>
      </c>
      <c r="F128" s="45">
        <v>45805.0</v>
      </c>
      <c r="G128" s="17"/>
      <c r="H128" s="14"/>
      <c r="I128" s="17"/>
      <c r="J128" s="16"/>
      <c r="K128" s="17"/>
      <c r="L128" s="17"/>
      <c r="N128" s="1"/>
      <c r="O128" s="42"/>
    </row>
    <row r="129">
      <c r="A129" s="16" t="str">
        <f t="shared" si="2"/>
        <v>2250126</v>
      </c>
      <c r="B129" s="43" t="s">
        <v>1155</v>
      </c>
      <c r="C129" s="14" t="s">
        <v>55</v>
      </c>
      <c r="D129" s="18" t="s">
        <v>56</v>
      </c>
      <c r="E129" s="44">
        <v>45989.64078703704</v>
      </c>
      <c r="F129" s="45">
        <v>45845.0</v>
      </c>
      <c r="G129" s="17"/>
      <c r="H129" s="14"/>
      <c r="I129" s="17"/>
      <c r="J129" s="16"/>
      <c r="K129" s="17"/>
      <c r="L129" s="17"/>
      <c r="N129" s="1"/>
      <c r="O129" s="42"/>
    </row>
    <row r="130">
      <c r="A130" s="16" t="str">
        <f t="shared" si="2"/>
        <v>2250126</v>
      </c>
      <c r="B130" s="43" t="s">
        <v>1251</v>
      </c>
      <c r="C130" s="14" t="s">
        <v>55</v>
      </c>
      <c r="D130" s="18" t="s">
        <v>56</v>
      </c>
      <c r="E130" s="44">
        <v>45989.64078703704</v>
      </c>
      <c r="F130" s="45">
        <v>45867.0</v>
      </c>
      <c r="G130" s="14"/>
      <c r="H130" s="14"/>
      <c r="I130" s="17"/>
      <c r="J130" s="16"/>
      <c r="K130" s="17"/>
      <c r="L130" s="17"/>
      <c r="N130" s="1"/>
      <c r="O130" s="42"/>
    </row>
    <row r="131">
      <c r="A131" s="16" t="str">
        <f t="shared" si="2"/>
        <v>2250126</v>
      </c>
      <c r="B131" s="43" t="s">
        <v>1344</v>
      </c>
      <c r="C131" s="14" t="s">
        <v>55</v>
      </c>
      <c r="D131" s="18" t="s">
        <v>56</v>
      </c>
      <c r="E131" s="44">
        <v>45989.64078703704</v>
      </c>
      <c r="F131" s="45">
        <v>45890.0</v>
      </c>
      <c r="G131" s="17"/>
      <c r="H131" s="14"/>
      <c r="I131" s="17"/>
      <c r="J131" s="16"/>
      <c r="K131" s="14"/>
      <c r="L131" s="17"/>
      <c r="N131" s="1"/>
      <c r="O131" s="42"/>
    </row>
    <row r="132">
      <c r="A132" s="16" t="str">
        <f t="shared" si="2"/>
        <v>2250126</v>
      </c>
      <c r="B132" s="43" t="s">
        <v>1421</v>
      </c>
      <c r="C132" s="14" t="s">
        <v>55</v>
      </c>
      <c r="D132" s="18" t="s">
        <v>56</v>
      </c>
      <c r="E132" s="44">
        <v>45989.64078703704</v>
      </c>
      <c r="F132" s="45">
        <v>45903.0</v>
      </c>
      <c r="G132" s="17"/>
      <c r="H132" s="14"/>
      <c r="I132" s="17"/>
      <c r="J132" s="16"/>
      <c r="K132" s="17"/>
      <c r="L132" s="20"/>
      <c r="N132" s="1"/>
      <c r="O132" s="42"/>
    </row>
    <row r="133">
      <c r="A133" s="16" t="str">
        <f t="shared" si="2"/>
        <v>2250126</v>
      </c>
      <c r="B133" s="43" t="s">
        <v>1595</v>
      </c>
      <c r="C133" s="14" t="s">
        <v>55</v>
      </c>
      <c r="D133" s="18" t="s">
        <v>56</v>
      </c>
      <c r="E133" s="44">
        <v>45989.64078703704</v>
      </c>
      <c r="F133" s="45">
        <v>45933.0</v>
      </c>
      <c r="G133" s="17"/>
      <c r="H133" s="14"/>
      <c r="I133" s="17"/>
      <c r="J133" s="16"/>
      <c r="K133" s="17"/>
      <c r="L133" s="14"/>
      <c r="N133" s="1"/>
      <c r="O133" s="42"/>
    </row>
    <row r="134">
      <c r="A134" s="16" t="str">
        <f t="shared" si="2"/>
        <v>2250126</v>
      </c>
      <c r="B134" s="43" t="s">
        <v>1851</v>
      </c>
      <c r="C134" s="14" t="s">
        <v>55</v>
      </c>
      <c r="D134" s="18" t="s">
        <v>56</v>
      </c>
      <c r="E134" s="44">
        <v>45989.64078703704</v>
      </c>
      <c r="F134" s="45">
        <v>45965.0</v>
      </c>
      <c r="G134" s="17"/>
      <c r="H134" s="14"/>
      <c r="I134" s="17"/>
      <c r="J134" s="16"/>
      <c r="K134" s="17"/>
      <c r="L134" s="20"/>
      <c r="N134" s="1"/>
      <c r="O134" s="42"/>
    </row>
    <row r="135">
      <c r="A135" s="16" t="str">
        <f t="shared" si="2"/>
        <v>2250126</v>
      </c>
      <c r="B135" s="43" t="s">
        <v>1967</v>
      </c>
      <c r="C135" s="14" t="s">
        <v>55</v>
      </c>
      <c r="D135" s="18" t="s">
        <v>56</v>
      </c>
      <c r="E135" s="44">
        <v>45989.64078703704</v>
      </c>
      <c r="F135" s="45">
        <v>45975.0</v>
      </c>
      <c r="G135" s="17"/>
      <c r="H135" s="14"/>
      <c r="I135" s="17"/>
      <c r="J135" s="16"/>
      <c r="K135" s="17"/>
      <c r="L135" s="20"/>
      <c r="N135" s="1"/>
      <c r="O135" s="42"/>
    </row>
    <row r="136">
      <c r="A136" s="16" t="str">
        <f t="shared" si="2"/>
        <v>2250126</v>
      </c>
      <c r="B136" s="43" t="s">
        <v>1990</v>
      </c>
      <c r="C136" s="14" t="s">
        <v>55</v>
      </c>
      <c r="D136" s="18" t="s">
        <v>56</v>
      </c>
      <c r="E136" s="44">
        <v>45989.64078703704</v>
      </c>
      <c r="F136" s="45">
        <v>45978.0</v>
      </c>
      <c r="G136" s="14"/>
      <c r="H136" s="14"/>
      <c r="I136" s="17"/>
      <c r="J136" s="16"/>
      <c r="K136" s="17"/>
      <c r="L136" s="17"/>
      <c r="N136" s="1"/>
      <c r="O136" s="42"/>
    </row>
    <row r="137">
      <c r="A137" s="16" t="str">
        <f t="shared" si="2"/>
        <v>2250136</v>
      </c>
      <c r="B137" s="43" t="s">
        <v>2062</v>
      </c>
      <c r="C137" s="14" t="s">
        <v>1830</v>
      </c>
      <c r="D137" s="18" t="s">
        <v>1831</v>
      </c>
      <c r="E137" s="44">
        <v>45990.36603009259</v>
      </c>
      <c r="F137" s="45">
        <v>45983.0</v>
      </c>
      <c r="G137" s="17"/>
      <c r="H137" s="14"/>
      <c r="I137" s="17"/>
      <c r="J137" s="16"/>
      <c r="K137" s="17"/>
      <c r="L137" s="14"/>
      <c r="N137" s="1"/>
      <c r="O137" s="42"/>
    </row>
    <row r="138">
      <c r="A138" s="16" t="str">
        <f t="shared" si="2"/>
        <v>2250136</v>
      </c>
      <c r="B138" s="43" t="s">
        <v>2095</v>
      </c>
      <c r="C138" s="14" t="s">
        <v>1830</v>
      </c>
      <c r="D138" s="18" t="s">
        <v>1831</v>
      </c>
      <c r="E138" s="44">
        <v>45990.36603009259</v>
      </c>
      <c r="F138" s="45">
        <v>45987.0</v>
      </c>
      <c r="G138" s="17"/>
      <c r="H138" s="14"/>
      <c r="I138" s="17"/>
      <c r="J138" s="16"/>
      <c r="K138" s="17"/>
      <c r="L138" s="16"/>
      <c r="N138" s="1"/>
      <c r="O138" s="42"/>
    </row>
    <row r="139">
      <c r="A139" s="16" t="str">
        <f t="shared" si="2"/>
        <v>2250138</v>
      </c>
      <c r="B139" s="43" t="s">
        <v>1704</v>
      </c>
      <c r="C139" s="14" t="s">
        <v>1705</v>
      </c>
      <c r="D139" s="18" t="s">
        <v>1706</v>
      </c>
      <c r="E139" s="44">
        <v>45999.42380787037</v>
      </c>
      <c r="F139" s="45">
        <v>45948.0</v>
      </c>
      <c r="G139" s="17"/>
      <c r="H139" s="14"/>
      <c r="I139" s="17"/>
      <c r="J139" s="16"/>
      <c r="K139" s="17"/>
      <c r="L139" s="20"/>
      <c r="N139" s="1"/>
      <c r="O139" s="42"/>
    </row>
    <row r="140">
      <c r="A140" s="16" t="str">
        <f t="shared" si="2"/>
        <v>2250138</v>
      </c>
      <c r="B140" s="43" t="s">
        <v>1918</v>
      </c>
      <c r="C140" s="14" t="s">
        <v>1705</v>
      </c>
      <c r="D140" s="18" t="s">
        <v>1706</v>
      </c>
      <c r="E140" s="44">
        <v>45999.42380787037</v>
      </c>
      <c r="F140" s="45">
        <v>45971.0</v>
      </c>
      <c r="G140" s="17"/>
      <c r="H140" s="14"/>
      <c r="I140" s="17"/>
      <c r="J140" s="16"/>
      <c r="K140" s="17"/>
      <c r="L140" s="20"/>
      <c r="N140" s="1"/>
      <c r="O140" s="46"/>
    </row>
    <row r="141">
      <c r="A141" s="16"/>
      <c r="B141" s="48"/>
      <c r="C141" s="14"/>
      <c r="D141" s="18"/>
      <c r="E141" s="44"/>
      <c r="F141" s="45"/>
      <c r="G141" s="17"/>
      <c r="H141" s="14"/>
      <c r="I141" s="17"/>
      <c r="J141" s="16"/>
      <c r="K141" s="17"/>
      <c r="L141" s="16"/>
      <c r="N141" s="1"/>
      <c r="O141" s="46"/>
    </row>
    <row r="142">
      <c r="A142" s="16" t="str">
        <f t="shared" ref="A142:A183" si="3">IF(ISBLANK($E142),"",TEXT($E142, "2yy") &amp; IFS($C141&amp;$E141=$C142&amp;$E142,TEXT(MATCH($C142&amp;$E142, INDEX($C$1:$C142 &amp; $E$1:$E142, 0, 1), 0)-1, "0000"), $C142=C141, TEXT(MATCH($C142&amp;$E142, INDEX($C$1:C142 &amp; $E$1:E142, 0, 1), 0)-1, "0000"),$C142&lt;&gt;$C141,TEXT(MATCH($C142&amp;$E142, INDEX($C$1:$C142 &amp; $E$1:$E142, 0, 1), 0)-1, "0000")))</f>
        <v>2250141</v>
      </c>
      <c r="B142" s="43" t="s">
        <v>2036</v>
      </c>
      <c r="C142" s="14" t="s">
        <v>1756</v>
      </c>
      <c r="D142" s="18" t="s">
        <v>1757</v>
      </c>
      <c r="E142" s="44">
        <v>45999.424155092594</v>
      </c>
      <c r="F142" s="45">
        <v>45981.0</v>
      </c>
      <c r="G142" s="17"/>
      <c r="H142" s="14"/>
      <c r="I142" s="17"/>
      <c r="J142" s="16"/>
      <c r="K142" s="17"/>
      <c r="L142" s="16"/>
      <c r="N142" s="1"/>
      <c r="O142" s="46"/>
    </row>
    <row r="143">
      <c r="A143" s="16" t="str">
        <f t="shared" si="3"/>
        <v>2250141</v>
      </c>
      <c r="B143" s="43" t="s">
        <v>2173</v>
      </c>
      <c r="C143" s="14" t="s">
        <v>1756</v>
      </c>
      <c r="D143" s="18" t="s">
        <v>1757</v>
      </c>
      <c r="E143" s="44">
        <v>45999.424155092594</v>
      </c>
      <c r="F143" s="45">
        <v>45996.0</v>
      </c>
      <c r="G143" s="17"/>
      <c r="H143" s="14"/>
      <c r="I143" s="17"/>
      <c r="J143" s="16"/>
      <c r="K143" s="17"/>
      <c r="L143" s="20"/>
      <c r="N143" s="1"/>
      <c r="O143" s="46"/>
    </row>
    <row r="144">
      <c r="A144" s="16" t="str">
        <f t="shared" si="3"/>
        <v>2250143</v>
      </c>
      <c r="B144" s="43" t="s">
        <v>2214</v>
      </c>
      <c r="C144" s="14" t="s">
        <v>2131</v>
      </c>
      <c r="D144" s="18" t="s">
        <v>2132</v>
      </c>
      <c r="E144" s="44">
        <v>46004.551932870374</v>
      </c>
      <c r="F144" s="45">
        <v>46001.0</v>
      </c>
      <c r="G144" s="17"/>
      <c r="H144" s="14"/>
      <c r="I144" s="17"/>
      <c r="J144" s="16"/>
      <c r="K144" s="17"/>
      <c r="L144" s="14"/>
      <c r="N144" s="1"/>
      <c r="O144" s="46"/>
    </row>
    <row r="145">
      <c r="A145" s="16" t="str">
        <f t="shared" si="3"/>
        <v>2250143</v>
      </c>
      <c r="B145" s="43" t="s">
        <v>2237</v>
      </c>
      <c r="C145" s="14" t="s">
        <v>2131</v>
      </c>
      <c r="D145" s="18" t="s">
        <v>2132</v>
      </c>
      <c r="E145" s="44">
        <v>46004.551932870374</v>
      </c>
      <c r="F145" s="45">
        <v>46002.0</v>
      </c>
      <c r="G145" s="17"/>
      <c r="H145" s="14"/>
      <c r="I145" s="17"/>
      <c r="J145" s="16"/>
      <c r="K145" s="17"/>
      <c r="L145" s="14"/>
      <c r="N145" s="1"/>
      <c r="O145" s="46"/>
    </row>
    <row r="146">
      <c r="A146" s="16" t="str">
        <f t="shared" si="3"/>
        <v>2250143</v>
      </c>
      <c r="B146" s="43" t="s">
        <v>2246</v>
      </c>
      <c r="C146" s="14" t="s">
        <v>2131</v>
      </c>
      <c r="D146" s="18" t="s">
        <v>2132</v>
      </c>
      <c r="E146" s="44">
        <v>46004.551932870374</v>
      </c>
      <c r="F146" s="45">
        <v>46003.0</v>
      </c>
      <c r="G146" s="17"/>
      <c r="H146" s="14"/>
      <c r="I146" s="17"/>
      <c r="J146" s="16"/>
      <c r="K146" s="17"/>
      <c r="L146" s="16"/>
      <c r="N146" s="1"/>
      <c r="O146" s="46"/>
    </row>
    <row r="147">
      <c r="A147" s="16" t="str">
        <f t="shared" si="3"/>
        <v>2250143</v>
      </c>
      <c r="B147" s="43" t="s">
        <v>2170</v>
      </c>
      <c r="C147" s="14" t="s">
        <v>2131</v>
      </c>
      <c r="D147" s="18" t="s">
        <v>2132</v>
      </c>
      <c r="E147" s="44">
        <v>46004.551932870374</v>
      </c>
      <c r="F147" s="45">
        <v>45996.0</v>
      </c>
      <c r="G147" s="17"/>
      <c r="H147" s="14"/>
      <c r="I147" s="17"/>
      <c r="J147" s="16"/>
      <c r="K147" s="17"/>
      <c r="L147" s="16"/>
      <c r="N147" s="1"/>
      <c r="O147" s="46"/>
    </row>
    <row r="148">
      <c r="A148" s="16" t="str">
        <f t="shared" si="3"/>
        <v>2250147</v>
      </c>
      <c r="B148" s="43" t="s">
        <v>2127</v>
      </c>
      <c r="C148" s="14" t="s">
        <v>45</v>
      </c>
      <c r="D148" s="18" t="s">
        <v>46</v>
      </c>
      <c r="E148" s="44">
        <v>46004.57607638889</v>
      </c>
      <c r="F148" s="45">
        <v>45990.0</v>
      </c>
      <c r="G148" s="17"/>
      <c r="H148" s="14"/>
      <c r="I148" s="17"/>
      <c r="J148" s="16"/>
      <c r="K148" s="17"/>
      <c r="L148" s="20"/>
      <c r="N148" s="1"/>
      <c r="O148" s="46"/>
    </row>
    <row r="149">
      <c r="A149" s="16" t="str">
        <f t="shared" si="3"/>
        <v>2250148</v>
      </c>
      <c r="B149" s="43" t="s">
        <v>2208</v>
      </c>
      <c r="C149" s="14" t="s">
        <v>45</v>
      </c>
      <c r="D149" s="18" t="s">
        <v>46</v>
      </c>
      <c r="E149" s="44">
        <v>46004.57633101852</v>
      </c>
      <c r="F149" s="45">
        <v>46000.0</v>
      </c>
      <c r="G149" s="17"/>
      <c r="H149" s="14"/>
      <c r="I149" s="17"/>
      <c r="J149" s="16"/>
      <c r="K149" s="17"/>
      <c r="L149" s="17"/>
      <c r="N149" s="1"/>
      <c r="O149" s="46"/>
    </row>
    <row r="150">
      <c r="A150" s="16" t="str">
        <f t="shared" si="3"/>
        <v>2250148</v>
      </c>
      <c r="B150" s="43" t="s">
        <v>2241</v>
      </c>
      <c r="C150" s="14" t="s">
        <v>45</v>
      </c>
      <c r="D150" s="18" t="s">
        <v>46</v>
      </c>
      <c r="E150" s="44">
        <v>46004.57633101852</v>
      </c>
      <c r="F150" s="45">
        <v>46003.0</v>
      </c>
      <c r="G150" s="17"/>
      <c r="H150" s="14"/>
      <c r="I150" s="17"/>
      <c r="J150" s="16"/>
      <c r="K150" s="17"/>
      <c r="L150" s="16"/>
      <c r="N150" s="1"/>
      <c r="O150" s="46"/>
    </row>
    <row r="151">
      <c r="A151" s="16" t="str">
        <f t="shared" si="3"/>
        <v>2250150</v>
      </c>
      <c r="B151" s="43" t="s">
        <v>2156</v>
      </c>
      <c r="C151" s="14" t="s">
        <v>1618</v>
      </c>
      <c r="D151" s="18" t="s">
        <v>1619</v>
      </c>
      <c r="E151" s="44">
        <v>46004.57655092593</v>
      </c>
      <c r="F151" s="45">
        <v>45994.0</v>
      </c>
      <c r="G151" s="17"/>
      <c r="H151" s="14"/>
      <c r="I151" s="17"/>
      <c r="J151" s="16"/>
      <c r="K151" s="17"/>
      <c r="L151" s="14"/>
      <c r="N151" s="1"/>
      <c r="O151" s="46"/>
    </row>
    <row r="152">
      <c r="A152" s="16" t="str">
        <f t="shared" si="3"/>
        <v>2250150</v>
      </c>
      <c r="B152" s="43" t="s">
        <v>2210</v>
      </c>
      <c r="C152" s="14" t="s">
        <v>1618</v>
      </c>
      <c r="D152" s="18" t="s">
        <v>1619</v>
      </c>
      <c r="E152" s="44">
        <v>46004.57655092593</v>
      </c>
      <c r="F152" s="45">
        <v>46000.0</v>
      </c>
      <c r="G152" s="17"/>
      <c r="H152" s="14"/>
      <c r="I152" s="17"/>
      <c r="J152" s="16"/>
      <c r="K152" s="17"/>
      <c r="L152" s="16"/>
      <c r="N152" s="1"/>
      <c r="O152" s="46"/>
    </row>
    <row r="153">
      <c r="A153" s="16" t="str">
        <f t="shared" si="3"/>
        <v>2250152</v>
      </c>
      <c r="B153" s="43" t="s">
        <v>2048</v>
      </c>
      <c r="C153" s="14" t="s">
        <v>1084</v>
      </c>
      <c r="D153" s="18" t="s">
        <v>1085</v>
      </c>
      <c r="E153" s="44">
        <v>46004.576886574076</v>
      </c>
      <c r="F153" s="45">
        <v>45982.0</v>
      </c>
      <c r="G153" s="17"/>
      <c r="H153" s="14"/>
      <c r="I153" s="17"/>
      <c r="J153" s="16"/>
      <c r="K153" s="17"/>
      <c r="L153" s="17"/>
      <c r="N153" s="1"/>
      <c r="O153" s="46"/>
    </row>
    <row r="154">
      <c r="A154" s="16" t="str">
        <f t="shared" si="3"/>
        <v>2250153</v>
      </c>
      <c r="B154" s="43" t="s">
        <v>2080</v>
      </c>
      <c r="C154" s="14" t="s">
        <v>2081</v>
      </c>
      <c r="D154" s="18" t="s">
        <v>2082</v>
      </c>
      <c r="E154" s="44">
        <v>46004.57759259259</v>
      </c>
      <c r="F154" s="45">
        <v>45986.0</v>
      </c>
      <c r="G154" s="17"/>
      <c r="H154" s="14"/>
      <c r="I154" s="17"/>
      <c r="J154" s="16"/>
      <c r="K154" s="17"/>
      <c r="L154" s="14"/>
      <c r="N154" s="1"/>
      <c r="O154" s="46"/>
    </row>
    <row r="155">
      <c r="A155" s="16" t="str">
        <f t="shared" si="3"/>
        <v>2250153</v>
      </c>
      <c r="B155" s="43" t="s">
        <v>2250</v>
      </c>
      <c r="C155" s="14" t="s">
        <v>2081</v>
      </c>
      <c r="D155" s="18" t="s">
        <v>2082</v>
      </c>
      <c r="E155" s="44">
        <v>46004.57759259259</v>
      </c>
      <c r="F155" s="45">
        <v>46004.0</v>
      </c>
      <c r="G155" s="17"/>
      <c r="H155" s="14"/>
      <c r="I155" s="17"/>
      <c r="J155" s="16"/>
      <c r="K155" s="17"/>
      <c r="L155" s="17"/>
      <c r="N155" s="1"/>
      <c r="O155" s="46"/>
    </row>
    <row r="156">
      <c r="A156" s="16" t="str">
        <f t="shared" si="3"/>
        <v>2250155</v>
      </c>
      <c r="B156" s="43" t="s">
        <v>2288</v>
      </c>
      <c r="C156" s="14" t="s">
        <v>2131</v>
      </c>
      <c r="D156" s="18" t="s">
        <v>2171</v>
      </c>
      <c r="E156" s="44">
        <v>46017.62144675926</v>
      </c>
      <c r="F156" s="45">
        <v>46007.0</v>
      </c>
      <c r="G156" s="17"/>
      <c r="H156" s="14"/>
      <c r="I156" s="17"/>
      <c r="J156" s="16"/>
      <c r="K156" s="17"/>
      <c r="L156" s="14"/>
      <c r="N156" s="1"/>
      <c r="O156" s="46"/>
    </row>
    <row r="157">
      <c r="A157" s="16" t="str">
        <f t="shared" si="3"/>
        <v>2250155</v>
      </c>
      <c r="B157" s="43" t="s">
        <v>2305</v>
      </c>
      <c r="C157" s="14" t="s">
        <v>2131</v>
      </c>
      <c r="D157" s="18" t="s">
        <v>2171</v>
      </c>
      <c r="E157" s="44">
        <v>46017.62144675926</v>
      </c>
      <c r="F157" s="45">
        <v>46009.0</v>
      </c>
      <c r="G157" s="17"/>
      <c r="H157" s="14"/>
      <c r="I157" s="17"/>
      <c r="J157" s="16"/>
      <c r="K157" s="17"/>
      <c r="L157" s="20"/>
      <c r="N157" s="1"/>
      <c r="O157" s="46"/>
    </row>
    <row r="158">
      <c r="A158" s="16" t="str">
        <f t="shared" si="3"/>
        <v>2250155</v>
      </c>
      <c r="B158" s="43" t="s">
        <v>2356</v>
      </c>
      <c r="C158" s="14" t="s">
        <v>2131</v>
      </c>
      <c r="D158" s="18" t="s">
        <v>2171</v>
      </c>
      <c r="E158" s="44">
        <v>46017.62144675926</v>
      </c>
      <c r="F158" s="45">
        <v>46014.0</v>
      </c>
      <c r="G158" s="17"/>
      <c r="H158" s="14"/>
      <c r="I158" s="17"/>
      <c r="J158" s="16"/>
      <c r="K158" s="17"/>
      <c r="L158" s="20"/>
      <c r="N158" s="1"/>
      <c r="O158" s="46"/>
    </row>
    <row r="159">
      <c r="A159" s="16" t="str">
        <f t="shared" si="3"/>
        <v>2250158</v>
      </c>
      <c r="B159" s="43" t="s">
        <v>2365</v>
      </c>
      <c r="C159" s="14" t="s">
        <v>45</v>
      </c>
      <c r="D159" s="18" t="s">
        <v>46</v>
      </c>
      <c r="E159" s="44">
        <v>46017.63550925926</v>
      </c>
      <c r="F159" s="45">
        <v>46015.0</v>
      </c>
      <c r="G159" s="17"/>
      <c r="H159" s="14"/>
      <c r="I159" s="17"/>
      <c r="J159" s="16"/>
      <c r="K159" s="17"/>
      <c r="L159" s="17"/>
      <c r="N159" s="1"/>
      <c r="O159" s="46"/>
    </row>
    <row r="160">
      <c r="A160" s="16" t="str">
        <f t="shared" si="3"/>
        <v>2250159</v>
      </c>
      <c r="B160" s="43" t="s">
        <v>2085</v>
      </c>
      <c r="C160" s="14" t="s">
        <v>1756</v>
      </c>
      <c r="D160" s="18" t="s">
        <v>1757</v>
      </c>
      <c r="E160" s="44">
        <v>46021.57486111111</v>
      </c>
      <c r="F160" s="45">
        <v>45986.0</v>
      </c>
      <c r="G160" s="17"/>
      <c r="H160" s="14"/>
      <c r="I160" s="17"/>
      <c r="J160" s="16"/>
      <c r="K160" s="17"/>
      <c r="L160" s="20"/>
      <c r="N160" s="1"/>
      <c r="O160" s="46"/>
    </row>
    <row r="161">
      <c r="A161" s="16" t="str">
        <f t="shared" si="3"/>
        <v>2250159</v>
      </c>
      <c r="B161" s="43" t="s">
        <v>2309</v>
      </c>
      <c r="C161" s="14" t="s">
        <v>1756</v>
      </c>
      <c r="D161" s="18" t="s">
        <v>1757</v>
      </c>
      <c r="E161" s="44">
        <v>46021.57486111111</v>
      </c>
      <c r="F161" s="45">
        <v>46009.0</v>
      </c>
      <c r="G161" s="17"/>
      <c r="H161" s="14"/>
      <c r="I161" s="17"/>
      <c r="J161" s="16"/>
      <c r="K161" s="17"/>
      <c r="L161" s="16"/>
      <c r="N161" s="1"/>
      <c r="O161" s="46"/>
    </row>
    <row r="162">
      <c r="A162" s="16" t="str">
        <f t="shared" si="3"/>
        <v>2250159</v>
      </c>
      <c r="B162" s="43" t="s">
        <v>2379</v>
      </c>
      <c r="C162" s="14" t="s">
        <v>1756</v>
      </c>
      <c r="D162" s="18" t="s">
        <v>1757</v>
      </c>
      <c r="E162" s="44">
        <v>46021.57486111111</v>
      </c>
      <c r="F162" s="45">
        <v>46017.0</v>
      </c>
      <c r="G162" s="17"/>
      <c r="H162" s="17"/>
      <c r="I162" s="17"/>
      <c r="J162" s="16"/>
      <c r="K162" s="17"/>
      <c r="L162" s="14"/>
      <c r="N162" s="1"/>
      <c r="O162" s="42"/>
    </row>
    <row r="163">
      <c r="A163" s="16" t="str">
        <f t="shared" si="3"/>
        <v>2250162</v>
      </c>
      <c r="B163" s="43" t="s">
        <v>2162</v>
      </c>
      <c r="C163" s="14" t="s">
        <v>1993</v>
      </c>
      <c r="D163" s="18" t="s">
        <v>1994</v>
      </c>
      <c r="E163" s="44">
        <v>46021.62006944444</v>
      </c>
      <c r="F163" s="45">
        <v>45995.0</v>
      </c>
      <c r="G163" s="14"/>
      <c r="H163" s="14"/>
      <c r="I163" s="17"/>
      <c r="J163" s="16"/>
      <c r="K163" s="17"/>
      <c r="L163" s="17"/>
      <c r="N163" s="1"/>
      <c r="O163" s="42"/>
    </row>
    <row r="164">
      <c r="A164" s="16" t="str">
        <f t="shared" si="3"/>
        <v>2250162</v>
      </c>
      <c r="B164" s="43" t="s">
        <v>2193</v>
      </c>
      <c r="C164" s="14" t="s">
        <v>1993</v>
      </c>
      <c r="D164" s="18" t="s">
        <v>1994</v>
      </c>
      <c r="E164" s="44">
        <v>46021.62006944444</v>
      </c>
      <c r="F164" s="45">
        <v>45999.0</v>
      </c>
      <c r="G164" s="17"/>
      <c r="H164" s="17"/>
      <c r="I164" s="17"/>
      <c r="J164" s="16"/>
      <c r="K164" s="17"/>
      <c r="L164" s="14"/>
      <c r="N164" s="1"/>
      <c r="O164" s="42"/>
    </row>
    <row r="165">
      <c r="A165" s="16" t="str">
        <f t="shared" si="3"/>
        <v>2250162</v>
      </c>
      <c r="B165" s="43" t="s">
        <v>2290</v>
      </c>
      <c r="C165" s="14" t="s">
        <v>1993</v>
      </c>
      <c r="D165" s="18" t="s">
        <v>1994</v>
      </c>
      <c r="E165" s="44">
        <v>46021.62006944444</v>
      </c>
      <c r="F165" s="45">
        <v>46007.0</v>
      </c>
      <c r="G165" s="17"/>
      <c r="H165" s="14"/>
      <c r="I165" s="17"/>
      <c r="J165" s="16"/>
      <c r="K165" s="17"/>
      <c r="L165" s="16"/>
      <c r="N165" s="1"/>
      <c r="O165" s="42"/>
    </row>
    <row r="166">
      <c r="A166" s="16" t="str">
        <f t="shared" si="3"/>
        <v>2250162</v>
      </c>
      <c r="B166" s="43" t="s">
        <v>2322</v>
      </c>
      <c r="C166" s="14" t="s">
        <v>1993</v>
      </c>
      <c r="D166" s="18" t="s">
        <v>1994</v>
      </c>
      <c r="E166" s="44">
        <v>46021.62006944444</v>
      </c>
      <c r="F166" s="45">
        <v>46010.0</v>
      </c>
      <c r="G166" s="17"/>
      <c r="H166" s="14"/>
      <c r="I166" s="17"/>
      <c r="J166" s="16"/>
      <c r="K166" s="17"/>
      <c r="L166" s="17"/>
      <c r="N166" s="1"/>
      <c r="O166" s="42"/>
    </row>
    <row r="167">
      <c r="A167" s="16" t="str">
        <f t="shared" si="3"/>
        <v>2250162</v>
      </c>
      <c r="B167" s="43" t="s">
        <v>2357</v>
      </c>
      <c r="C167" s="14" t="s">
        <v>1993</v>
      </c>
      <c r="D167" s="18" t="s">
        <v>1994</v>
      </c>
      <c r="E167" s="44">
        <v>46021.62006944444</v>
      </c>
      <c r="F167" s="45">
        <v>46014.0</v>
      </c>
      <c r="G167" s="17"/>
      <c r="H167" s="14"/>
      <c r="I167" s="17"/>
      <c r="J167" s="16"/>
      <c r="K167" s="17"/>
      <c r="L167" s="17"/>
      <c r="N167" s="1"/>
      <c r="O167" s="42"/>
    </row>
    <row r="168">
      <c r="A168" s="16" t="str">
        <f t="shared" si="3"/>
        <v>2250162</v>
      </c>
      <c r="B168" s="43" t="s">
        <v>2378</v>
      </c>
      <c r="C168" s="14" t="s">
        <v>1993</v>
      </c>
      <c r="D168" s="18" t="s">
        <v>1994</v>
      </c>
      <c r="E168" s="44">
        <v>46021.62006944444</v>
      </c>
      <c r="F168" s="45">
        <v>46017.0</v>
      </c>
      <c r="G168" s="17"/>
      <c r="H168" s="14"/>
      <c r="I168" s="17"/>
      <c r="J168" s="16"/>
      <c r="K168" s="17"/>
      <c r="L168" s="20"/>
      <c r="N168" s="1"/>
      <c r="O168" s="42"/>
    </row>
    <row r="169">
      <c r="A169" s="16" t="str">
        <f t="shared" si="3"/>
        <v>2260168</v>
      </c>
      <c r="B169" s="43" t="s">
        <v>2313</v>
      </c>
      <c r="C169" s="14" t="s">
        <v>2081</v>
      </c>
      <c r="D169" s="18" t="s">
        <v>2082</v>
      </c>
      <c r="E169" s="44">
        <v>46025.52578703704</v>
      </c>
      <c r="F169" s="45">
        <v>46009.0</v>
      </c>
      <c r="G169" s="17"/>
      <c r="H169" s="14"/>
      <c r="I169" s="17"/>
      <c r="J169" s="16"/>
      <c r="K169" s="17"/>
      <c r="L169" s="14"/>
      <c r="N169" s="1"/>
      <c r="O169" s="42"/>
    </row>
    <row r="170">
      <c r="A170" s="16" t="str">
        <f t="shared" si="3"/>
        <v>2260168</v>
      </c>
      <c r="B170" s="43" t="s">
        <v>2329</v>
      </c>
      <c r="C170" s="14" t="s">
        <v>2081</v>
      </c>
      <c r="D170" s="18" t="s">
        <v>2082</v>
      </c>
      <c r="E170" s="44">
        <v>46025.52578703704</v>
      </c>
      <c r="F170" s="45">
        <v>46010.0</v>
      </c>
      <c r="G170" s="14"/>
      <c r="H170" s="14"/>
      <c r="I170" s="17"/>
      <c r="J170" s="16"/>
      <c r="K170" s="14"/>
      <c r="L170" s="17"/>
      <c r="N170" s="1"/>
      <c r="O170" s="42"/>
    </row>
    <row r="171">
      <c r="A171" s="16" t="str">
        <f t="shared" si="3"/>
        <v>2260168</v>
      </c>
      <c r="B171" s="43" t="s">
        <v>2367</v>
      </c>
      <c r="C171" s="14" t="s">
        <v>2081</v>
      </c>
      <c r="D171" s="18" t="s">
        <v>2082</v>
      </c>
      <c r="E171" s="44">
        <v>46025.52578703704</v>
      </c>
      <c r="F171" s="45">
        <v>46015.0</v>
      </c>
      <c r="G171" s="17"/>
      <c r="H171" s="14"/>
      <c r="I171" s="17"/>
      <c r="J171" s="16"/>
      <c r="K171" s="17"/>
      <c r="L171" s="20"/>
      <c r="N171" s="1"/>
      <c r="O171" s="42"/>
    </row>
    <row r="172">
      <c r="A172" s="16" t="str">
        <f t="shared" si="3"/>
        <v>2260168</v>
      </c>
      <c r="B172" s="43" t="s">
        <v>2403</v>
      </c>
      <c r="C172" s="14" t="s">
        <v>2081</v>
      </c>
      <c r="D172" s="18" t="s">
        <v>2082</v>
      </c>
      <c r="E172" s="44">
        <v>46025.52578703704</v>
      </c>
      <c r="F172" s="45">
        <v>46020.0</v>
      </c>
      <c r="G172" s="17"/>
      <c r="H172" s="14"/>
      <c r="I172" s="17"/>
      <c r="J172" s="16"/>
      <c r="K172" s="14"/>
      <c r="L172" s="16"/>
      <c r="N172" s="1"/>
      <c r="O172" s="42"/>
    </row>
    <row r="173">
      <c r="A173" s="16" t="str">
        <f t="shared" si="3"/>
        <v>2260172</v>
      </c>
      <c r="B173" s="43" t="s">
        <v>2376</v>
      </c>
      <c r="C173" s="14" t="s">
        <v>1618</v>
      </c>
      <c r="D173" s="18" t="s">
        <v>1619</v>
      </c>
      <c r="E173" s="44">
        <v>46025.528391203705</v>
      </c>
      <c r="F173" s="45">
        <v>46017.0</v>
      </c>
      <c r="G173" s="17"/>
      <c r="H173" s="14"/>
      <c r="I173" s="17"/>
      <c r="J173" s="16"/>
      <c r="K173" s="17"/>
      <c r="L173" s="17"/>
      <c r="N173" s="1"/>
      <c r="O173" s="42"/>
    </row>
    <row r="174">
      <c r="A174" s="16" t="str">
        <f t="shared" si="3"/>
        <v>2260173</v>
      </c>
      <c r="B174" s="43" t="s">
        <v>1672</v>
      </c>
      <c r="C174" s="14" t="s">
        <v>213</v>
      </c>
      <c r="D174" s="18" t="s">
        <v>214</v>
      </c>
      <c r="E174" s="44">
        <v>46025.52900462963</v>
      </c>
      <c r="F174" s="45">
        <v>45944.0</v>
      </c>
      <c r="G174" s="14"/>
      <c r="H174" s="14"/>
      <c r="I174" s="17"/>
      <c r="J174" s="16"/>
      <c r="K174" s="14"/>
      <c r="L174" s="20"/>
      <c r="N174" s="1"/>
      <c r="O174" s="42"/>
    </row>
    <row r="175">
      <c r="A175" s="16" t="str">
        <f t="shared" si="3"/>
        <v>2260173</v>
      </c>
      <c r="B175" s="43" t="s">
        <v>2296</v>
      </c>
      <c r="C175" s="14" t="s">
        <v>213</v>
      </c>
      <c r="D175" s="18" t="s">
        <v>214</v>
      </c>
      <c r="E175" s="44">
        <v>46025.52900462963</v>
      </c>
      <c r="F175" s="45">
        <v>46008.0</v>
      </c>
      <c r="G175" s="17"/>
      <c r="H175" s="14"/>
      <c r="I175" s="17"/>
      <c r="J175" s="16"/>
      <c r="K175" s="17"/>
      <c r="L175" s="16"/>
      <c r="N175" s="1"/>
      <c r="O175" s="42"/>
    </row>
    <row r="176">
      <c r="A176" s="16" t="str">
        <f t="shared" si="3"/>
        <v>2260173</v>
      </c>
      <c r="B176" s="43" t="s">
        <v>2368</v>
      </c>
      <c r="C176" s="14" t="s">
        <v>213</v>
      </c>
      <c r="D176" s="18" t="s">
        <v>214</v>
      </c>
      <c r="E176" s="44">
        <v>46025.52900462963</v>
      </c>
      <c r="F176" s="45">
        <v>46015.0</v>
      </c>
      <c r="G176" s="17"/>
      <c r="H176" s="14"/>
      <c r="I176" s="17"/>
      <c r="J176" s="16"/>
      <c r="K176" s="17"/>
      <c r="L176" s="14"/>
      <c r="N176" s="1"/>
      <c r="O176" s="42"/>
    </row>
    <row r="177">
      <c r="A177" s="16" t="str">
        <f t="shared" si="3"/>
        <v>2260176</v>
      </c>
      <c r="B177" s="43" t="s">
        <v>1300</v>
      </c>
      <c r="C177" s="14" t="s">
        <v>679</v>
      </c>
      <c r="D177" s="18" t="s">
        <v>680</v>
      </c>
      <c r="E177" s="44">
        <v>46034.52307870371</v>
      </c>
      <c r="F177" s="45">
        <v>45878.0</v>
      </c>
      <c r="G177" s="17"/>
      <c r="H177" s="14"/>
      <c r="I177" s="17"/>
      <c r="J177" s="16"/>
      <c r="K177" s="17"/>
      <c r="L177" s="17"/>
      <c r="N177" s="1"/>
      <c r="O177" s="42"/>
    </row>
    <row r="178">
      <c r="A178" s="16" t="str">
        <f t="shared" si="3"/>
        <v>2260177</v>
      </c>
      <c r="B178" s="43" t="s">
        <v>2299</v>
      </c>
      <c r="C178" s="14" t="s">
        <v>55</v>
      </c>
      <c r="D178" s="18" t="s">
        <v>56</v>
      </c>
      <c r="E178" s="44">
        <v>46034.53637731481</v>
      </c>
      <c r="F178" s="45">
        <v>46008.0</v>
      </c>
      <c r="G178" s="17"/>
      <c r="H178" s="14"/>
      <c r="I178" s="17"/>
      <c r="J178" s="16"/>
      <c r="K178" s="17"/>
      <c r="L178" s="14"/>
      <c r="N178" s="1"/>
      <c r="O178" s="42"/>
    </row>
    <row r="179">
      <c r="A179" s="16" t="str">
        <f t="shared" si="3"/>
        <v>2260178</v>
      </c>
      <c r="B179" s="43" t="s">
        <v>2117</v>
      </c>
      <c r="C179" s="14" t="s">
        <v>1228</v>
      </c>
      <c r="D179" s="18" t="s">
        <v>1229</v>
      </c>
      <c r="E179" s="44">
        <v>46034.552511574075</v>
      </c>
      <c r="F179" s="45">
        <v>45989.0</v>
      </c>
      <c r="G179" s="17"/>
      <c r="H179" s="17"/>
      <c r="I179" s="17"/>
      <c r="J179" s="16"/>
      <c r="K179" s="17"/>
      <c r="L179" s="14"/>
      <c r="N179" s="1"/>
      <c r="O179" s="42"/>
    </row>
    <row r="180">
      <c r="A180" s="16" t="str">
        <f t="shared" si="3"/>
        <v>2260178</v>
      </c>
      <c r="B180" s="43" t="s">
        <v>2194</v>
      </c>
      <c r="C180" s="14" t="s">
        <v>1228</v>
      </c>
      <c r="D180" s="18" t="s">
        <v>1229</v>
      </c>
      <c r="E180" s="44">
        <v>46034.552511574075</v>
      </c>
      <c r="F180" s="45">
        <v>45999.0</v>
      </c>
      <c r="G180" s="17"/>
      <c r="H180" s="14"/>
      <c r="I180" s="17"/>
      <c r="J180" s="16"/>
      <c r="K180" s="17"/>
      <c r="L180" s="20"/>
      <c r="N180" s="1"/>
      <c r="O180" s="42"/>
    </row>
    <row r="181">
      <c r="A181" s="16" t="str">
        <f t="shared" si="3"/>
        <v>2260178</v>
      </c>
      <c r="B181" s="43" t="s">
        <v>2298</v>
      </c>
      <c r="C181" s="14" t="s">
        <v>1228</v>
      </c>
      <c r="D181" s="18" t="s">
        <v>1229</v>
      </c>
      <c r="E181" s="44">
        <v>46034.552511574075</v>
      </c>
      <c r="F181" s="45">
        <v>46009.0</v>
      </c>
      <c r="G181" s="17"/>
      <c r="H181" s="14"/>
      <c r="I181" s="17"/>
      <c r="J181" s="16"/>
      <c r="K181" s="17"/>
      <c r="L181" s="20"/>
      <c r="N181" s="1"/>
      <c r="O181" s="42"/>
    </row>
    <row r="182">
      <c r="A182" s="16" t="str">
        <f t="shared" si="3"/>
        <v>2260181</v>
      </c>
      <c r="B182" s="43" t="s">
        <v>2401</v>
      </c>
      <c r="C182" s="14" t="s">
        <v>1228</v>
      </c>
      <c r="D182" s="18" t="s">
        <v>1229</v>
      </c>
      <c r="E182" s="44">
        <v>46039.57233796296</v>
      </c>
      <c r="F182" s="45">
        <v>46020.0</v>
      </c>
      <c r="G182" s="14"/>
      <c r="H182" s="14"/>
      <c r="I182" s="17"/>
      <c r="J182" s="16"/>
      <c r="K182" s="14"/>
      <c r="L182" s="20"/>
      <c r="N182" s="1"/>
      <c r="O182" s="42"/>
    </row>
    <row r="183">
      <c r="A183" s="16" t="str">
        <f t="shared" si="3"/>
        <v>2260181</v>
      </c>
      <c r="B183" s="43" t="s">
        <v>2484</v>
      </c>
      <c r="C183" s="14" t="s">
        <v>1228</v>
      </c>
      <c r="D183" s="18" t="s">
        <v>1229</v>
      </c>
      <c r="E183" s="44">
        <v>46039.57233796296</v>
      </c>
      <c r="F183" s="45">
        <v>46030.0</v>
      </c>
      <c r="G183" s="17"/>
      <c r="H183" s="17"/>
      <c r="I183" s="17"/>
      <c r="J183" s="16"/>
      <c r="K183" s="17"/>
      <c r="L183" s="17"/>
      <c r="N183" s="1"/>
      <c r="O183" s="42"/>
    </row>
    <row r="184">
      <c r="A184" s="16"/>
      <c r="B184" s="48"/>
      <c r="C184" s="14"/>
      <c r="D184" s="18"/>
      <c r="E184" s="44"/>
      <c r="F184" s="45"/>
      <c r="G184" s="17"/>
      <c r="H184" s="14"/>
      <c r="I184" s="17"/>
      <c r="J184" s="16"/>
      <c r="K184" s="17"/>
      <c r="L184" s="14"/>
      <c r="N184" s="1"/>
      <c r="O184" s="42"/>
    </row>
    <row r="185">
      <c r="A185" s="16" t="str">
        <f t="shared" ref="A185:A195" si="4">IF(ISBLANK($E185),"",TEXT($E185, "2yy") &amp; IFS($C184&amp;$E184=$C185&amp;$E185,TEXT(MATCH($C185&amp;$E185, INDEX($C$1:$C185 &amp; $E$1:$E185, 0, 1), 0)-1, "0000"), $C185=C184, TEXT(MATCH($C185&amp;$E185, INDEX($C$1:C185 &amp; $E$1:E185, 0, 1), 0)-1, "0000"),$C185&lt;&gt;$C184,TEXT(MATCH($C185&amp;$E185, INDEX($C$1:$C185 &amp; $E$1:$E185, 0, 1), 0)-1, "0000")))</f>
        <v>2260184</v>
      </c>
      <c r="B185" s="43" t="s">
        <v>2422</v>
      </c>
      <c r="C185" s="14" t="s">
        <v>2131</v>
      </c>
      <c r="D185" s="18" t="s">
        <v>2171</v>
      </c>
      <c r="E185" s="44">
        <v>46039.57414351852</v>
      </c>
      <c r="F185" s="45">
        <v>46024.0</v>
      </c>
      <c r="G185" s="17"/>
      <c r="H185" s="14"/>
      <c r="I185" s="17"/>
      <c r="J185" s="16"/>
      <c r="K185" s="17"/>
      <c r="L185" s="14"/>
      <c r="N185" s="1"/>
      <c r="O185" s="42"/>
    </row>
    <row r="186">
      <c r="A186" s="16" t="str">
        <f t="shared" si="4"/>
        <v>2260184</v>
      </c>
      <c r="B186" s="43" t="s">
        <v>2490</v>
      </c>
      <c r="C186" s="14" t="s">
        <v>2131</v>
      </c>
      <c r="D186" s="18" t="s">
        <v>2171</v>
      </c>
      <c r="E186" s="44">
        <v>46039.57414351852</v>
      </c>
      <c r="F186" s="45">
        <v>46031.0</v>
      </c>
      <c r="G186" s="17"/>
      <c r="H186" s="14"/>
      <c r="I186" s="17"/>
      <c r="J186" s="16"/>
      <c r="K186" s="17"/>
      <c r="L186" s="16"/>
      <c r="N186" s="1"/>
      <c r="O186" s="42"/>
    </row>
    <row r="187">
      <c r="A187" s="16" t="str">
        <f t="shared" si="4"/>
        <v>2260184</v>
      </c>
      <c r="B187" s="43" t="s">
        <v>2388</v>
      </c>
      <c r="C187" s="14" t="s">
        <v>2131</v>
      </c>
      <c r="D187" s="18" t="s">
        <v>2171</v>
      </c>
      <c r="E187" s="44">
        <v>46039.57414351852</v>
      </c>
      <c r="F187" s="45">
        <v>46018.0</v>
      </c>
      <c r="G187" s="17"/>
      <c r="H187" s="14"/>
      <c r="I187" s="17"/>
      <c r="J187" s="16"/>
      <c r="K187" s="17"/>
      <c r="L187" s="20"/>
      <c r="N187" s="1"/>
      <c r="O187" s="42"/>
    </row>
    <row r="188">
      <c r="A188" s="16" t="str">
        <f t="shared" si="4"/>
        <v>2260187</v>
      </c>
      <c r="B188" s="43" t="s">
        <v>2519</v>
      </c>
      <c r="C188" s="14" t="s">
        <v>1993</v>
      </c>
      <c r="D188" s="18" t="s">
        <v>1994</v>
      </c>
      <c r="E188" s="44">
        <v>46048.50798611111</v>
      </c>
      <c r="F188" s="45">
        <v>46034.0</v>
      </c>
      <c r="G188" s="17"/>
      <c r="H188" s="14"/>
      <c r="I188" s="17"/>
      <c r="J188" s="16"/>
      <c r="K188" s="17"/>
      <c r="L188" s="20"/>
      <c r="N188" s="1"/>
      <c r="O188" s="42"/>
    </row>
    <row r="189">
      <c r="A189" s="16" t="str">
        <f t="shared" si="4"/>
        <v>2260187</v>
      </c>
      <c r="B189" s="43" t="s">
        <v>2541</v>
      </c>
      <c r="C189" s="14" t="s">
        <v>1993</v>
      </c>
      <c r="D189" s="18" t="s">
        <v>1994</v>
      </c>
      <c r="E189" s="44">
        <v>46048.50798611111</v>
      </c>
      <c r="F189" s="45">
        <v>46036.0</v>
      </c>
      <c r="G189" s="17"/>
      <c r="H189" s="14"/>
      <c r="I189" s="17"/>
      <c r="J189" s="16"/>
      <c r="K189" s="17"/>
      <c r="L189" s="20"/>
      <c r="N189" s="1"/>
      <c r="O189" s="42"/>
    </row>
    <row r="190">
      <c r="A190" s="16" t="str">
        <f t="shared" si="4"/>
        <v>2260187</v>
      </c>
      <c r="B190" s="43" t="s">
        <v>2571</v>
      </c>
      <c r="C190" s="14" t="s">
        <v>1993</v>
      </c>
      <c r="D190" s="18" t="s">
        <v>1994</v>
      </c>
      <c r="E190" s="44">
        <v>46048.50798611111</v>
      </c>
      <c r="F190" s="45">
        <v>46038.0</v>
      </c>
      <c r="G190" s="17"/>
      <c r="H190" s="14"/>
      <c r="I190" s="17"/>
      <c r="J190" s="16"/>
      <c r="K190" s="17"/>
      <c r="L190" s="14"/>
      <c r="N190" s="1"/>
      <c r="O190" s="42"/>
    </row>
    <row r="191">
      <c r="A191" s="16" t="str">
        <f t="shared" si="4"/>
        <v>2260187</v>
      </c>
      <c r="B191" s="43" t="s">
        <v>2602</v>
      </c>
      <c r="C191" s="14" t="s">
        <v>1993</v>
      </c>
      <c r="D191" s="18" t="s">
        <v>1994</v>
      </c>
      <c r="E191" s="44">
        <v>46048.50798611111</v>
      </c>
      <c r="F191" s="45">
        <v>46041.0</v>
      </c>
      <c r="G191" s="17"/>
      <c r="H191" s="14"/>
      <c r="I191" s="17"/>
      <c r="J191" s="16"/>
      <c r="K191" s="17"/>
      <c r="L191" s="14"/>
      <c r="N191" s="1"/>
      <c r="O191" s="42"/>
    </row>
    <row r="192">
      <c r="A192" s="16" t="str">
        <f t="shared" si="4"/>
        <v>2260187</v>
      </c>
      <c r="B192" s="43" t="s">
        <v>2603</v>
      </c>
      <c r="C192" s="14" t="s">
        <v>1993</v>
      </c>
      <c r="D192" s="18" t="s">
        <v>1994</v>
      </c>
      <c r="E192" s="44">
        <v>46048.50798611111</v>
      </c>
      <c r="F192" s="45">
        <v>46041.0</v>
      </c>
      <c r="G192" s="17"/>
      <c r="H192" s="17"/>
      <c r="I192" s="17"/>
      <c r="J192" s="16"/>
      <c r="K192" s="17"/>
      <c r="L192" s="16"/>
      <c r="N192" s="1"/>
      <c r="O192" s="42"/>
    </row>
    <row r="193">
      <c r="A193" s="16" t="str">
        <f t="shared" si="4"/>
        <v>2260187</v>
      </c>
      <c r="B193" s="43" t="s">
        <v>2650</v>
      </c>
      <c r="C193" s="14" t="s">
        <v>1993</v>
      </c>
      <c r="D193" s="18" t="s">
        <v>1994</v>
      </c>
      <c r="E193" s="44">
        <v>46048.50798611111</v>
      </c>
      <c r="F193" s="45">
        <v>46044.0</v>
      </c>
      <c r="G193" s="17"/>
      <c r="H193" s="14"/>
      <c r="I193" s="17"/>
      <c r="J193" s="16"/>
      <c r="K193" s="17"/>
      <c r="L193" s="16"/>
      <c r="N193" s="1"/>
      <c r="O193" s="42"/>
    </row>
    <row r="194">
      <c r="A194" s="16" t="str">
        <f t="shared" si="4"/>
        <v>2260187</v>
      </c>
      <c r="B194" s="43" t="s">
        <v>2670</v>
      </c>
      <c r="C194" s="14" t="s">
        <v>1993</v>
      </c>
      <c r="D194" s="18" t="s">
        <v>1994</v>
      </c>
      <c r="E194" s="44">
        <v>46048.50798611111</v>
      </c>
      <c r="F194" s="45">
        <v>46048.0</v>
      </c>
      <c r="G194" s="17"/>
      <c r="H194" s="14"/>
      <c r="I194" s="17"/>
      <c r="J194" s="16"/>
      <c r="K194" s="17"/>
      <c r="L194" s="20"/>
      <c r="N194" s="1"/>
      <c r="O194" s="42"/>
    </row>
    <row r="195">
      <c r="A195" s="16" t="str">
        <f t="shared" si="4"/>
        <v>2260194</v>
      </c>
      <c r="B195" s="43" t="s">
        <v>2586</v>
      </c>
      <c r="C195" s="14" t="s">
        <v>1618</v>
      </c>
      <c r="D195" s="18" t="s">
        <v>1619</v>
      </c>
      <c r="E195" s="44">
        <v>46051.5353125</v>
      </c>
      <c r="F195" s="45">
        <v>46039.0</v>
      </c>
      <c r="G195" s="14"/>
      <c r="H195" s="14"/>
      <c r="I195" s="17"/>
      <c r="J195" s="16"/>
      <c r="K195" s="14"/>
      <c r="L195" s="20"/>
      <c r="N195" s="1"/>
      <c r="O195" s="42"/>
    </row>
    <row r="196">
      <c r="A196" s="16"/>
      <c r="B196" s="48"/>
      <c r="C196" s="14"/>
      <c r="D196" s="18"/>
      <c r="E196" s="44"/>
      <c r="F196" s="45"/>
      <c r="G196" s="17"/>
      <c r="H196" s="14"/>
      <c r="I196" s="17"/>
      <c r="J196" s="16"/>
      <c r="K196" s="17"/>
      <c r="L196" s="14"/>
      <c r="N196" s="1"/>
      <c r="O196" s="46"/>
    </row>
    <row r="197">
      <c r="A197" s="16"/>
      <c r="B197" s="48"/>
      <c r="C197" s="14"/>
      <c r="D197" s="18"/>
      <c r="E197" s="44"/>
      <c r="F197" s="45"/>
      <c r="G197" s="17"/>
      <c r="H197" s="14"/>
      <c r="I197" s="17"/>
      <c r="J197" s="16"/>
      <c r="K197" s="17"/>
      <c r="L197" s="14"/>
      <c r="N197" s="1"/>
      <c r="O197" s="46"/>
    </row>
    <row r="198">
      <c r="A198" s="16"/>
      <c r="B198" s="48"/>
      <c r="C198" s="14"/>
      <c r="D198" s="18"/>
      <c r="E198" s="44"/>
      <c r="F198" s="45"/>
      <c r="G198" s="17"/>
      <c r="H198" s="14"/>
      <c r="I198" s="17"/>
      <c r="J198" s="16"/>
      <c r="K198" s="17"/>
      <c r="L198" s="16"/>
      <c r="N198" s="1"/>
      <c r="O198" s="46"/>
    </row>
    <row r="199">
      <c r="A199" s="16" t="str">
        <f t="shared" ref="A199:A231" si="5">IF(ISBLANK($E199),"",TEXT($E199, "2yy") &amp; IFS($C198&amp;$E198=$C199&amp;$E199,TEXT(MATCH($C199&amp;$E199, INDEX($C$1:$C199 &amp; $E$1:$E199, 0, 1), 0)-1, "0000"), $C199=C198, TEXT(MATCH($C199&amp;$E199, INDEX($C$1:C199 &amp; $E$1:E199, 0, 1), 0)-1, "0000"),$C199&lt;&gt;$C198,TEXT(MATCH($C199&amp;$E199, INDEX($C$1:$C199 &amp; $E$1:$E199, 0, 1), 0)-1, "0000")))</f>
        <v>2260198</v>
      </c>
      <c r="B199" s="43" t="s">
        <v>2400</v>
      </c>
      <c r="C199" s="14" t="s">
        <v>1084</v>
      </c>
      <c r="D199" s="18" t="s">
        <v>1085</v>
      </c>
      <c r="E199" s="44">
        <v>46051.53724537037</v>
      </c>
      <c r="F199" s="45">
        <v>46020.0</v>
      </c>
      <c r="G199" s="14"/>
      <c r="H199" s="14"/>
      <c r="I199" s="17"/>
      <c r="J199" s="16"/>
      <c r="K199" s="14"/>
      <c r="L199" s="14"/>
      <c r="N199" s="1"/>
      <c r="O199" s="46"/>
    </row>
    <row r="200">
      <c r="A200" s="16" t="str">
        <f t="shared" si="5"/>
        <v>2260198</v>
      </c>
      <c r="B200" s="43" t="s">
        <v>2432</v>
      </c>
      <c r="C200" s="14" t="s">
        <v>1084</v>
      </c>
      <c r="D200" s="18" t="s">
        <v>1085</v>
      </c>
      <c r="E200" s="44">
        <v>46051.53724537037</v>
      </c>
      <c r="F200" s="45">
        <v>46025.0</v>
      </c>
      <c r="G200" s="17"/>
      <c r="H200" s="14"/>
      <c r="I200" s="17"/>
      <c r="J200" s="16"/>
      <c r="K200" s="17"/>
      <c r="L200" s="17"/>
      <c r="N200" s="1"/>
      <c r="O200" s="46"/>
    </row>
    <row r="201">
      <c r="A201" s="16" t="str">
        <f t="shared" si="5"/>
        <v>2260200</v>
      </c>
      <c r="B201" s="43" t="s">
        <v>2191</v>
      </c>
      <c r="C201" s="14" t="s">
        <v>1705</v>
      </c>
      <c r="D201" s="18" t="s">
        <v>1706</v>
      </c>
      <c r="E201" s="44">
        <v>46051.537627314814</v>
      </c>
      <c r="F201" s="45">
        <v>45999.0</v>
      </c>
      <c r="G201" s="17"/>
      <c r="H201" s="14"/>
      <c r="I201" s="17"/>
      <c r="J201" s="16"/>
      <c r="K201" s="17"/>
      <c r="L201" s="20"/>
      <c r="N201" s="1"/>
      <c r="O201" s="46"/>
    </row>
    <row r="202">
      <c r="A202" s="16" t="str">
        <f t="shared" si="5"/>
        <v>2260200</v>
      </c>
      <c r="B202" s="43" t="s">
        <v>2463</v>
      </c>
      <c r="C202" s="14" t="s">
        <v>1705</v>
      </c>
      <c r="D202" s="18" t="s">
        <v>1706</v>
      </c>
      <c r="E202" s="44">
        <v>46051.537627314814</v>
      </c>
      <c r="F202" s="45">
        <v>46028.0</v>
      </c>
      <c r="G202" s="17"/>
      <c r="H202" s="14"/>
      <c r="I202" s="17"/>
      <c r="J202" s="16"/>
      <c r="K202" s="17"/>
      <c r="L202" s="14"/>
      <c r="N202" s="1"/>
      <c r="O202" s="42"/>
    </row>
    <row r="203">
      <c r="A203" s="16" t="str">
        <f t="shared" si="5"/>
        <v>2260200</v>
      </c>
      <c r="B203" s="43" t="s">
        <v>2662</v>
      </c>
      <c r="C203" s="14" t="s">
        <v>1705</v>
      </c>
      <c r="D203" s="18" t="s">
        <v>1706</v>
      </c>
      <c r="E203" s="44">
        <v>46051.537627314814</v>
      </c>
      <c r="F203" s="45">
        <v>46046.0</v>
      </c>
      <c r="G203" s="17"/>
      <c r="H203" s="14"/>
      <c r="I203" s="17"/>
      <c r="J203" s="16"/>
      <c r="K203" s="17"/>
      <c r="L203" s="17"/>
      <c r="N203" s="1"/>
      <c r="O203" s="46"/>
    </row>
    <row r="204">
      <c r="A204" s="16" t="str">
        <f t="shared" si="5"/>
        <v>2260203</v>
      </c>
      <c r="B204" s="43" t="s">
        <v>2609</v>
      </c>
      <c r="C204" s="14" t="s">
        <v>1756</v>
      </c>
      <c r="D204" s="18" t="s">
        <v>1757</v>
      </c>
      <c r="E204" s="44">
        <v>46051.53792824074</v>
      </c>
      <c r="F204" s="45">
        <v>46042.0</v>
      </c>
      <c r="G204" s="17"/>
      <c r="H204" s="14"/>
      <c r="I204" s="17"/>
      <c r="J204" s="16"/>
      <c r="K204" s="17"/>
      <c r="L204" s="17"/>
      <c r="N204" s="1"/>
      <c r="O204" s="46"/>
    </row>
    <row r="205">
      <c r="A205" s="16" t="str">
        <f t="shared" si="5"/>
        <v>2260204</v>
      </c>
      <c r="B205" s="43" t="s">
        <v>2639</v>
      </c>
      <c r="C205" s="14" t="s">
        <v>2640</v>
      </c>
      <c r="D205" s="18" t="s">
        <v>2641</v>
      </c>
      <c r="E205" s="44">
        <v>46053.55657407407</v>
      </c>
      <c r="F205" s="45">
        <v>46044.0</v>
      </c>
      <c r="G205" s="14"/>
      <c r="H205" s="14"/>
      <c r="I205" s="17"/>
      <c r="J205" s="16"/>
      <c r="K205" s="17"/>
      <c r="L205" s="16"/>
      <c r="N205" s="1"/>
      <c r="O205" s="46"/>
    </row>
    <row r="206">
      <c r="A206" s="16" t="str">
        <f t="shared" si="5"/>
        <v>2260204</v>
      </c>
      <c r="B206" s="43" t="s">
        <v>2643</v>
      </c>
      <c r="C206" s="14" t="s">
        <v>2640</v>
      </c>
      <c r="D206" s="18" t="s">
        <v>2641</v>
      </c>
      <c r="E206" s="44">
        <v>46053.55657407407</v>
      </c>
      <c r="F206" s="45">
        <v>46044.0</v>
      </c>
      <c r="G206" s="17"/>
      <c r="H206" s="14"/>
      <c r="I206" s="17"/>
      <c r="J206" s="16"/>
      <c r="K206" s="17"/>
      <c r="L206" s="21"/>
      <c r="N206" s="1"/>
      <c r="O206" s="42"/>
    </row>
    <row r="207">
      <c r="A207" s="16" t="str">
        <f t="shared" si="5"/>
        <v>2260204</v>
      </c>
      <c r="B207" s="43" t="s">
        <v>2695</v>
      </c>
      <c r="C207" s="14" t="s">
        <v>2640</v>
      </c>
      <c r="D207" s="18" t="s">
        <v>2641</v>
      </c>
      <c r="E207" s="44">
        <v>46053.55657407407</v>
      </c>
      <c r="F207" s="45">
        <v>46050.0</v>
      </c>
      <c r="G207" s="17"/>
      <c r="H207" s="17"/>
      <c r="I207" s="17"/>
      <c r="J207" s="16"/>
      <c r="K207" s="17"/>
      <c r="L207" s="20"/>
      <c r="N207" s="1"/>
      <c r="O207" s="42"/>
    </row>
    <row r="208">
      <c r="A208" s="16" t="str">
        <f t="shared" si="5"/>
        <v>2260204</v>
      </c>
      <c r="B208" s="43" t="s">
        <v>2741</v>
      </c>
      <c r="C208" s="14" t="s">
        <v>2640</v>
      </c>
      <c r="D208" s="18" t="s">
        <v>2641</v>
      </c>
      <c r="E208" s="44">
        <v>46053.55657407407</v>
      </c>
      <c r="F208" s="45">
        <v>46053.0</v>
      </c>
      <c r="G208" s="17"/>
      <c r="H208" s="14"/>
      <c r="I208" s="17"/>
      <c r="J208" s="16"/>
      <c r="K208" s="17"/>
      <c r="L208" s="20"/>
      <c r="N208" s="1"/>
      <c r="O208" s="42"/>
    </row>
    <row r="209">
      <c r="A209" s="16" t="str">
        <f t="shared" si="5"/>
        <v>2260208</v>
      </c>
      <c r="B209" s="43" t="s">
        <v>2685</v>
      </c>
      <c r="C209" s="14" t="s">
        <v>2686</v>
      </c>
      <c r="D209" s="18" t="s">
        <v>2687</v>
      </c>
      <c r="E209" s="44">
        <v>46058.612708333334</v>
      </c>
      <c r="F209" s="45">
        <v>46050.0</v>
      </c>
      <c r="G209" s="17"/>
      <c r="H209" s="17"/>
      <c r="I209" s="17"/>
      <c r="J209" s="16"/>
      <c r="K209" s="17"/>
      <c r="L209" s="16"/>
      <c r="N209" s="1"/>
      <c r="O209" s="42"/>
    </row>
    <row r="210">
      <c r="A210" s="16" t="str">
        <f t="shared" si="5"/>
        <v>2260209</v>
      </c>
      <c r="B210" s="43" t="s">
        <v>2645</v>
      </c>
      <c r="C210" s="14" t="s">
        <v>45</v>
      </c>
      <c r="D210" s="18" t="s">
        <v>46</v>
      </c>
      <c r="E210" s="44">
        <v>46064.45076388889</v>
      </c>
      <c r="F210" s="45">
        <v>46044.0</v>
      </c>
      <c r="G210" s="17"/>
      <c r="H210" s="17"/>
      <c r="I210" s="17"/>
      <c r="J210" s="16"/>
      <c r="K210" s="17"/>
      <c r="L210" s="14"/>
      <c r="N210" s="1"/>
      <c r="O210" s="42"/>
    </row>
    <row r="211">
      <c r="A211" s="16" t="str">
        <f t="shared" si="5"/>
        <v>2260210</v>
      </c>
      <c r="B211" s="43" t="s">
        <v>2783</v>
      </c>
      <c r="C211" s="14" t="s">
        <v>1618</v>
      </c>
      <c r="D211" s="18" t="s">
        <v>1619</v>
      </c>
      <c r="E211" s="44">
        <v>46064.45171296296</v>
      </c>
      <c r="F211" s="45">
        <v>46057.0</v>
      </c>
      <c r="G211" s="14"/>
      <c r="H211" s="17"/>
      <c r="I211" s="17"/>
      <c r="J211" s="16"/>
      <c r="K211" s="17"/>
      <c r="L211" s="14"/>
      <c r="N211" s="1"/>
      <c r="O211" s="42"/>
    </row>
    <row r="212">
      <c r="A212" s="16" t="str">
        <f t="shared" si="5"/>
        <v>2260211</v>
      </c>
      <c r="B212" s="43" t="s">
        <v>2764</v>
      </c>
      <c r="C212" s="14" t="s">
        <v>2640</v>
      </c>
      <c r="D212" s="18" t="s">
        <v>2641</v>
      </c>
      <c r="E212" s="44">
        <v>46066.52715277778</v>
      </c>
      <c r="F212" s="45">
        <v>46056.0</v>
      </c>
      <c r="G212" s="14"/>
      <c r="H212" s="17"/>
      <c r="I212" s="17"/>
      <c r="J212" s="16"/>
      <c r="K212" s="17"/>
      <c r="L212" s="14"/>
      <c r="N212" s="1"/>
      <c r="O212" s="42"/>
    </row>
    <row r="213">
      <c r="A213" s="16" t="str">
        <f t="shared" si="5"/>
        <v>2260211</v>
      </c>
      <c r="B213" s="43" t="s">
        <v>2798</v>
      </c>
      <c r="C213" s="14" t="s">
        <v>2640</v>
      </c>
      <c r="D213" s="18" t="s">
        <v>2641</v>
      </c>
      <c r="E213" s="44">
        <v>46066.52715277778</v>
      </c>
      <c r="F213" s="45">
        <v>46059.0</v>
      </c>
      <c r="G213" s="14"/>
      <c r="H213" s="17"/>
      <c r="I213" s="17"/>
      <c r="J213" s="16"/>
      <c r="K213" s="17"/>
      <c r="L213" s="14"/>
      <c r="N213" s="1"/>
      <c r="O213" s="42"/>
    </row>
    <row r="214">
      <c r="A214" s="16" t="str">
        <f t="shared" si="5"/>
        <v>2260211</v>
      </c>
      <c r="B214" s="43" t="s">
        <v>2832</v>
      </c>
      <c r="C214" s="14" t="s">
        <v>2640</v>
      </c>
      <c r="D214" s="18" t="s">
        <v>2641</v>
      </c>
      <c r="E214" s="44">
        <v>46066.52715277778</v>
      </c>
      <c r="F214" s="45">
        <v>46063.0</v>
      </c>
      <c r="G214" s="14"/>
      <c r="H214" s="14"/>
      <c r="I214" s="17"/>
      <c r="J214" s="16"/>
      <c r="K214" s="17"/>
      <c r="L214" s="20"/>
      <c r="N214" s="1"/>
      <c r="O214" s="42"/>
    </row>
    <row r="215">
      <c r="A215" s="16" t="str">
        <f t="shared" si="5"/>
        <v>2260211</v>
      </c>
      <c r="B215" s="43" t="s">
        <v>2855</v>
      </c>
      <c r="C215" s="14" t="s">
        <v>2640</v>
      </c>
      <c r="D215" s="18" t="s">
        <v>2641</v>
      </c>
      <c r="E215" s="44">
        <v>46066.52715277778</v>
      </c>
      <c r="F215" s="45">
        <v>46065.0</v>
      </c>
      <c r="G215" s="17"/>
      <c r="H215" s="14"/>
      <c r="I215" s="17"/>
      <c r="J215" s="16"/>
      <c r="K215" s="17"/>
      <c r="L215" s="20"/>
      <c r="N215" s="1"/>
      <c r="O215" s="42"/>
    </row>
    <row r="216">
      <c r="A216" s="16" t="str">
        <f t="shared" si="5"/>
        <v>2260215</v>
      </c>
      <c r="B216" s="43" t="s">
        <v>2696</v>
      </c>
      <c r="C216" s="14" t="s">
        <v>169</v>
      </c>
      <c r="D216" s="18" t="s">
        <v>170</v>
      </c>
      <c r="E216" s="44">
        <v>46066.5528125</v>
      </c>
      <c r="F216" s="45">
        <v>46050.0</v>
      </c>
      <c r="G216" s="17"/>
      <c r="H216" s="14"/>
      <c r="I216" s="17"/>
      <c r="J216" s="16"/>
      <c r="K216" s="17"/>
      <c r="L216" s="20"/>
      <c r="N216" s="1"/>
      <c r="O216" s="42"/>
    </row>
    <row r="217">
      <c r="A217" s="16" t="str">
        <f t="shared" si="5"/>
        <v>2260215</v>
      </c>
      <c r="B217" s="43" t="s">
        <v>2770</v>
      </c>
      <c r="C217" s="14" t="s">
        <v>169</v>
      </c>
      <c r="D217" s="18" t="s">
        <v>170</v>
      </c>
      <c r="E217" s="44">
        <v>46066.5528125</v>
      </c>
      <c r="F217" s="45">
        <v>46057.0</v>
      </c>
      <c r="G217" s="14"/>
      <c r="H217" s="14"/>
      <c r="I217" s="17"/>
      <c r="J217" s="16"/>
      <c r="K217" s="14"/>
      <c r="L217" s="17"/>
      <c r="N217" s="1"/>
      <c r="O217" s="42"/>
    </row>
    <row r="218">
      <c r="A218" s="16" t="str">
        <f t="shared" si="5"/>
        <v>2260217</v>
      </c>
      <c r="B218" s="43" t="s">
        <v>1586</v>
      </c>
      <c r="C218" s="14" t="s">
        <v>1587</v>
      </c>
      <c r="D218" s="18" t="s">
        <v>1588</v>
      </c>
      <c r="E218" s="44">
        <v>46066.67155092592</v>
      </c>
      <c r="F218" s="45">
        <v>45932.0</v>
      </c>
      <c r="G218" s="14"/>
      <c r="H218" s="14"/>
      <c r="I218" s="17"/>
      <c r="J218" s="16"/>
      <c r="K218" s="17"/>
      <c r="L218" s="14"/>
      <c r="N218" s="1"/>
      <c r="O218" s="42"/>
    </row>
    <row r="219">
      <c r="A219" s="16" t="str">
        <f t="shared" si="5"/>
        <v>2260217</v>
      </c>
      <c r="B219" s="43" t="s">
        <v>1772</v>
      </c>
      <c r="C219" s="14" t="s">
        <v>1587</v>
      </c>
      <c r="D219" s="18" t="s">
        <v>1588</v>
      </c>
      <c r="E219" s="44">
        <v>46066.67155092592</v>
      </c>
      <c r="F219" s="45">
        <v>45957.0</v>
      </c>
      <c r="G219" s="14"/>
      <c r="H219" s="14"/>
      <c r="I219" s="17"/>
      <c r="J219" s="16"/>
      <c r="K219" s="17"/>
      <c r="L219" s="14"/>
      <c r="N219" s="1"/>
      <c r="O219" s="42"/>
    </row>
    <row r="220">
      <c r="A220" s="16" t="str">
        <f t="shared" si="5"/>
        <v>2260217</v>
      </c>
      <c r="B220" s="43" t="s">
        <v>1824</v>
      </c>
      <c r="C220" s="14" t="s">
        <v>1587</v>
      </c>
      <c r="D220" s="18" t="s">
        <v>1588</v>
      </c>
      <c r="E220" s="44">
        <v>46066.67155092592</v>
      </c>
      <c r="F220" s="45">
        <v>45962.0</v>
      </c>
      <c r="G220" s="14"/>
      <c r="H220" s="14"/>
      <c r="I220" s="17"/>
      <c r="J220" s="16"/>
      <c r="K220" s="17"/>
      <c r="L220" s="14"/>
      <c r="N220" s="1"/>
      <c r="O220" s="42"/>
    </row>
    <row r="221">
      <c r="A221" s="16" t="str">
        <f t="shared" si="5"/>
        <v>2260220</v>
      </c>
      <c r="B221" s="43" t="s">
        <v>1586</v>
      </c>
      <c r="C221" s="14" t="s">
        <v>1587</v>
      </c>
      <c r="D221" s="18" t="s">
        <v>1588</v>
      </c>
      <c r="E221" s="44">
        <v>46066.67196759259</v>
      </c>
      <c r="F221" s="45">
        <v>45932.0</v>
      </c>
      <c r="G221" s="14"/>
      <c r="H221" s="14"/>
      <c r="I221" s="17"/>
      <c r="J221" s="16"/>
      <c r="K221" s="14"/>
      <c r="L221" s="20"/>
      <c r="N221" s="1"/>
      <c r="O221" s="42"/>
    </row>
    <row r="222">
      <c r="A222" s="16" t="str">
        <f t="shared" si="5"/>
        <v>2260220</v>
      </c>
      <c r="B222" s="43" t="s">
        <v>1772</v>
      </c>
      <c r="C222" s="14" t="s">
        <v>1587</v>
      </c>
      <c r="D222" s="18" t="s">
        <v>1588</v>
      </c>
      <c r="E222" s="44">
        <v>46066.67196759259</v>
      </c>
      <c r="F222" s="45">
        <v>45957.0</v>
      </c>
      <c r="G222" s="14"/>
      <c r="H222" s="17"/>
      <c r="I222" s="17"/>
      <c r="J222" s="16"/>
      <c r="K222" s="17"/>
      <c r="L222" s="20"/>
      <c r="N222" s="1"/>
      <c r="O222" s="42"/>
    </row>
    <row r="223">
      <c r="A223" s="16" t="str">
        <f t="shared" si="5"/>
        <v>2260220</v>
      </c>
      <c r="B223" s="43" t="s">
        <v>1824</v>
      </c>
      <c r="C223" s="14" t="s">
        <v>1587</v>
      </c>
      <c r="D223" s="18" t="s">
        <v>1588</v>
      </c>
      <c r="E223" s="44">
        <v>46066.67196759259</v>
      </c>
      <c r="F223" s="45">
        <v>45962.0</v>
      </c>
      <c r="G223" s="14"/>
      <c r="H223" s="17"/>
      <c r="I223" s="17"/>
      <c r="J223" s="16"/>
      <c r="K223" s="17"/>
      <c r="L223" s="17"/>
      <c r="N223" s="1"/>
      <c r="O223" s="42"/>
    </row>
    <row r="224">
      <c r="A224" s="16" t="str">
        <f t="shared" si="5"/>
        <v>2260223</v>
      </c>
      <c r="B224" s="43" t="s">
        <v>2881</v>
      </c>
      <c r="C224" s="14" t="s">
        <v>1587</v>
      </c>
      <c r="D224" s="18" t="s">
        <v>1588</v>
      </c>
      <c r="E224" s="44">
        <v>46066.67784722222</v>
      </c>
      <c r="F224" s="45">
        <v>46066.0</v>
      </c>
      <c r="G224" s="14"/>
      <c r="H224" s="17"/>
      <c r="I224" s="17"/>
      <c r="J224" s="16"/>
      <c r="K224" s="17"/>
      <c r="L224" s="17"/>
      <c r="N224" s="1"/>
      <c r="O224" s="42"/>
    </row>
    <row r="225">
      <c r="A225" s="16" t="str">
        <f t="shared" si="5"/>
        <v>2260224</v>
      </c>
      <c r="B225" s="43" t="s">
        <v>2912</v>
      </c>
      <c r="C225" s="14" t="s">
        <v>2913</v>
      </c>
      <c r="D225" s="18" t="s">
        <v>2914</v>
      </c>
      <c r="E225" s="44">
        <v>46071.53175925926</v>
      </c>
      <c r="F225" s="45">
        <v>46071.0</v>
      </c>
      <c r="G225" s="14"/>
      <c r="H225" s="14"/>
      <c r="I225" s="17"/>
      <c r="J225" s="16"/>
      <c r="K225" s="17"/>
      <c r="L225" s="14"/>
      <c r="N225" s="1"/>
      <c r="O225" s="42"/>
    </row>
    <row r="226">
      <c r="A226" s="16" t="str">
        <f t="shared" si="5"/>
        <v>2260225</v>
      </c>
      <c r="B226" s="43" t="s">
        <v>2880</v>
      </c>
      <c r="C226" s="14" t="s">
        <v>1084</v>
      </c>
      <c r="D226" s="18" t="s">
        <v>1085</v>
      </c>
      <c r="E226" s="44">
        <v>46073.502650462964</v>
      </c>
      <c r="F226" s="45">
        <v>46066.0</v>
      </c>
      <c r="G226" s="14"/>
      <c r="H226" s="17"/>
      <c r="I226" s="17"/>
      <c r="J226" s="16"/>
      <c r="K226" s="17"/>
      <c r="L226" s="16"/>
      <c r="N226" s="1"/>
      <c r="O226" s="42"/>
    </row>
    <row r="227">
      <c r="A227" s="16" t="str">
        <f t="shared" si="5"/>
        <v>2260225</v>
      </c>
      <c r="B227" s="43" t="s">
        <v>2893</v>
      </c>
      <c r="C227" s="14" t="s">
        <v>1084</v>
      </c>
      <c r="D227" s="18" t="s">
        <v>1085</v>
      </c>
      <c r="E227" s="44">
        <v>46073.502650462964</v>
      </c>
      <c r="F227" s="45">
        <v>46067.0</v>
      </c>
      <c r="G227" s="14"/>
      <c r="H227" s="14"/>
      <c r="I227" s="17"/>
      <c r="J227" s="16"/>
      <c r="K227" s="17"/>
      <c r="L227" s="20"/>
      <c r="N227" s="1"/>
      <c r="O227" s="42"/>
    </row>
    <row r="228">
      <c r="A228" s="16" t="str">
        <f t="shared" si="5"/>
        <v>2260227</v>
      </c>
      <c r="B228" s="43" t="s">
        <v>2945</v>
      </c>
      <c r="C228" s="14" t="s">
        <v>2913</v>
      </c>
      <c r="D228" s="18" t="s">
        <v>2914</v>
      </c>
      <c r="E228" s="44">
        <v>46074.37247685185</v>
      </c>
      <c r="F228" s="45">
        <v>46073.0</v>
      </c>
      <c r="G228" s="14"/>
      <c r="H228" s="14"/>
      <c r="I228" s="17"/>
      <c r="J228" s="16"/>
      <c r="K228" s="17"/>
      <c r="L228" s="17"/>
      <c r="N228" s="1"/>
      <c r="O228" s="42"/>
    </row>
    <row r="229">
      <c r="A229" s="16" t="str">
        <f t="shared" si="5"/>
        <v>2260228</v>
      </c>
      <c r="B229" s="43" t="s">
        <v>2845</v>
      </c>
      <c r="C229" s="14" t="s">
        <v>2131</v>
      </c>
      <c r="D229" s="18" t="s">
        <v>2132</v>
      </c>
      <c r="E229" s="44">
        <v>46076.633414351854</v>
      </c>
      <c r="F229" s="45">
        <v>46064.0</v>
      </c>
      <c r="G229" s="14"/>
      <c r="H229" s="14"/>
      <c r="I229" s="17"/>
      <c r="J229" s="16"/>
      <c r="K229" s="17"/>
      <c r="L229" s="20"/>
      <c r="N229" s="1"/>
      <c r="O229" s="42"/>
    </row>
    <row r="230">
      <c r="A230" s="16" t="str">
        <f t="shared" si="5"/>
        <v>2260229</v>
      </c>
      <c r="B230" s="43" t="s">
        <v>2962</v>
      </c>
      <c r="C230" s="14" t="s">
        <v>1618</v>
      </c>
      <c r="D230" s="18" t="s">
        <v>1619</v>
      </c>
      <c r="E230" s="44">
        <v>46076.63358796296</v>
      </c>
      <c r="F230" s="45">
        <v>46076.0</v>
      </c>
      <c r="G230" s="14"/>
      <c r="H230" s="17"/>
      <c r="I230" s="17"/>
      <c r="J230" s="16"/>
      <c r="K230" s="17"/>
      <c r="L230" s="17"/>
      <c r="N230" s="1"/>
      <c r="O230" s="42"/>
    </row>
    <row r="231">
      <c r="A231" s="16" t="str">
        <f t="shared" si="5"/>
        <v>2260230</v>
      </c>
      <c r="B231" s="43" t="s">
        <v>2439</v>
      </c>
      <c r="C231" s="14" t="s">
        <v>13</v>
      </c>
      <c r="D231" s="18" t="s">
        <v>14</v>
      </c>
      <c r="E231" s="44">
        <v>46076.634363425925</v>
      </c>
      <c r="F231" s="45">
        <v>46026.0</v>
      </c>
      <c r="G231" s="14"/>
      <c r="H231" s="14"/>
      <c r="I231" s="17"/>
      <c r="J231" s="16"/>
      <c r="K231" s="17"/>
      <c r="L231" s="14"/>
      <c r="N231" s="1"/>
      <c r="O231" s="42"/>
    </row>
    <row r="232">
      <c r="A232" s="16"/>
      <c r="B232" s="48"/>
      <c r="C232" s="14"/>
      <c r="D232" s="18"/>
      <c r="E232" s="44"/>
      <c r="F232" s="45"/>
      <c r="G232" s="14"/>
      <c r="H232" s="17"/>
      <c r="I232" s="17"/>
      <c r="J232" s="16"/>
      <c r="K232" s="17"/>
      <c r="L232" s="14"/>
      <c r="N232" s="1"/>
      <c r="O232" s="42"/>
    </row>
    <row r="233">
      <c r="A233" s="16" t="str">
        <f t="shared" ref="A233:A243" si="6">IF(ISBLANK($E233),"",TEXT($E233, "2yy") &amp; IFS($C232&amp;$E232=$C233&amp;$E233,TEXT(MATCH($C233&amp;$E233, INDEX($C$1:$C233 &amp; $E$1:$E233, 0, 1), 0)-1, "0000"), $C233=C232, TEXT(MATCH($C233&amp;$E233, INDEX($C$1:C233 &amp; $E$1:E233, 0, 1), 0)-1, "0000"),$C233&lt;&gt;$C232,TEXT(MATCH($C233&amp;$E233, INDEX($C$1:$C233 &amp; $E$1:$E233, 0, 1), 0)-1, "0000")))</f>
        <v>2260232</v>
      </c>
      <c r="B233" s="43" t="s">
        <v>2717</v>
      </c>
      <c r="C233" s="14" t="s">
        <v>1993</v>
      </c>
      <c r="D233" s="18" t="s">
        <v>1994</v>
      </c>
      <c r="E233" s="44">
        <v>46078.41979166667</v>
      </c>
      <c r="F233" s="45">
        <v>46051.0</v>
      </c>
      <c r="G233" s="14"/>
      <c r="H233" s="14"/>
      <c r="I233" s="17"/>
      <c r="J233" s="16"/>
      <c r="K233" s="17"/>
      <c r="L233" s="17"/>
      <c r="N233" s="1"/>
      <c r="O233" s="42"/>
    </row>
    <row r="234">
      <c r="A234" s="16" t="str">
        <f t="shared" si="6"/>
        <v>2260232</v>
      </c>
      <c r="B234" s="43" t="s">
        <v>2746</v>
      </c>
      <c r="C234" s="14" t="s">
        <v>1993</v>
      </c>
      <c r="D234" s="18" t="s">
        <v>1994</v>
      </c>
      <c r="E234" s="44">
        <v>46078.41979166667</v>
      </c>
      <c r="F234" s="45">
        <v>46055.0</v>
      </c>
      <c r="G234" s="14"/>
      <c r="H234" s="14"/>
      <c r="I234" s="17"/>
      <c r="J234" s="16"/>
      <c r="K234" s="17"/>
      <c r="L234" s="16"/>
      <c r="N234" s="1"/>
      <c r="O234" s="42"/>
    </row>
    <row r="235">
      <c r="A235" s="16" t="str">
        <f t="shared" si="6"/>
        <v>2260232</v>
      </c>
      <c r="B235" s="43" t="s">
        <v>2801</v>
      </c>
      <c r="C235" s="14" t="s">
        <v>1993</v>
      </c>
      <c r="D235" s="18" t="s">
        <v>1994</v>
      </c>
      <c r="E235" s="44">
        <v>46078.41979166667</v>
      </c>
      <c r="F235" s="45">
        <v>46059.0</v>
      </c>
      <c r="G235" s="14"/>
      <c r="H235" s="14"/>
      <c r="I235" s="17"/>
      <c r="J235" s="16"/>
      <c r="K235" s="17"/>
      <c r="L235" s="20"/>
      <c r="N235" s="1"/>
      <c r="O235" s="42"/>
    </row>
    <row r="236">
      <c r="A236" s="16" t="str">
        <f t="shared" si="6"/>
        <v>2260232</v>
      </c>
      <c r="B236" s="43" t="s">
        <v>2867</v>
      </c>
      <c r="C236" s="14" t="s">
        <v>1993</v>
      </c>
      <c r="D236" s="18" t="s">
        <v>1994</v>
      </c>
      <c r="E236" s="44">
        <v>46078.41979166667</v>
      </c>
      <c r="F236" s="45">
        <v>46066.0</v>
      </c>
      <c r="G236" s="14"/>
      <c r="H236" s="14"/>
      <c r="I236" s="17"/>
      <c r="J236" s="16"/>
      <c r="K236" s="17"/>
      <c r="L236" s="20"/>
      <c r="N236" s="1"/>
      <c r="O236" s="42"/>
    </row>
    <row r="237">
      <c r="A237" s="16" t="str">
        <f t="shared" si="6"/>
        <v>2260232</v>
      </c>
      <c r="B237" s="43" t="s">
        <v>2890</v>
      </c>
      <c r="C237" s="14" t="s">
        <v>1993</v>
      </c>
      <c r="D237" s="18" t="s">
        <v>1994</v>
      </c>
      <c r="E237" s="44">
        <v>46078.41979166667</v>
      </c>
      <c r="F237" s="45">
        <v>46067.0</v>
      </c>
      <c r="G237" s="14"/>
      <c r="H237" s="14"/>
      <c r="I237" s="17"/>
      <c r="J237" s="16"/>
      <c r="K237" s="17"/>
      <c r="L237" s="17"/>
      <c r="N237" s="1"/>
      <c r="O237" s="42"/>
    </row>
    <row r="238">
      <c r="A238" s="16" t="str">
        <f t="shared" si="6"/>
        <v>2260237</v>
      </c>
      <c r="B238" s="43" t="s">
        <v>2908</v>
      </c>
      <c r="C238" s="14" t="s">
        <v>2909</v>
      </c>
      <c r="D238" s="18" t="s">
        <v>2910</v>
      </c>
      <c r="E238" s="44">
        <v>46080.46262731482</v>
      </c>
      <c r="F238" s="45">
        <v>46071.0</v>
      </c>
      <c r="G238" s="14"/>
      <c r="H238" s="14"/>
      <c r="I238" s="17"/>
      <c r="J238" s="16"/>
      <c r="K238" s="17"/>
      <c r="L238" s="20"/>
      <c r="N238" s="1"/>
      <c r="O238" s="42"/>
    </row>
    <row r="239">
      <c r="A239" s="16" t="str">
        <f t="shared" si="6"/>
        <v>2260238</v>
      </c>
      <c r="B239" s="43" t="s">
        <v>2540</v>
      </c>
      <c r="C239" s="14" t="s">
        <v>55</v>
      </c>
      <c r="D239" s="18" t="s">
        <v>56</v>
      </c>
      <c r="E239" s="44">
        <v>46081.42107638889</v>
      </c>
      <c r="F239" s="45">
        <v>46036.0</v>
      </c>
      <c r="G239" s="14"/>
      <c r="H239" s="14"/>
      <c r="I239" s="17"/>
      <c r="J239" s="16"/>
      <c r="K239" s="17"/>
      <c r="L239" s="14"/>
      <c r="N239" s="1"/>
      <c r="O239" s="46"/>
    </row>
    <row r="240">
      <c r="A240" s="16" t="str">
        <f t="shared" si="6"/>
        <v>2260239</v>
      </c>
      <c r="B240" s="43" t="s">
        <v>2933</v>
      </c>
      <c r="C240" s="14" t="s">
        <v>2640</v>
      </c>
      <c r="D240" s="18" t="s">
        <v>2641</v>
      </c>
      <c r="E240" s="44">
        <v>46086.343831018516</v>
      </c>
      <c r="F240" s="45">
        <v>46072.0</v>
      </c>
      <c r="G240" s="14"/>
      <c r="H240" s="14"/>
      <c r="I240" s="17"/>
      <c r="J240" s="16"/>
      <c r="K240" s="17"/>
      <c r="L240" s="16"/>
      <c r="N240" s="1"/>
      <c r="O240" s="46"/>
    </row>
    <row r="241">
      <c r="A241" s="16" t="str">
        <f t="shared" si="6"/>
        <v>2260239</v>
      </c>
      <c r="B241" s="43" t="s">
        <v>2979</v>
      </c>
      <c r="C241" s="14" t="s">
        <v>2640</v>
      </c>
      <c r="D241" s="18" t="s">
        <v>2641</v>
      </c>
      <c r="E241" s="44">
        <v>46086.343831018516</v>
      </c>
      <c r="F241" s="45">
        <v>46077.0</v>
      </c>
      <c r="G241" s="14"/>
      <c r="H241" s="14"/>
      <c r="I241" s="17"/>
      <c r="J241" s="16"/>
      <c r="K241" s="17"/>
      <c r="L241" s="16"/>
      <c r="N241" s="1"/>
      <c r="O241" s="46"/>
    </row>
    <row r="242">
      <c r="A242" s="16" t="str">
        <f t="shared" si="6"/>
        <v>2260239</v>
      </c>
      <c r="B242" s="43" t="s">
        <v>3000</v>
      </c>
      <c r="C242" s="14" t="s">
        <v>2640</v>
      </c>
      <c r="D242" s="18" t="s">
        <v>2641</v>
      </c>
      <c r="E242" s="44">
        <v>46086.343831018516</v>
      </c>
      <c r="F242" s="45">
        <v>46079.0</v>
      </c>
      <c r="G242" s="14"/>
      <c r="H242" s="14"/>
      <c r="I242" s="17"/>
      <c r="J242" s="16"/>
      <c r="K242" s="17"/>
      <c r="L242" s="17"/>
      <c r="N242" s="1"/>
      <c r="O242" s="46"/>
    </row>
    <row r="243">
      <c r="A243" s="16" t="str">
        <f t="shared" si="6"/>
        <v>2260239</v>
      </c>
      <c r="B243" s="43" t="s">
        <v>3062</v>
      </c>
      <c r="C243" s="14" t="s">
        <v>2640</v>
      </c>
      <c r="D243" s="18" t="s">
        <v>2641</v>
      </c>
      <c r="E243" s="44">
        <v>46086.343831018516</v>
      </c>
      <c r="F243" s="45">
        <v>46085.0</v>
      </c>
      <c r="G243" s="14"/>
      <c r="H243" s="14"/>
      <c r="I243" s="17"/>
      <c r="J243" s="16"/>
      <c r="K243" s="17"/>
      <c r="L243" s="14"/>
      <c r="N243" s="1"/>
      <c r="O243" s="46"/>
    </row>
    <row r="244">
      <c r="A244" s="16"/>
      <c r="B244" s="48"/>
      <c r="C244" s="14"/>
      <c r="D244" s="18"/>
      <c r="E244" s="44"/>
      <c r="F244" s="45"/>
      <c r="G244" s="14"/>
      <c r="H244" s="14"/>
      <c r="I244" s="17"/>
      <c r="J244" s="16"/>
      <c r="K244" s="14"/>
      <c r="L244" s="20"/>
      <c r="N244" s="1"/>
      <c r="O244" s="46"/>
    </row>
    <row r="245">
      <c r="A245" s="16"/>
      <c r="B245" s="48"/>
      <c r="C245" s="14"/>
      <c r="D245" s="18"/>
      <c r="E245" s="44"/>
      <c r="F245" s="45"/>
      <c r="G245" s="14"/>
      <c r="H245" s="14"/>
      <c r="I245" s="17"/>
      <c r="J245" s="16"/>
      <c r="K245" s="17"/>
      <c r="L245" s="16"/>
      <c r="N245" s="1"/>
      <c r="O245" s="46"/>
    </row>
    <row r="246">
      <c r="A246" s="16"/>
      <c r="B246" s="48"/>
      <c r="C246" s="14"/>
      <c r="D246" s="18"/>
      <c r="E246" s="44"/>
      <c r="F246" s="45"/>
      <c r="G246" s="14"/>
      <c r="H246" s="14"/>
      <c r="I246" s="17"/>
      <c r="J246" s="16"/>
      <c r="K246" s="17"/>
      <c r="L246" s="16"/>
      <c r="N246" s="1"/>
      <c r="O246" s="46"/>
    </row>
    <row r="247">
      <c r="A247" s="16" t="str">
        <f t="shared" ref="A247:A272" si="7">IF(ISBLANK($E247),"",TEXT($E247, "2yy") &amp; IFS($C246&amp;$E246=$C247&amp;$E247,TEXT(MATCH($C247&amp;$E247, INDEX($C$1:$C247 &amp; $E$1:$E247, 0, 1), 0)-1, "0000"), $C247=C246, TEXT(MATCH($C247&amp;$E247, INDEX($C$1:C247 &amp; $E$1:E247, 0, 1), 0)-1, "0000"),$C247&lt;&gt;$C246,TEXT(MATCH($C247&amp;$E247, INDEX($C$1:$C247 &amp; $E$1:$E247, 0, 1), 0)-1, "0000")))</f>
        <v>2260246</v>
      </c>
      <c r="B247" s="43" t="s">
        <v>2953</v>
      </c>
      <c r="C247" s="14" t="s">
        <v>45</v>
      </c>
      <c r="D247" s="18" t="s">
        <v>46</v>
      </c>
      <c r="E247" s="44">
        <v>46086.364212962966</v>
      </c>
      <c r="F247" s="45">
        <v>46074.0</v>
      </c>
      <c r="G247" s="14"/>
      <c r="H247" s="14"/>
      <c r="I247" s="17"/>
      <c r="J247" s="16"/>
      <c r="K247" s="17"/>
      <c r="L247" s="20"/>
      <c r="N247" s="1"/>
      <c r="O247" s="46"/>
    </row>
    <row r="248">
      <c r="A248" s="16" t="str">
        <f t="shared" si="7"/>
        <v>2260246</v>
      </c>
      <c r="B248" s="43" t="s">
        <v>2978</v>
      </c>
      <c r="C248" s="14" t="s">
        <v>45</v>
      </c>
      <c r="D248" s="18" t="s">
        <v>46</v>
      </c>
      <c r="E248" s="44">
        <v>46086.364212962966</v>
      </c>
      <c r="F248" s="45">
        <v>46077.0</v>
      </c>
      <c r="G248" s="14"/>
      <c r="H248" s="14"/>
      <c r="I248" s="17"/>
      <c r="J248" s="16"/>
      <c r="K248" s="17"/>
      <c r="L248" s="17"/>
      <c r="N248" s="1"/>
      <c r="O248" s="46"/>
    </row>
    <row r="249">
      <c r="A249" s="16" t="str">
        <f t="shared" si="7"/>
        <v>2260248</v>
      </c>
      <c r="B249" s="43" t="s">
        <v>3058</v>
      </c>
      <c r="C249" s="14" t="s">
        <v>45</v>
      </c>
      <c r="D249" s="18" t="s">
        <v>46</v>
      </c>
      <c r="E249" s="44">
        <v>46086.36503472222</v>
      </c>
      <c r="F249" s="45">
        <v>46085.0</v>
      </c>
      <c r="G249" s="14"/>
      <c r="H249" s="14"/>
      <c r="I249" s="17"/>
      <c r="J249" s="16"/>
      <c r="K249" s="17"/>
      <c r="L249" s="16"/>
      <c r="N249" s="1"/>
      <c r="O249" s="46"/>
    </row>
    <row r="250">
      <c r="A250" s="16" t="str">
        <f t="shared" si="7"/>
        <v>2260249</v>
      </c>
      <c r="B250" s="43" t="s">
        <v>1808</v>
      </c>
      <c r="C250" s="14" t="s">
        <v>20</v>
      </c>
      <c r="D250" s="18" t="s">
        <v>21</v>
      </c>
      <c r="E250" s="44">
        <v>46088.54179398148</v>
      </c>
      <c r="F250" s="45">
        <v>45960.0</v>
      </c>
      <c r="G250" s="14"/>
      <c r="H250" s="14"/>
      <c r="I250" s="17"/>
      <c r="J250" s="16"/>
      <c r="K250" s="17"/>
      <c r="L250" s="16"/>
      <c r="N250" s="1"/>
      <c r="O250" s="46"/>
    </row>
    <row r="251">
      <c r="A251" s="16" t="str">
        <f t="shared" si="7"/>
        <v>2260249</v>
      </c>
      <c r="B251" s="43" t="s">
        <v>1860</v>
      </c>
      <c r="C251" s="14" t="s">
        <v>20</v>
      </c>
      <c r="D251" s="18" t="s">
        <v>21</v>
      </c>
      <c r="E251" s="44">
        <v>46088.54179398148</v>
      </c>
      <c r="F251" s="45">
        <v>45965.0</v>
      </c>
      <c r="G251" s="14"/>
      <c r="H251" s="14"/>
      <c r="I251" s="17"/>
      <c r="J251" s="16"/>
      <c r="K251" s="17"/>
      <c r="L251" s="14"/>
      <c r="N251" s="1"/>
      <c r="O251" s="46"/>
    </row>
    <row r="252">
      <c r="A252" s="16" t="str">
        <f t="shared" si="7"/>
        <v>2260249</v>
      </c>
      <c r="B252" s="43" t="s">
        <v>1887</v>
      </c>
      <c r="C252" s="14" t="s">
        <v>20</v>
      </c>
      <c r="D252" s="18" t="s">
        <v>21</v>
      </c>
      <c r="E252" s="44">
        <v>46088.54179398148</v>
      </c>
      <c r="F252" s="45">
        <v>45967.0</v>
      </c>
      <c r="G252" s="14"/>
      <c r="H252" s="17"/>
      <c r="I252" s="17"/>
      <c r="J252" s="16"/>
      <c r="K252" s="17"/>
      <c r="L252" s="14"/>
      <c r="N252" s="1"/>
      <c r="O252" s="46"/>
    </row>
    <row r="253">
      <c r="A253" s="16" t="str">
        <f t="shared" si="7"/>
        <v>2260249</v>
      </c>
      <c r="B253" s="43" t="s">
        <v>1921</v>
      </c>
      <c r="C253" s="14" t="s">
        <v>20</v>
      </c>
      <c r="D253" s="18" t="s">
        <v>21</v>
      </c>
      <c r="E253" s="44">
        <v>46088.54179398148</v>
      </c>
      <c r="F253" s="45">
        <v>45971.0</v>
      </c>
      <c r="G253" s="14"/>
      <c r="H253" s="14"/>
      <c r="I253" s="17"/>
      <c r="J253" s="16"/>
      <c r="K253" s="17"/>
      <c r="L253" s="17"/>
      <c r="N253" s="1"/>
      <c r="O253" s="46"/>
    </row>
    <row r="254">
      <c r="A254" s="16" t="str">
        <f t="shared" si="7"/>
        <v>2260253</v>
      </c>
      <c r="B254" s="43" t="s">
        <v>2768</v>
      </c>
      <c r="C254" s="14" t="s">
        <v>1745</v>
      </c>
      <c r="D254" s="18" t="s">
        <v>1746</v>
      </c>
      <c r="E254" s="44">
        <v>46092.48335648148</v>
      </c>
      <c r="F254" s="45">
        <v>46057.0</v>
      </c>
      <c r="G254" s="14"/>
      <c r="H254" s="14"/>
      <c r="I254" s="17"/>
      <c r="J254" s="16"/>
      <c r="K254" s="17"/>
      <c r="L254" s="14"/>
      <c r="N254" s="1"/>
      <c r="O254" s="42"/>
    </row>
    <row r="255">
      <c r="A255" s="16" t="str">
        <f t="shared" si="7"/>
        <v>2260253</v>
      </c>
      <c r="B255" s="43" t="s">
        <v>3135</v>
      </c>
      <c r="C255" s="14" t="s">
        <v>1745</v>
      </c>
      <c r="D255" s="18" t="s">
        <v>1746</v>
      </c>
      <c r="E255" s="44">
        <v>46092.48335648148</v>
      </c>
      <c r="F255" s="45">
        <v>46090.0</v>
      </c>
      <c r="G255" s="14"/>
      <c r="H255" s="14"/>
      <c r="I255" s="17"/>
      <c r="J255" s="16"/>
      <c r="K255" s="17"/>
      <c r="L255" s="16"/>
      <c r="N255" s="1"/>
      <c r="O255" s="42"/>
    </row>
    <row r="256">
      <c r="A256" s="16" t="str">
        <f t="shared" si="7"/>
        <v>2260255</v>
      </c>
      <c r="B256" s="43" t="s">
        <v>3135</v>
      </c>
      <c r="C256" s="14" t="s">
        <v>1745</v>
      </c>
      <c r="D256" s="18" t="s">
        <v>1746</v>
      </c>
      <c r="E256" s="44">
        <v>46092.48364583333</v>
      </c>
      <c r="F256" s="45">
        <v>46090.0</v>
      </c>
      <c r="G256" s="14"/>
      <c r="H256" s="14"/>
      <c r="I256" s="17"/>
      <c r="J256" s="16"/>
      <c r="K256" s="17"/>
      <c r="L256" s="17"/>
      <c r="N256" s="1"/>
      <c r="O256" s="42"/>
    </row>
    <row r="257">
      <c r="A257" s="16" t="str">
        <f t="shared" si="7"/>
        <v>2260256</v>
      </c>
      <c r="B257" s="43" t="s">
        <v>2723</v>
      </c>
      <c r="C257" s="14" t="s">
        <v>1756</v>
      </c>
      <c r="D257" s="18" t="s">
        <v>1757</v>
      </c>
      <c r="E257" s="44">
        <v>46094.61344907407</v>
      </c>
      <c r="F257" s="45">
        <v>46052.0</v>
      </c>
      <c r="G257" s="14"/>
      <c r="H257" s="14"/>
      <c r="I257" s="17"/>
      <c r="J257" s="16"/>
      <c r="K257" s="17"/>
      <c r="L257" s="17"/>
      <c r="N257" s="1"/>
      <c r="O257" s="42"/>
    </row>
    <row r="258">
      <c r="A258" s="16" t="str">
        <f t="shared" si="7"/>
        <v>2260256</v>
      </c>
      <c r="B258" s="43" t="s">
        <v>2871</v>
      </c>
      <c r="C258" s="14" t="s">
        <v>1756</v>
      </c>
      <c r="D258" s="18" t="s">
        <v>1757</v>
      </c>
      <c r="E258" s="44">
        <v>46094.61344907407</v>
      </c>
      <c r="F258" s="45">
        <v>46066.0</v>
      </c>
      <c r="G258" s="14"/>
      <c r="H258" s="14"/>
      <c r="I258" s="17"/>
      <c r="J258" s="16"/>
      <c r="K258" s="17"/>
      <c r="L258" s="17"/>
      <c r="N258" s="1"/>
      <c r="O258" s="42"/>
    </row>
    <row r="259">
      <c r="A259" s="16" t="str">
        <f t="shared" si="7"/>
        <v>2260256</v>
      </c>
      <c r="B259" s="43" t="s">
        <v>2968</v>
      </c>
      <c r="C259" s="14" t="s">
        <v>1756</v>
      </c>
      <c r="D259" s="18" t="s">
        <v>1757</v>
      </c>
      <c r="E259" s="44">
        <v>46094.61344907407</v>
      </c>
      <c r="F259" s="45">
        <v>46076.0</v>
      </c>
      <c r="G259" s="14"/>
      <c r="H259" s="17"/>
      <c r="I259" s="17"/>
      <c r="J259" s="16"/>
      <c r="K259" s="17"/>
      <c r="L259" s="17"/>
      <c r="N259" s="1"/>
      <c r="O259" s="42"/>
    </row>
    <row r="260">
      <c r="A260" s="16" t="str">
        <f t="shared" si="7"/>
        <v>2260256</v>
      </c>
      <c r="B260" s="43" t="s">
        <v>3022</v>
      </c>
      <c r="C260" s="14" t="s">
        <v>1756</v>
      </c>
      <c r="D260" s="18" t="s">
        <v>1757</v>
      </c>
      <c r="E260" s="44">
        <v>46094.61344907407</v>
      </c>
      <c r="F260" s="45">
        <v>46080.0</v>
      </c>
      <c r="G260" s="14"/>
      <c r="H260" s="14"/>
      <c r="I260" s="17"/>
      <c r="J260" s="16"/>
      <c r="K260" s="17"/>
      <c r="L260" s="14"/>
      <c r="N260" s="1"/>
      <c r="O260" s="42"/>
    </row>
    <row r="261">
      <c r="A261" s="16" t="str">
        <f t="shared" si="7"/>
        <v>2260256</v>
      </c>
      <c r="B261" s="43" t="s">
        <v>3143</v>
      </c>
      <c r="C261" s="14" t="s">
        <v>1756</v>
      </c>
      <c r="D261" s="18" t="s">
        <v>1757</v>
      </c>
      <c r="E261" s="44">
        <v>46094.61344907407</v>
      </c>
      <c r="F261" s="45">
        <v>46091.0</v>
      </c>
      <c r="G261" s="14"/>
      <c r="H261" s="14"/>
      <c r="I261" s="17"/>
      <c r="J261" s="16"/>
      <c r="K261" s="17"/>
      <c r="L261" s="17"/>
      <c r="N261" s="1"/>
      <c r="O261" s="42"/>
    </row>
    <row r="262">
      <c r="A262" s="16" t="str">
        <f t="shared" si="7"/>
        <v>2260256</v>
      </c>
      <c r="B262" s="43" t="s">
        <v>3189</v>
      </c>
      <c r="C262" s="14" t="s">
        <v>1756</v>
      </c>
      <c r="D262" s="18" t="s">
        <v>1757</v>
      </c>
      <c r="E262" s="44">
        <v>46094.61344907407</v>
      </c>
      <c r="F262" s="45">
        <v>46094.0</v>
      </c>
      <c r="G262" s="14"/>
      <c r="H262" s="14"/>
      <c r="I262" s="17"/>
      <c r="J262" s="16"/>
      <c r="K262" s="17"/>
      <c r="L262" s="17"/>
      <c r="N262" s="1"/>
      <c r="O262" s="42"/>
    </row>
    <row r="263">
      <c r="A263" s="16" t="str">
        <f t="shared" si="7"/>
        <v>2260262</v>
      </c>
      <c r="B263" s="43" t="s">
        <v>2812</v>
      </c>
      <c r="C263" s="14" t="s">
        <v>1705</v>
      </c>
      <c r="D263" s="18" t="s">
        <v>1706</v>
      </c>
      <c r="E263" s="44">
        <v>46094.61355324074</v>
      </c>
      <c r="F263" s="45">
        <v>46062.0</v>
      </c>
      <c r="G263" s="14"/>
      <c r="H263" s="14"/>
      <c r="I263" s="17"/>
      <c r="J263" s="16"/>
      <c r="K263" s="17"/>
      <c r="L263" s="17"/>
      <c r="N263" s="1"/>
      <c r="O263" s="42"/>
    </row>
    <row r="264">
      <c r="A264" s="16" t="str">
        <f t="shared" si="7"/>
        <v>2260262</v>
      </c>
      <c r="B264" s="43" t="s">
        <v>3001</v>
      </c>
      <c r="C264" s="14" t="s">
        <v>1705</v>
      </c>
      <c r="D264" s="18" t="s">
        <v>1706</v>
      </c>
      <c r="E264" s="44">
        <v>46094.61355324074</v>
      </c>
      <c r="F264" s="45">
        <v>46079.0</v>
      </c>
      <c r="G264" s="14"/>
      <c r="H264" s="14"/>
      <c r="I264" s="17"/>
      <c r="J264" s="16"/>
      <c r="K264" s="17"/>
      <c r="L264" s="20"/>
      <c r="N264" s="1"/>
      <c r="O264" s="42"/>
    </row>
    <row r="265">
      <c r="A265" s="16" t="str">
        <f t="shared" si="7"/>
        <v>2260264</v>
      </c>
      <c r="B265" s="43" t="s">
        <v>3116</v>
      </c>
      <c r="C265" s="14" t="s">
        <v>1084</v>
      </c>
      <c r="D265" s="18" t="s">
        <v>1085</v>
      </c>
      <c r="E265" s="44">
        <v>46095.47760416667</v>
      </c>
      <c r="F265" s="45">
        <v>46088.0</v>
      </c>
      <c r="G265" s="14"/>
      <c r="H265" s="14"/>
      <c r="I265" s="17"/>
      <c r="J265" s="16"/>
      <c r="K265" s="17"/>
      <c r="L265" s="20"/>
      <c r="N265" s="1"/>
      <c r="O265" s="42"/>
    </row>
    <row r="266">
      <c r="A266" s="16" t="str">
        <f t="shared" si="7"/>
        <v>2260264</v>
      </c>
      <c r="B266" s="43" t="s">
        <v>3156</v>
      </c>
      <c r="C266" s="14" t="s">
        <v>1084</v>
      </c>
      <c r="D266" s="18" t="s">
        <v>1085</v>
      </c>
      <c r="E266" s="44">
        <v>46095.47760416667</v>
      </c>
      <c r="F266" s="45">
        <v>46092.0</v>
      </c>
      <c r="G266" s="14"/>
      <c r="H266" s="14"/>
      <c r="I266" s="17"/>
      <c r="J266" s="16"/>
      <c r="K266" s="17"/>
      <c r="L266" s="20"/>
      <c r="N266" s="1"/>
      <c r="O266" s="42"/>
    </row>
    <row r="267">
      <c r="A267" s="16" t="str">
        <f t="shared" si="7"/>
        <v>2260266</v>
      </c>
      <c r="B267" s="43" t="s">
        <v>2765</v>
      </c>
      <c r="C267" s="14" t="s">
        <v>2081</v>
      </c>
      <c r="D267" s="18" t="s">
        <v>2082</v>
      </c>
      <c r="E267" s="44">
        <v>46095.57710648148</v>
      </c>
      <c r="F267" s="45">
        <v>46056.0</v>
      </c>
      <c r="G267" s="14"/>
      <c r="H267" s="14"/>
      <c r="I267" s="17"/>
      <c r="J267" s="16"/>
      <c r="K267" s="17"/>
      <c r="L267" s="17"/>
      <c r="N267" s="1"/>
      <c r="O267" s="42"/>
    </row>
    <row r="268">
      <c r="A268" s="16" t="str">
        <f t="shared" si="7"/>
        <v>2260266</v>
      </c>
      <c r="B268" s="43" t="s">
        <v>2808</v>
      </c>
      <c r="C268" s="14" t="s">
        <v>2081</v>
      </c>
      <c r="D268" s="18" t="s">
        <v>2082</v>
      </c>
      <c r="E268" s="44">
        <v>46095.57710648148</v>
      </c>
      <c r="F268" s="45">
        <v>46060.0</v>
      </c>
      <c r="G268" s="14"/>
      <c r="H268" s="14"/>
      <c r="I268" s="17"/>
      <c r="J268" s="16"/>
      <c r="K268" s="17"/>
      <c r="L268" s="17"/>
      <c r="N268" s="1"/>
      <c r="O268" s="42"/>
    </row>
    <row r="269">
      <c r="A269" s="16" t="str">
        <f t="shared" si="7"/>
        <v>2260266</v>
      </c>
      <c r="B269" s="43" t="s">
        <v>2849</v>
      </c>
      <c r="C269" s="14" t="s">
        <v>2081</v>
      </c>
      <c r="D269" s="18" t="s">
        <v>2082</v>
      </c>
      <c r="E269" s="44">
        <v>46095.57710648148</v>
      </c>
      <c r="F269" s="45">
        <v>46064.0</v>
      </c>
      <c r="G269" s="14"/>
      <c r="H269" s="17"/>
      <c r="I269" s="17"/>
      <c r="J269" s="16"/>
      <c r="K269" s="17"/>
      <c r="L269" s="20"/>
      <c r="N269" s="1"/>
      <c r="O269" s="42"/>
    </row>
    <row r="270">
      <c r="A270" s="16" t="str">
        <f t="shared" si="7"/>
        <v>2260266</v>
      </c>
      <c r="B270" s="43" t="s">
        <v>2932</v>
      </c>
      <c r="C270" s="14" t="s">
        <v>2081</v>
      </c>
      <c r="D270" s="18" t="s">
        <v>2082</v>
      </c>
      <c r="E270" s="44">
        <v>46095.57710648148</v>
      </c>
      <c r="F270" s="45">
        <v>46072.0</v>
      </c>
      <c r="G270" s="14"/>
      <c r="H270" s="14"/>
      <c r="I270" s="14"/>
      <c r="J270" s="16"/>
      <c r="K270" s="17"/>
      <c r="L270" s="16"/>
      <c r="N270" s="1"/>
      <c r="O270" s="42"/>
    </row>
    <row r="271">
      <c r="A271" s="16" t="str">
        <f t="shared" si="7"/>
        <v>2260266</v>
      </c>
      <c r="B271" s="43" t="s">
        <v>2971</v>
      </c>
      <c r="C271" s="14" t="s">
        <v>2081</v>
      </c>
      <c r="D271" s="18" t="s">
        <v>2082</v>
      </c>
      <c r="E271" s="44">
        <v>46095.57710648148</v>
      </c>
      <c r="F271" s="45">
        <v>46076.0</v>
      </c>
      <c r="G271" s="14"/>
      <c r="H271" s="17"/>
      <c r="I271" s="17"/>
      <c r="J271" s="16"/>
      <c r="K271" s="17"/>
      <c r="L271" s="16"/>
      <c r="N271" s="1"/>
      <c r="O271" s="42"/>
    </row>
    <row r="272">
      <c r="A272" s="16" t="str">
        <f t="shared" si="7"/>
        <v>2260266</v>
      </c>
      <c r="B272" s="43" t="s">
        <v>2980</v>
      </c>
      <c r="C272" s="14" t="s">
        <v>2081</v>
      </c>
      <c r="D272" s="18" t="s">
        <v>2082</v>
      </c>
      <c r="E272" s="44">
        <v>46095.57710648148</v>
      </c>
      <c r="F272" s="45">
        <v>46077.0</v>
      </c>
      <c r="G272" s="14"/>
      <c r="H272" s="14"/>
      <c r="I272" s="14"/>
      <c r="J272" s="16"/>
      <c r="K272" s="17"/>
      <c r="L272" s="16"/>
      <c r="N272" s="1"/>
      <c r="O272" s="42"/>
    </row>
    <row r="273">
      <c r="A273" s="16"/>
      <c r="B273" s="48"/>
      <c r="C273" s="14"/>
      <c r="D273" s="18"/>
      <c r="E273" s="44"/>
      <c r="F273" s="45"/>
      <c r="G273" s="14"/>
      <c r="H273" s="14"/>
      <c r="I273" s="14"/>
      <c r="J273" s="16"/>
      <c r="K273" s="17"/>
      <c r="L273" s="17"/>
      <c r="N273" s="1"/>
      <c r="O273" s="42"/>
    </row>
    <row r="274">
      <c r="A274" s="16" t="str">
        <f t="shared" ref="A274:A310" si="8">IF(ISBLANK($E274),"",TEXT($E274, "2yy") &amp; IFS($C273&amp;$E273=$C274&amp;$E274,TEXT(MATCH($C274&amp;$E274, INDEX($C$1:$C274 &amp; $E$1:$E274, 0, 1), 0)-1, "0000"), $C274=C273, TEXT(MATCH($C274&amp;$E274, INDEX($C$1:C274 &amp; $E$1:E274, 0, 1), 0)-1, "0000"),$C274&lt;&gt;$C273,TEXT(MATCH($C274&amp;$E274, INDEX($C$1:$C274 &amp; $E$1:$E274, 0, 1), 0)-1, "0000")))</f>
        <v>2260273</v>
      </c>
      <c r="B274" s="43" t="s">
        <v>2721</v>
      </c>
      <c r="C274" s="14" t="s">
        <v>1228</v>
      </c>
      <c r="D274" s="18" t="s">
        <v>1229</v>
      </c>
      <c r="E274" s="44">
        <v>46095.582233796296</v>
      </c>
      <c r="F274" s="45">
        <v>46052.0</v>
      </c>
      <c r="G274" s="14"/>
      <c r="H274" s="14"/>
      <c r="I274" s="17"/>
      <c r="J274" s="16"/>
      <c r="K274" s="17"/>
      <c r="L274" s="17"/>
      <c r="N274" s="1"/>
      <c r="O274" s="42"/>
    </row>
    <row r="275">
      <c r="A275" s="16" t="str">
        <f t="shared" si="8"/>
        <v>2260273</v>
      </c>
      <c r="B275" s="43" t="s">
        <v>3017</v>
      </c>
      <c r="C275" s="14" t="s">
        <v>1228</v>
      </c>
      <c r="D275" s="18" t="s">
        <v>1229</v>
      </c>
      <c r="E275" s="44">
        <v>46095.582233796296</v>
      </c>
      <c r="F275" s="45">
        <v>46080.0</v>
      </c>
      <c r="G275" s="14"/>
      <c r="H275" s="14"/>
      <c r="I275" s="17"/>
      <c r="J275" s="16"/>
      <c r="K275" s="17"/>
      <c r="L275" s="17"/>
      <c r="N275" s="1"/>
      <c r="O275" s="42"/>
    </row>
    <row r="276">
      <c r="A276" s="16" t="str">
        <f t="shared" si="8"/>
        <v>2260273</v>
      </c>
      <c r="B276" s="43" t="s">
        <v>3038</v>
      </c>
      <c r="C276" s="14" t="s">
        <v>1228</v>
      </c>
      <c r="D276" s="18" t="s">
        <v>1229</v>
      </c>
      <c r="E276" s="44">
        <v>46095.582233796296</v>
      </c>
      <c r="F276" s="45">
        <v>46083.0</v>
      </c>
      <c r="G276" s="14"/>
      <c r="H276" s="14"/>
      <c r="I276" s="14"/>
      <c r="J276" s="16"/>
      <c r="K276" s="17"/>
      <c r="L276" s="14"/>
      <c r="N276" s="1"/>
      <c r="O276" s="42"/>
    </row>
    <row r="277">
      <c r="A277" s="16" t="str">
        <f t="shared" si="8"/>
        <v>2260273</v>
      </c>
      <c r="B277" s="43" t="s">
        <v>3153</v>
      </c>
      <c r="C277" s="14" t="s">
        <v>1228</v>
      </c>
      <c r="D277" s="18" t="s">
        <v>1229</v>
      </c>
      <c r="E277" s="44">
        <v>46095.582233796296</v>
      </c>
      <c r="F277" s="45">
        <v>46092.0</v>
      </c>
      <c r="G277" s="14"/>
      <c r="H277" s="14"/>
      <c r="I277" s="14"/>
      <c r="J277" s="16"/>
      <c r="K277" s="17"/>
      <c r="L277" s="16"/>
      <c r="N277" s="1"/>
      <c r="O277" s="42"/>
    </row>
    <row r="278">
      <c r="A278" s="16" t="str">
        <f t="shared" si="8"/>
        <v>2260277</v>
      </c>
      <c r="B278" s="43" t="s">
        <v>2224</v>
      </c>
      <c r="C278" s="14" t="s">
        <v>1904</v>
      </c>
      <c r="D278" s="18" t="s">
        <v>1905</v>
      </c>
      <c r="E278" s="44">
        <v>46095.59173611111</v>
      </c>
      <c r="F278" s="45">
        <v>46001.0</v>
      </c>
      <c r="G278" s="14"/>
      <c r="H278" s="14"/>
      <c r="I278" s="14"/>
      <c r="J278" s="16"/>
      <c r="K278" s="17"/>
      <c r="L278" s="18"/>
      <c r="N278" s="1"/>
      <c r="O278" s="42"/>
    </row>
    <row r="279">
      <c r="A279" s="16" t="str">
        <f t="shared" si="8"/>
        <v>2260277</v>
      </c>
      <c r="B279" s="43" t="s">
        <v>3054</v>
      </c>
      <c r="C279" s="14" t="s">
        <v>1904</v>
      </c>
      <c r="D279" s="18" t="s">
        <v>1905</v>
      </c>
      <c r="E279" s="44">
        <v>46095.59173611111</v>
      </c>
      <c r="F279" s="45">
        <v>46084.0</v>
      </c>
      <c r="G279" s="14"/>
      <c r="H279" s="14"/>
      <c r="I279" s="17"/>
      <c r="J279" s="16"/>
      <c r="K279" s="17"/>
      <c r="L279" s="16"/>
      <c r="N279" s="1"/>
      <c r="O279" s="42"/>
    </row>
    <row r="280">
      <c r="A280" s="16" t="str">
        <f t="shared" si="8"/>
        <v>2260277</v>
      </c>
      <c r="B280" s="43" t="s">
        <v>3063</v>
      </c>
      <c r="C280" s="14" t="s">
        <v>1904</v>
      </c>
      <c r="D280" s="18" t="s">
        <v>1905</v>
      </c>
      <c r="E280" s="44">
        <v>46095.59173611111</v>
      </c>
      <c r="F280" s="45">
        <v>46085.0</v>
      </c>
      <c r="G280" s="14"/>
      <c r="H280" s="14"/>
      <c r="I280" s="17"/>
      <c r="J280" s="16"/>
      <c r="K280" s="17"/>
      <c r="L280" s="17"/>
      <c r="N280" s="1"/>
      <c r="O280" s="42"/>
    </row>
    <row r="281">
      <c r="A281" s="16" t="str">
        <f t="shared" si="8"/>
        <v>2260277</v>
      </c>
      <c r="B281" s="43" t="s">
        <v>3094</v>
      </c>
      <c r="C281" s="14" t="s">
        <v>1904</v>
      </c>
      <c r="D281" s="18" t="s">
        <v>1905</v>
      </c>
      <c r="E281" s="44">
        <v>46095.59173611111</v>
      </c>
      <c r="F281" s="45">
        <v>46087.0</v>
      </c>
      <c r="G281" s="14"/>
      <c r="H281" s="14"/>
      <c r="I281" s="17"/>
      <c r="J281" s="16"/>
      <c r="K281" s="17"/>
      <c r="L281" s="17"/>
      <c r="N281" s="1"/>
      <c r="O281" s="42"/>
    </row>
    <row r="282">
      <c r="A282" s="16" t="str">
        <f t="shared" si="8"/>
        <v>2260281</v>
      </c>
      <c r="B282" s="43" t="s">
        <v>2991</v>
      </c>
      <c r="C282" s="14" t="s">
        <v>1993</v>
      </c>
      <c r="D282" s="18" t="s">
        <v>1994</v>
      </c>
      <c r="E282" s="44">
        <v>46107.5321875</v>
      </c>
      <c r="F282" s="45">
        <v>46078.0</v>
      </c>
      <c r="G282" s="14"/>
      <c r="H282" s="14"/>
      <c r="I282" s="17"/>
      <c r="J282" s="16"/>
      <c r="K282" s="17"/>
      <c r="L282" s="17"/>
      <c r="N282" s="1"/>
      <c r="O282" s="42"/>
    </row>
    <row r="283">
      <c r="A283" s="16" t="str">
        <f t="shared" si="8"/>
        <v>2260281</v>
      </c>
      <c r="B283" s="43" t="s">
        <v>3048</v>
      </c>
      <c r="C283" s="14" t="s">
        <v>1993</v>
      </c>
      <c r="D283" s="18" t="s">
        <v>1994</v>
      </c>
      <c r="E283" s="44">
        <v>46107.5321875</v>
      </c>
      <c r="F283" s="45">
        <v>46084.0</v>
      </c>
      <c r="G283" s="14"/>
      <c r="H283" s="14"/>
      <c r="I283" s="17"/>
      <c r="J283" s="16"/>
      <c r="K283" s="17"/>
      <c r="L283" s="17"/>
      <c r="N283" s="1"/>
      <c r="O283" s="42"/>
    </row>
    <row r="284">
      <c r="A284" s="16" t="str">
        <f t="shared" si="8"/>
        <v>2260281</v>
      </c>
      <c r="B284" s="43" t="s">
        <v>3064</v>
      </c>
      <c r="C284" s="14" t="s">
        <v>1993</v>
      </c>
      <c r="D284" s="18" t="s">
        <v>1994</v>
      </c>
      <c r="E284" s="44">
        <v>46107.5321875</v>
      </c>
      <c r="F284" s="45">
        <v>46085.0</v>
      </c>
      <c r="G284" s="14"/>
      <c r="H284" s="14"/>
      <c r="I284" s="17"/>
      <c r="J284" s="16"/>
      <c r="K284" s="17"/>
      <c r="L284" s="16"/>
      <c r="N284" s="1"/>
      <c r="O284" s="42"/>
    </row>
    <row r="285">
      <c r="A285" s="16" t="str">
        <f t="shared" si="8"/>
        <v>2260281</v>
      </c>
      <c r="B285" s="43" t="s">
        <v>3090</v>
      </c>
      <c r="C285" s="14" t="s">
        <v>1993</v>
      </c>
      <c r="D285" s="18" t="s">
        <v>1994</v>
      </c>
      <c r="E285" s="44">
        <v>46107.5321875</v>
      </c>
      <c r="F285" s="45">
        <v>46086.0</v>
      </c>
      <c r="G285" s="14"/>
      <c r="H285" s="17"/>
      <c r="I285" s="17"/>
      <c r="J285" s="16"/>
      <c r="K285" s="17"/>
      <c r="L285" s="14"/>
      <c r="N285" s="1"/>
      <c r="O285" s="46"/>
    </row>
    <row r="286">
      <c r="A286" s="16" t="str">
        <f t="shared" si="8"/>
        <v>2260281</v>
      </c>
      <c r="B286" s="43" t="s">
        <v>3096</v>
      </c>
      <c r="C286" s="14" t="s">
        <v>1993</v>
      </c>
      <c r="D286" s="18" t="s">
        <v>1994</v>
      </c>
      <c r="E286" s="44">
        <v>46107.5321875</v>
      </c>
      <c r="F286" s="45">
        <v>46087.0</v>
      </c>
      <c r="G286" s="14"/>
      <c r="H286" s="17"/>
      <c r="I286" s="17"/>
      <c r="J286" s="16"/>
      <c r="K286" s="17"/>
      <c r="L286" s="17"/>
      <c r="N286" s="1"/>
      <c r="O286" s="46"/>
    </row>
    <row r="287">
      <c r="A287" s="16" t="str">
        <f t="shared" si="8"/>
        <v>2260281</v>
      </c>
      <c r="B287" s="43" t="s">
        <v>3117</v>
      </c>
      <c r="C287" s="14" t="s">
        <v>1993</v>
      </c>
      <c r="D287" s="18" t="s">
        <v>1994</v>
      </c>
      <c r="E287" s="44">
        <v>46107.5321875</v>
      </c>
      <c r="F287" s="45">
        <v>46088.0</v>
      </c>
      <c r="G287" s="14"/>
      <c r="H287" s="14"/>
      <c r="I287" s="14"/>
      <c r="J287" s="16"/>
      <c r="K287" s="17"/>
      <c r="L287" s="16"/>
      <c r="N287" s="1"/>
      <c r="O287" s="46"/>
    </row>
    <row r="288">
      <c r="A288" s="16" t="str">
        <f t="shared" si="8"/>
        <v>2260281</v>
      </c>
      <c r="B288" s="43" t="s">
        <v>3139</v>
      </c>
      <c r="C288" s="14" t="s">
        <v>1993</v>
      </c>
      <c r="D288" s="18" t="s">
        <v>1994</v>
      </c>
      <c r="E288" s="44">
        <v>46107.5321875</v>
      </c>
      <c r="F288" s="45">
        <v>46091.0</v>
      </c>
      <c r="G288" s="14"/>
      <c r="H288" s="14"/>
      <c r="I288" s="17"/>
      <c r="J288" s="16"/>
      <c r="K288" s="17"/>
      <c r="L288" s="20"/>
      <c r="N288" s="1"/>
      <c r="O288" s="46"/>
    </row>
    <row r="289">
      <c r="A289" s="16" t="str">
        <f t="shared" si="8"/>
        <v>2260281</v>
      </c>
      <c r="B289" s="43" t="s">
        <v>3171</v>
      </c>
      <c r="C289" s="14" t="s">
        <v>1993</v>
      </c>
      <c r="D289" s="18" t="s">
        <v>1994</v>
      </c>
      <c r="E289" s="44">
        <v>46107.5321875</v>
      </c>
      <c r="F289" s="45">
        <v>46093.0</v>
      </c>
      <c r="G289" s="14"/>
      <c r="H289" s="17"/>
      <c r="I289" s="17"/>
      <c r="J289" s="16"/>
      <c r="K289" s="17"/>
      <c r="L289" s="17"/>
      <c r="N289" s="1"/>
      <c r="O289" s="46"/>
    </row>
    <row r="290">
      <c r="A290" s="16" t="str">
        <f t="shared" si="8"/>
        <v>2260281</v>
      </c>
      <c r="B290" s="43" t="s">
        <v>3194</v>
      </c>
      <c r="C290" s="14" t="s">
        <v>1993</v>
      </c>
      <c r="D290" s="18" t="s">
        <v>1994</v>
      </c>
      <c r="E290" s="44">
        <v>46107.5321875</v>
      </c>
      <c r="F290" s="45">
        <v>46095.0</v>
      </c>
      <c r="G290" s="14"/>
      <c r="H290" s="14"/>
      <c r="I290" s="17"/>
      <c r="J290" s="16"/>
      <c r="K290" s="17"/>
      <c r="L290" s="17"/>
      <c r="N290" s="1"/>
      <c r="O290" s="46"/>
    </row>
    <row r="291">
      <c r="A291" s="16" t="str">
        <f t="shared" si="8"/>
        <v>2260281</v>
      </c>
      <c r="B291" s="43" t="s">
        <v>3199</v>
      </c>
      <c r="C291" s="14" t="s">
        <v>1993</v>
      </c>
      <c r="D291" s="18" t="s">
        <v>1994</v>
      </c>
      <c r="E291" s="44">
        <v>46107.5321875</v>
      </c>
      <c r="F291" s="45">
        <v>46095.0</v>
      </c>
      <c r="G291" s="14"/>
      <c r="H291" s="14"/>
      <c r="I291" s="17"/>
      <c r="J291" s="16"/>
      <c r="K291" s="17"/>
      <c r="L291" s="17"/>
      <c r="N291" s="1"/>
      <c r="O291" s="46"/>
    </row>
    <row r="292">
      <c r="A292" s="16" t="str">
        <f t="shared" si="8"/>
        <v>2260281</v>
      </c>
      <c r="B292" s="43" t="s">
        <v>3212</v>
      </c>
      <c r="C292" s="14" t="s">
        <v>1993</v>
      </c>
      <c r="D292" s="18" t="s">
        <v>1994</v>
      </c>
      <c r="E292" s="44">
        <v>46107.5321875</v>
      </c>
      <c r="F292" s="45">
        <v>46098.0</v>
      </c>
      <c r="G292" s="14"/>
      <c r="H292" s="14"/>
      <c r="I292" s="17"/>
      <c r="J292" s="16"/>
      <c r="K292" s="17"/>
      <c r="L292" s="20"/>
      <c r="N292" s="1"/>
      <c r="O292" s="46"/>
    </row>
    <row r="293">
      <c r="A293" s="16" t="str">
        <f t="shared" si="8"/>
        <v>2260292</v>
      </c>
      <c r="B293" s="43" t="s">
        <v>3186</v>
      </c>
      <c r="C293" s="14" t="s">
        <v>2543</v>
      </c>
      <c r="D293" s="18" t="s">
        <v>2544</v>
      </c>
      <c r="E293" s="44">
        <v>46107.540243055555</v>
      </c>
      <c r="F293" s="45">
        <v>46094.0</v>
      </c>
      <c r="G293" s="14"/>
      <c r="H293" s="17"/>
      <c r="I293" s="17"/>
      <c r="J293" s="16"/>
      <c r="K293" s="17"/>
      <c r="L293" s="17"/>
      <c r="N293" s="1"/>
      <c r="O293" s="46"/>
    </row>
    <row r="294">
      <c r="A294" s="16" t="str">
        <f t="shared" si="8"/>
        <v>2260293</v>
      </c>
      <c r="B294" s="43" t="s">
        <v>3247</v>
      </c>
      <c r="C294" s="14" t="s">
        <v>55</v>
      </c>
      <c r="D294" s="18" t="s">
        <v>56</v>
      </c>
      <c r="E294" s="44">
        <v>46112.5372337963</v>
      </c>
      <c r="F294" s="45">
        <v>46111.0</v>
      </c>
      <c r="G294" s="14"/>
      <c r="H294" s="14"/>
      <c r="I294" s="14"/>
      <c r="J294" s="16"/>
      <c r="K294" s="17"/>
      <c r="L294" s="14"/>
      <c r="N294" s="1"/>
      <c r="O294" s="46"/>
    </row>
    <row r="295">
      <c r="A295" s="16" t="str">
        <f t="shared" si="8"/>
        <v>2260293</v>
      </c>
      <c r="B295" s="43" t="s">
        <v>3028</v>
      </c>
      <c r="C295" s="14" t="s">
        <v>55</v>
      </c>
      <c r="D295" s="18" t="s">
        <v>56</v>
      </c>
      <c r="E295" s="44">
        <v>46112.5372337963</v>
      </c>
      <c r="F295" s="45">
        <v>46081.0</v>
      </c>
      <c r="G295" s="14"/>
      <c r="H295" s="14"/>
      <c r="I295" s="17"/>
      <c r="J295" s="16"/>
      <c r="K295" s="17"/>
      <c r="L295" s="17"/>
      <c r="N295" s="1"/>
      <c r="O295" s="46"/>
    </row>
    <row r="296">
      <c r="A296" s="16" t="str">
        <f t="shared" si="8"/>
        <v>2260295</v>
      </c>
      <c r="B296" s="43" t="s">
        <v>2777</v>
      </c>
      <c r="C296" s="14" t="s">
        <v>2577</v>
      </c>
      <c r="D296" s="18" t="s">
        <v>2578</v>
      </c>
      <c r="E296" s="44">
        <v>46112.551030092596</v>
      </c>
      <c r="F296" s="45">
        <v>46057.0</v>
      </c>
      <c r="G296" s="14"/>
      <c r="H296" s="14"/>
      <c r="I296" s="17"/>
      <c r="J296" s="16"/>
      <c r="K296" s="17"/>
      <c r="L296" s="17"/>
      <c r="N296" s="1"/>
      <c r="O296" s="46"/>
    </row>
    <row r="297">
      <c r="A297" s="16" t="str">
        <f t="shared" si="8"/>
        <v>2260295</v>
      </c>
      <c r="B297" s="43" t="s">
        <v>2901</v>
      </c>
      <c r="C297" s="14" t="s">
        <v>2577</v>
      </c>
      <c r="D297" s="18" t="s">
        <v>2578</v>
      </c>
      <c r="E297" s="44">
        <v>46112.551030092596</v>
      </c>
      <c r="F297" s="45">
        <v>46069.0</v>
      </c>
      <c r="G297" s="14"/>
      <c r="H297" s="14"/>
      <c r="I297" s="14"/>
      <c r="J297" s="16"/>
      <c r="K297" s="17"/>
      <c r="L297" s="16"/>
      <c r="N297" s="1"/>
      <c r="O297" s="46"/>
    </row>
    <row r="298">
      <c r="A298" s="16" t="str">
        <f t="shared" si="8"/>
        <v>2260295</v>
      </c>
      <c r="B298" s="43" t="s">
        <v>3056</v>
      </c>
      <c r="C298" s="14" t="s">
        <v>2577</v>
      </c>
      <c r="D298" s="18" t="s">
        <v>2578</v>
      </c>
      <c r="E298" s="44">
        <v>46112.551030092596</v>
      </c>
      <c r="F298" s="45">
        <v>46085.0</v>
      </c>
      <c r="G298" s="14"/>
      <c r="H298" s="14"/>
      <c r="I298" s="14"/>
      <c r="J298" s="16"/>
      <c r="K298" s="17"/>
      <c r="L298" s="16"/>
      <c r="N298" s="1"/>
      <c r="O298" s="46"/>
    </row>
    <row r="299">
      <c r="A299" s="16" t="str">
        <f t="shared" si="8"/>
        <v>2260298</v>
      </c>
      <c r="B299" s="43" t="s">
        <v>3321</v>
      </c>
      <c r="C299" s="14" t="s">
        <v>2686</v>
      </c>
      <c r="D299" s="18" t="s">
        <v>2687</v>
      </c>
      <c r="E299" s="44">
        <v>46118.47246527778</v>
      </c>
      <c r="F299" s="45">
        <v>46116.0</v>
      </c>
      <c r="G299" s="14"/>
      <c r="H299" s="14"/>
      <c r="I299" s="17"/>
      <c r="J299" s="16"/>
      <c r="K299" s="17"/>
      <c r="L299" s="17"/>
      <c r="N299" s="1"/>
      <c r="O299" s="46"/>
    </row>
    <row r="300">
      <c r="A300" s="16" t="str">
        <f t="shared" si="8"/>
        <v>2260299</v>
      </c>
      <c r="B300" s="43" t="s">
        <v>3243</v>
      </c>
      <c r="C300" s="14" t="s">
        <v>1993</v>
      </c>
      <c r="D300" s="18" t="s">
        <v>1994</v>
      </c>
      <c r="E300" s="44">
        <v>46123.53361111111</v>
      </c>
      <c r="F300" s="45">
        <v>46109.0</v>
      </c>
      <c r="G300" s="14"/>
      <c r="H300" s="14"/>
      <c r="I300" s="17"/>
      <c r="J300" s="16"/>
      <c r="K300" s="17"/>
      <c r="L300" s="20"/>
      <c r="N300" s="1"/>
      <c r="O300" s="46"/>
    </row>
    <row r="301">
      <c r="A301" s="16" t="str">
        <f t="shared" si="8"/>
        <v>2260299</v>
      </c>
      <c r="B301" s="43" t="s">
        <v>3245</v>
      </c>
      <c r="C301" s="14" t="s">
        <v>1993</v>
      </c>
      <c r="D301" s="18" t="s">
        <v>1994</v>
      </c>
      <c r="E301" s="44">
        <v>46123.53361111111</v>
      </c>
      <c r="F301" s="45">
        <v>46111.0</v>
      </c>
      <c r="G301" s="14"/>
      <c r="H301" s="14"/>
      <c r="I301" s="17"/>
      <c r="J301" s="16"/>
      <c r="K301" s="17"/>
      <c r="L301" s="17"/>
      <c r="N301" s="1"/>
      <c r="O301" s="46"/>
    </row>
    <row r="302">
      <c r="A302" s="16" t="str">
        <f t="shared" si="8"/>
        <v>2260299</v>
      </c>
      <c r="B302" s="43" t="s">
        <v>3263</v>
      </c>
      <c r="C302" s="14" t="s">
        <v>1993</v>
      </c>
      <c r="D302" s="18" t="s">
        <v>1994</v>
      </c>
      <c r="E302" s="44">
        <v>46123.53361111111</v>
      </c>
      <c r="F302" s="45">
        <v>46112.0</v>
      </c>
      <c r="G302" s="14"/>
      <c r="H302" s="14"/>
      <c r="I302" s="14"/>
      <c r="J302" s="16"/>
      <c r="K302" s="17"/>
      <c r="L302" s="16"/>
      <c r="N302" s="1"/>
      <c r="O302" s="46"/>
    </row>
    <row r="303">
      <c r="A303" s="16" t="str">
        <f t="shared" si="8"/>
        <v>2260299</v>
      </c>
      <c r="B303" s="43" t="s">
        <v>3295</v>
      </c>
      <c r="C303" s="14" t="s">
        <v>1993</v>
      </c>
      <c r="D303" s="18" t="s">
        <v>1994</v>
      </c>
      <c r="E303" s="44">
        <v>46123.53361111111</v>
      </c>
      <c r="F303" s="45">
        <v>46114.0</v>
      </c>
      <c r="G303" s="14"/>
      <c r="H303" s="17"/>
      <c r="I303" s="17"/>
      <c r="J303" s="16"/>
      <c r="K303" s="17"/>
      <c r="L303" s="20"/>
      <c r="N303" s="1"/>
      <c r="O303" s="46"/>
    </row>
    <row r="304">
      <c r="A304" s="16" t="str">
        <f t="shared" si="8"/>
        <v>2260299</v>
      </c>
      <c r="B304" s="43" t="s">
        <v>3326</v>
      </c>
      <c r="C304" s="14" t="s">
        <v>1993</v>
      </c>
      <c r="D304" s="18" t="s">
        <v>1994</v>
      </c>
      <c r="E304" s="44">
        <v>46123.53361111111</v>
      </c>
      <c r="F304" s="45">
        <v>46116.0</v>
      </c>
      <c r="G304" s="14"/>
      <c r="H304" s="14"/>
      <c r="I304" s="17"/>
      <c r="J304" s="16"/>
      <c r="K304" s="17"/>
      <c r="L304" s="20"/>
      <c r="N304" s="1"/>
      <c r="O304" s="46"/>
    </row>
    <row r="305">
      <c r="A305" s="16" t="str">
        <f t="shared" si="8"/>
        <v>2260299</v>
      </c>
      <c r="B305" s="43" t="s">
        <v>3369</v>
      </c>
      <c r="C305" s="14" t="s">
        <v>1993</v>
      </c>
      <c r="D305" s="18" t="s">
        <v>1994</v>
      </c>
      <c r="E305" s="44">
        <v>46123.53361111111</v>
      </c>
      <c r="F305" s="45">
        <v>46120.0</v>
      </c>
      <c r="G305" s="14"/>
      <c r="H305" s="14"/>
      <c r="I305" s="17"/>
      <c r="J305" s="16"/>
      <c r="K305" s="17"/>
      <c r="L305" s="17"/>
      <c r="N305" s="1"/>
      <c r="O305" s="46"/>
    </row>
    <row r="306">
      <c r="A306" s="16" t="str">
        <f t="shared" si="8"/>
        <v>2260299</v>
      </c>
      <c r="B306" s="43" t="s">
        <v>3396</v>
      </c>
      <c r="C306" s="14" t="s">
        <v>1993</v>
      </c>
      <c r="D306" s="18" t="s">
        <v>1994</v>
      </c>
      <c r="E306" s="44">
        <v>46123.53361111111</v>
      </c>
      <c r="F306" s="45">
        <v>46123.0</v>
      </c>
      <c r="G306" s="14"/>
      <c r="H306" s="17"/>
      <c r="I306" s="17"/>
      <c r="J306" s="16"/>
      <c r="K306" s="17"/>
      <c r="L306" s="17"/>
      <c r="N306" s="1"/>
      <c r="O306" s="46"/>
    </row>
    <row r="307">
      <c r="A307" s="16" t="str">
        <f t="shared" si="8"/>
        <v>2260306</v>
      </c>
      <c r="B307" s="43" t="s">
        <v>3284</v>
      </c>
      <c r="C307" s="14" t="s">
        <v>45</v>
      </c>
      <c r="D307" s="18" t="s">
        <v>46</v>
      </c>
      <c r="E307" s="44">
        <v>46123.535729166666</v>
      </c>
      <c r="F307" s="45">
        <v>46113.0</v>
      </c>
      <c r="G307" s="14"/>
      <c r="H307" s="14"/>
      <c r="I307" s="17"/>
      <c r="J307" s="16"/>
      <c r="K307" s="17"/>
      <c r="L307" s="16"/>
      <c r="N307" s="1"/>
      <c r="O307" s="46"/>
    </row>
    <row r="308">
      <c r="A308" s="16" t="str">
        <f t="shared" si="8"/>
        <v>2260307</v>
      </c>
      <c r="B308" s="43" t="s">
        <v>3282</v>
      </c>
      <c r="C308" s="14" t="s">
        <v>2081</v>
      </c>
      <c r="D308" s="18" t="s">
        <v>2082</v>
      </c>
      <c r="E308" s="44">
        <v>46123.53716435185</v>
      </c>
      <c r="F308" s="45">
        <v>46113.0</v>
      </c>
      <c r="G308" s="14"/>
      <c r="H308" s="14"/>
      <c r="I308" s="17"/>
      <c r="J308" s="16"/>
      <c r="K308" s="17"/>
      <c r="L308" s="16"/>
      <c r="N308" s="1"/>
      <c r="O308" s="46"/>
    </row>
    <row r="309">
      <c r="A309" s="16" t="str">
        <f t="shared" si="8"/>
        <v>2260308</v>
      </c>
      <c r="B309" s="43" t="s">
        <v>3367</v>
      </c>
      <c r="C309" s="14" t="s">
        <v>2081</v>
      </c>
      <c r="D309" s="18" t="s">
        <v>2082</v>
      </c>
      <c r="E309" s="44">
        <v>46123.53722222222</v>
      </c>
      <c r="F309" s="45">
        <v>46120.0</v>
      </c>
      <c r="G309" s="14"/>
      <c r="H309" s="17"/>
      <c r="I309" s="17"/>
      <c r="J309" s="16"/>
      <c r="K309" s="17"/>
      <c r="L309" s="20"/>
      <c r="N309" s="1"/>
      <c r="O309" s="46"/>
    </row>
    <row r="310">
      <c r="A310" s="16" t="str">
        <f t="shared" si="8"/>
        <v>2260309</v>
      </c>
      <c r="B310" s="43" t="s">
        <v>3384</v>
      </c>
      <c r="C310" s="14" t="s">
        <v>2081</v>
      </c>
      <c r="D310" s="18" t="s">
        <v>2082</v>
      </c>
      <c r="E310" s="44">
        <v>46123.53726851852</v>
      </c>
      <c r="F310" s="45">
        <v>46121.0</v>
      </c>
      <c r="G310" s="14"/>
      <c r="H310" s="14"/>
      <c r="I310" s="17"/>
      <c r="J310" s="16"/>
      <c r="K310" s="17"/>
      <c r="L310" s="14"/>
      <c r="N310" s="1"/>
      <c r="O310" s="46"/>
    </row>
    <row r="311">
      <c r="A311" s="16"/>
      <c r="B311" s="48"/>
      <c r="C311" s="14"/>
      <c r="D311" s="18"/>
      <c r="E311" s="44"/>
      <c r="F311" s="45"/>
      <c r="G311" s="14"/>
      <c r="H311" s="14"/>
      <c r="I311" s="17"/>
      <c r="J311" s="16"/>
      <c r="K311" s="17"/>
      <c r="L311" s="17"/>
      <c r="N311" s="1"/>
      <c r="O311" s="46"/>
    </row>
    <row r="312">
      <c r="A312" s="16" t="str">
        <f t="shared" ref="A312:A318" si="9">IF(ISBLANK($E312),"",TEXT($E312, "2yy") &amp; IFS($C311&amp;$E311=$C312&amp;$E312,TEXT(MATCH($C312&amp;$E312, INDEX($C$1:$C312 &amp; $E$1:$E312, 0, 1), 0)-1, "0000"), $C312=C311, TEXT(MATCH($C312&amp;$E312, INDEX($C$1:C312 &amp; $E$1:E312, 0, 1), 0)-1, "0000"),$C312&lt;&gt;$C311,TEXT(MATCH($C312&amp;$E312, INDEX($C$1:$C312 &amp; $E$1:$E312, 0, 1), 0)-1, "0000")))</f>
        <v>2260311</v>
      </c>
      <c r="B312" s="43" t="s">
        <v>3261</v>
      </c>
      <c r="C312" s="14" t="s">
        <v>1756</v>
      </c>
      <c r="D312" s="18" t="s">
        <v>1757</v>
      </c>
      <c r="E312" s="44">
        <v>46123.58511574074</v>
      </c>
      <c r="F312" s="45">
        <v>46112.0</v>
      </c>
      <c r="G312" s="14"/>
      <c r="H312" s="14"/>
      <c r="I312" s="17"/>
      <c r="J312" s="16"/>
      <c r="K312" s="17"/>
      <c r="L312" s="14"/>
      <c r="N312" s="1"/>
      <c r="O312" s="42"/>
    </row>
    <row r="313">
      <c r="A313" s="16" t="str">
        <f t="shared" si="9"/>
        <v>2260311</v>
      </c>
      <c r="B313" s="43" t="s">
        <v>3333</v>
      </c>
      <c r="C313" s="14" t="s">
        <v>1756</v>
      </c>
      <c r="D313" s="18" t="s">
        <v>1757</v>
      </c>
      <c r="E313" s="44">
        <v>46123.58511574074</v>
      </c>
      <c r="F313" s="45">
        <v>46118.0</v>
      </c>
      <c r="G313" s="14"/>
      <c r="H313" s="14"/>
      <c r="I313" s="17"/>
      <c r="J313" s="16"/>
      <c r="K313" s="17"/>
      <c r="L313" s="14"/>
      <c r="N313" s="1"/>
      <c r="O313" s="42"/>
    </row>
    <row r="314">
      <c r="A314" s="16" t="str">
        <f t="shared" si="9"/>
        <v>2260313</v>
      </c>
      <c r="B314" s="43" t="s">
        <v>3127</v>
      </c>
      <c r="C314" s="14" t="s">
        <v>2131</v>
      </c>
      <c r="D314" s="18" t="s">
        <v>2132</v>
      </c>
      <c r="E314" s="44">
        <v>46127.58358796296</v>
      </c>
      <c r="F314" s="45">
        <v>46090.0</v>
      </c>
      <c r="G314" s="14"/>
      <c r="H314" s="14"/>
      <c r="I314" s="17"/>
      <c r="J314" s="16"/>
      <c r="K314" s="17"/>
      <c r="L314" s="14"/>
      <c r="N314" s="1"/>
      <c r="O314" s="42"/>
    </row>
    <row r="315">
      <c r="A315" s="16" t="str">
        <f t="shared" si="9"/>
        <v>2260314</v>
      </c>
      <c r="B315" s="43" t="s">
        <v>3286</v>
      </c>
      <c r="C315" s="14" t="s">
        <v>951</v>
      </c>
      <c r="D315" s="18" t="s">
        <v>952</v>
      </c>
      <c r="E315" s="44">
        <v>46129.46581018518</v>
      </c>
      <c r="F315" s="45">
        <v>46113.0</v>
      </c>
      <c r="G315" s="14"/>
      <c r="H315" s="51"/>
      <c r="I315" s="17"/>
      <c r="J315" s="16"/>
      <c r="K315" s="17"/>
      <c r="L315" s="17"/>
      <c r="N315" s="1"/>
      <c r="O315" s="42"/>
    </row>
    <row r="316">
      <c r="A316" s="16" t="str">
        <f t="shared" si="9"/>
        <v>2260314</v>
      </c>
      <c r="B316" s="43" t="s">
        <v>3354</v>
      </c>
      <c r="C316" s="14" t="s">
        <v>951</v>
      </c>
      <c r="D316" s="18" t="s">
        <v>952</v>
      </c>
      <c r="E316" s="44">
        <v>46129.46581018518</v>
      </c>
      <c r="F316" s="45">
        <v>46119.0</v>
      </c>
      <c r="G316" s="14"/>
      <c r="H316" s="14"/>
      <c r="I316" s="17"/>
      <c r="J316" s="16"/>
      <c r="K316" s="14"/>
      <c r="L316" s="17"/>
      <c r="N316" s="1"/>
      <c r="O316" s="42"/>
    </row>
    <row r="317">
      <c r="A317" s="16" t="str">
        <f t="shared" si="9"/>
        <v>2260314</v>
      </c>
      <c r="B317" s="43" t="s">
        <v>3433</v>
      </c>
      <c r="C317" s="14" t="s">
        <v>951</v>
      </c>
      <c r="D317" s="18" t="s">
        <v>952</v>
      </c>
      <c r="E317" s="44">
        <v>46129.46581018518</v>
      </c>
      <c r="F317" s="45">
        <v>46126.0</v>
      </c>
      <c r="G317" s="14"/>
      <c r="H317" s="17"/>
      <c r="I317" s="17"/>
      <c r="J317" s="16"/>
      <c r="K317" s="17"/>
      <c r="L317" s="16"/>
      <c r="N317" s="1"/>
      <c r="O317" s="42"/>
    </row>
    <row r="318">
      <c r="A318" s="16" t="str">
        <f t="shared" si="9"/>
        <v>2260314</v>
      </c>
      <c r="B318" s="43" t="s">
        <v>3471</v>
      </c>
      <c r="C318" s="14" t="s">
        <v>951</v>
      </c>
      <c r="D318" s="18" t="s">
        <v>3440</v>
      </c>
      <c r="E318" s="44">
        <v>46129.46581018518</v>
      </c>
      <c r="F318" s="45">
        <v>46129.0</v>
      </c>
      <c r="G318" s="14"/>
      <c r="H318" s="14"/>
      <c r="I318" s="17"/>
      <c r="J318" s="16"/>
      <c r="K318" s="17"/>
      <c r="L318" s="14"/>
      <c r="N318" s="1"/>
      <c r="O318" s="42"/>
    </row>
    <row r="319">
      <c r="A319" s="16" t="str">
        <f t="shared" ref="A319:A1999" si="10">IF(ISBLANK($E319),"",TEXT($E319, "2yy") &amp; IFS($C318&amp;$E318=$C319&amp;$E319,TEXT(MATCH($C319&amp;$E319, INDEX($C$1:$C319 &amp; $E$1:$E319, 0, 1), 0)-1, "0000"), $C319=C318, TEXT(MATCH($C319&amp;$E319, INDEX($C$1:C319 &amp; $E$1:E319, 0, 1), 0)-1, "0000"),$C319&lt;&gt;$C318,TEXT(MATCH($C319&amp;$E319, INDEX($C$1:$C319 &amp; $E$1:$E319, 0, 1), 0)-1, "0000"))
)</f>
        <v/>
      </c>
      <c r="B319" s="48"/>
      <c r="C319" s="14"/>
      <c r="D319" s="52"/>
      <c r="E319" s="16"/>
      <c r="F319" s="14"/>
      <c r="G319" s="14"/>
      <c r="H319" s="14"/>
      <c r="I319" s="17"/>
      <c r="J319" s="16"/>
      <c r="K319" s="17"/>
      <c r="L319" s="14"/>
      <c r="N319" s="1"/>
      <c r="O319" s="42"/>
    </row>
    <row r="320">
      <c r="A320" s="16" t="str">
        <f t="shared" si="10"/>
        <v/>
      </c>
      <c r="B320" s="48"/>
      <c r="C320" s="14"/>
      <c r="D320" s="52"/>
      <c r="E320" s="16"/>
      <c r="F320" s="14"/>
      <c r="G320" s="14"/>
      <c r="H320" s="14"/>
      <c r="I320" s="17"/>
      <c r="J320" s="16"/>
      <c r="K320" s="17"/>
      <c r="L320" s="17"/>
      <c r="N320" s="1"/>
      <c r="O320" s="42"/>
    </row>
    <row r="321">
      <c r="A321" s="16" t="str">
        <f t="shared" si="10"/>
        <v/>
      </c>
      <c r="B321" s="48"/>
      <c r="C321" s="14"/>
      <c r="D321" s="52"/>
      <c r="E321" s="16"/>
      <c r="F321" s="14"/>
      <c r="G321" s="14"/>
      <c r="H321" s="14"/>
      <c r="I321" s="17"/>
      <c r="J321" s="16"/>
      <c r="K321" s="17"/>
      <c r="L321" s="17"/>
      <c r="N321" s="1"/>
      <c r="O321" s="42"/>
    </row>
    <row r="322">
      <c r="A322" s="16" t="str">
        <f t="shared" si="10"/>
        <v/>
      </c>
      <c r="B322" s="48"/>
      <c r="C322" s="14"/>
      <c r="D322" s="52"/>
      <c r="E322" s="16"/>
      <c r="F322" s="14"/>
      <c r="G322" s="14"/>
      <c r="H322" s="17"/>
      <c r="I322" s="17"/>
      <c r="J322" s="16"/>
      <c r="K322" s="17"/>
      <c r="L322" s="17"/>
      <c r="N322" s="1"/>
      <c r="O322" s="42"/>
    </row>
    <row r="323">
      <c r="A323" s="16" t="str">
        <f t="shared" si="10"/>
        <v/>
      </c>
      <c r="B323" s="48"/>
      <c r="C323" s="14"/>
      <c r="D323" s="52"/>
      <c r="E323" s="16"/>
      <c r="F323" s="14"/>
      <c r="G323" s="14"/>
      <c r="H323" s="14"/>
      <c r="I323" s="17"/>
      <c r="J323" s="16"/>
      <c r="K323" s="14"/>
      <c r="L323" s="20"/>
      <c r="N323" s="1"/>
      <c r="O323" s="42"/>
    </row>
    <row r="324">
      <c r="A324" s="16" t="str">
        <f t="shared" si="10"/>
        <v/>
      </c>
      <c r="B324" s="48"/>
      <c r="C324" s="14"/>
      <c r="D324" s="52"/>
      <c r="E324" s="16"/>
      <c r="F324" s="14"/>
      <c r="G324" s="14"/>
      <c r="H324" s="14"/>
      <c r="I324" s="17"/>
      <c r="J324" s="16"/>
      <c r="K324" s="17"/>
      <c r="L324" s="20"/>
      <c r="N324" s="1"/>
      <c r="O324" s="42"/>
    </row>
    <row r="325">
      <c r="A325" s="16" t="str">
        <f t="shared" si="10"/>
        <v/>
      </c>
      <c r="B325" s="48"/>
      <c r="C325" s="14"/>
      <c r="D325" s="52"/>
      <c r="E325" s="16"/>
      <c r="F325" s="14"/>
      <c r="G325" s="14"/>
      <c r="H325" s="14"/>
      <c r="I325" s="17"/>
      <c r="J325" s="16"/>
      <c r="K325" s="17"/>
      <c r="L325" s="20"/>
      <c r="N325" s="1"/>
      <c r="O325" s="42"/>
    </row>
    <row r="326">
      <c r="A326" s="16" t="str">
        <f t="shared" si="10"/>
        <v/>
      </c>
      <c r="B326" s="48"/>
      <c r="C326" s="14"/>
      <c r="D326" s="52"/>
      <c r="E326" s="16"/>
      <c r="F326" s="14"/>
      <c r="G326" s="14"/>
      <c r="H326" s="17"/>
      <c r="I326" s="17"/>
      <c r="J326" s="16"/>
      <c r="K326" s="17"/>
      <c r="L326" s="17"/>
      <c r="N326" s="1"/>
      <c r="O326" s="42"/>
    </row>
    <row r="327">
      <c r="A327" s="16" t="str">
        <f t="shared" si="10"/>
        <v/>
      </c>
      <c r="B327" s="48"/>
      <c r="C327" s="14"/>
      <c r="D327" s="52"/>
      <c r="E327" s="16"/>
      <c r="F327" s="14"/>
      <c r="G327" s="14"/>
      <c r="H327" s="14"/>
      <c r="I327" s="17"/>
      <c r="J327" s="16"/>
      <c r="K327" s="17"/>
      <c r="L327" s="14"/>
      <c r="N327" s="1"/>
      <c r="O327" s="42"/>
    </row>
    <row r="328">
      <c r="A328" s="16" t="str">
        <f t="shared" si="10"/>
        <v/>
      </c>
      <c r="B328" s="48"/>
      <c r="C328" s="14"/>
      <c r="D328" s="52"/>
      <c r="E328" s="16"/>
      <c r="F328" s="14"/>
      <c r="G328" s="14"/>
      <c r="H328" s="14"/>
      <c r="I328" s="17"/>
      <c r="J328" s="16"/>
      <c r="K328" s="17"/>
      <c r="L328" s="17"/>
      <c r="N328" s="1"/>
      <c r="O328" s="42"/>
    </row>
    <row r="329">
      <c r="A329" s="16" t="str">
        <f t="shared" si="10"/>
        <v/>
      </c>
      <c r="B329" s="48"/>
      <c r="C329" s="14"/>
      <c r="D329" s="52"/>
      <c r="E329" s="16"/>
      <c r="F329" s="14"/>
      <c r="G329" s="14"/>
      <c r="H329" s="14"/>
      <c r="I329" s="17"/>
      <c r="J329" s="16"/>
      <c r="K329" s="17"/>
      <c r="L329" s="17"/>
      <c r="N329" s="1"/>
      <c r="O329" s="42"/>
    </row>
    <row r="330">
      <c r="A330" s="16" t="str">
        <f t="shared" si="10"/>
        <v/>
      </c>
      <c r="B330" s="48"/>
      <c r="C330" s="14"/>
      <c r="D330" s="52"/>
      <c r="E330" s="16"/>
      <c r="F330" s="14"/>
      <c r="G330" s="14"/>
      <c r="H330" s="14"/>
      <c r="I330" s="17"/>
      <c r="J330" s="16"/>
      <c r="K330" s="17"/>
      <c r="L330" s="17"/>
      <c r="N330" s="1"/>
      <c r="O330" s="42"/>
    </row>
    <row r="331">
      <c r="A331" s="16" t="str">
        <f t="shared" si="10"/>
        <v/>
      </c>
      <c r="B331" s="48"/>
      <c r="C331" s="14"/>
      <c r="D331" s="52"/>
      <c r="E331" s="16"/>
      <c r="F331" s="14"/>
      <c r="G331" s="14"/>
      <c r="H331" s="14"/>
      <c r="I331" s="17"/>
      <c r="J331" s="16"/>
      <c r="K331" s="17"/>
      <c r="L331" s="20"/>
      <c r="N331" s="1"/>
      <c r="O331" s="42"/>
    </row>
    <row r="332">
      <c r="A332" s="16" t="str">
        <f t="shared" si="10"/>
        <v/>
      </c>
      <c r="B332" s="48"/>
      <c r="C332" s="14"/>
      <c r="D332" s="52"/>
      <c r="E332" s="16"/>
      <c r="F332" s="14"/>
      <c r="G332" s="14"/>
      <c r="H332" s="17"/>
      <c r="I332" s="17"/>
      <c r="J332" s="16"/>
      <c r="K332" s="17"/>
      <c r="L332" s="20"/>
      <c r="N332" s="1"/>
      <c r="O332" s="42"/>
    </row>
    <row r="333">
      <c r="A333" s="16" t="str">
        <f t="shared" si="10"/>
        <v/>
      </c>
      <c r="B333" s="48"/>
      <c r="C333" s="14"/>
      <c r="D333" s="52"/>
      <c r="E333" s="16"/>
      <c r="F333" s="14"/>
      <c r="G333" s="14"/>
      <c r="H333" s="14"/>
      <c r="I333" s="14"/>
      <c r="J333" s="16"/>
      <c r="K333" s="17"/>
      <c r="L333" s="16"/>
      <c r="N333" s="1"/>
      <c r="O333" s="42"/>
    </row>
    <row r="334">
      <c r="A334" s="16" t="str">
        <f t="shared" si="10"/>
        <v/>
      </c>
      <c r="B334" s="48"/>
      <c r="C334" s="14"/>
      <c r="D334" s="52"/>
      <c r="E334" s="16"/>
      <c r="F334" s="14"/>
      <c r="G334" s="14"/>
      <c r="H334" s="14"/>
      <c r="I334" s="17"/>
      <c r="J334" s="16"/>
      <c r="K334" s="17"/>
      <c r="L334" s="14"/>
      <c r="N334" s="1"/>
      <c r="O334" s="42"/>
    </row>
    <row r="335">
      <c r="A335" s="16" t="str">
        <f t="shared" si="10"/>
        <v/>
      </c>
      <c r="B335" s="48"/>
      <c r="C335" s="14"/>
      <c r="D335" s="52"/>
      <c r="E335" s="16"/>
      <c r="F335" s="14"/>
      <c r="G335" s="14"/>
      <c r="H335" s="14"/>
      <c r="I335" s="17"/>
      <c r="J335" s="16"/>
      <c r="K335" s="17"/>
      <c r="L335" s="16"/>
      <c r="N335" s="1"/>
      <c r="O335" s="42"/>
    </row>
    <row r="336">
      <c r="A336" s="16" t="str">
        <f t="shared" si="10"/>
        <v/>
      </c>
      <c r="B336" s="48"/>
      <c r="C336" s="14"/>
      <c r="D336" s="52"/>
      <c r="E336" s="16"/>
      <c r="F336" s="14"/>
      <c r="G336" s="14"/>
      <c r="H336" s="14"/>
      <c r="I336" s="17"/>
      <c r="J336" s="16"/>
      <c r="K336" s="17"/>
      <c r="L336" s="17"/>
      <c r="N336" s="1"/>
      <c r="O336" s="42"/>
    </row>
    <row r="337">
      <c r="A337" s="16" t="str">
        <f t="shared" si="10"/>
        <v/>
      </c>
      <c r="B337" s="48"/>
      <c r="C337" s="14"/>
      <c r="D337" s="52"/>
      <c r="E337" s="16"/>
      <c r="F337" s="14"/>
      <c r="G337" s="14"/>
      <c r="H337" s="14"/>
      <c r="I337" s="17"/>
      <c r="J337" s="16"/>
      <c r="K337" s="17"/>
      <c r="L337" s="17"/>
      <c r="N337" s="1"/>
      <c r="O337" s="42"/>
    </row>
    <row r="338">
      <c r="A338" s="16" t="str">
        <f t="shared" si="10"/>
        <v/>
      </c>
      <c r="B338" s="48"/>
      <c r="C338" s="14"/>
      <c r="D338" s="52"/>
      <c r="E338" s="16"/>
      <c r="F338" s="14"/>
      <c r="G338" s="14"/>
      <c r="H338" s="14"/>
      <c r="I338" s="17"/>
      <c r="J338" s="16"/>
      <c r="K338" s="17"/>
      <c r="L338" s="20"/>
      <c r="N338" s="1"/>
      <c r="O338" s="42"/>
    </row>
    <row r="339">
      <c r="A339" s="16" t="str">
        <f t="shared" si="10"/>
        <v/>
      </c>
      <c r="B339" s="48"/>
      <c r="C339" s="14"/>
      <c r="D339" s="52"/>
      <c r="E339" s="16"/>
      <c r="F339" s="14"/>
      <c r="G339" s="14"/>
      <c r="H339" s="14"/>
      <c r="I339" s="17"/>
      <c r="J339" s="16"/>
      <c r="K339" s="17"/>
      <c r="L339" s="17"/>
      <c r="N339" s="1"/>
      <c r="O339" s="42"/>
    </row>
    <row r="340">
      <c r="A340" s="16" t="str">
        <f t="shared" si="10"/>
        <v/>
      </c>
      <c r="B340" s="48"/>
      <c r="C340" s="14"/>
      <c r="D340" s="52"/>
      <c r="E340" s="16"/>
      <c r="F340" s="14"/>
      <c r="G340" s="14"/>
      <c r="H340" s="14"/>
      <c r="I340" s="17"/>
      <c r="J340" s="16"/>
      <c r="K340" s="17"/>
      <c r="L340" s="17"/>
      <c r="N340" s="1"/>
      <c r="O340" s="42"/>
    </row>
    <row r="341">
      <c r="A341" s="16" t="str">
        <f t="shared" si="10"/>
        <v/>
      </c>
      <c r="B341" s="48"/>
      <c r="C341" s="14"/>
      <c r="D341" s="52"/>
      <c r="E341" s="16"/>
      <c r="F341" s="14"/>
      <c r="G341" s="14"/>
      <c r="H341" s="14"/>
      <c r="I341" s="14"/>
      <c r="J341" s="16"/>
      <c r="K341" s="17"/>
      <c r="L341" s="16"/>
      <c r="N341" s="1"/>
      <c r="O341" s="42"/>
    </row>
    <row r="342">
      <c r="A342" s="16" t="str">
        <f t="shared" si="10"/>
        <v/>
      </c>
      <c r="B342" s="48"/>
      <c r="C342" s="14"/>
      <c r="D342" s="52"/>
      <c r="E342" s="16"/>
      <c r="F342" s="14"/>
      <c r="G342" s="14"/>
      <c r="H342" s="14"/>
      <c r="I342" s="17"/>
      <c r="J342" s="16"/>
      <c r="K342" s="17"/>
      <c r="L342" s="16"/>
      <c r="N342" s="1"/>
      <c r="O342" s="42"/>
    </row>
    <row r="343">
      <c r="A343" s="16" t="str">
        <f t="shared" si="10"/>
        <v/>
      </c>
      <c r="B343" s="48"/>
      <c r="C343" s="14"/>
      <c r="D343" s="52"/>
      <c r="E343" s="16"/>
      <c r="F343" s="14"/>
      <c r="G343" s="14"/>
      <c r="H343" s="14"/>
      <c r="I343" s="17"/>
      <c r="J343" s="16"/>
      <c r="K343" s="17"/>
      <c r="L343" s="16"/>
      <c r="N343" s="1"/>
      <c r="O343" s="42"/>
    </row>
    <row r="344">
      <c r="A344" s="16" t="str">
        <f t="shared" si="10"/>
        <v/>
      </c>
      <c r="B344" s="48"/>
      <c r="C344" s="14"/>
      <c r="D344" s="52"/>
      <c r="E344" s="16"/>
      <c r="F344" s="14"/>
      <c r="G344" s="14"/>
      <c r="H344" s="17"/>
      <c r="I344" s="17"/>
      <c r="J344" s="16"/>
      <c r="K344" s="14"/>
      <c r="L344" s="20"/>
      <c r="N344" s="1"/>
      <c r="O344" s="42"/>
    </row>
    <row r="345">
      <c r="A345" s="16" t="str">
        <f t="shared" si="10"/>
        <v/>
      </c>
      <c r="B345" s="48"/>
      <c r="C345" s="14"/>
      <c r="D345" s="52"/>
      <c r="E345" s="16"/>
      <c r="F345" s="14"/>
      <c r="G345" s="14"/>
      <c r="H345" s="14"/>
      <c r="I345" s="17"/>
      <c r="J345" s="16"/>
      <c r="K345" s="17"/>
      <c r="L345" s="14"/>
      <c r="N345" s="1"/>
      <c r="O345" s="42"/>
    </row>
    <row r="346">
      <c r="A346" s="16" t="str">
        <f t="shared" si="10"/>
        <v/>
      </c>
      <c r="B346" s="48"/>
      <c r="C346" s="14"/>
      <c r="D346" s="52"/>
      <c r="E346" s="16"/>
      <c r="F346" s="14"/>
      <c r="G346" s="14"/>
      <c r="H346" s="14"/>
      <c r="I346" s="17"/>
      <c r="J346" s="16"/>
      <c r="K346" s="17"/>
      <c r="L346" s="17"/>
      <c r="N346" s="1"/>
      <c r="O346" s="42"/>
    </row>
    <row r="347">
      <c r="A347" s="16" t="str">
        <f t="shared" si="10"/>
        <v/>
      </c>
      <c r="B347" s="48"/>
      <c r="C347" s="14"/>
      <c r="D347" s="52"/>
      <c r="E347" s="16"/>
      <c r="F347" s="14"/>
      <c r="G347" s="14"/>
      <c r="H347" s="14"/>
      <c r="I347" s="17"/>
      <c r="J347" s="16"/>
      <c r="K347" s="17"/>
      <c r="L347" s="20"/>
      <c r="N347" s="1"/>
      <c r="O347" s="42"/>
    </row>
    <row r="348">
      <c r="A348" s="16" t="str">
        <f t="shared" si="10"/>
        <v/>
      </c>
      <c r="B348" s="48"/>
      <c r="C348" s="14"/>
      <c r="D348" s="52"/>
      <c r="E348" s="16"/>
      <c r="F348" s="14"/>
      <c r="G348" s="14"/>
      <c r="H348" s="14"/>
      <c r="I348" s="17"/>
      <c r="J348" s="16"/>
      <c r="K348" s="17"/>
      <c r="L348" s="16"/>
      <c r="N348" s="1"/>
      <c r="O348" s="42"/>
    </row>
    <row r="349">
      <c r="A349" s="16" t="str">
        <f t="shared" si="10"/>
        <v/>
      </c>
      <c r="B349" s="48"/>
      <c r="C349" s="14"/>
      <c r="D349" s="52"/>
      <c r="E349" s="16"/>
      <c r="F349" s="14"/>
      <c r="G349" s="14"/>
      <c r="H349" s="14"/>
      <c r="I349" s="17"/>
      <c r="J349" s="16"/>
      <c r="K349" s="17"/>
      <c r="L349" s="20"/>
      <c r="N349" s="1"/>
      <c r="O349" s="46"/>
    </row>
    <row r="350">
      <c r="A350" s="16" t="str">
        <f t="shared" si="10"/>
        <v/>
      </c>
      <c r="B350" s="48"/>
      <c r="C350" s="14"/>
      <c r="D350" s="52"/>
      <c r="E350" s="16"/>
      <c r="F350" s="14"/>
      <c r="G350" s="14"/>
      <c r="H350" s="14"/>
      <c r="I350" s="17"/>
      <c r="J350" s="16"/>
      <c r="K350" s="17"/>
      <c r="L350" s="17"/>
      <c r="N350" s="1"/>
      <c r="O350" s="46"/>
    </row>
    <row r="351">
      <c r="A351" s="16" t="str">
        <f t="shared" si="10"/>
        <v/>
      </c>
      <c r="B351" s="48"/>
      <c r="C351" s="14"/>
      <c r="D351" s="52"/>
      <c r="E351" s="16"/>
      <c r="F351" s="14"/>
      <c r="G351" s="14"/>
      <c r="H351" s="14"/>
      <c r="I351" s="17"/>
      <c r="J351" s="16"/>
      <c r="K351" s="17"/>
      <c r="L351" s="14"/>
      <c r="N351" s="1"/>
      <c r="O351" s="46"/>
    </row>
    <row r="352">
      <c r="A352" s="16" t="str">
        <f t="shared" si="10"/>
        <v/>
      </c>
      <c r="B352" s="48"/>
      <c r="C352" s="14"/>
      <c r="D352" s="52"/>
      <c r="E352" s="16"/>
      <c r="F352" s="14"/>
      <c r="G352" s="14"/>
      <c r="H352" s="14"/>
      <c r="I352" s="17"/>
      <c r="J352" s="16"/>
      <c r="K352" s="17"/>
      <c r="L352" s="14"/>
      <c r="N352" s="1"/>
      <c r="O352" s="46"/>
    </row>
    <row r="353">
      <c r="A353" s="16" t="str">
        <f t="shared" si="10"/>
        <v/>
      </c>
      <c r="B353" s="48"/>
      <c r="C353" s="14"/>
      <c r="D353" s="52"/>
      <c r="E353" s="16"/>
      <c r="F353" s="14"/>
      <c r="G353" s="14"/>
      <c r="H353" s="14"/>
      <c r="I353" s="17"/>
      <c r="J353" s="16"/>
      <c r="K353" s="17"/>
      <c r="L353" s="14"/>
      <c r="N353" s="1"/>
      <c r="O353" s="46"/>
    </row>
    <row r="354">
      <c r="A354" s="16" t="str">
        <f t="shared" si="10"/>
        <v/>
      </c>
      <c r="B354" s="48"/>
      <c r="C354" s="14"/>
      <c r="D354" s="52"/>
      <c r="E354" s="16"/>
      <c r="F354" s="14"/>
      <c r="G354" s="14"/>
      <c r="H354" s="14"/>
      <c r="I354" s="17"/>
      <c r="J354" s="16"/>
      <c r="K354" s="17"/>
      <c r="L354" s="14"/>
      <c r="N354" s="1"/>
      <c r="O354" s="46"/>
    </row>
    <row r="355">
      <c r="A355" s="16" t="str">
        <f t="shared" si="10"/>
        <v/>
      </c>
      <c r="B355" s="48"/>
      <c r="C355" s="14"/>
      <c r="D355" s="52"/>
      <c r="E355" s="16"/>
      <c r="F355" s="14"/>
      <c r="G355" s="14"/>
      <c r="H355" s="14"/>
      <c r="I355" s="17"/>
      <c r="J355" s="16"/>
      <c r="K355" s="17"/>
      <c r="L355" s="17"/>
      <c r="N355" s="1"/>
      <c r="O355" s="46"/>
    </row>
    <row r="356">
      <c r="A356" s="16" t="str">
        <f t="shared" si="10"/>
        <v/>
      </c>
      <c r="B356" s="48"/>
      <c r="C356" s="14"/>
      <c r="D356" s="52"/>
      <c r="E356" s="16"/>
      <c r="F356" s="14"/>
      <c r="G356" s="14"/>
      <c r="H356" s="14"/>
      <c r="I356" s="17"/>
      <c r="J356" s="16"/>
      <c r="K356" s="17"/>
      <c r="L356" s="17"/>
      <c r="N356" s="1"/>
      <c r="O356" s="46"/>
    </row>
    <row r="357">
      <c r="A357" s="16" t="str">
        <f t="shared" si="10"/>
        <v/>
      </c>
      <c r="B357" s="48"/>
      <c r="C357" s="14"/>
      <c r="D357" s="52"/>
      <c r="E357" s="16"/>
      <c r="F357" s="14"/>
      <c r="G357" s="14"/>
      <c r="H357" s="14"/>
      <c r="I357" s="17"/>
      <c r="J357" s="16"/>
      <c r="K357" s="17"/>
      <c r="L357" s="14"/>
      <c r="N357" s="1"/>
      <c r="O357" s="46"/>
    </row>
    <row r="358">
      <c r="A358" s="16" t="str">
        <f t="shared" si="10"/>
        <v/>
      </c>
      <c r="B358" s="48"/>
      <c r="C358" s="14"/>
      <c r="D358" s="52"/>
      <c r="E358" s="16"/>
      <c r="F358" s="14"/>
      <c r="G358" s="14"/>
      <c r="H358" s="14"/>
      <c r="I358" s="17"/>
      <c r="J358" s="16"/>
      <c r="K358" s="17"/>
      <c r="L358" s="14"/>
      <c r="N358" s="1"/>
      <c r="O358" s="42"/>
    </row>
    <row r="359">
      <c r="A359" s="16" t="str">
        <f t="shared" si="10"/>
        <v/>
      </c>
      <c r="B359" s="48"/>
      <c r="C359" s="14"/>
      <c r="D359" s="52"/>
      <c r="E359" s="16"/>
      <c r="F359" s="14"/>
      <c r="G359" s="14"/>
      <c r="H359" s="14"/>
      <c r="I359" s="17"/>
      <c r="J359" s="16"/>
      <c r="K359" s="17"/>
      <c r="L359" s="16"/>
      <c r="N359" s="1"/>
      <c r="O359" s="42"/>
    </row>
    <row r="360">
      <c r="A360" s="16" t="str">
        <f t="shared" si="10"/>
        <v/>
      </c>
      <c r="B360" s="48"/>
      <c r="C360" s="14"/>
      <c r="D360" s="52"/>
      <c r="E360" s="16"/>
      <c r="F360" s="14"/>
      <c r="G360" s="14"/>
      <c r="H360" s="14"/>
      <c r="I360" s="17"/>
      <c r="J360" s="16"/>
      <c r="K360" s="17"/>
      <c r="L360" s="20"/>
      <c r="N360" s="1"/>
      <c r="O360" s="42"/>
    </row>
    <row r="361">
      <c r="A361" s="16" t="str">
        <f t="shared" si="10"/>
        <v/>
      </c>
      <c r="B361" s="48"/>
      <c r="C361" s="14"/>
      <c r="D361" s="52"/>
      <c r="E361" s="16"/>
      <c r="F361" s="14"/>
      <c r="G361" s="14"/>
      <c r="H361" s="14"/>
      <c r="I361" s="17"/>
      <c r="J361" s="16"/>
      <c r="K361" s="17"/>
      <c r="L361" s="20"/>
      <c r="N361" s="1"/>
      <c r="O361" s="42"/>
    </row>
    <row r="362">
      <c r="A362" s="16" t="str">
        <f t="shared" si="10"/>
        <v/>
      </c>
      <c r="B362" s="48"/>
      <c r="C362" s="14"/>
      <c r="D362" s="52"/>
      <c r="E362" s="16"/>
      <c r="F362" s="14"/>
      <c r="G362" s="14"/>
      <c r="H362" s="14"/>
      <c r="I362" s="17"/>
      <c r="J362" s="16"/>
      <c r="K362" s="17"/>
      <c r="L362" s="17"/>
      <c r="N362" s="1"/>
      <c r="O362" s="42"/>
    </row>
    <row r="363">
      <c r="A363" s="16" t="str">
        <f t="shared" si="10"/>
        <v/>
      </c>
      <c r="B363" s="48"/>
      <c r="C363" s="14"/>
      <c r="D363" s="52"/>
      <c r="E363" s="16"/>
      <c r="F363" s="14"/>
      <c r="G363" s="14"/>
      <c r="H363" s="14"/>
      <c r="I363" s="17"/>
      <c r="J363" s="16"/>
      <c r="K363" s="17"/>
      <c r="L363" s="20"/>
      <c r="N363" s="1"/>
      <c r="O363" s="42"/>
    </row>
    <row r="364">
      <c r="A364" s="16" t="str">
        <f t="shared" si="10"/>
        <v/>
      </c>
      <c r="B364" s="48"/>
      <c r="C364" s="14"/>
      <c r="D364" s="52"/>
      <c r="E364" s="16"/>
      <c r="F364" s="14"/>
      <c r="G364" s="14"/>
      <c r="H364" s="14"/>
      <c r="I364" s="17"/>
      <c r="J364" s="16"/>
      <c r="K364" s="17"/>
      <c r="L364" s="17"/>
      <c r="N364" s="1"/>
      <c r="O364" s="42"/>
    </row>
    <row r="365">
      <c r="A365" s="16" t="str">
        <f t="shared" si="10"/>
        <v/>
      </c>
      <c r="B365" s="48"/>
      <c r="C365" s="14"/>
      <c r="D365" s="52"/>
      <c r="E365" s="16"/>
      <c r="F365" s="14"/>
      <c r="G365" s="14"/>
      <c r="H365" s="14"/>
      <c r="I365" s="17"/>
      <c r="J365" s="16"/>
      <c r="K365" s="17"/>
      <c r="L365" s="17"/>
      <c r="N365" s="1"/>
      <c r="O365" s="42"/>
    </row>
    <row r="366">
      <c r="A366" s="16" t="str">
        <f t="shared" si="10"/>
        <v/>
      </c>
      <c r="B366" s="48"/>
      <c r="C366" s="14"/>
      <c r="D366" s="52"/>
      <c r="E366" s="16"/>
      <c r="F366" s="14"/>
      <c r="G366" s="14"/>
      <c r="H366" s="14"/>
      <c r="I366" s="17"/>
      <c r="J366" s="16"/>
      <c r="K366" s="17"/>
      <c r="L366" s="17"/>
      <c r="N366" s="1"/>
      <c r="O366" s="42"/>
    </row>
    <row r="367">
      <c r="A367" s="16" t="str">
        <f t="shared" si="10"/>
        <v/>
      </c>
      <c r="B367" s="48"/>
      <c r="C367" s="14"/>
      <c r="D367" s="52"/>
      <c r="E367" s="16"/>
      <c r="F367" s="14"/>
      <c r="G367" s="14"/>
      <c r="H367" s="17"/>
      <c r="I367" s="17"/>
      <c r="J367" s="16"/>
      <c r="K367" s="17"/>
      <c r="L367" s="17"/>
      <c r="N367" s="1"/>
      <c r="O367" s="42"/>
    </row>
    <row r="368">
      <c r="A368" s="16" t="str">
        <f t="shared" si="10"/>
        <v/>
      </c>
      <c r="B368" s="48"/>
      <c r="C368" s="14"/>
      <c r="D368" s="52"/>
      <c r="E368" s="16"/>
      <c r="F368" s="14"/>
      <c r="G368" s="14"/>
      <c r="H368" s="14"/>
      <c r="I368" s="17"/>
      <c r="J368" s="16"/>
      <c r="K368" s="17"/>
      <c r="L368" s="17"/>
      <c r="N368" s="1"/>
      <c r="O368" s="42"/>
    </row>
    <row r="369">
      <c r="A369" s="16" t="str">
        <f t="shared" si="10"/>
        <v/>
      </c>
      <c r="B369" s="48"/>
      <c r="C369" s="14"/>
      <c r="D369" s="52"/>
      <c r="E369" s="16"/>
      <c r="F369" s="14"/>
      <c r="G369" s="14"/>
      <c r="H369" s="14"/>
      <c r="I369" s="17"/>
      <c r="J369" s="16"/>
      <c r="K369" s="17"/>
      <c r="L369" s="16"/>
      <c r="N369" s="1"/>
      <c r="O369" s="42"/>
    </row>
    <row r="370">
      <c r="A370" s="16" t="str">
        <f t="shared" si="10"/>
        <v/>
      </c>
      <c r="B370" s="48"/>
      <c r="C370" s="14"/>
      <c r="D370" s="52"/>
      <c r="E370" s="16"/>
      <c r="F370" s="14"/>
      <c r="G370" s="14"/>
      <c r="H370" s="14"/>
      <c r="I370" s="17"/>
      <c r="J370" s="16"/>
      <c r="K370" s="17"/>
      <c r="L370" s="14"/>
      <c r="N370" s="1"/>
      <c r="O370" s="42"/>
    </row>
    <row r="371">
      <c r="A371" s="16" t="str">
        <f t="shared" si="10"/>
        <v/>
      </c>
      <c r="B371" s="48"/>
      <c r="C371" s="14"/>
      <c r="D371" s="52"/>
      <c r="E371" s="16"/>
      <c r="F371" s="14"/>
      <c r="G371" s="14"/>
      <c r="H371" s="17"/>
      <c r="I371" s="17"/>
      <c r="J371" s="16"/>
      <c r="K371" s="17"/>
      <c r="L371" s="16"/>
      <c r="N371" s="1"/>
      <c r="O371" s="42"/>
    </row>
    <row r="372">
      <c r="A372" s="16" t="str">
        <f t="shared" si="10"/>
        <v/>
      </c>
      <c r="B372" s="48"/>
      <c r="C372" s="14"/>
      <c r="D372" s="52"/>
      <c r="E372" s="16"/>
      <c r="F372" s="14"/>
      <c r="G372" s="14"/>
      <c r="H372" s="14"/>
      <c r="I372" s="17"/>
      <c r="J372" s="16"/>
      <c r="K372" s="17"/>
      <c r="L372" s="20"/>
      <c r="N372" s="1"/>
      <c r="O372" s="42"/>
    </row>
    <row r="373">
      <c r="A373" s="16" t="str">
        <f t="shared" si="10"/>
        <v/>
      </c>
      <c r="B373" s="48"/>
      <c r="C373" s="14"/>
      <c r="D373" s="52"/>
      <c r="E373" s="16"/>
      <c r="F373" s="14"/>
      <c r="G373" s="14"/>
      <c r="H373" s="14"/>
      <c r="I373" s="17"/>
      <c r="J373" s="16"/>
      <c r="K373" s="17"/>
      <c r="L373" s="18"/>
      <c r="N373" s="1"/>
      <c r="O373" s="42"/>
    </row>
    <row r="374">
      <c r="A374" s="16" t="str">
        <f t="shared" si="10"/>
        <v/>
      </c>
      <c r="B374" s="48"/>
      <c r="C374" s="14"/>
      <c r="D374" s="52"/>
      <c r="E374" s="16"/>
      <c r="F374" s="14"/>
      <c r="G374" s="14"/>
      <c r="H374" s="14"/>
      <c r="I374" s="17"/>
      <c r="J374" s="16"/>
      <c r="K374" s="17"/>
      <c r="L374" s="17"/>
      <c r="N374" s="1"/>
      <c r="O374" s="42"/>
    </row>
    <row r="375">
      <c r="A375" s="16" t="str">
        <f t="shared" si="10"/>
        <v/>
      </c>
      <c r="B375" s="48"/>
      <c r="C375" s="14"/>
      <c r="D375" s="52"/>
      <c r="E375" s="16"/>
      <c r="F375" s="14"/>
      <c r="G375" s="14"/>
      <c r="H375" s="14"/>
      <c r="I375" s="17"/>
      <c r="J375" s="16"/>
      <c r="K375" s="17"/>
      <c r="L375" s="17"/>
      <c r="N375" s="1"/>
      <c r="O375" s="42"/>
    </row>
    <row r="376">
      <c r="A376" s="16" t="str">
        <f t="shared" si="10"/>
        <v/>
      </c>
      <c r="B376" s="48"/>
      <c r="C376" s="14"/>
      <c r="D376" s="52"/>
      <c r="E376" s="16"/>
      <c r="F376" s="14"/>
      <c r="G376" s="14"/>
      <c r="H376" s="14"/>
      <c r="I376" s="17"/>
      <c r="J376" s="16"/>
      <c r="K376" s="17"/>
      <c r="L376" s="17"/>
      <c r="N376" s="1"/>
      <c r="O376" s="42"/>
    </row>
    <row r="377">
      <c r="A377" s="16" t="str">
        <f t="shared" si="10"/>
        <v/>
      </c>
      <c r="B377" s="48"/>
      <c r="C377" s="14"/>
      <c r="D377" s="52"/>
      <c r="E377" s="16"/>
      <c r="F377" s="14"/>
      <c r="G377" s="14"/>
      <c r="H377" s="14"/>
      <c r="I377" s="17"/>
      <c r="J377" s="16"/>
      <c r="K377" s="17"/>
      <c r="L377" s="17"/>
      <c r="N377" s="1"/>
      <c r="O377" s="42"/>
    </row>
    <row r="378">
      <c r="A378" s="16" t="str">
        <f t="shared" si="10"/>
        <v/>
      </c>
      <c r="B378" s="48"/>
      <c r="C378" s="14"/>
      <c r="D378" s="52"/>
      <c r="E378" s="16"/>
      <c r="F378" s="14"/>
      <c r="G378" s="14"/>
      <c r="H378" s="14"/>
      <c r="I378" s="17"/>
      <c r="J378" s="16"/>
      <c r="K378" s="17"/>
      <c r="L378" s="17"/>
      <c r="N378" s="1"/>
      <c r="O378" s="42"/>
    </row>
    <row r="379">
      <c r="A379" s="16" t="str">
        <f t="shared" si="10"/>
        <v/>
      </c>
      <c r="B379" s="48"/>
      <c r="C379" s="14"/>
      <c r="D379" s="52"/>
      <c r="E379" s="16"/>
      <c r="F379" s="14"/>
      <c r="G379" s="14"/>
      <c r="H379" s="14"/>
      <c r="I379" s="14"/>
      <c r="J379" s="16"/>
      <c r="K379" s="17"/>
      <c r="L379" s="14"/>
      <c r="N379" s="1"/>
      <c r="O379" s="42"/>
    </row>
    <row r="380">
      <c r="A380" s="16" t="str">
        <f t="shared" si="10"/>
        <v/>
      </c>
      <c r="B380" s="48"/>
      <c r="C380" s="14"/>
      <c r="D380" s="52"/>
      <c r="E380" s="16"/>
      <c r="F380" s="14"/>
      <c r="G380" s="14"/>
      <c r="H380" s="14"/>
      <c r="I380" s="17"/>
      <c r="J380" s="16"/>
      <c r="K380" s="17"/>
      <c r="L380" s="17"/>
      <c r="N380" s="1"/>
      <c r="O380" s="42"/>
    </row>
    <row r="381">
      <c r="A381" s="16" t="str">
        <f t="shared" si="10"/>
        <v/>
      </c>
      <c r="B381" s="48"/>
      <c r="C381" s="14"/>
      <c r="D381" s="52"/>
      <c r="E381" s="16"/>
      <c r="F381" s="14"/>
      <c r="G381" s="14"/>
      <c r="H381" s="14"/>
      <c r="I381" s="17"/>
      <c r="J381" s="16"/>
      <c r="K381" s="17"/>
      <c r="L381" s="14"/>
      <c r="N381" s="1"/>
      <c r="O381" s="42"/>
    </row>
    <row r="382">
      <c r="A382" s="16" t="str">
        <f t="shared" si="10"/>
        <v/>
      </c>
      <c r="B382" s="48"/>
      <c r="C382" s="14"/>
      <c r="D382" s="52"/>
      <c r="E382" s="16"/>
      <c r="F382" s="14"/>
      <c r="G382" s="14"/>
      <c r="H382" s="14"/>
      <c r="I382" s="17"/>
      <c r="J382" s="16"/>
      <c r="K382" s="17"/>
      <c r="L382" s="14"/>
      <c r="N382" s="1"/>
      <c r="O382" s="42"/>
    </row>
    <row r="383">
      <c r="A383" s="16" t="str">
        <f t="shared" si="10"/>
        <v/>
      </c>
      <c r="B383" s="48"/>
      <c r="C383" s="14"/>
      <c r="D383" s="52"/>
      <c r="E383" s="16"/>
      <c r="F383" s="14"/>
      <c r="G383" s="14"/>
      <c r="H383" s="17"/>
      <c r="I383" s="17"/>
      <c r="J383" s="16"/>
      <c r="K383" s="17"/>
      <c r="L383" s="14"/>
      <c r="N383" s="1"/>
      <c r="O383" s="42"/>
    </row>
    <row r="384">
      <c r="A384" s="16" t="str">
        <f t="shared" si="10"/>
        <v/>
      </c>
      <c r="B384" s="48"/>
      <c r="C384" s="14"/>
      <c r="D384" s="52"/>
      <c r="E384" s="16"/>
      <c r="F384" s="14"/>
      <c r="G384" s="14"/>
      <c r="H384" s="17"/>
      <c r="I384" s="17"/>
      <c r="J384" s="16"/>
      <c r="K384" s="17"/>
      <c r="L384" s="17"/>
      <c r="N384" s="1"/>
      <c r="O384" s="42"/>
    </row>
    <row r="385">
      <c r="A385" s="16" t="str">
        <f t="shared" si="10"/>
        <v/>
      </c>
      <c r="B385" s="48"/>
      <c r="C385" s="14"/>
      <c r="D385" s="52"/>
      <c r="E385" s="16"/>
      <c r="F385" s="14"/>
      <c r="G385" s="14"/>
      <c r="H385" s="14"/>
      <c r="I385" s="17"/>
      <c r="J385" s="16"/>
      <c r="K385" s="17"/>
      <c r="L385" s="17"/>
      <c r="N385" s="1"/>
      <c r="O385" s="42"/>
    </row>
    <row r="386">
      <c r="A386" s="16" t="str">
        <f t="shared" si="10"/>
        <v/>
      </c>
      <c r="B386" s="48"/>
      <c r="C386" s="14"/>
      <c r="D386" s="52"/>
      <c r="E386" s="16"/>
      <c r="F386" s="14"/>
      <c r="G386" s="14"/>
      <c r="H386" s="14"/>
      <c r="I386" s="17"/>
      <c r="J386" s="16"/>
      <c r="K386" s="17"/>
      <c r="L386" s="20"/>
      <c r="N386" s="1"/>
      <c r="O386" s="42"/>
    </row>
    <row r="387">
      <c r="A387" s="16" t="str">
        <f t="shared" si="10"/>
        <v/>
      </c>
      <c r="B387" s="48"/>
      <c r="C387" s="14"/>
      <c r="D387" s="52"/>
      <c r="E387" s="16"/>
      <c r="F387" s="14"/>
      <c r="G387" s="14"/>
      <c r="H387" s="17"/>
      <c r="I387" s="17"/>
      <c r="J387" s="16"/>
      <c r="K387" s="17"/>
      <c r="L387" s="20"/>
      <c r="N387" s="1"/>
      <c r="O387" s="42"/>
    </row>
    <row r="388">
      <c r="A388" s="16" t="str">
        <f t="shared" si="10"/>
        <v/>
      </c>
      <c r="B388" s="48"/>
      <c r="C388" s="14"/>
      <c r="D388" s="52"/>
      <c r="E388" s="16"/>
      <c r="F388" s="14"/>
      <c r="G388" s="14"/>
      <c r="H388" s="14"/>
      <c r="I388" s="17"/>
      <c r="J388" s="16"/>
      <c r="K388" s="17"/>
      <c r="L388" s="17"/>
      <c r="N388" s="1"/>
      <c r="O388" s="42"/>
    </row>
    <row r="389">
      <c r="A389" s="16" t="str">
        <f t="shared" si="10"/>
        <v/>
      </c>
      <c r="B389" s="48"/>
      <c r="C389" s="14"/>
      <c r="D389" s="52"/>
      <c r="E389" s="16"/>
      <c r="F389" s="14"/>
      <c r="G389" s="14"/>
      <c r="H389" s="14"/>
      <c r="I389" s="17"/>
      <c r="J389" s="16"/>
      <c r="K389" s="17"/>
      <c r="L389" s="20"/>
      <c r="N389" s="1"/>
      <c r="O389" s="42"/>
    </row>
    <row r="390">
      <c r="A390" s="16" t="str">
        <f t="shared" si="10"/>
        <v/>
      </c>
      <c r="B390" s="48"/>
      <c r="C390" s="14"/>
      <c r="D390" s="52"/>
      <c r="E390" s="16"/>
      <c r="F390" s="14"/>
      <c r="G390" s="14"/>
      <c r="H390" s="14"/>
      <c r="I390" s="17"/>
      <c r="J390" s="16"/>
      <c r="K390" s="17"/>
      <c r="L390" s="20"/>
      <c r="N390" s="1"/>
      <c r="O390" s="42"/>
    </row>
    <row r="391">
      <c r="A391" s="16" t="str">
        <f t="shared" si="10"/>
        <v/>
      </c>
      <c r="B391" s="48"/>
      <c r="C391" s="14"/>
      <c r="D391" s="52"/>
      <c r="E391" s="16"/>
      <c r="F391" s="14"/>
      <c r="G391" s="14"/>
      <c r="H391" s="14"/>
      <c r="I391" s="17"/>
      <c r="J391" s="16"/>
      <c r="K391" s="17"/>
      <c r="L391" s="20"/>
      <c r="N391" s="1"/>
      <c r="O391" s="42"/>
    </row>
    <row r="392">
      <c r="A392" s="16" t="str">
        <f t="shared" si="10"/>
        <v/>
      </c>
      <c r="B392" s="48"/>
      <c r="C392" s="14"/>
      <c r="D392" s="52"/>
      <c r="E392" s="16"/>
      <c r="F392" s="14"/>
      <c r="G392" s="14"/>
      <c r="H392" s="14"/>
      <c r="I392" s="17"/>
      <c r="J392" s="16"/>
      <c r="K392" s="17"/>
      <c r="L392" s="20"/>
      <c r="N392" s="1"/>
      <c r="O392" s="42"/>
    </row>
    <row r="393">
      <c r="A393" s="16" t="str">
        <f t="shared" si="10"/>
        <v/>
      </c>
      <c r="B393" s="48"/>
      <c r="C393" s="14"/>
      <c r="D393" s="52"/>
      <c r="E393" s="16"/>
      <c r="F393" s="14"/>
      <c r="G393" s="14"/>
      <c r="H393" s="14"/>
      <c r="I393" s="17"/>
      <c r="J393" s="16"/>
      <c r="K393" s="17"/>
      <c r="L393" s="17"/>
      <c r="N393" s="1"/>
      <c r="O393" s="42"/>
    </row>
    <row r="394">
      <c r="A394" s="16" t="str">
        <f t="shared" si="10"/>
        <v/>
      </c>
      <c r="B394" s="48"/>
      <c r="C394" s="14"/>
      <c r="D394" s="52"/>
      <c r="E394" s="16"/>
      <c r="F394" s="14"/>
      <c r="G394" s="14"/>
      <c r="H394" s="14"/>
      <c r="I394" s="17"/>
      <c r="J394" s="16"/>
      <c r="K394" s="17"/>
      <c r="L394" s="17"/>
      <c r="N394" s="1"/>
      <c r="O394" s="42"/>
    </row>
    <row r="395">
      <c r="A395" s="16" t="str">
        <f t="shared" si="10"/>
        <v/>
      </c>
      <c r="B395" s="48"/>
      <c r="C395" s="14"/>
      <c r="D395" s="52"/>
      <c r="E395" s="16"/>
      <c r="F395" s="14"/>
      <c r="G395" s="14"/>
      <c r="H395" s="14"/>
      <c r="I395" s="17"/>
      <c r="J395" s="16"/>
      <c r="K395" s="17"/>
      <c r="L395" s="20"/>
      <c r="N395" s="1"/>
      <c r="O395" s="42"/>
    </row>
    <row r="396">
      <c r="A396" s="16" t="str">
        <f t="shared" si="10"/>
        <v/>
      </c>
      <c r="B396" s="48"/>
      <c r="C396" s="14"/>
      <c r="D396" s="52"/>
      <c r="E396" s="16"/>
      <c r="F396" s="14"/>
      <c r="G396" s="14"/>
      <c r="H396" s="14"/>
      <c r="I396" s="17"/>
      <c r="J396" s="16"/>
      <c r="K396" s="17"/>
      <c r="L396" s="16"/>
      <c r="N396" s="1"/>
      <c r="O396" s="42"/>
    </row>
    <row r="397">
      <c r="A397" s="16" t="str">
        <f t="shared" si="10"/>
        <v/>
      </c>
      <c r="B397" s="48"/>
      <c r="C397" s="14"/>
      <c r="D397" s="52"/>
      <c r="E397" s="16"/>
      <c r="F397" s="14"/>
      <c r="G397" s="14"/>
      <c r="H397" s="14"/>
      <c r="I397" s="17"/>
      <c r="J397" s="16"/>
      <c r="K397" s="17"/>
      <c r="L397" s="16"/>
      <c r="N397" s="1"/>
      <c r="O397" s="42"/>
    </row>
    <row r="398">
      <c r="A398" s="16" t="str">
        <f t="shared" si="10"/>
        <v/>
      </c>
      <c r="B398" s="48"/>
      <c r="C398" s="14"/>
      <c r="D398" s="52"/>
      <c r="E398" s="16"/>
      <c r="F398" s="14"/>
      <c r="G398" s="14"/>
      <c r="H398" s="14"/>
      <c r="I398" s="17"/>
      <c r="J398" s="16"/>
      <c r="K398" s="17"/>
      <c r="L398" s="17"/>
      <c r="N398" s="1"/>
      <c r="O398" s="53"/>
    </row>
    <row r="399">
      <c r="A399" s="16" t="str">
        <f t="shared" si="10"/>
        <v/>
      </c>
      <c r="B399" s="48"/>
      <c r="C399" s="14"/>
      <c r="D399" s="52"/>
      <c r="E399" s="16"/>
      <c r="F399" s="14"/>
      <c r="G399" s="14"/>
      <c r="H399" s="14"/>
      <c r="I399" s="17"/>
      <c r="J399" s="16"/>
      <c r="K399" s="17"/>
      <c r="L399" s="16"/>
      <c r="N399" s="1"/>
      <c r="O399" s="53"/>
    </row>
    <row r="400">
      <c r="A400" s="16" t="str">
        <f t="shared" si="10"/>
        <v/>
      </c>
      <c r="B400" s="48"/>
      <c r="C400" s="14"/>
      <c r="D400" s="52"/>
      <c r="E400" s="16"/>
      <c r="F400" s="14"/>
      <c r="G400" s="14"/>
      <c r="H400" s="14"/>
      <c r="I400" s="17"/>
      <c r="J400" s="16"/>
      <c r="K400" s="17"/>
      <c r="L400" s="14"/>
      <c r="N400" s="1"/>
      <c r="O400" s="53"/>
    </row>
    <row r="401">
      <c r="A401" s="16" t="str">
        <f t="shared" si="10"/>
        <v/>
      </c>
      <c r="B401" s="48"/>
      <c r="C401" s="14"/>
      <c r="D401" s="52"/>
      <c r="E401" s="16"/>
      <c r="F401" s="14"/>
      <c r="G401" s="14"/>
      <c r="H401" s="14"/>
      <c r="I401" s="17"/>
      <c r="J401" s="16"/>
      <c r="K401" s="17"/>
      <c r="L401" s="14"/>
      <c r="N401" s="1"/>
      <c r="O401" s="53"/>
    </row>
    <row r="402">
      <c r="A402" s="16" t="str">
        <f t="shared" si="10"/>
        <v/>
      </c>
      <c r="B402" s="48"/>
      <c r="C402" s="14"/>
      <c r="D402" s="52"/>
      <c r="E402" s="16"/>
      <c r="F402" s="14"/>
      <c r="G402" s="14"/>
      <c r="H402" s="17"/>
      <c r="I402" s="17"/>
      <c r="J402" s="16"/>
      <c r="K402" s="17"/>
      <c r="L402" s="14"/>
      <c r="N402" s="1"/>
      <c r="O402" s="53"/>
    </row>
    <row r="403">
      <c r="A403" s="16" t="str">
        <f t="shared" si="10"/>
        <v/>
      </c>
      <c r="B403" s="48"/>
      <c r="C403" s="14"/>
      <c r="D403" s="52"/>
      <c r="E403" s="16"/>
      <c r="F403" s="14"/>
      <c r="G403" s="14"/>
      <c r="H403" s="14"/>
      <c r="I403" s="17"/>
      <c r="J403" s="16"/>
      <c r="K403" s="17"/>
      <c r="L403" s="20"/>
      <c r="N403" s="1"/>
      <c r="O403" s="53"/>
    </row>
    <row r="404">
      <c r="A404" s="16" t="str">
        <f t="shared" si="10"/>
        <v/>
      </c>
      <c r="B404" s="48"/>
      <c r="C404" s="14"/>
      <c r="D404" s="52"/>
      <c r="E404" s="16"/>
      <c r="F404" s="14"/>
      <c r="G404" s="14"/>
      <c r="H404" s="14"/>
      <c r="I404" s="17"/>
      <c r="J404" s="16"/>
      <c r="K404" s="17"/>
      <c r="L404" s="20"/>
      <c r="N404" s="1"/>
      <c r="O404" s="53"/>
    </row>
    <row r="405">
      <c r="A405" s="16" t="str">
        <f t="shared" si="10"/>
        <v/>
      </c>
      <c r="B405" s="48"/>
      <c r="C405" s="14"/>
      <c r="D405" s="52"/>
      <c r="E405" s="16"/>
      <c r="F405" s="14"/>
      <c r="G405" s="14"/>
      <c r="H405" s="14"/>
      <c r="I405" s="17"/>
      <c r="J405" s="16"/>
      <c r="K405" s="17"/>
      <c r="L405" s="14"/>
      <c r="N405" s="1"/>
      <c r="O405" s="53"/>
    </row>
    <row r="406">
      <c r="A406" s="16" t="str">
        <f t="shared" si="10"/>
        <v/>
      </c>
      <c r="B406" s="48"/>
      <c r="C406" s="14"/>
      <c r="D406" s="52"/>
      <c r="E406" s="16"/>
      <c r="F406" s="14"/>
      <c r="G406" s="14"/>
      <c r="H406" s="14"/>
      <c r="I406" s="17"/>
      <c r="J406" s="16"/>
      <c r="K406" s="17"/>
      <c r="L406" s="14"/>
      <c r="N406" s="1"/>
      <c r="O406" s="53"/>
    </row>
    <row r="407">
      <c r="A407" s="16" t="str">
        <f t="shared" si="10"/>
        <v/>
      </c>
      <c r="B407" s="48"/>
      <c r="C407" s="14"/>
      <c r="D407" s="52"/>
      <c r="E407" s="16"/>
      <c r="F407" s="14"/>
      <c r="G407" s="14"/>
      <c r="H407" s="17"/>
      <c r="I407" s="17"/>
      <c r="J407" s="16"/>
      <c r="K407" s="17"/>
      <c r="L407" s="16"/>
      <c r="N407" s="1"/>
      <c r="O407" s="53"/>
    </row>
    <row r="408">
      <c r="A408" s="16" t="str">
        <f t="shared" si="10"/>
        <v/>
      </c>
      <c r="B408" s="48"/>
      <c r="C408" s="14"/>
      <c r="D408" s="52"/>
      <c r="E408" s="16"/>
      <c r="F408" s="14"/>
      <c r="G408" s="14"/>
      <c r="H408" s="17"/>
      <c r="I408" s="17"/>
      <c r="J408" s="16"/>
      <c r="K408" s="17"/>
      <c r="L408" s="20"/>
      <c r="N408" s="1"/>
      <c r="O408" s="53"/>
    </row>
    <row r="409">
      <c r="A409" s="16" t="str">
        <f t="shared" si="10"/>
        <v/>
      </c>
      <c r="B409" s="48"/>
      <c r="C409" s="14"/>
      <c r="D409" s="52"/>
      <c r="E409" s="16"/>
      <c r="F409" s="14"/>
      <c r="G409" s="14"/>
      <c r="H409" s="14"/>
      <c r="I409" s="17"/>
      <c r="J409" s="16"/>
      <c r="K409" s="14"/>
      <c r="L409" s="16"/>
      <c r="N409" s="1"/>
      <c r="O409" s="53"/>
    </row>
    <row r="410">
      <c r="A410" s="16" t="str">
        <f t="shared" si="10"/>
        <v/>
      </c>
      <c r="B410" s="48"/>
      <c r="C410" s="14"/>
      <c r="D410" s="52"/>
      <c r="E410" s="16"/>
      <c r="F410" s="14"/>
      <c r="G410" s="14"/>
      <c r="H410" s="14"/>
      <c r="I410" s="17"/>
      <c r="J410" s="16"/>
      <c r="K410" s="17"/>
      <c r="L410" s="20"/>
      <c r="N410" s="1"/>
      <c r="O410" s="53"/>
    </row>
    <row r="411">
      <c r="A411" s="16" t="str">
        <f t="shared" si="10"/>
        <v/>
      </c>
      <c r="B411" s="48"/>
      <c r="C411" s="14"/>
      <c r="D411" s="52"/>
      <c r="E411" s="16"/>
      <c r="F411" s="14"/>
      <c r="G411" s="14"/>
      <c r="H411" s="17"/>
      <c r="I411" s="17"/>
      <c r="J411" s="16"/>
      <c r="K411" s="14"/>
      <c r="L411" s="20"/>
      <c r="N411" s="1"/>
      <c r="O411" s="53"/>
    </row>
    <row r="412">
      <c r="A412" s="16" t="str">
        <f t="shared" si="10"/>
        <v/>
      </c>
      <c r="B412" s="48"/>
      <c r="C412" s="14"/>
      <c r="D412" s="52"/>
      <c r="E412" s="16"/>
      <c r="F412" s="14"/>
      <c r="G412" s="14"/>
      <c r="H412" s="14"/>
      <c r="I412" s="17"/>
      <c r="J412" s="16"/>
      <c r="K412" s="17"/>
      <c r="L412" s="20"/>
      <c r="N412" s="1"/>
      <c r="O412" s="53"/>
    </row>
    <row r="413">
      <c r="A413" s="16" t="str">
        <f t="shared" si="10"/>
        <v/>
      </c>
      <c r="B413" s="48"/>
      <c r="C413" s="14"/>
      <c r="D413" s="52"/>
      <c r="E413" s="16"/>
      <c r="F413" s="14"/>
      <c r="G413" s="14"/>
      <c r="H413" s="17"/>
      <c r="I413" s="17"/>
      <c r="J413" s="16"/>
      <c r="K413" s="17"/>
      <c r="L413" s="16"/>
      <c r="N413" s="1"/>
      <c r="O413" s="53"/>
    </row>
    <row r="414">
      <c r="A414" s="16" t="str">
        <f t="shared" si="10"/>
        <v/>
      </c>
      <c r="B414" s="48"/>
      <c r="C414" s="14"/>
      <c r="D414" s="52"/>
      <c r="E414" s="16"/>
      <c r="F414" s="14"/>
      <c r="G414" s="14"/>
      <c r="H414" s="14"/>
      <c r="I414" s="17"/>
      <c r="J414" s="16"/>
      <c r="K414" s="17"/>
      <c r="L414" s="16"/>
      <c r="N414" s="1"/>
      <c r="O414" s="53"/>
    </row>
    <row r="415">
      <c r="A415" s="16" t="str">
        <f t="shared" si="10"/>
        <v/>
      </c>
      <c r="B415" s="48"/>
      <c r="C415" s="14"/>
      <c r="D415" s="52"/>
      <c r="E415" s="16"/>
      <c r="F415" s="14"/>
      <c r="G415" s="14"/>
      <c r="H415" s="14"/>
      <c r="I415" s="17"/>
      <c r="J415" s="16"/>
      <c r="K415" s="17"/>
      <c r="L415" s="20"/>
      <c r="N415" s="1"/>
      <c r="O415" s="53"/>
    </row>
    <row r="416">
      <c r="A416" s="16" t="str">
        <f t="shared" si="10"/>
        <v/>
      </c>
      <c r="B416" s="48"/>
      <c r="C416" s="14"/>
      <c r="D416" s="52"/>
      <c r="E416" s="16"/>
      <c r="F416" s="14"/>
      <c r="G416" s="14"/>
      <c r="H416" s="14"/>
      <c r="I416" s="17"/>
      <c r="J416" s="16"/>
      <c r="K416" s="17"/>
      <c r="L416" s="20"/>
      <c r="N416" s="1"/>
      <c r="O416" s="53"/>
    </row>
    <row r="417">
      <c r="A417" s="16" t="str">
        <f t="shared" si="10"/>
        <v/>
      </c>
      <c r="B417" s="48"/>
      <c r="C417" s="14"/>
      <c r="D417" s="52"/>
      <c r="E417" s="16"/>
      <c r="F417" s="14"/>
      <c r="G417" s="14"/>
      <c r="H417" s="17"/>
      <c r="I417" s="17"/>
      <c r="J417" s="16"/>
      <c r="K417" s="17"/>
      <c r="L417" s="20"/>
      <c r="N417" s="1"/>
      <c r="O417" s="53"/>
    </row>
    <row r="418">
      <c r="A418" s="16" t="str">
        <f t="shared" si="10"/>
        <v/>
      </c>
      <c r="B418" s="48"/>
      <c r="C418" s="14"/>
      <c r="D418" s="52"/>
      <c r="E418" s="16"/>
      <c r="F418" s="14"/>
      <c r="G418" s="14"/>
      <c r="H418" s="14"/>
      <c r="I418" s="17"/>
      <c r="J418" s="16"/>
      <c r="K418" s="17"/>
      <c r="L418" s="16"/>
      <c r="N418" s="1"/>
      <c r="O418" s="53"/>
    </row>
    <row r="419">
      <c r="A419" s="16" t="str">
        <f t="shared" si="10"/>
        <v/>
      </c>
      <c r="B419" s="48"/>
      <c r="C419" s="14"/>
      <c r="D419" s="52"/>
      <c r="E419" s="16"/>
      <c r="F419" s="14"/>
      <c r="G419" s="14"/>
      <c r="H419" s="14"/>
      <c r="I419" s="17"/>
      <c r="J419" s="16"/>
      <c r="K419" s="17"/>
      <c r="L419" s="16"/>
      <c r="N419" s="1"/>
      <c r="O419" s="53"/>
    </row>
    <row r="420">
      <c r="A420" s="16" t="str">
        <f t="shared" si="10"/>
        <v/>
      </c>
      <c r="B420" s="48"/>
      <c r="C420" s="14"/>
      <c r="D420" s="52"/>
      <c r="E420" s="16"/>
      <c r="F420" s="14"/>
      <c r="G420" s="14"/>
      <c r="H420" s="14"/>
      <c r="I420" s="17"/>
      <c r="J420" s="16"/>
      <c r="K420" s="17"/>
      <c r="L420" s="14"/>
      <c r="N420" s="1"/>
      <c r="O420" s="53"/>
    </row>
    <row r="421">
      <c r="A421" s="16" t="str">
        <f t="shared" si="10"/>
        <v/>
      </c>
      <c r="B421" s="48"/>
      <c r="C421" s="14"/>
      <c r="D421" s="52"/>
      <c r="E421" s="16"/>
      <c r="F421" s="14"/>
      <c r="G421" s="14"/>
      <c r="H421" s="14"/>
      <c r="I421" s="17"/>
      <c r="J421" s="16"/>
      <c r="K421" s="17"/>
      <c r="L421" s="14"/>
      <c r="N421" s="1"/>
      <c r="O421" s="53"/>
    </row>
    <row r="422">
      <c r="A422" s="16" t="str">
        <f t="shared" si="10"/>
        <v/>
      </c>
      <c r="B422" s="48"/>
      <c r="C422" s="14"/>
      <c r="D422" s="52"/>
      <c r="E422" s="16"/>
      <c r="F422" s="14"/>
      <c r="G422" s="14"/>
      <c r="H422" s="14"/>
      <c r="I422" s="17"/>
      <c r="J422" s="16"/>
      <c r="K422" s="17"/>
      <c r="L422" s="14"/>
      <c r="N422" s="1"/>
      <c r="O422" s="53"/>
    </row>
    <row r="423">
      <c r="A423" s="16" t="str">
        <f t="shared" si="10"/>
        <v/>
      </c>
      <c r="B423" s="48"/>
      <c r="C423" s="14"/>
      <c r="D423" s="52"/>
      <c r="E423" s="16"/>
      <c r="F423" s="14"/>
      <c r="G423" s="14"/>
      <c r="H423" s="14"/>
      <c r="I423" s="17"/>
      <c r="J423" s="16"/>
      <c r="K423" s="17"/>
      <c r="L423" s="14"/>
      <c r="N423" s="1"/>
      <c r="O423" s="47"/>
    </row>
    <row r="424">
      <c r="A424" s="16" t="str">
        <f t="shared" si="10"/>
        <v/>
      </c>
      <c r="B424" s="48"/>
      <c r="C424" s="14"/>
      <c r="D424" s="52"/>
      <c r="E424" s="16"/>
      <c r="F424" s="14"/>
      <c r="G424" s="14"/>
      <c r="H424" s="14"/>
      <c r="I424" s="17"/>
      <c r="J424" s="16"/>
      <c r="K424" s="17"/>
      <c r="L424" s="14"/>
      <c r="N424" s="1"/>
      <c r="O424" s="47"/>
    </row>
    <row r="425">
      <c r="A425" s="16" t="str">
        <f t="shared" si="10"/>
        <v/>
      </c>
      <c r="B425" s="48"/>
      <c r="C425" s="14"/>
      <c r="D425" s="52"/>
      <c r="E425" s="16"/>
      <c r="F425" s="14"/>
      <c r="G425" s="14"/>
      <c r="H425" s="14"/>
      <c r="I425" s="17"/>
      <c r="J425" s="16"/>
      <c r="K425" s="17"/>
      <c r="L425" s="14"/>
      <c r="N425" s="1"/>
      <c r="O425" s="47"/>
    </row>
    <row r="426">
      <c r="A426" s="16" t="str">
        <f t="shared" si="10"/>
        <v/>
      </c>
      <c r="B426" s="48"/>
      <c r="C426" s="14"/>
      <c r="D426" s="52"/>
      <c r="E426" s="16"/>
      <c r="F426" s="14"/>
      <c r="G426" s="14"/>
      <c r="H426" s="17"/>
      <c r="I426" s="17"/>
      <c r="J426" s="16"/>
      <c r="K426" s="17"/>
      <c r="L426" s="14"/>
      <c r="N426" s="1"/>
      <c r="O426" s="47"/>
    </row>
    <row r="427">
      <c r="A427" s="16" t="str">
        <f t="shared" si="10"/>
        <v/>
      </c>
      <c r="B427" s="48"/>
      <c r="C427" s="14"/>
      <c r="D427" s="52"/>
      <c r="E427" s="16"/>
      <c r="F427" s="14"/>
      <c r="G427" s="14"/>
      <c r="H427" s="17"/>
      <c r="I427" s="17"/>
      <c r="J427" s="16"/>
      <c r="K427" s="17"/>
      <c r="L427" s="14"/>
      <c r="N427" s="1"/>
      <c r="O427" s="47"/>
    </row>
    <row r="428">
      <c r="A428" s="16" t="str">
        <f t="shared" si="10"/>
        <v/>
      </c>
      <c r="B428" s="48"/>
      <c r="C428" s="14"/>
      <c r="D428" s="52"/>
      <c r="E428" s="16"/>
      <c r="F428" s="14"/>
      <c r="G428" s="14"/>
      <c r="H428" s="17"/>
      <c r="I428" s="17"/>
      <c r="J428" s="16"/>
      <c r="K428" s="17"/>
      <c r="L428" s="17"/>
      <c r="N428" s="1"/>
      <c r="O428" s="47"/>
    </row>
    <row r="429">
      <c r="A429" s="16" t="str">
        <f t="shared" si="10"/>
        <v/>
      </c>
      <c r="B429" s="48"/>
      <c r="C429" s="14"/>
      <c r="D429" s="52"/>
      <c r="E429" s="16"/>
      <c r="F429" s="14"/>
      <c r="G429" s="14"/>
      <c r="H429" s="17"/>
      <c r="I429" s="17"/>
      <c r="J429" s="16"/>
      <c r="K429" s="17"/>
      <c r="L429" s="14"/>
      <c r="N429" s="1"/>
      <c r="O429" s="47"/>
    </row>
    <row r="430">
      <c r="A430" s="16" t="str">
        <f t="shared" si="10"/>
        <v/>
      </c>
      <c r="B430" s="48"/>
      <c r="C430" s="14"/>
      <c r="D430" s="52"/>
      <c r="E430" s="16"/>
      <c r="F430" s="14"/>
      <c r="G430" s="14"/>
      <c r="H430" s="17"/>
      <c r="I430" s="17"/>
      <c r="J430" s="16"/>
      <c r="K430" s="17"/>
      <c r="L430" s="14"/>
      <c r="N430" s="1"/>
      <c r="O430" s="47"/>
    </row>
    <row r="431">
      <c r="A431" s="16" t="str">
        <f t="shared" si="10"/>
        <v/>
      </c>
      <c r="B431" s="48"/>
      <c r="C431" s="14"/>
      <c r="D431" s="52"/>
      <c r="E431" s="16"/>
      <c r="F431" s="14"/>
      <c r="G431" s="14"/>
      <c r="H431" s="14"/>
      <c r="I431" s="17"/>
      <c r="J431" s="16"/>
      <c r="K431" s="17"/>
      <c r="L431" s="14"/>
      <c r="N431" s="1"/>
      <c r="O431" s="47"/>
    </row>
    <row r="432">
      <c r="A432" s="16" t="str">
        <f t="shared" si="10"/>
        <v/>
      </c>
      <c r="B432" s="48"/>
      <c r="C432" s="14"/>
      <c r="D432" s="52"/>
      <c r="E432" s="16"/>
      <c r="F432" s="14"/>
      <c r="G432" s="14"/>
      <c r="H432" s="17"/>
      <c r="I432" s="17"/>
      <c r="J432" s="16"/>
      <c r="K432" s="17"/>
      <c r="L432" s="17"/>
      <c r="N432" s="1"/>
      <c r="O432" s="47"/>
    </row>
    <row r="433">
      <c r="A433" s="16" t="str">
        <f t="shared" si="10"/>
        <v/>
      </c>
      <c r="B433" s="48"/>
      <c r="C433" s="14"/>
      <c r="D433" s="52"/>
      <c r="E433" s="16"/>
      <c r="F433" s="14"/>
      <c r="G433" s="14"/>
      <c r="H433" s="14"/>
      <c r="I433" s="17"/>
      <c r="J433" s="16"/>
      <c r="K433" s="17"/>
      <c r="L433" s="17"/>
      <c r="N433" s="1"/>
      <c r="O433" s="47"/>
    </row>
    <row r="434">
      <c r="A434" s="16" t="str">
        <f t="shared" si="10"/>
        <v/>
      </c>
      <c r="B434" s="48"/>
      <c r="C434" s="14"/>
      <c r="D434" s="52"/>
      <c r="E434" s="16"/>
      <c r="F434" s="14"/>
      <c r="G434" s="14"/>
      <c r="H434" s="14"/>
      <c r="I434" s="17"/>
      <c r="J434" s="16"/>
      <c r="K434" s="17"/>
      <c r="L434" s="17"/>
      <c r="N434" s="1"/>
      <c r="O434" s="47"/>
    </row>
    <row r="435">
      <c r="A435" s="16" t="str">
        <f t="shared" si="10"/>
        <v/>
      </c>
      <c r="B435" s="48"/>
      <c r="C435" s="14"/>
      <c r="D435" s="52"/>
      <c r="E435" s="16"/>
      <c r="F435" s="14"/>
      <c r="G435" s="14"/>
      <c r="H435" s="14"/>
      <c r="I435" s="17"/>
      <c r="J435" s="16"/>
      <c r="K435" s="17"/>
      <c r="L435" s="17"/>
      <c r="N435" s="1"/>
      <c r="O435" s="47"/>
    </row>
    <row r="436">
      <c r="A436" s="16" t="str">
        <f t="shared" si="10"/>
        <v/>
      </c>
      <c r="B436" s="48"/>
      <c r="C436" s="14"/>
      <c r="D436" s="52"/>
      <c r="E436" s="16"/>
      <c r="F436" s="14"/>
      <c r="G436" s="14"/>
      <c r="H436" s="14"/>
      <c r="I436" s="17"/>
      <c r="J436" s="16"/>
      <c r="K436" s="17"/>
      <c r="L436" s="17"/>
      <c r="N436" s="1"/>
      <c r="O436" s="47"/>
    </row>
    <row r="437">
      <c r="A437" s="16" t="str">
        <f t="shared" si="10"/>
        <v/>
      </c>
      <c r="B437" s="48"/>
      <c r="C437" s="14"/>
      <c r="D437" s="52"/>
      <c r="E437" s="16"/>
      <c r="F437" s="14"/>
      <c r="G437" s="14"/>
      <c r="H437" s="14"/>
      <c r="I437" s="17"/>
      <c r="J437" s="16"/>
      <c r="K437" s="17"/>
      <c r="L437" s="17"/>
      <c r="N437" s="1"/>
      <c r="O437" s="47"/>
    </row>
    <row r="438">
      <c r="A438" s="16" t="str">
        <f t="shared" si="10"/>
        <v/>
      </c>
      <c r="B438" s="48"/>
      <c r="C438" s="14"/>
      <c r="D438" s="52"/>
      <c r="E438" s="16"/>
      <c r="F438" s="14"/>
      <c r="G438" s="14"/>
      <c r="H438" s="14"/>
      <c r="I438" s="17"/>
      <c r="J438" s="16"/>
      <c r="K438" s="17"/>
      <c r="L438" s="17"/>
      <c r="N438" s="1"/>
      <c r="O438" s="47"/>
    </row>
    <row r="439">
      <c r="A439" s="16" t="str">
        <f t="shared" si="10"/>
        <v/>
      </c>
      <c r="B439" s="48"/>
      <c r="C439" s="14"/>
      <c r="D439" s="52"/>
      <c r="E439" s="16"/>
      <c r="F439" s="14"/>
      <c r="G439" s="14"/>
      <c r="H439" s="14"/>
      <c r="I439" s="17"/>
      <c r="J439" s="16"/>
      <c r="K439" s="17"/>
      <c r="L439" s="17"/>
      <c r="N439" s="1"/>
      <c r="O439" s="47"/>
    </row>
    <row r="440">
      <c r="A440" s="16" t="str">
        <f t="shared" si="10"/>
        <v/>
      </c>
      <c r="B440" s="48"/>
      <c r="C440" s="14"/>
      <c r="D440" s="52"/>
      <c r="E440" s="16"/>
      <c r="F440" s="14"/>
      <c r="G440" s="14"/>
      <c r="H440" s="14"/>
      <c r="I440" s="17"/>
      <c r="J440" s="16"/>
      <c r="K440" s="17"/>
      <c r="L440" s="17"/>
      <c r="N440" s="1"/>
      <c r="O440" s="47"/>
    </row>
    <row r="441">
      <c r="A441" s="16" t="str">
        <f t="shared" si="10"/>
        <v/>
      </c>
      <c r="B441" s="48"/>
      <c r="C441" s="14"/>
      <c r="D441" s="52"/>
      <c r="E441" s="16"/>
      <c r="F441" s="14"/>
      <c r="G441" s="14"/>
      <c r="H441" s="14"/>
      <c r="I441" s="17"/>
      <c r="J441" s="16"/>
      <c r="K441" s="17"/>
      <c r="L441" s="17"/>
      <c r="N441" s="1"/>
      <c r="O441" s="47"/>
    </row>
    <row r="442">
      <c r="A442" s="16" t="str">
        <f t="shared" si="10"/>
        <v/>
      </c>
      <c r="B442" s="48"/>
      <c r="C442" s="14"/>
      <c r="D442" s="52"/>
      <c r="E442" s="16"/>
      <c r="F442" s="14"/>
      <c r="G442" s="14"/>
      <c r="H442" s="17"/>
      <c r="I442" s="17"/>
      <c r="J442" s="16"/>
      <c r="K442" s="17"/>
      <c r="L442" s="17"/>
      <c r="N442" s="1"/>
      <c r="O442" s="47"/>
    </row>
    <row r="443">
      <c r="A443" s="16" t="str">
        <f t="shared" si="10"/>
        <v/>
      </c>
      <c r="B443" s="48"/>
      <c r="C443" s="14"/>
      <c r="D443" s="52"/>
      <c r="E443" s="16"/>
      <c r="F443" s="14"/>
      <c r="G443" s="14"/>
      <c r="H443" s="14"/>
      <c r="I443" s="17"/>
      <c r="J443" s="16"/>
      <c r="K443" s="17"/>
      <c r="L443" s="20"/>
      <c r="N443" s="1"/>
      <c r="O443" s="47"/>
    </row>
    <row r="444">
      <c r="A444" s="16" t="str">
        <f t="shared" si="10"/>
        <v/>
      </c>
      <c r="B444" s="48"/>
      <c r="C444" s="14"/>
      <c r="D444" s="52"/>
      <c r="E444" s="16"/>
      <c r="F444" s="14"/>
      <c r="G444" s="14"/>
      <c r="H444" s="14"/>
      <c r="I444" s="17"/>
      <c r="J444" s="16"/>
      <c r="K444" s="17"/>
      <c r="L444" s="20"/>
      <c r="N444" s="1"/>
      <c r="O444" s="47"/>
    </row>
    <row r="445">
      <c r="A445" s="16" t="str">
        <f t="shared" si="10"/>
        <v/>
      </c>
      <c r="B445" s="48"/>
      <c r="C445" s="14"/>
      <c r="D445" s="52"/>
      <c r="E445" s="16"/>
      <c r="F445" s="14"/>
      <c r="G445" s="14"/>
      <c r="H445" s="14"/>
      <c r="I445" s="17"/>
      <c r="J445" s="16"/>
      <c r="K445" s="17"/>
      <c r="L445" s="17"/>
      <c r="N445" s="1"/>
      <c r="O445" s="47"/>
    </row>
    <row r="446">
      <c r="A446" s="16" t="str">
        <f t="shared" si="10"/>
        <v/>
      </c>
      <c r="B446" s="48"/>
      <c r="C446" s="14"/>
      <c r="D446" s="52"/>
      <c r="E446" s="16"/>
      <c r="F446" s="14"/>
      <c r="G446" s="14"/>
      <c r="H446" s="14"/>
      <c r="I446" s="17"/>
      <c r="J446" s="16"/>
      <c r="K446" s="17"/>
      <c r="L446" s="20"/>
      <c r="N446" s="1"/>
      <c r="O446" s="47"/>
    </row>
    <row r="447">
      <c r="A447" s="16" t="str">
        <f t="shared" si="10"/>
        <v/>
      </c>
      <c r="B447" s="48"/>
      <c r="C447" s="14"/>
      <c r="D447" s="52"/>
      <c r="E447" s="16"/>
      <c r="F447" s="14"/>
      <c r="G447" s="14"/>
      <c r="H447" s="14"/>
      <c r="I447" s="17"/>
      <c r="J447" s="16"/>
      <c r="K447" s="17"/>
      <c r="L447" s="17"/>
      <c r="N447" s="1"/>
      <c r="O447" s="47"/>
    </row>
    <row r="448">
      <c r="A448" s="16" t="str">
        <f t="shared" si="10"/>
        <v/>
      </c>
      <c r="B448" s="48"/>
      <c r="C448" s="14"/>
      <c r="D448" s="52"/>
      <c r="E448" s="16"/>
      <c r="F448" s="14"/>
      <c r="G448" s="14"/>
      <c r="H448" s="14"/>
      <c r="I448" s="17"/>
      <c r="J448" s="16"/>
      <c r="K448" s="17"/>
      <c r="L448" s="17"/>
      <c r="N448" s="1"/>
      <c r="O448" s="47"/>
    </row>
    <row r="449">
      <c r="A449" s="16" t="str">
        <f t="shared" si="10"/>
        <v/>
      </c>
      <c r="B449" s="48"/>
      <c r="C449" s="14"/>
      <c r="D449" s="52"/>
      <c r="E449" s="16"/>
      <c r="F449" s="14"/>
      <c r="G449" s="14"/>
      <c r="H449" s="17"/>
      <c r="I449" s="17"/>
      <c r="J449" s="16"/>
      <c r="K449" s="17"/>
      <c r="L449" s="17"/>
      <c r="N449" s="1"/>
      <c r="O449" s="47"/>
    </row>
    <row r="450">
      <c r="A450" s="16" t="str">
        <f t="shared" si="10"/>
        <v/>
      </c>
      <c r="B450" s="48"/>
      <c r="C450" s="14"/>
      <c r="D450" s="52"/>
      <c r="E450" s="16"/>
      <c r="F450" s="14"/>
      <c r="G450" s="14"/>
      <c r="H450" s="14"/>
      <c r="I450" s="17"/>
      <c r="J450" s="16"/>
      <c r="K450" s="17"/>
      <c r="L450" s="17"/>
      <c r="N450" s="1"/>
      <c r="O450" s="47"/>
    </row>
    <row r="451">
      <c r="A451" s="16" t="str">
        <f t="shared" si="10"/>
        <v/>
      </c>
      <c r="B451" s="48"/>
      <c r="C451" s="14"/>
      <c r="D451" s="52"/>
      <c r="E451" s="16"/>
      <c r="F451" s="14"/>
      <c r="G451" s="14"/>
      <c r="H451" s="14"/>
      <c r="I451" s="17"/>
      <c r="J451" s="16"/>
      <c r="K451" s="17"/>
      <c r="L451" s="20"/>
      <c r="N451" s="1"/>
      <c r="O451" s="47"/>
    </row>
    <row r="452">
      <c r="A452" s="16" t="str">
        <f t="shared" si="10"/>
        <v/>
      </c>
      <c r="B452" s="48"/>
      <c r="C452" s="14"/>
      <c r="D452" s="52"/>
      <c r="E452" s="16"/>
      <c r="F452" s="14"/>
      <c r="G452" s="14"/>
      <c r="H452" s="14"/>
      <c r="I452" s="17"/>
      <c r="J452" s="16"/>
      <c r="K452" s="17"/>
      <c r="L452" s="20"/>
      <c r="N452" s="1"/>
      <c r="O452" s="47"/>
    </row>
    <row r="453">
      <c r="A453" s="16" t="str">
        <f t="shared" si="10"/>
        <v/>
      </c>
      <c r="B453" s="48"/>
      <c r="C453" s="14"/>
      <c r="D453" s="52"/>
      <c r="E453" s="16"/>
      <c r="F453" s="14"/>
      <c r="G453" s="14"/>
      <c r="H453" s="14"/>
      <c r="I453" s="17"/>
      <c r="J453" s="16"/>
      <c r="K453" s="17"/>
      <c r="L453" s="21"/>
      <c r="N453" s="1"/>
      <c r="O453" s="47"/>
    </row>
    <row r="454">
      <c r="A454" s="16" t="str">
        <f t="shared" si="10"/>
        <v/>
      </c>
      <c r="B454" s="48"/>
      <c r="C454" s="14"/>
      <c r="D454" s="52"/>
      <c r="E454" s="16"/>
      <c r="F454" s="14"/>
      <c r="G454" s="14"/>
      <c r="H454" s="17"/>
      <c r="I454" s="17"/>
      <c r="J454" s="16"/>
      <c r="K454" s="17"/>
      <c r="L454" s="17"/>
      <c r="N454" s="1"/>
      <c r="O454" s="47"/>
    </row>
    <row r="455">
      <c r="A455" s="16" t="str">
        <f t="shared" si="10"/>
        <v/>
      </c>
      <c r="B455" s="48"/>
      <c r="C455" s="14"/>
      <c r="D455" s="52"/>
      <c r="E455" s="16"/>
      <c r="F455" s="14"/>
      <c r="G455" s="14"/>
      <c r="H455" s="14"/>
      <c r="I455" s="17"/>
      <c r="J455" s="16"/>
      <c r="K455" s="17"/>
      <c r="L455" s="16"/>
      <c r="N455" s="1"/>
      <c r="O455" s="47"/>
    </row>
    <row r="456">
      <c r="A456" s="16" t="str">
        <f t="shared" si="10"/>
        <v/>
      </c>
      <c r="B456" s="48"/>
      <c r="C456" s="14"/>
      <c r="D456" s="52"/>
      <c r="E456" s="16"/>
      <c r="F456" s="14"/>
      <c r="G456" s="14"/>
      <c r="H456" s="14"/>
      <c r="I456" s="17"/>
      <c r="J456" s="16"/>
      <c r="K456" s="17"/>
      <c r="L456" s="14"/>
      <c r="N456" s="1"/>
      <c r="O456" s="47"/>
    </row>
    <row r="457">
      <c r="A457" s="16" t="str">
        <f t="shared" si="10"/>
        <v/>
      </c>
      <c r="B457" s="48"/>
      <c r="C457" s="14"/>
      <c r="D457" s="52"/>
      <c r="E457" s="16"/>
      <c r="F457" s="14"/>
      <c r="G457" s="14"/>
      <c r="H457" s="14"/>
      <c r="I457" s="17"/>
      <c r="J457" s="16"/>
      <c r="K457" s="17"/>
      <c r="L457" s="17"/>
      <c r="N457" s="1"/>
      <c r="O457" s="47"/>
    </row>
    <row r="458">
      <c r="A458" s="16" t="str">
        <f t="shared" si="10"/>
        <v/>
      </c>
      <c r="B458" s="48"/>
      <c r="C458" s="14"/>
      <c r="D458" s="52"/>
      <c r="E458" s="16"/>
      <c r="F458" s="14"/>
      <c r="G458" s="14"/>
      <c r="H458" s="14"/>
      <c r="I458" s="17"/>
      <c r="J458" s="16"/>
      <c r="K458" s="17"/>
      <c r="L458" s="14"/>
      <c r="N458" s="1"/>
      <c r="O458" s="47"/>
    </row>
    <row r="459">
      <c r="A459" s="16" t="str">
        <f t="shared" si="10"/>
        <v/>
      </c>
      <c r="B459" s="48"/>
      <c r="C459" s="14"/>
      <c r="D459" s="52"/>
      <c r="E459" s="16"/>
      <c r="F459" s="14"/>
      <c r="G459" s="14"/>
      <c r="H459" s="14"/>
      <c r="I459" s="17"/>
      <c r="J459" s="16"/>
      <c r="K459" s="17"/>
      <c r="L459" s="17"/>
      <c r="N459" s="1"/>
      <c r="O459" s="47"/>
    </row>
    <row r="460">
      <c r="A460" s="16" t="str">
        <f t="shared" si="10"/>
        <v/>
      </c>
      <c r="B460" s="48"/>
      <c r="C460" s="14"/>
      <c r="D460" s="52"/>
      <c r="E460" s="16"/>
      <c r="F460" s="14"/>
      <c r="G460" s="14"/>
      <c r="H460" s="14"/>
      <c r="I460" s="17"/>
      <c r="J460" s="16"/>
      <c r="K460" s="17"/>
      <c r="L460" s="20"/>
      <c r="N460" s="1"/>
      <c r="O460" s="47"/>
    </row>
    <row r="461">
      <c r="A461" s="16" t="str">
        <f t="shared" si="10"/>
        <v/>
      </c>
      <c r="B461" s="48"/>
      <c r="C461" s="14"/>
      <c r="D461" s="52"/>
      <c r="E461" s="16"/>
      <c r="F461" s="14"/>
      <c r="G461" s="14"/>
      <c r="H461" s="14"/>
      <c r="I461" s="17"/>
      <c r="J461" s="16"/>
      <c r="K461" s="17"/>
      <c r="L461" s="20"/>
      <c r="N461" s="1"/>
      <c r="O461" s="47"/>
    </row>
    <row r="462">
      <c r="A462" s="16" t="str">
        <f t="shared" si="10"/>
        <v/>
      </c>
      <c r="B462" s="48"/>
      <c r="C462" s="14"/>
      <c r="D462" s="52"/>
      <c r="E462" s="16"/>
      <c r="F462" s="14"/>
      <c r="G462" s="14"/>
      <c r="H462" s="14"/>
      <c r="I462" s="17"/>
      <c r="J462" s="16"/>
      <c r="K462" s="17"/>
      <c r="L462" s="20"/>
      <c r="N462" s="1"/>
      <c r="O462" s="47"/>
    </row>
    <row r="463">
      <c r="A463" s="16" t="str">
        <f t="shared" si="10"/>
        <v/>
      </c>
      <c r="B463" s="48"/>
      <c r="C463" s="14"/>
      <c r="D463" s="52"/>
      <c r="E463" s="16"/>
      <c r="F463" s="14"/>
      <c r="G463" s="14"/>
      <c r="H463" s="14"/>
      <c r="I463" s="17"/>
      <c r="J463" s="16"/>
      <c r="K463" s="17"/>
      <c r="L463" s="16"/>
      <c r="N463" s="1"/>
      <c r="O463" s="47"/>
    </row>
    <row r="464">
      <c r="A464" s="16" t="str">
        <f t="shared" si="10"/>
        <v/>
      </c>
      <c r="B464" s="48"/>
      <c r="C464" s="14"/>
      <c r="D464" s="52"/>
      <c r="E464" s="16"/>
      <c r="F464" s="14"/>
      <c r="G464" s="14"/>
      <c r="H464" s="14"/>
      <c r="I464" s="17"/>
      <c r="J464" s="16"/>
      <c r="K464" s="17"/>
      <c r="L464" s="16"/>
      <c r="N464" s="1"/>
      <c r="O464" s="47"/>
    </row>
    <row r="465">
      <c r="A465" s="16" t="str">
        <f t="shared" si="10"/>
        <v/>
      </c>
      <c r="B465" s="48"/>
      <c r="C465" s="14"/>
      <c r="D465" s="52"/>
      <c r="E465" s="16"/>
      <c r="F465" s="14"/>
      <c r="G465" s="14"/>
      <c r="H465" s="17"/>
      <c r="I465" s="17"/>
      <c r="J465" s="16"/>
      <c r="K465" s="17"/>
      <c r="L465" s="16"/>
      <c r="N465" s="1"/>
      <c r="O465" s="47"/>
    </row>
    <row r="466">
      <c r="A466" s="16" t="str">
        <f t="shared" si="10"/>
        <v/>
      </c>
      <c r="B466" s="48"/>
      <c r="C466" s="14"/>
      <c r="D466" s="52"/>
      <c r="E466" s="16"/>
      <c r="F466" s="14"/>
      <c r="G466" s="14"/>
      <c r="H466" s="14"/>
      <c r="I466" s="17"/>
      <c r="J466" s="16"/>
      <c r="K466" s="17"/>
      <c r="L466" s="20"/>
      <c r="N466" s="1"/>
      <c r="O466" s="47"/>
    </row>
    <row r="467">
      <c r="A467" s="16" t="str">
        <f t="shared" si="10"/>
        <v/>
      </c>
      <c r="B467" s="48"/>
      <c r="C467" s="14"/>
      <c r="D467" s="52"/>
      <c r="E467" s="16"/>
      <c r="F467" s="14"/>
      <c r="G467" s="14"/>
      <c r="H467" s="17"/>
      <c r="I467" s="17"/>
      <c r="J467" s="16"/>
      <c r="K467" s="17"/>
      <c r="L467" s="16"/>
      <c r="N467" s="1"/>
      <c r="O467" s="47"/>
    </row>
    <row r="468">
      <c r="A468" s="16" t="str">
        <f t="shared" si="10"/>
        <v/>
      </c>
      <c r="B468" s="48"/>
      <c r="C468" s="14"/>
      <c r="D468" s="52"/>
      <c r="E468" s="16"/>
      <c r="F468" s="14"/>
      <c r="G468" s="14"/>
      <c r="H468" s="14"/>
      <c r="I468" s="17"/>
      <c r="J468" s="16"/>
      <c r="K468" s="17"/>
      <c r="L468" s="20"/>
      <c r="N468" s="1"/>
      <c r="O468" s="47"/>
    </row>
    <row r="469">
      <c r="A469" s="16" t="str">
        <f t="shared" si="10"/>
        <v/>
      </c>
      <c r="B469" s="48"/>
      <c r="C469" s="14"/>
      <c r="D469" s="52"/>
      <c r="E469" s="16"/>
      <c r="F469" s="14"/>
      <c r="G469" s="14"/>
      <c r="H469" s="17"/>
      <c r="I469" s="17"/>
      <c r="J469" s="16"/>
      <c r="K469" s="17"/>
      <c r="L469" s="17"/>
      <c r="N469" s="1"/>
      <c r="O469" s="47"/>
    </row>
    <row r="470">
      <c r="A470" s="16" t="str">
        <f t="shared" si="10"/>
        <v/>
      </c>
      <c r="B470" s="48"/>
      <c r="C470" s="14"/>
      <c r="D470" s="52"/>
      <c r="E470" s="16"/>
      <c r="F470" s="14"/>
      <c r="G470" s="14"/>
      <c r="H470" s="14"/>
      <c r="I470" s="17"/>
      <c r="J470" s="16"/>
      <c r="K470" s="17"/>
      <c r="L470" s="17"/>
      <c r="N470" s="1"/>
      <c r="O470" s="47"/>
    </row>
    <row r="471">
      <c r="A471" s="16" t="str">
        <f t="shared" si="10"/>
        <v/>
      </c>
      <c r="B471" s="48"/>
      <c r="C471" s="14"/>
      <c r="D471" s="52"/>
      <c r="E471" s="16"/>
      <c r="F471" s="14"/>
      <c r="G471" s="14"/>
      <c r="H471" s="14"/>
      <c r="I471" s="17"/>
      <c r="J471" s="16"/>
      <c r="K471" s="17"/>
      <c r="L471" s="17"/>
      <c r="N471" s="1"/>
      <c r="O471" s="47"/>
    </row>
    <row r="472">
      <c r="A472" s="16" t="str">
        <f t="shared" si="10"/>
        <v/>
      </c>
      <c r="B472" s="48"/>
      <c r="C472" s="14"/>
      <c r="D472" s="52"/>
      <c r="E472" s="16"/>
      <c r="F472" s="14"/>
      <c r="G472" s="14"/>
      <c r="H472" s="14"/>
      <c r="I472" s="17"/>
      <c r="J472" s="16"/>
      <c r="K472" s="17"/>
      <c r="L472" s="14"/>
      <c r="N472" s="1"/>
      <c r="O472" s="47"/>
    </row>
    <row r="473">
      <c r="A473" s="16" t="str">
        <f t="shared" si="10"/>
        <v/>
      </c>
      <c r="B473" s="48"/>
      <c r="C473" s="14"/>
      <c r="D473" s="52"/>
      <c r="E473" s="16"/>
      <c r="F473" s="14"/>
      <c r="G473" s="14"/>
      <c r="H473" s="14"/>
      <c r="I473" s="17"/>
      <c r="J473" s="16"/>
      <c r="K473" s="17"/>
      <c r="L473" s="14"/>
      <c r="N473" s="1"/>
      <c r="O473" s="47"/>
    </row>
    <row r="474">
      <c r="A474" s="16" t="str">
        <f t="shared" si="10"/>
        <v/>
      </c>
      <c r="B474" s="48"/>
      <c r="C474" s="14"/>
      <c r="D474" s="52"/>
      <c r="E474" s="16"/>
      <c r="F474" s="14"/>
      <c r="G474" s="14"/>
      <c r="H474" s="14"/>
      <c r="I474" s="17"/>
      <c r="J474" s="16"/>
      <c r="K474" s="17"/>
      <c r="L474" s="14"/>
      <c r="N474" s="1"/>
      <c r="O474" s="47"/>
    </row>
    <row r="475">
      <c r="A475" s="16" t="str">
        <f t="shared" si="10"/>
        <v/>
      </c>
      <c r="B475" s="48"/>
      <c r="C475" s="14"/>
      <c r="D475" s="52"/>
      <c r="E475" s="16"/>
      <c r="F475" s="14"/>
      <c r="G475" s="14"/>
      <c r="H475" s="17"/>
      <c r="I475" s="17"/>
      <c r="J475" s="16"/>
      <c r="K475" s="17"/>
      <c r="L475" s="14"/>
      <c r="N475" s="1"/>
      <c r="O475" s="47"/>
    </row>
    <row r="476">
      <c r="A476" s="16" t="str">
        <f t="shared" si="10"/>
        <v/>
      </c>
      <c r="B476" s="48"/>
      <c r="C476" s="14"/>
      <c r="D476" s="52"/>
      <c r="E476" s="16"/>
      <c r="F476" s="14"/>
      <c r="G476" s="14"/>
      <c r="H476" s="14"/>
      <c r="I476" s="17"/>
      <c r="J476" s="16"/>
      <c r="K476" s="17"/>
      <c r="L476" s="14"/>
      <c r="N476" s="1"/>
      <c r="O476" s="47"/>
    </row>
    <row r="477">
      <c r="A477" s="16" t="str">
        <f t="shared" si="10"/>
        <v/>
      </c>
      <c r="B477" s="48"/>
      <c r="C477" s="14"/>
      <c r="D477" s="52"/>
      <c r="E477" s="16"/>
      <c r="F477" s="14"/>
      <c r="G477" s="14"/>
      <c r="H477" s="17"/>
      <c r="I477" s="17"/>
      <c r="J477" s="16"/>
      <c r="K477" s="17"/>
      <c r="L477" s="14"/>
      <c r="N477" s="1"/>
      <c r="O477" s="47"/>
    </row>
    <row r="478">
      <c r="A478" s="16" t="str">
        <f t="shared" si="10"/>
        <v/>
      </c>
      <c r="B478" s="48"/>
      <c r="C478" s="14"/>
      <c r="D478" s="52"/>
      <c r="E478" s="16"/>
      <c r="F478" s="14"/>
      <c r="G478" s="14"/>
      <c r="H478" s="14"/>
      <c r="I478" s="17"/>
      <c r="J478" s="16"/>
      <c r="K478" s="17"/>
      <c r="L478" s="14"/>
      <c r="N478" s="1"/>
      <c r="O478" s="47"/>
    </row>
    <row r="479">
      <c r="A479" s="16" t="str">
        <f t="shared" si="10"/>
        <v/>
      </c>
      <c r="B479" s="48"/>
      <c r="C479" s="14"/>
      <c r="D479" s="52"/>
      <c r="E479" s="16"/>
      <c r="F479" s="14"/>
      <c r="G479" s="14"/>
      <c r="H479" s="14"/>
      <c r="I479" s="17"/>
      <c r="J479" s="16"/>
      <c r="K479" s="17"/>
      <c r="L479" s="16"/>
      <c r="N479" s="1"/>
      <c r="O479" s="47"/>
    </row>
    <row r="480">
      <c r="A480" s="16" t="str">
        <f t="shared" si="10"/>
        <v/>
      </c>
      <c r="B480" s="48"/>
      <c r="C480" s="14"/>
      <c r="D480" s="52"/>
      <c r="E480" s="16"/>
      <c r="F480" s="14"/>
      <c r="G480" s="14"/>
      <c r="H480" s="14"/>
      <c r="I480" s="17"/>
      <c r="J480" s="16"/>
      <c r="K480" s="17"/>
      <c r="L480" s="14"/>
      <c r="N480" s="1"/>
      <c r="O480" s="46"/>
    </row>
    <row r="481">
      <c r="A481" s="16" t="str">
        <f t="shared" si="10"/>
        <v/>
      </c>
      <c r="B481" s="48"/>
      <c r="C481" s="14"/>
      <c r="D481" s="52"/>
      <c r="E481" s="16"/>
      <c r="F481" s="14"/>
      <c r="G481" s="14"/>
      <c r="H481" s="14"/>
      <c r="I481" s="17"/>
      <c r="J481" s="16"/>
      <c r="K481" s="17"/>
      <c r="L481" s="17"/>
      <c r="N481" s="1"/>
      <c r="O481" s="46"/>
    </row>
    <row r="482">
      <c r="A482" s="16" t="str">
        <f t="shared" si="10"/>
        <v/>
      </c>
      <c r="B482" s="48"/>
      <c r="C482" s="14"/>
      <c r="D482" s="52"/>
      <c r="E482" s="16"/>
      <c r="F482" s="14"/>
      <c r="G482" s="14"/>
      <c r="H482" s="14"/>
      <c r="I482" s="17"/>
      <c r="J482" s="16"/>
      <c r="K482" s="17"/>
      <c r="L482" s="17"/>
      <c r="N482" s="1"/>
      <c r="O482" s="46"/>
    </row>
    <row r="483">
      <c r="A483" s="16" t="str">
        <f t="shared" si="10"/>
        <v/>
      </c>
      <c r="B483" s="48"/>
      <c r="C483" s="14"/>
      <c r="D483" s="52"/>
      <c r="E483" s="16"/>
      <c r="F483" s="14"/>
      <c r="G483" s="14"/>
      <c r="H483" s="14"/>
      <c r="I483" s="17"/>
      <c r="J483" s="16"/>
      <c r="K483" s="17"/>
      <c r="L483" s="20"/>
      <c r="N483" s="1"/>
      <c r="O483" s="46"/>
    </row>
    <row r="484">
      <c r="A484" s="16" t="str">
        <f t="shared" si="10"/>
        <v/>
      </c>
      <c r="B484" s="48"/>
      <c r="C484" s="14"/>
      <c r="D484" s="52"/>
      <c r="E484" s="16"/>
      <c r="F484" s="14"/>
      <c r="G484" s="14"/>
      <c r="H484" s="14"/>
      <c r="I484" s="17"/>
      <c r="J484" s="16"/>
      <c r="K484" s="17"/>
      <c r="L484" s="17"/>
      <c r="N484" s="1"/>
      <c r="O484" s="46"/>
    </row>
    <row r="485">
      <c r="A485" s="16" t="str">
        <f t="shared" si="10"/>
        <v/>
      </c>
      <c r="B485" s="48"/>
      <c r="C485" s="14"/>
      <c r="D485" s="52"/>
      <c r="E485" s="16"/>
      <c r="F485" s="14"/>
      <c r="G485" s="14"/>
      <c r="H485" s="17"/>
      <c r="I485" s="17"/>
      <c r="J485" s="16"/>
      <c r="K485" s="17"/>
      <c r="L485" s="17"/>
      <c r="N485" s="1"/>
      <c r="O485" s="46"/>
    </row>
    <row r="486">
      <c r="A486" s="16" t="str">
        <f t="shared" si="10"/>
        <v/>
      </c>
      <c r="B486" s="48"/>
      <c r="C486" s="14"/>
      <c r="D486" s="52"/>
      <c r="E486" s="16"/>
      <c r="F486" s="14"/>
      <c r="G486" s="14"/>
      <c r="H486" s="14"/>
      <c r="I486" s="17"/>
      <c r="J486" s="16"/>
      <c r="K486" s="17"/>
      <c r="L486" s="20"/>
      <c r="N486" s="1"/>
      <c r="O486" s="46"/>
    </row>
    <row r="487">
      <c r="A487" s="16" t="str">
        <f t="shared" si="10"/>
        <v/>
      </c>
      <c r="B487" s="48"/>
      <c r="C487" s="14"/>
      <c r="D487" s="52"/>
      <c r="E487" s="16"/>
      <c r="F487" s="14"/>
      <c r="G487" s="14"/>
      <c r="H487" s="14"/>
      <c r="I487" s="17"/>
      <c r="J487" s="16"/>
      <c r="K487" s="17"/>
      <c r="L487" s="17"/>
      <c r="N487" s="1"/>
      <c r="O487" s="46"/>
    </row>
    <row r="488">
      <c r="A488" s="16" t="str">
        <f t="shared" si="10"/>
        <v/>
      </c>
      <c r="B488" s="48"/>
      <c r="C488" s="14"/>
      <c r="D488" s="52"/>
      <c r="E488" s="16"/>
      <c r="F488" s="14"/>
      <c r="G488" s="14"/>
      <c r="H488" s="14"/>
      <c r="I488" s="17"/>
      <c r="J488" s="16"/>
      <c r="K488" s="17"/>
      <c r="L488" s="17"/>
      <c r="N488" s="1"/>
      <c r="O488" s="46"/>
    </row>
    <row r="489">
      <c r="A489" s="16" t="str">
        <f t="shared" si="10"/>
        <v/>
      </c>
      <c r="B489" s="48"/>
      <c r="C489" s="14"/>
      <c r="D489" s="52"/>
      <c r="E489" s="16"/>
      <c r="F489" s="14"/>
      <c r="G489" s="14"/>
      <c r="H489" s="17"/>
      <c r="I489" s="17"/>
      <c r="J489" s="16"/>
      <c r="K489" s="14"/>
      <c r="L489" s="17"/>
      <c r="N489" s="1"/>
      <c r="O489" s="46"/>
    </row>
    <row r="490">
      <c r="A490" s="16" t="str">
        <f t="shared" si="10"/>
        <v/>
      </c>
      <c r="B490" s="48"/>
      <c r="C490" s="14"/>
      <c r="D490" s="52"/>
      <c r="E490" s="16"/>
      <c r="F490" s="14"/>
      <c r="G490" s="14"/>
      <c r="H490" s="14"/>
      <c r="I490" s="17"/>
      <c r="J490" s="16"/>
      <c r="K490" s="14"/>
      <c r="L490" s="17"/>
      <c r="N490" s="1"/>
      <c r="O490" s="46"/>
    </row>
    <row r="491">
      <c r="A491" s="16" t="str">
        <f t="shared" si="10"/>
        <v/>
      </c>
      <c r="B491" s="48"/>
      <c r="C491" s="14"/>
      <c r="D491" s="52"/>
      <c r="E491" s="16"/>
      <c r="F491" s="14"/>
      <c r="G491" s="14"/>
      <c r="H491" s="17"/>
      <c r="I491" s="17"/>
      <c r="J491" s="16"/>
      <c r="K491" s="17"/>
      <c r="L491" s="20"/>
      <c r="N491" s="1"/>
      <c r="O491" s="46"/>
    </row>
    <row r="492">
      <c r="A492" s="16" t="str">
        <f t="shared" si="10"/>
        <v/>
      </c>
      <c r="B492" s="48"/>
      <c r="C492" s="14"/>
      <c r="D492" s="52"/>
      <c r="E492" s="16"/>
      <c r="F492" s="14"/>
      <c r="G492" s="14"/>
      <c r="H492" s="17"/>
      <c r="I492" s="17"/>
      <c r="J492" s="16"/>
      <c r="K492" s="17"/>
      <c r="L492" s="16"/>
      <c r="N492" s="1"/>
      <c r="O492" s="46"/>
    </row>
    <row r="493">
      <c r="A493" s="16" t="str">
        <f t="shared" si="10"/>
        <v/>
      </c>
      <c r="B493" s="48"/>
      <c r="C493" s="14"/>
      <c r="D493" s="52"/>
      <c r="E493" s="16"/>
      <c r="F493" s="14"/>
      <c r="G493" s="14"/>
      <c r="H493" s="14"/>
      <c r="I493" s="17"/>
      <c r="J493" s="16"/>
      <c r="K493" s="17"/>
      <c r="L493" s="17"/>
      <c r="N493" s="1"/>
      <c r="O493" s="46"/>
    </row>
    <row r="494">
      <c r="A494" s="16" t="str">
        <f t="shared" si="10"/>
        <v/>
      </c>
      <c r="B494" s="48"/>
      <c r="C494" s="14"/>
      <c r="D494" s="52"/>
      <c r="E494" s="16"/>
      <c r="F494" s="14"/>
      <c r="G494" s="14"/>
      <c r="H494" s="17"/>
      <c r="I494" s="17"/>
      <c r="J494" s="16"/>
      <c r="K494" s="17"/>
      <c r="L494" s="20"/>
      <c r="N494" s="1"/>
      <c r="O494" s="46"/>
    </row>
    <row r="495">
      <c r="A495" s="16" t="str">
        <f t="shared" si="10"/>
        <v/>
      </c>
      <c r="B495" s="48"/>
      <c r="C495" s="14"/>
      <c r="D495" s="52"/>
      <c r="E495" s="16"/>
      <c r="F495" s="14"/>
      <c r="G495" s="14"/>
      <c r="H495" s="14"/>
      <c r="I495" s="17"/>
      <c r="J495" s="16"/>
      <c r="K495" s="17"/>
      <c r="L495" s="17"/>
      <c r="N495" s="1"/>
      <c r="O495" s="46"/>
    </row>
    <row r="496">
      <c r="A496" s="16" t="str">
        <f t="shared" si="10"/>
        <v/>
      </c>
      <c r="B496" s="48"/>
      <c r="C496" s="14"/>
      <c r="D496" s="52"/>
      <c r="E496" s="16"/>
      <c r="F496" s="14"/>
      <c r="G496" s="14"/>
      <c r="H496" s="14"/>
      <c r="I496" s="17"/>
      <c r="J496" s="16"/>
      <c r="K496" s="17"/>
      <c r="L496" s="16"/>
      <c r="N496" s="1"/>
      <c r="O496" s="46"/>
    </row>
    <row r="497">
      <c r="A497" s="16" t="str">
        <f t="shared" si="10"/>
        <v/>
      </c>
      <c r="B497" s="48"/>
      <c r="C497" s="14"/>
      <c r="D497" s="52"/>
      <c r="E497" s="16"/>
      <c r="F497" s="14"/>
      <c r="G497" s="14"/>
      <c r="H497" s="14"/>
      <c r="I497" s="17"/>
      <c r="J497" s="16"/>
      <c r="K497" s="17"/>
      <c r="L497" s="20"/>
      <c r="N497" s="1"/>
      <c r="O497" s="46"/>
    </row>
    <row r="498">
      <c r="A498" s="16" t="str">
        <f t="shared" si="10"/>
        <v/>
      </c>
      <c r="B498" s="48"/>
      <c r="C498" s="14"/>
      <c r="D498" s="52"/>
      <c r="E498" s="16"/>
      <c r="F498" s="14"/>
      <c r="G498" s="14"/>
      <c r="H498" s="17"/>
      <c r="I498" s="17"/>
      <c r="J498" s="16"/>
      <c r="K498" s="17"/>
      <c r="L498" s="20"/>
      <c r="N498" s="1"/>
      <c r="O498" s="46"/>
    </row>
    <row r="499">
      <c r="A499" s="16" t="str">
        <f t="shared" si="10"/>
        <v/>
      </c>
      <c r="B499" s="48"/>
      <c r="C499" s="14"/>
      <c r="D499" s="52"/>
      <c r="E499" s="16"/>
      <c r="F499" s="14"/>
      <c r="G499" s="14"/>
      <c r="H499" s="17"/>
      <c r="I499" s="17"/>
      <c r="J499" s="16"/>
      <c r="K499" s="17"/>
      <c r="L499" s="14"/>
      <c r="N499" s="1"/>
      <c r="O499" s="46"/>
    </row>
    <row r="500">
      <c r="A500" s="16" t="str">
        <f t="shared" si="10"/>
        <v/>
      </c>
      <c r="B500" s="48"/>
      <c r="C500" s="14"/>
      <c r="D500" s="52"/>
      <c r="E500" s="16"/>
      <c r="F500" s="14"/>
      <c r="G500" s="14"/>
      <c r="H500" s="14"/>
      <c r="I500" s="17"/>
      <c r="J500" s="16"/>
      <c r="K500" s="17"/>
      <c r="L500" s="17"/>
      <c r="N500" s="1"/>
      <c r="O500" s="46"/>
    </row>
    <row r="501">
      <c r="A501" s="16" t="str">
        <f t="shared" si="10"/>
        <v/>
      </c>
      <c r="B501" s="48"/>
      <c r="C501" s="14"/>
      <c r="D501" s="52"/>
      <c r="E501" s="16"/>
      <c r="F501" s="14"/>
      <c r="G501" s="14"/>
      <c r="H501" s="17"/>
      <c r="I501" s="17"/>
      <c r="J501" s="16"/>
      <c r="K501" s="17"/>
      <c r="L501" s="17"/>
      <c r="N501" s="1"/>
      <c r="O501" s="46"/>
    </row>
    <row r="502">
      <c r="A502" s="16" t="str">
        <f t="shared" si="10"/>
        <v/>
      </c>
      <c r="B502" s="48"/>
      <c r="C502" s="14"/>
      <c r="D502" s="52"/>
      <c r="E502" s="16"/>
      <c r="F502" s="14"/>
      <c r="G502" s="14"/>
      <c r="H502" s="14"/>
      <c r="I502" s="17"/>
      <c r="J502" s="16"/>
      <c r="K502" s="17"/>
      <c r="L502" s="17"/>
      <c r="N502" s="1"/>
      <c r="O502" s="42"/>
    </row>
    <row r="503">
      <c r="A503" s="16" t="str">
        <f t="shared" si="10"/>
        <v/>
      </c>
      <c r="B503" s="48"/>
      <c r="C503" s="14"/>
      <c r="D503" s="52"/>
      <c r="E503" s="16"/>
      <c r="F503" s="14"/>
      <c r="G503" s="14"/>
      <c r="H503" s="14"/>
      <c r="I503" s="17"/>
      <c r="J503" s="16"/>
      <c r="K503" s="17"/>
      <c r="L503" s="17"/>
      <c r="N503" s="1"/>
      <c r="O503" s="42"/>
    </row>
    <row r="504">
      <c r="A504" s="16" t="str">
        <f t="shared" si="10"/>
        <v/>
      </c>
      <c r="B504" s="48"/>
      <c r="C504" s="14"/>
      <c r="D504" s="52"/>
      <c r="E504" s="16"/>
      <c r="F504" s="14"/>
      <c r="G504" s="14"/>
      <c r="H504" s="14"/>
      <c r="I504" s="17"/>
      <c r="J504" s="16"/>
      <c r="K504" s="17"/>
      <c r="L504" s="20"/>
      <c r="N504" s="1"/>
      <c r="O504" s="42"/>
    </row>
    <row r="505">
      <c r="A505" s="16" t="str">
        <f t="shared" si="10"/>
        <v/>
      </c>
      <c r="B505" s="48"/>
      <c r="C505" s="14"/>
      <c r="D505" s="52"/>
      <c r="E505" s="16"/>
      <c r="F505" s="14"/>
      <c r="G505" s="14"/>
      <c r="H505" s="14"/>
      <c r="I505" s="17"/>
      <c r="J505" s="16"/>
      <c r="K505" s="17"/>
      <c r="L505" s="14"/>
      <c r="N505" s="1"/>
      <c r="O505" s="42"/>
    </row>
    <row r="506">
      <c r="A506" s="16" t="str">
        <f t="shared" si="10"/>
        <v/>
      </c>
      <c r="B506" s="48"/>
      <c r="C506" s="14"/>
      <c r="D506" s="52"/>
      <c r="E506" s="16"/>
      <c r="F506" s="14"/>
      <c r="G506" s="14"/>
      <c r="H506" s="17"/>
      <c r="I506" s="17"/>
      <c r="J506" s="16"/>
      <c r="K506" s="17"/>
      <c r="L506" s="14"/>
      <c r="N506" s="1"/>
      <c r="O506" s="42"/>
    </row>
    <row r="507">
      <c r="A507" s="16" t="str">
        <f t="shared" si="10"/>
        <v/>
      </c>
      <c r="B507" s="48"/>
      <c r="C507" s="14"/>
      <c r="D507" s="52"/>
      <c r="E507" s="16"/>
      <c r="F507" s="14"/>
      <c r="G507" s="14"/>
      <c r="H507" s="14"/>
      <c r="I507" s="17"/>
      <c r="J507" s="16"/>
      <c r="K507" s="17"/>
      <c r="L507" s="17"/>
      <c r="N507" s="1"/>
      <c r="O507" s="42"/>
    </row>
    <row r="508">
      <c r="A508" s="16" t="str">
        <f t="shared" si="10"/>
        <v/>
      </c>
      <c r="B508" s="48"/>
      <c r="C508" s="14"/>
      <c r="D508" s="52"/>
      <c r="E508" s="16"/>
      <c r="F508" s="14"/>
      <c r="G508" s="14"/>
      <c r="H508" s="14"/>
      <c r="I508" s="17"/>
      <c r="J508" s="16"/>
      <c r="K508" s="14"/>
      <c r="L508" s="16"/>
      <c r="N508" s="1"/>
      <c r="O508" s="42"/>
    </row>
    <row r="509">
      <c r="A509" s="16" t="str">
        <f t="shared" si="10"/>
        <v/>
      </c>
      <c r="B509" s="48"/>
      <c r="C509" s="14"/>
      <c r="D509" s="52"/>
      <c r="E509" s="16"/>
      <c r="F509" s="14"/>
      <c r="G509" s="14"/>
      <c r="H509" s="14"/>
      <c r="I509" s="17"/>
      <c r="J509" s="16"/>
      <c r="K509" s="17"/>
      <c r="L509" s="20"/>
      <c r="N509" s="1"/>
      <c r="O509" s="42"/>
    </row>
    <row r="510">
      <c r="A510" s="16" t="str">
        <f t="shared" si="10"/>
        <v/>
      </c>
      <c r="B510" s="48"/>
      <c r="C510" s="14"/>
      <c r="D510" s="52"/>
      <c r="E510" s="16"/>
      <c r="F510" s="14"/>
      <c r="G510" s="14"/>
      <c r="H510" s="14"/>
      <c r="I510" s="17"/>
      <c r="J510" s="16"/>
      <c r="K510" s="17"/>
      <c r="L510" s="14"/>
      <c r="N510" s="1"/>
      <c r="O510" s="42"/>
    </row>
    <row r="511">
      <c r="A511" s="16" t="str">
        <f t="shared" si="10"/>
        <v/>
      </c>
      <c r="B511" s="48"/>
      <c r="C511" s="14"/>
      <c r="D511" s="52"/>
      <c r="E511" s="16"/>
      <c r="F511" s="14"/>
      <c r="G511" s="14"/>
      <c r="H511" s="14"/>
      <c r="I511" s="17"/>
      <c r="J511" s="16"/>
      <c r="K511" s="17"/>
      <c r="L511" s="14"/>
      <c r="N511" s="1"/>
      <c r="O511" s="42"/>
    </row>
    <row r="512">
      <c r="A512" s="16" t="str">
        <f t="shared" si="10"/>
        <v/>
      </c>
      <c r="B512" s="48"/>
      <c r="C512" s="14"/>
      <c r="D512" s="52"/>
      <c r="E512" s="16"/>
      <c r="F512" s="14"/>
      <c r="G512" s="14"/>
      <c r="H512" s="14"/>
      <c r="I512" s="17"/>
      <c r="J512" s="16"/>
      <c r="K512" s="17"/>
      <c r="L512" s="16"/>
      <c r="N512" s="1"/>
      <c r="O512" s="42"/>
    </row>
    <row r="513">
      <c r="A513" s="16" t="str">
        <f t="shared" si="10"/>
        <v/>
      </c>
      <c r="B513" s="48"/>
      <c r="C513" s="14"/>
      <c r="D513" s="52"/>
      <c r="E513" s="16"/>
      <c r="F513" s="14"/>
      <c r="G513" s="14"/>
      <c r="H513" s="14"/>
      <c r="I513" s="17"/>
      <c r="J513" s="16"/>
      <c r="K513" s="17"/>
      <c r="L513" s="20"/>
      <c r="N513" s="1"/>
      <c r="O513" s="42"/>
    </row>
    <row r="514">
      <c r="A514" s="16" t="str">
        <f t="shared" si="10"/>
        <v/>
      </c>
      <c r="B514" s="48"/>
      <c r="C514" s="14"/>
      <c r="D514" s="52"/>
      <c r="E514" s="16"/>
      <c r="F514" s="14"/>
      <c r="G514" s="14"/>
      <c r="H514" s="17"/>
      <c r="I514" s="17"/>
      <c r="J514" s="16"/>
      <c r="K514" s="17"/>
      <c r="L514" s="20"/>
      <c r="N514" s="1"/>
      <c r="O514" s="42"/>
    </row>
    <row r="515">
      <c r="A515" s="16" t="str">
        <f t="shared" si="10"/>
        <v/>
      </c>
      <c r="B515" s="48"/>
      <c r="C515" s="14"/>
      <c r="D515" s="52"/>
      <c r="E515" s="16"/>
      <c r="F515" s="14"/>
      <c r="G515" s="14"/>
      <c r="H515" s="14"/>
      <c r="I515" s="17"/>
      <c r="J515" s="16"/>
      <c r="K515" s="17"/>
      <c r="L515" s="17"/>
      <c r="N515" s="1"/>
      <c r="O515" s="42"/>
    </row>
    <row r="516">
      <c r="A516" s="16" t="str">
        <f t="shared" si="10"/>
        <v/>
      </c>
      <c r="B516" s="48"/>
      <c r="C516" s="14"/>
      <c r="D516" s="52"/>
      <c r="E516" s="16"/>
      <c r="F516" s="14"/>
      <c r="G516" s="14"/>
      <c r="H516" s="14"/>
      <c r="I516" s="17"/>
      <c r="J516" s="16"/>
      <c r="K516" s="17"/>
      <c r="L516" s="17"/>
      <c r="N516" s="1"/>
      <c r="O516" s="42"/>
    </row>
    <row r="517">
      <c r="A517" s="16" t="str">
        <f t="shared" si="10"/>
        <v/>
      </c>
      <c r="B517" s="48"/>
      <c r="C517" s="14"/>
      <c r="D517" s="52"/>
      <c r="E517" s="16"/>
      <c r="F517" s="14"/>
      <c r="G517" s="14"/>
      <c r="H517" s="14"/>
      <c r="I517" s="17"/>
      <c r="J517" s="16"/>
      <c r="K517" s="17"/>
      <c r="L517" s="17"/>
      <c r="N517" s="1"/>
      <c r="O517" s="42"/>
    </row>
    <row r="518">
      <c r="A518" s="16" t="str">
        <f t="shared" si="10"/>
        <v/>
      </c>
      <c r="B518" s="48"/>
      <c r="C518" s="14"/>
      <c r="D518" s="52"/>
      <c r="E518" s="16"/>
      <c r="F518" s="14"/>
      <c r="G518" s="14"/>
      <c r="H518" s="14"/>
      <c r="I518" s="17"/>
      <c r="J518" s="16"/>
      <c r="K518" s="17"/>
      <c r="L518" s="16"/>
      <c r="N518" s="1"/>
      <c r="O518" s="42"/>
    </row>
    <row r="519">
      <c r="A519" s="16" t="str">
        <f t="shared" si="10"/>
        <v/>
      </c>
      <c r="B519" s="48"/>
      <c r="C519" s="14"/>
      <c r="D519" s="52"/>
      <c r="E519" s="16"/>
      <c r="F519" s="14"/>
      <c r="G519" s="14"/>
      <c r="H519" s="14"/>
      <c r="I519" s="17"/>
      <c r="J519" s="16"/>
      <c r="K519" s="17"/>
      <c r="L519" s="20"/>
      <c r="N519" s="1"/>
      <c r="O519" s="42"/>
    </row>
    <row r="520">
      <c r="A520" s="16" t="str">
        <f t="shared" si="10"/>
        <v/>
      </c>
      <c r="B520" s="48"/>
      <c r="C520" s="14"/>
      <c r="D520" s="52"/>
      <c r="E520" s="16"/>
      <c r="F520" s="14"/>
      <c r="G520" s="14"/>
      <c r="H520" s="14"/>
      <c r="I520" s="17"/>
      <c r="J520" s="16"/>
      <c r="K520" s="17"/>
      <c r="L520" s="17"/>
      <c r="N520" s="1"/>
      <c r="O520" s="42"/>
    </row>
    <row r="521">
      <c r="A521" s="16" t="str">
        <f t="shared" si="10"/>
        <v/>
      </c>
      <c r="B521" s="48"/>
      <c r="C521" s="14"/>
      <c r="D521" s="52"/>
      <c r="E521" s="16"/>
      <c r="F521" s="14"/>
      <c r="G521" s="14"/>
      <c r="H521" s="14"/>
      <c r="I521" s="17"/>
      <c r="J521" s="16"/>
      <c r="K521" s="17"/>
      <c r="L521" s="17"/>
      <c r="N521" s="1"/>
      <c r="O521" s="42"/>
    </row>
    <row r="522">
      <c r="A522" s="16" t="str">
        <f t="shared" si="10"/>
        <v/>
      </c>
      <c r="B522" s="48"/>
      <c r="C522" s="14"/>
      <c r="D522" s="52"/>
      <c r="E522" s="16"/>
      <c r="F522" s="14"/>
      <c r="G522" s="14"/>
      <c r="H522" s="14"/>
      <c r="I522" s="17"/>
      <c r="J522" s="16"/>
      <c r="K522" s="17"/>
      <c r="L522" s="14"/>
      <c r="N522" s="1"/>
      <c r="O522" s="42"/>
    </row>
    <row r="523">
      <c r="A523" s="16" t="str">
        <f t="shared" si="10"/>
        <v/>
      </c>
      <c r="B523" s="48"/>
      <c r="C523" s="14"/>
      <c r="D523" s="52"/>
      <c r="E523" s="16"/>
      <c r="F523" s="14"/>
      <c r="G523" s="14"/>
      <c r="H523" s="14"/>
      <c r="I523" s="17"/>
      <c r="J523" s="16"/>
      <c r="K523" s="17"/>
      <c r="L523" s="14"/>
      <c r="N523" s="1"/>
      <c r="O523" s="42"/>
    </row>
    <row r="524">
      <c r="A524" s="16" t="str">
        <f t="shared" si="10"/>
        <v/>
      </c>
      <c r="B524" s="48"/>
      <c r="C524" s="14"/>
      <c r="D524" s="52"/>
      <c r="E524" s="16"/>
      <c r="F524" s="14"/>
      <c r="G524" s="14"/>
      <c r="H524" s="14"/>
      <c r="I524" s="17"/>
      <c r="J524" s="16"/>
      <c r="K524" s="17"/>
      <c r="L524" s="17"/>
      <c r="N524" s="1"/>
      <c r="O524" s="42"/>
    </row>
    <row r="525">
      <c r="A525" s="16" t="str">
        <f t="shared" si="10"/>
        <v/>
      </c>
      <c r="B525" s="48"/>
      <c r="C525" s="14"/>
      <c r="D525" s="52"/>
      <c r="E525" s="16"/>
      <c r="F525" s="14"/>
      <c r="G525" s="14"/>
      <c r="H525" s="14"/>
      <c r="I525" s="17"/>
      <c r="J525" s="16"/>
      <c r="K525" s="17"/>
      <c r="L525" s="20"/>
      <c r="N525" s="1"/>
      <c r="O525" s="42"/>
    </row>
    <row r="526">
      <c r="A526" s="16" t="str">
        <f t="shared" si="10"/>
        <v/>
      </c>
      <c r="B526" s="48"/>
      <c r="C526" s="14"/>
      <c r="D526" s="52"/>
      <c r="E526" s="16"/>
      <c r="F526" s="14"/>
      <c r="G526" s="14"/>
      <c r="H526" s="17"/>
      <c r="I526" s="17"/>
      <c r="J526" s="16"/>
      <c r="K526" s="17"/>
      <c r="L526" s="16"/>
      <c r="N526" s="1"/>
      <c r="O526" s="42"/>
    </row>
    <row r="527">
      <c r="A527" s="16" t="str">
        <f t="shared" si="10"/>
        <v/>
      </c>
      <c r="B527" s="48"/>
      <c r="C527" s="14"/>
      <c r="D527" s="52"/>
      <c r="E527" s="16"/>
      <c r="F527" s="14"/>
      <c r="G527" s="14"/>
      <c r="H527" s="14"/>
      <c r="I527" s="17"/>
      <c r="J527" s="16"/>
      <c r="K527" s="17"/>
      <c r="L527" s="14"/>
      <c r="N527" s="1"/>
      <c r="O527" s="42"/>
    </row>
    <row r="528">
      <c r="A528" s="16" t="str">
        <f t="shared" si="10"/>
        <v/>
      </c>
      <c r="B528" s="48"/>
      <c r="C528" s="14"/>
      <c r="D528" s="52"/>
      <c r="E528" s="16"/>
      <c r="F528" s="14"/>
      <c r="G528" s="14"/>
      <c r="H528" s="14"/>
      <c r="I528" s="17"/>
      <c r="J528" s="16"/>
      <c r="K528" s="17"/>
      <c r="L528" s="14"/>
      <c r="N528" s="1"/>
      <c r="O528" s="42"/>
    </row>
    <row r="529">
      <c r="A529" s="16" t="str">
        <f t="shared" si="10"/>
        <v/>
      </c>
      <c r="B529" s="48"/>
      <c r="C529" s="14"/>
      <c r="D529" s="52"/>
      <c r="E529" s="16"/>
      <c r="F529" s="14"/>
      <c r="G529" s="14"/>
      <c r="H529" s="14"/>
      <c r="I529" s="17"/>
      <c r="J529" s="16"/>
      <c r="K529" s="17"/>
      <c r="L529" s="17"/>
      <c r="N529" s="1"/>
      <c r="O529" s="42"/>
    </row>
    <row r="530">
      <c r="A530" s="16" t="str">
        <f t="shared" si="10"/>
        <v/>
      </c>
      <c r="B530" s="48"/>
      <c r="C530" s="14"/>
      <c r="D530" s="52"/>
      <c r="E530" s="16"/>
      <c r="F530" s="14"/>
      <c r="G530" s="14"/>
      <c r="H530" s="17"/>
      <c r="I530" s="17"/>
      <c r="J530" s="16"/>
      <c r="K530" s="17"/>
      <c r="L530" s="17"/>
      <c r="N530" s="1"/>
      <c r="O530" s="42"/>
    </row>
    <row r="531">
      <c r="A531" s="16" t="str">
        <f t="shared" si="10"/>
        <v/>
      </c>
      <c r="B531" s="48"/>
      <c r="C531" s="14"/>
      <c r="D531" s="52"/>
      <c r="E531" s="16"/>
      <c r="F531" s="14"/>
      <c r="G531" s="14"/>
      <c r="H531" s="17"/>
      <c r="I531" s="17"/>
      <c r="J531" s="16"/>
      <c r="K531" s="17"/>
      <c r="L531" s="20"/>
      <c r="N531" s="1"/>
      <c r="O531" s="42"/>
    </row>
    <row r="532">
      <c r="A532" s="16" t="str">
        <f t="shared" si="10"/>
        <v/>
      </c>
      <c r="B532" s="48"/>
      <c r="C532" s="14"/>
      <c r="D532" s="52"/>
      <c r="E532" s="16"/>
      <c r="F532" s="14"/>
      <c r="G532" s="14"/>
      <c r="H532" s="14"/>
      <c r="I532" s="17"/>
      <c r="J532" s="16"/>
      <c r="K532" s="17"/>
      <c r="L532" s="14"/>
      <c r="N532" s="1"/>
      <c r="O532" s="42"/>
    </row>
    <row r="533">
      <c r="A533" s="16" t="str">
        <f t="shared" si="10"/>
        <v/>
      </c>
      <c r="B533" s="48"/>
      <c r="C533" s="14"/>
      <c r="D533" s="52"/>
      <c r="E533" s="16"/>
      <c r="F533" s="14"/>
      <c r="G533" s="14"/>
      <c r="H533" s="14"/>
      <c r="I533" s="17"/>
      <c r="J533" s="16"/>
      <c r="K533" s="17"/>
      <c r="L533" s="16"/>
      <c r="N533" s="1"/>
      <c r="O533" s="42"/>
    </row>
    <row r="534">
      <c r="A534" s="16" t="str">
        <f t="shared" si="10"/>
        <v/>
      </c>
      <c r="B534" s="48"/>
      <c r="C534" s="14"/>
      <c r="D534" s="52"/>
      <c r="E534" s="16"/>
      <c r="F534" s="14"/>
      <c r="G534" s="14"/>
      <c r="H534" s="17"/>
      <c r="I534" s="17"/>
      <c r="J534" s="16"/>
      <c r="K534" s="17"/>
      <c r="L534" s="20"/>
      <c r="N534" s="1"/>
      <c r="O534" s="42"/>
    </row>
    <row r="535">
      <c r="A535" s="16" t="str">
        <f t="shared" si="10"/>
        <v/>
      </c>
      <c r="B535" s="48"/>
      <c r="C535" s="14"/>
      <c r="D535" s="52"/>
      <c r="E535" s="16"/>
      <c r="F535" s="14"/>
      <c r="G535" s="14"/>
      <c r="H535" s="14"/>
      <c r="I535" s="17"/>
      <c r="J535" s="16"/>
      <c r="K535" s="17"/>
      <c r="L535" s="17"/>
      <c r="N535" s="1"/>
      <c r="O535" s="42"/>
    </row>
    <row r="536">
      <c r="A536" s="16" t="str">
        <f t="shared" si="10"/>
        <v/>
      </c>
      <c r="B536" s="48"/>
      <c r="C536" s="14"/>
      <c r="D536" s="52"/>
      <c r="E536" s="16"/>
      <c r="F536" s="14"/>
      <c r="G536" s="14"/>
      <c r="H536" s="14"/>
      <c r="I536" s="17"/>
      <c r="J536" s="16"/>
      <c r="K536" s="17"/>
      <c r="L536" s="20"/>
      <c r="N536" s="1"/>
      <c r="O536" s="42"/>
    </row>
    <row r="537">
      <c r="A537" s="16" t="str">
        <f t="shared" si="10"/>
        <v/>
      </c>
      <c r="B537" s="48"/>
      <c r="C537" s="14"/>
      <c r="D537" s="52"/>
      <c r="E537" s="16"/>
      <c r="F537" s="14"/>
      <c r="G537" s="14"/>
      <c r="H537" s="14"/>
      <c r="I537" s="17"/>
      <c r="J537" s="16"/>
      <c r="K537" s="17"/>
      <c r="L537" s="20"/>
      <c r="N537" s="1"/>
      <c r="O537" s="42"/>
    </row>
    <row r="538">
      <c r="A538" s="16" t="str">
        <f t="shared" si="10"/>
        <v/>
      </c>
      <c r="B538" s="48"/>
      <c r="C538" s="14"/>
      <c r="D538" s="52"/>
      <c r="E538" s="16"/>
      <c r="F538" s="14"/>
      <c r="G538" s="14"/>
      <c r="H538" s="14"/>
      <c r="I538" s="17"/>
      <c r="J538" s="16"/>
      <c r="K538" s="17"/>
      <c r="L538" s="20"/>
      <c r="N538" s="1"/>
      <c r="O538" s="42"/>
    </row>
    <row r="539">
      <c r="A539" s="16" t="str">
        <f t="shared" si="10"/>
        <v/>
      </c>
      <c r="B539" s="48"/>
      <c r="C539" s="14"/>
      <c r="D539" s="52"/>
      <c r="E539" s="16"/>
      <c r="F539" s="14"/>
      <c r="G539" s="14"/>
      <c r="H539" s="14"/>
      <c r="I539" s="17"/>
      <c r="J539" s="16"/>
      <c r="K539" s="17"/>
      <c r="L539" s="16"/>
      <c r="N539" s="1"/>
      <c r="O539" s="42"/>
    </row>
    <row r="540">
      <c r="A540" s="16" t="str">
        <f t="shared" si="10"/>
        <v/>
      </c>
      <c r="B540" s="48"/>
      <c r="C540" s="14"/>
      <c r="D540" s="52"/>
      <c r="E540" s="16"/>
      <c r="F540" s="14"/>
      <c r="G540" s="14"/>
      <c r="H540" s="14"/>
      <c r="I540" s="17"/>
      <c r="J540" s="16"/>
      <c r="K540" s="17"/>
      <c r="L540" s="14"/>
      <c r="N540" s="1"/>
      <c r="O540" s="42"/>
    </row>
    <row r="541">
      <c r="A541" s="16" t="str">
        <f t="shared" si="10"/>
        <v/>
      </c>
      <c r="B541" s="48"/>
      <c r="C541" s="14"/>
      <c r="D541" s="52"/>
      <c r="E541" s="16"/>
      <c r="F541" s="14"/>
      <c r="G541" s="14"/>
      <c r="H541" s="14"/>
      <c r="I541" s="17"/>
      <c r="J541" s="16"/>
      <c r="K541" s="17"/>
      <c r="L541" s="17"/>
      <c r="N541" s="1"/>
      <c r="O541" s="42"/>
    </row>
    <row r="542">
      <c r="A542" s="16" t="str">
        <f t="shared" si="10"/>
        <v/>
      </c>
      <c r="B542" s="48"/>
      <c r="C542" s="14"/>
      <c r="D542" s="52"/>
      <c r="E542" s="16"/>
      <c r="F542" s="14"/>
      <c r="G542" s="14"/>
      <c r="H542" s="14"/>
      <c r="I542" s="17"/>
      <c r="J542" s="16"/>
      <c r="K542" s="17"/>
      <c r="L542" s="17"/>
      <c r="N542" s="1"/>
      <c r="O542" s="42"/>
    </row>
    <row r="543">
      <c r="A543" s="16" t="str">
        <f t="shared" si="10"/>
        <v/>
      </c>
      <c r="B543" s="48"/>
      <c r="C543" s="14"/>
      <c r="D543" s="52"/>
      <c r="E543" s="16"/>
      <c r="F543" s="14"/>
      <c r="G543" s="14"/>
      <c r="H543" s="17"/>
      <c r="I543" s="17"/>
      <c r="J543" s="16"/>
      <c r="K543" s="17"/>
      <c r="L543" s="17"/>
      <c r="N543" s="1"/>
      <c r="O543" s="42"/>
    </row>
    <row r="544">
      <c r="A544" s="16" t="str">
        <f t="shared" si="10"/>
        <v/>
      </c>
      <c r="B544" s="48"/>
      <c r="C544" s="14"/>
      <c r="D544" s="52"/>
      <c r="E544" s="16"/>
      <c r="F544" s="14"/>
      <c r="G544" s="14"/>
      <c r="H544" s="17"/>
      <c r="I544" s="17"/>
      <c r="J544" s="16"/>
      <c r="K544" s="17"/>
      <c r="L544" s="17"/>
      <c r="N544" s="1"/>
      <c r="O544" s="42"/>
    </row>
    <row r="545">
      <c r="A545" s="16" t="str">
        <f t="shared" si="10"/>
        <v/>
      </c>
      <c r="B545" s="48"/>
      <c r="C545" s="14"/>
      <c r="D545" s="52"/>
      <c r="E545" s="16"/>
      <c r="F545" s="14"/>
      <c r="G545" s="14"/>
      <c r="H545" s="17"/>
      <c r="I545" s="17"/>
      <c r="J545" s="16"/>
      <c r="K545" s="17"/>
      <c r="L545" s="14"/>
      <c r="N545" s="1"/>
      <c r="O545" s="42"/>
    </row>
    <row r="546">
      <c r="A546" s="16" t="str">
        <f t="shared" si="10"/>
        <v/>
      </c>
      <c r="B546" s="48"/>
      <c r="C546" s="14"/>
      <c r="D546" s="52"/>
      <c r="E546" s="16"/>
      <c r="F546" s="14"/>
      <c r="G546" s="14"/>
      <c r="H546" s="14"/>
      <c r="I546" s="17"/>
      <c r="J546" s="16"/>
      <c r="K546" s="17"/>
      <c r="L546" s="20"/>
      <c r="N546" s="1"/>
      <c r="O546" s="42"/>
    </row>
    <row r="547">
      <c r="A547" s="16" t="str">
        <f t="shared" si="10"/>
        <v/>
      </c>
      <c r="B547" s="48"/>
      <c r="C547" s="14"/>
      <c r="D547" s="52"/>
      <c r="E547" s="16"/>
      <c r="F547" s="14"/>
      <c r="G547" s="14"/>
      <c r="H547" s="17"/>
      <c r="I547" s="17"/>
      <c r="J547" s="16"/>
      <c r="K547" s="17"/>
      <c r="L547" s="14"/>
      <c r="N547" s="1"/>
      <c r="O547" s="42"/>
    </row>
    <row r="548">
      <c r="A548" s="16" t="str">
        <f t="shared" si="10"/>
        <v/>
      </c>
      <c r="B548" s="48"/>
      <c r="C548" s="14"/>
      <c r="D548" s="52"/>
      <c r="E548" s="16"/>
      <c r="F548" s="14"/>
      <c r="G548" s="14"/>
      <c r="H548" s="14"/>
      <c r="I548" s="17"/>
      <c r="J548" s="16"/>
      <c r="K548" s="17"/>
      <c r="L548" s="14"/>
      <c r="N548" s="1"/>
      <c r="O548" s="42"/>
    </row>
    <row r="549">
      <c r="A549" s="16" t="str">
        <f t="shared" si="10"/>
        <v/>
      </c>
      <c r="B549" s="48"/>
      <c r="C549" s="14"/>
      <c r="D549" s="52"/>
      <c r="E549" s="16"/>
      <c r="F549" s="14"/>
      <c r="G549" s="14"/>
      <c r="H549" s="17"/>
      <c r="I549" s="17"/>
      <c r="J549" s="16"/>
      <c r="K549" s="17"/>
      <c r="L549" s="20"/>
      <c r="N549" s="1"/>
      <c r="O549" s="42"/>
    </row>
    <row r="550">
      <c r="A550" s="16" t="str">
        <f t="shared" si="10"/>
        <v/>
      </c>
      <c r="B550" s="48"/>
      <c r="C550" s="14"/>
      <c r="D550" s="52"/>
      <c r="E550" s="16"/>
      <c r="F550" s="14"/>
      <c r="G550" s="14"/>
      <c r="H550" s="17"/>
      <c r="I550" s="17"/>
      <c r="J550" s="16"/>
      <c r="K550" s="17"/>
      <c r="L550" s="14"/>
      <c r="N550" s="1"/>
      <c r="O550" s="42"/>
    </row>
    <row r="551">
      <c r="A551" s="16" t="str">
        <f t="shared" si="10"/>
        <v/>
      </c>
      <c r="B551" s="48"/>
      <c r="C551" s="14"/>
      <c r="D551" s="52"/>
      <c r="E551" s="16"/>
      <c r="F551" s="14"/>
      <c r="G551" s="14"/>
      <c r="H551" s="14"/>
      <c r="I551" s="17"/>
      <c r="J551" s="16"/>
      <c r="K551" s="17"/>
      <c r="L551" s="14"/>
      <c r="N551" s="1"/>
      <c r="O551" s="46"/>
    </row>
    <row r="552">
      <c r="A552" s="16" t="str">
        <f t="shared" si="10"/>
        <v/>
      </c>
      <c r="B552" s="48"/>
      <c r="C552" s="14"/>
      <c r="D552" s="52"/>
      <c r="E552" s="16"/>
      <c r="F552" s="14"/>
      <c r="G552" s="14"/>
      <c r="H552" s="14"/>
      <c r="I552" s="17"/>
      <c r="J552" s="16"/>
      <c r="K552" s="17"/>
      <c r="L552" s="14"/>
      <c r="N552" s="1"/>
      <c r="O552" s="46"/>
    </row>
    <row r="553">
      <c r="A553" s="16" t="str">
        <f t="shared" si="10"/>
        <v/>
      </c>
      <c r="B553" s="48"/>
      <c r="C553" s="14"/>
      <c r="D553" s="52"/>
      <c r="E553" s="16"/>
      <c r="F553" s="14"/>
      <c r="G553" s="14"/>
      <c r="H553" s="17"/>
      <c r="I553" s="17"/>
      <c r="J553" s="16"/>
      <c r="K553" s="17"/>
      <c r="L553" s="17"/>
      <c r="N553" s="1"/>
      <c r="O553" s="46"/>
    </row>
    <row r="554">
      <c r="A554" s="16" t="str">
        <f t="shared" si="10"/>
        <v/>
      </c>
      <c r="B554" s="48"/>
      <c r="C554" s="14"/>
      <c r="D554" s="52"/>
      <c r="E554" s="16"/>
      <c r="F554" s="14"/>
      <c r="G554" s="14"/>
      <c r="H554" s="14"/>
      <c r="I554" s="17"/>
      <c r="J554" s="16"/>
      <c r="K554" s="17"/>
      <c r="L554" s="16"/>
      <c r="N554" s="1"/>
      <c r="O554" s="46"/>
    </row>
    <row r="555">
      <c r="A555" s="16" t="str">
        <f t="shared" si="10"/>
        <v/>
      </c>
      <c r="B555" s="48"/>
      <c r="C555" s="14"/>
      <c r="D555" s="52"/>
      <c r="E555" s="16"/>
      <c r="F555" s="14"/>
      <c r="G555" s="14"/>
      <c r="H555" s="14"/>
      <c r="I555" s="17"/>
      <c r="J555" s="16"/>
      <c r="K555" s="17"/>
      <c r="L555" s="17"/>
      <c r="N555" s="1"/>
      <c r="O555" s="46"/>
    </row>
    <row r="556">
      <c r="A556" s="16" t="str">
        <f t="shared" si="10"/>
        <v/>
      </c>
      <c r="B556" s="48"/>
      <c r="C556" s="14"/>
      <c r="D556" s="52"/>
      <c r="E556" s="16"/>
      <c r="F556" s="14"/>
      <c r="G556" s="14"/>
      <c r="H556" s="14"/>
      <c r="I556" s="17"/>
      <c r="J556" s="16"/>
      <c r="K556" s="17"/>
      <c r="L556" s="17"/>
      <c r="N556" s="1"/>
      <c r="O556" s="46"/>
    </row>
    <row r="557">
      <c r="A557" s="16" t="str">
        <f t="shared" si="10"/>
        <v/>
      </c>
      <c r="B557" s="48"/>
      <c r="C557" s="14"/>
      <c r="D557" s="52"/>
      <c r="E557" s="16"/>
      <c r="F557" s="14"/>
      <c r="G557" s="14"/>
      <c r="H557" s="17"/>
      <c r="I557" s="17"/>
      <c r="J557" s="16"/>
      <c r="K557" s="17"/>
      <c r="L557" s="17"/>
      <c r="N557" s="1"/>
      <c r="O557" s="46"/>
    </row>
    <row r="558">
      <c r="A558" s="16" t="str">
        <f t="shared" si="10"/>
        <v/>
      </c>
      <c r="B558" s="48"/>
      <c r="C558" s="14"/>
      <c r="D558" s="52"/>
      <c r="E558" s="16"/>
      <c r="F558" s="14"/>
      <c r="G558" s="14"/>
      <c r="H558" s="14"/>
      <c r="I558" s="17"/>
      <c r="J558" s="16"/>
      <c r="K558" s="17"/>
      <c r="L558" s="20"/>
      <c r="N558" s="1"/>
      <c r="O558" s="46"/>
    </row>
    <row r="559">
      <c r="A559" s="16" t="str">
        <f t="shared" si="10"/>
        <v/>
      </c>
      <c r="B559" s="48"/>
      <c r="C559" s="14"/>
      <c r="D559" s="52"/>
      <c r="E559" s="16"/>
      <c r="F559" s="14"/>
      <c r="G559" s="14"/>
      <c r="H559" s="17"/>
      <c r="I559" s="17"/>
      <c r="J559" s="16"/>
      <c r="K559" s="17"/>
      <c r="L559" s="20"/>
      <c r="N559" s="1"/>
      <c r="O559" s="46"/>
    </row>
    <row r="560">
      <c r="A560" s="16" t="str">
        <f t="shared" si="10"/>
        <v/>
      </c>
      <c r="B560" s="48"/>
      <c r="C560" s="14"/>
      <c r="D560" s="52"/>
      <c r="E560" s="16"/>
      <c r="F560" s="14"/>
      <c r="G560" s="14"/>
      <c r="H560" s="14"/>
      <c r="I560" s="17"/>
      <c r="J560" s="16"/>
      <c r="K560" s="17"/>
      <c r="L560" s="20"/>
      <c r="N560" s="1"/>
      <c r="O560" s="46"/>
    </row>
    <row r="561">
      <c r="A561" s="16" t="str">
        <f t="shared" si="10"/>
        <v/>
      </c>
      <c r="B561" s="48"/>
      <c r="C561" s="14"/>
      <c r="D561" s="52"/>
      <c r="E561" s="16"/>
      <c r="F561" s="14"/>
      <c r="G561" s="14"/>
      <c r="H561" s="17"/>
      <c r="I561" s="17"/>
      <c r="J561" s="16"/>
      <c r="K561" s="17"/>
      <c r="L561" s="16"/>
      <c r="N561" s="1"/>
      <c r="O561" s="46"/>
    </row>
    <row r="562">
      <c r="A562" s="16" t="str">
        <f t="shared" si="10"/>
        <v/>
      </c>
      <c r="B562" s="48"/>
      <c r="C562" s="14"/>
      <c r="D562" s="52"/>
      <c r="E562" s="16"/>
      <c r="F562" s="14"/>
      <c r="G562" s="14"/>
      <c r="H562" s="14"/>
      <c r="I562" s="17"/>
      <c r="J562" s="16"/>
      <c r="K562" s="14"/>
      <c r="L562" s="17"/>
      <c r="N562" s="1"/>
      <c r="O562" s="46"/>
    </row>
    <row r="563">
      <c r="A563" s="16" t="str">
        <f t="shared" si="10"/>
        <v/>
      </c>
      <c r="B563" s="48"/>
      <c r="C563" s="14"/>
      <c r="D563" s="52"/>
      <c r="E563" s="16"/>
      <c r="F563" s="14"/>
      <c r="G563" s="14"/>
      <c r="H563" s="14"/>
      <c r="I563" s="17"/>
      <c r="J563" s="16"/>
      <c r="K563" s="14"/>
      <c r="L563" s="17"/>
      <c r="N563" s="1"/>
      <c r="O563" s="46"/>
    </row>
    <row r="564">
      <c r="A564" s="16" t="str">
        <f t="shared" si="10"/>
        <v/>
      </c>
      <c r="B564" s="48"/>
      <c r="C564" s="14"/>
      <c r="D564" s="52"/>
      <c r="E564" s="16"/>
      <c r="F564" s="14"/>
      <c r="G564" s="14"/>
      <c r="H564" s="14"/>
      <c r="I564" s="17"/>
      <c r="J564" s="16"/>
      <c r="K564" s="17"/>
      <c r="L564" s="17"/>
      <c r="N564" s="1"/>
      <c r="O564" s="46"/>
    </row>
    <row r="565">
      <c r="A565" s="16" t="str">
        <f t="shared" si="10"/>
        <v/>
      </c>
      <c r="B565" s="48"/>
      <c r="C565" s="14"/>
      <c r="D565" s="52"/>
      <c r="E565" s="16"/>
      <c r="F565" s="14"/>
      <c r="G565" s="14"/>
      <c r="H565" s="14"/>
      <c r="I565" s="17"/>
      <c r="J565" s="16"/>
      <c r="K565" s="17"/>
      <c r="L565" s="17"/>
      <c r="N565" s="1"/>
      <c r="O565" s="46"/>
    </row>
    <row r="566">
      <c r="A566" s="16" t="str">
        <f t="shared" si="10"/>
        <v/>
      </c>
      <c r="B566" s="48"/>
      <c r="C566" s="14"/>
      <c r="D566" s="52"/>
      <c r="E566" s="16"/>
      <c r="F566" s="14"/>
      <c r="G566" s="14"/>
      <c r="H566" s="14"/>
      <c r="I566" s="17"/>
      <c r="J566" s="16"/>
      <c r="K566" s="17"/>
      <c r="L566" s="14"/>
      <c r="N566" s="1"/>
      <c r="O566" s="46"/>
    </row>
    <row r="567">
      <c r="A567" s="16" t="str">
        <f t="shared" si="10"/>
        <v/>
      </c>
      <c r="B567" s="48"/>
      <c r="C567" s="14"/>
      <c r="D567" s="52"/>
      <c r="E567" s="16"/>
      <c r="F567" s="14"/>
      <c r="G567" s="14"/>
      <c r="H567" s="14"/>
      <c r="I567" s="17"/>
      <c r="J567" s="16"/>
      <c r="K567" s="17"/>
      <c r="L567" s="17"/>
      <c r="N567" s="1"/>
      <c r="O567" s="46"/>
    </row>
    <row r="568">
      <c r="A568" s="16" t="str">
        <f t="shared" si="10"/>
        <v/>
      </c>
      <c r="B568" s="48"/>
      <c r="C568" s="14"/>
      <c r="D568" s="52"/>
      <c r="E568" s="16"/>
      <c r="F568" s="14"/>
      <c r="G568" s="14"/>
      <c r="H568" s="14"/>
      <c r="I568" s="17"/>
      <c r="J568" s="16"/>
      <c r="K568" s="17"/>
      <c r="L568" s="17"/>
      <c r="N568" s="1"/>
      <c r="O568" s="46"/>
    </row>
    <row r="569">
      <c r="A569" s="16" t="str">
        <f t="shared" si="10"/>
        <v/>
      </c>
      <c r="B569" s="48"/>
      <c r="C569" s="14"/>
      <c r="D569" s="52"/>
      <c r="E569" s="16"/>
      <c r="F569" s="14"/>
      <c r="G569" s="14"/>
      <c r="H569" s="14"/>
      <c r="I569" s="17"/>
      <c r="J569" s="16"/>
      <c r="K569" s="17"/>
      <c r="L569" s="20"/>
      <c r="N569" s="1"/>
      <c r="O569" s="46"/>
    </row>
    <row r="570">
      <c r="A570" s="16" t="str">
        <f t="shared" si="10"/>
        <v/>
      </c>
      <c r="B570" s="48"/>
      <c r="C570" s="14"/>
      <c r="D570" s="52"/>
      <c r="E570" s="16"/>
      <c r="F570" s="14"/>
      <c r="G570" s="14"/>
      <c r="H570" s="14"/>
      <c r="I570" s="17"/>
      <c r="J570" s="16"/>
      <c r="K570" s="17"/>
      <c r="L570" s="20"/>
      <c r="N570" s="1"/>
      <c r="O570" s="46"/>
    </row>
    <row r="571">
      <c r="A571" s="16" t="str">
        <f t="shared" si="10"/>
        <v/>
      </c>
      <c r="B571" s="48"/>
      <c r="C571" s="14"/>
      <c r="D571" s="52"/>
      <c r="E571" s="16"/>
      <c r="F571" s="14"/>
      <c r="G571" s="14"/>
      <c r="H571" s="14"/>
      <c r="I571" s="17"/>
      <c r="J571" s="16"/>
      <c r="K571" s="17"/>
      <c r="L571" s="20"/>
      <c r="N571" s="1"/>
      <c r="O571" s="46"/>
    </row>
    <row r="572">
      <c r="A572" s="16" t="str">
        <f t="shared" si="10"/>
        <v/>
      </c>
      <c r="B572" s="48"/>
      <c r="C572" s="14"/>
      <c r="D572" s="52"/>
      <c r="E572" s="16"/>
      <c r="F572" s="14"/>
      <c r="G572" s="14"/>
      <c r="H572" s="14"/>
      <c r="I572" s="17"/>
      <c r="J572" s="16"/>
      <c r="K572" s="17"/>
      <c r="L572" s="14"/>
      <c r="N572" s="1"/>
      <c r="O572" s="46"/>
    </row>
    <row r="573">
      <c r="A573" s="16" t="str">
        <f t="shared" si="10"/>
        <v/>
      </c>
      <c r="B573" s="48"/>
      <c r="C573" s="14"/>
      <c r="D573" s="52"/>
      <c r="E573" s="16"/>
      <c r="F573" s="14"/>
      <c r="G573" s="14"/>
      <c r="H573" s="14"/>
      <c r="I573" s="17"/>
      <c r="J573" s="16"/>
      <c r="K573" s="17"/>
      <c r="L573" s="17"/>
      <c r="N573" s="1"/>
      <c r="O573" s="46"/>
    </row>
    <row r="574">
      <c r="A574" s="16" t="str">
        <f t="shared" si="10"/>
        <v/>
      </c>
      <c r="B574" s="48"/>
      <c r="C574" s="14"/>
      <c r="D574" s="52"/>
      <c r="E574" s="16"/>
      <c r="F574" s="14"/>
      <c r="G574" s="14"/>
      <c r="H574" s="14"/>
      <c r="I574" s="17"/>
      <c r="J574" s="16"/>
      <c r="K574" s="17"/>
      <c r="L574" s="17"/>
      <c r="N574" s="1"/>
      <c r="O574" s="46"/>
    </row>
    <row r="575">
      <c r="A575" s="16" t="str">
        <f t="shared" si="10"/>
        <v/>
      </c>
      <c r="B575" s="48"/>
      <c r="C575" s="14"/>
      <c r="D575" s="52"/>
      <c r="E575" s="16"/>
      <c r="F575" s="14"/>
      <c r="G575" s="14"/>
      <c r="H575" s="14"/>
      <c r="I575" s="17"/>
      <c r="J575" s="16"/>
      <c r="K575" s="17"/>
      <c r="L575" s="17"/>
      <c r="N575" s="1"/>
      <c r="O575" s="46"/>
    </row>
    <row r="576">
      <c r="A576" s="16" t="str">
        <f t="shared" si="10"/>
        <v/>
      </c>
      <c r="B576" s="48"/>
      <c r="C576" s="14"/>
      <c r="D576" s="52"/>
      <c r="E576" s="16"/>
      <c r="F576" s="14"/>
      <c r="G576" s="14"/>
      <c r="H576" s="14"/>
      <c r="I576" s="17"/>
      <c r="J576" s="16"/>
      <c r="K576" s="17"/>
      <c r="L576" s="20"/>
      <c r="N576" s="1"/>
      <c r="O576" s="42"/>
    </row>
    <row r="577">
      <c r="A577" s="16" t="str">
        <f t="shared" si="10"/>
        <v/>
      </c>
      <c r="B577" s="48"/>
      <c r="C577" s="14"/>
      <c r="D577" s="52"/>
      <c r="E577" s="16"/>
      <c r="F577" s="14"/>
      <c r="G577" s="14"/>
      <c r="H577" s="14"/>
      <c r="I577" s="17"/>
      <c r="J577" s="16"/>
      <c r="K577" s="17"/>
      <c r="L577" s="17"/>
      <c r="N577" s="1"/>
      <c r="O577" s="42"/>
    </row>
    <row r="578">
      <c r="A578" s="16" t="str">
        <f t="shared" si="10"/>
        <v/>
      </c>
      <c r="B578" s="48"/>
      <c r="C578" s="14"/>
      <c r="D578" s="52"/>
      <c r="E578" s="16"/>
      <c r="F578" s="14"/>
      <c r="G578" s="14"/>
      <c r="H578" s="17"/>
      <c r="I578" s="17"/>
      <c r="J578" s="16"/>
      <c r="K578" s="17"/>
      <c r="L578" s="14"/>
      <c r="N578" s="1"/>
      <c r="O578" s="42"/>
    </row>
    <row r="579">
      <c r="A579" s="16" t="str">
        <f t="shared" si="10"/>
        <v/>
      </c>
      <c r="B579" s="48"/>
      <c r="C579" s="14"/>
      <c r="D579" s="52"/>
      <c r="E579" s="16"/>
      <c r="F579" s="14"/>
      <c r="G579" s="14"/>
      <c r="H579" s="17"/>
      <c r="I579" s="17"/>
      <c r="J579" s="16"/>
      <c r="K579" s="17"/>
      <c r="L579" s="16"/>
      <c r="N579" s="1"/>
      <c r="O579" s="42"/>
    </row>
    <row r="580">
      <c r="A580" s="16" t="str">
        <f t="shared" si="10"/>
        <v/>
      </c>
      <c r="B580" s="48"/>
      <c r="C580" s="14"/>
      <c r="D580" s="52"/>
      <c r="E580" s="16"/>
      <c r="F580" s="14"/>
      <c r="G580" s="14"/>
      <c r="H580" s="14"/>
      <c r="I580" s="17"/>
      <c r="J580" s="16"/>
      <c r="K580" s="17"/>
      <c r="L580" s="16"/>
      <c r="N580" s="1"/>
      <c r="O580" s="42"/>
    </row>
    <row r="581">
      <c r="A581" s="16" t="str">
        <f t="shared" si="10"/>
        <v/>
      </c>
      <c r="B581" s="48"/>
      <c r="C581" s="14"/>
      <c r="D581" s="52"/>
      <c r="E581" s="16"/>
      <c r="F581" s="14"/>
      <c r="G581" s="14"/>
      <c r="H581" s="14"/>
      <c r="I581" s="17"/>
      <c r="J581" s="16"/>
      <c r="K581" s="17"/>
      <c r="L581" s="14"/>
      <c r="N581" s="1"/>
      <c r="O581" s="42"/>
    </row>
    <row r="582">
      <c r="A582" s="16" t="str">
        <f t="shared" si="10"/>
        <v/>
      </c>
      <c r="B582" s="48"/>
      <c r="C582" s="14"/>
      <c r="D582" s="52"/>
      <c r="E582" s="16"/>
      <c r="F582" s="14"/>
      <c r="G582" s="14"/>
      <c r="H582" s="14"/>
      <c r="I582" s="17"/>
      <c r="J582" s="16"/>
      <c r="K582" s="17"/>
      <c r="L582" s="20"/>
      <c r="N582" s="1"/>
      <c r="O582" s="42"/>
    </row>
    <row r="583">
      <c r="A583" s="16" t="str">
        <f t="shared" si="10"/>
        <v/>
      </c>
      <c r="B583" s="48"/>
      <c r="C583" s="14"/>
      <c r="D583" s="52"/>
      <c r="E583" s="16"/>
      <c r="F583" s="14"/>
      <c r="G583" s="14"/>
      <c r="H583" s="17"/>
      <c r="I583" s="17"/>
      <c r="J583" s="16"/>
      <c r="K583" s="17"/>
      <c r="L583" s="20"/>
      <c r="N583" s="1"/>
      <c r="O583" s="42"/>
    </row>
    <row r="584">
      <c r="A584" s="16" t="str">
        <f t="shared" si="10"/>
        <v/>
      </c>
      <c r="B584" s="48"/>
      <c r="C584" s="14"/>
      <c r="D584" s="52"/>
      <c r="E584" s="16"/>
      <c r="F584" s="14"/>
      <c r="G584" s="14"/>
      <c r="H584" s="14"/>
      <c r="I584" s="17"/>
      <c r="J584" s="16"/>
      <c r="K584" s="17"/>
      <c r="L584" s="17"/>
      <c r="N584" s="1"/>
      <c r="O584" s="42"/>
    </row>
    <row r="585">
      <c r="A585" s="16" t="str">
        <f t="shared" si="10"/>
        <v/>
      </c>
      <c r="B585" s="48"/>
      <c r="C585" s="14"/>
      <c r="D585" s="52"/>
      <c r="E585" s="16"/>
      <c r="F585" s="14"/>
      <c r="G585" s="14"/>
      <c r="H585" s="14"/>
      <c r="I585" s="17"/>
      <c r="J585" s="16"/>
      <c r="K585" s="17"/>
      <c r="L585" s="17"/>
      <c r="N585" s="1"/>
      <c r="O585" s="42"/>
    </row>
    <row r="586">
      <c r="A586" s="16" t="str">
        <f t="shared" si="10"/>
        <v/>
      </c>
      <c r="B586" s="48"/>
      <c r="C586" s="14"/>
      <c r="D586" s="52"/>
      <c r="E586" s="16"/>
      <c r="F586" s="14"/>
      <c r="G586" s="14"/>
      <c r="H586" s="14"/>
      <c r="I586" s="17"/>
      <c r="J586" s="16"/>
      <c r="K586" s="17"/>
      <c r="L586" s="20"/>
      <c r="N586" s="1"/>
      <c r="O586" s="42"/>
    </row>
    <row r="587">
      <c r="A587" s="16" t="str">
        <f t="shared" si="10"/>
        <v/>
      </c>
      <c r="B587" s="48"/>
      <c r="C587" s="14"/>
      <c r="D587" s="52"/>
      <c r="E587" s="16"/>
      <c r="F587" s="14"/>
      <c r="G587" s="14"/>
      <c r="H587" s="14"/>
      <c r="I587" s="17"/>
      <c r="J587" s="16"/>
      <c r="K587" s="17"/>
      <c r="L587" s="17"/>
      <c r="N587" s="1"/>
      <c r="O587" s="42"/>
    </row>
    <row r="588">
      <c r="A588" s="16" t="str">
        <f t="shared" si="10"/>
        <v/>
      </c>
      <c r="B588" s="48"/>
      <c r="C588" s="14"/>
      <c r="D588" s="52"/>
      <c r="E588" s="16"/>
      <c r="F588" s="14"/>
      <c r="G588" s="14"/>
      <c r="H588" s="17"/>
      <c r="I588" s="17"/>
      <c r="J588" s="16"/>
      <c r="K588" s="17"/>
      <c r="L588" s="17"/>
      <c r="N588" s="1"/>
      <c r="O588" s="42"/>
    </row>
    <row r="589">
      <c r="A589" s="16" t="str">
        <f t="shared" si="10"/>
        <v/>
      </c>
      <c r="B589" s="48"/>
      <c r="C589" s="14"/>
      <c r="D589" s="52"/>
      <c r="E589" s="16"/>
      <c r="F589" s="14"/>
      <c r="G589" s="14"/>
      <c r="H589" s="14"/>
      <c r="I589" s="17"/>
      <c r="J589" s="16"/>
      <c r="K589" s="17"/>
      <c r="L589" s="14"/>
      <c r="N589" s="1"/>
      <c r="O589" s="42"/>
    </row>
    <row r="590">
      <c r="A590" s="16" t="str">
        <f t="shared" si="10"/>
        <v/>
      </c>
      <c r="B590" s="48"/>
      <c r="C590" s="14"/>
      <c r="D590" s="52"/>
      <c r="E590" s="16"/>
      <c r="F590" s="14"/>
      <c r="G590" s="14"/>
      <c r="H590" s="14"/>
      <c r="I590" s="17"/>
      <c r="J590" s="16"/>
      <c r="K590" s="17"/>
      <c r="L590" s="14"/>
      <c r="N590" s="1"/>
      <c r="O590" s="42"/>
    </row>
    <row r="591">
      <c r="A591" s="16" t="str">
        <f t="shared" si="10"/>
        <v/>
      </c>
      <c r="B591" s="48"/>
      <c r="C591" s="14"/>
      <c r="D591" s="52"/>
      <c r="E591" s="16"/>
      <c r="F591" s="14"/>
      <c r="G591" s="14"/>
      <c r="H591" s="14"/>
      <c r="I591" s="17"/>
      <c r="J591" s="16"/>
      <c r="K591" s="17"/>
      <c r="L591" s="14"/>
      <c r="N591" s="1"/>
      <c r="O591" s="42"/>
    </row>
    <row r="592">
      <c r="A592" s="16" t="str">
        <f t="shared" si="10"/>
        <v/>
      </c>
      <c r="B592" s="48"/>
      <c r="C592" s="14"/>
      <c r="D592" s="52"/>
      <c r="E592" s="16"/>
      <c r="F592" s="14"/>
      <c r="G592" s="14"/>
      <c r="H592" s="14"/>
      <c r="I592" s="17"/>
      <c r="J592" s="16"/>
      <c r="K592" s="17"/>
      <c r="L592" s="17"/>
      <c r="N592" s="1"/>
      <c r="O592" s="42"/>
    </row>
    <row r="593">
      <c r="A593" s="16" t="str">
        <f t="shared" si="10"/>
        <v/>
      </c>
      <c r="B593" s="48"/>
      <c r="C593" s="14"/>
      <c r="D593" s="52"/>
      <c r="E593" s="16"/>
      <c r="F593" s="14"/>
      <c r="G593" s="14"/>
      <c r="H593" s="14"/>
      <c r="I593" s="17"/>
      <c r="J593" s="16"/>
      <c r="K593" s="17"/>
      <c r="L593" s="20"/>
      <c r="N593" s="1"/>
      <c r="O593" s="42"/>
    </row>
    <row r="594">
      <c r="A594" s="16" t="str">
        <f t="shared" si="10"/>
        <v/>
      </c>
      <c r="B594" s="48"/>
      <c r="C594" s="14"/>
      <c r="D594" s="52"/>
      <c r="E594" s="16"/>
      <c r="F594" s="14"/>
      <c r="G594" s="14"/>
      <c r="H594" s="14"/>
      <c r="I594" s="17"/>
      <c r="J594" s="16"/>
      <c r="K594" s="17"/>
      <c r="L594" s="17"/>
      <c r="N594" s="1"/>
      <c r="O594" s="42"/>
    </row>
    <row r="595">
      <c r="A595" s="16" t="str">
        <f t="shared" si="10"/>
        <v/>
      </c>
      <c r="B595" s="54"/>
      <c r="C595" s="14"/>
      <c r="D595" s="52"/>
      <c r="E595" s="16"/>
      <c r="F595" s="14"/>
      <c r="G595" s="14"/>
      <c r="H595" s="17"/>
      <c r="I595" s="17"/>
      <c r="J595" s="16"/>
      <c r="K595" s="17"/>
      <c r="L595" s="17"/>
      <c r="N595" s="1"/>
      <c r="O595" s="42"/>
    </row>
    <row r="596">
      <c r="A596" s="16" t="str">
        <f t="shared" si="10"/>
        <v/>
      </c>
      <c r="B596" s="48"/>
      <c r="C596" s="14"/>
      <c r="D596" s="52"/>
      <c r="E596" s="16"/>
      <c r="F596" s="14"/>
      <c r="G596" s="14"/>
      <c r="H596" s="17"/>
      <c r="I596" s="17"/>
      <c r="J596" s="16"/>
      <c r="K596" s="14"/>
      <c r="L596" s="16"/>
      <c r="N596" s="1"/>
      <c r="O596" s="42"/>
    </row>
    <row r="597">
      <c r="A597" s="16" t="str">
        <f t="shared" si="10"/>
        <v/>
      </c>
      <c r="B597" s="48"/>
      <c r="C597" s="14"/>
      <c r="D597" s="52"/>
      <c r="E597" s="16"/>
      <c r="F597" s="14"/>
      <c r="G597" s="14"/>
      <c r="H597" s="14"/>
      <c r="I597" s="17"/>
      <c r="J597" s="16"/>
      <c r="K597" s="17"/>
      <c r="L597" s="20"/>
      <c r="N597" s="1"/>
      <c r="O597" s="42"/>
    </row>
    <row r="598">
      <c r="A598" s="16" t="str">
        <f t="shared" si="10"/>
        <v/>
      </c>
      <c r="B598" s="48"/>
      <c r="C598" s="14"/>
      <c r="D598" s="52"/>
      <c r="E598" s="16"/>
      <c r="F598" s="14"/>
      <c r="G598" s="14"/>
      <c r="H598" s="17"/>
      <c r="I598" s="17"/>
      <c r="J598" s="16"/>
      <c r="K598" s="17"/>
      <c r="L598" s="20"/>
      <c r="N598" s="1"/>
      <c r="O598" s="42"/>
    </row>
    <row r="599">
      <c r="A599" s="16" t="str">
        <f t="shared" si="10"/>
        <v/>
      </c>
      <c r="B599" s="48"/>
      <c r="C599" s="14"/>
      <c r="D599" s="52"/>
      <c r="E599" s="16"/>
      <c r="F599" s="14"/>
      <c r="G599" s="14"/>
      <c r="H599" s="14"/>
      <c r="I599" s="17"/>
      <c r="J599" s="16"/>
      <c r="K599" s="17"/>
      <c r="L599" s="14"/>
      <c r="N599" s="1"/>
      <c r="O599" s="42"/>
    </row>
    <row r="600">
      <c r="A600" s="16" t="str">
        <f t="shared" si="10"/>
        <v/>
      </c>
      <c r="B600" s="48"/>
      <c r="C600" s="14"/>
      <c r="D600" s="52"/>
      <c r="E600" s="16"/>
      <c r="F600" s="14"/>
      <c r="G600" s="14"/>
      <c r="H600" s="14"/>
      <c r="I600" s="17"/>
      <c r="J600" s="16"/>
      <c r="K600" s="17"/>
      <c r="L600" s="14"/>
      <c r="N600" s="1"/>
      <c r="O600" s="42"/>
    </row>
    <row r="601">
      <c r="A601" s="16" t="str">
        <f t="shared" si="10"/>
        <v/>
      </c>
      <c r="B601" s="48"/>
      <c r="C601" s="14"/>
      <c r="D601" s="52"/>
      <c r="E601" s="16"/>
      <c r="F601" s="14"/>
      <c r="G601" s="14"/>
      <c r="H601" s="14"/>
      <c r="I601" s="17"/>
      <c r="J601" s="16"/>
      <c r="K601" s="17"/>
      <c r="L601" s="17"/>
      <c r="N601" s="1"/>
      <c r="O601" s="42"/>
    </row>
    <row r="602">
      <c r="A602" s="16" t="str">
        <f t="shared" si="10"/>
        <v/>
      </c>
      <c r="B602" s="48"/>
      <c r="C602" s="14"/>
      <c r="D602" s="52"/>
      <c r="E602" s="16"/>
      <c r="F602" s="14"/>
      <c r="G602" s="14"/>
      <c r="H602" s="17"/>
      <c r="I602" s="17"/>
      <c r="J602" s="16"/>
      <c r="K602" s="17"/>
      <c r="L602" s="14"/>
      <c r="N602" s="1"/>
      <c r="O602" s="42"/>
    </row>
    <row r="603">
      <c r="A603" s="16" t="str">
        <f t="shared" si="10"/>
        <v/>
      </c>
      <c r="B603" s="48"/>
      <c r="C603" s="14"/>
      <c r="D603" s="52"/>
      <c r="E603" s="16"/>
      <c r="F603" s="14"/>
      <c r="G603" s="14"/>
      <c r="H603" s="17"/>
      <c r="I603" s="17"/>
      <c r="J603" s="16"/>
      <c r="K603" s="17"/>
      <c r="L603" s="14"/>
      <c r="N603" s="1"/>
      <c r="O603" s="42"/>
    </row>
    <row r="604">
      <c r="A604" s="16" t="str">
        <f t="shared" si="10"/>
        <v/>
      </c>
      <c r="B604" s="48"/>
      <c r="C604" s="14"/>
      <c r="D604" s="52"/>
      <c r="E604" s="16"/>
      <c r="F604" s="14"/>
      <c r="G604" s="14"/>
      <c r="H604" s="14"/>
      <c r="I604" s="17"/>
      <c r="J604" s="16"/>
      <c r="K604" s="17"/>
      <c r="L604" s="17"/>
      <c r="N604" s="1"/>
      <c r="O604" s="42"/>
    </row>
    <row r="605">
      <c r="A605" s="16" t="str">
        <f t="shared" si="10"/>
        <v/>
      </c>
      <c r="B605" s="48"/>
      <c r="C605" s="14"/>
      <c r="D605" s="52"/>
      <c r="E605" s="16"/>
      <c r="F605" s="14"/>
      <c r="G605" s="14"/>
      <c r="H605" s="55"/>
      <c r="I605" s="17"/>
      <c r="J605" s="16"/>
      <c r="K605" s="17"/>
      <c r="L605" s="20"/>
      <c r="N605" s="1"/>
      <c r="O605" s="42"/>
    </row>
    <row r="606">
      <c r="A606" s="16" t="str">
        <f t="shared" si="10"/>
        <v/>
      </c>
      <c r="B606" s="48"/>
      <c r="C606" s="14"/>
      <c r="D606" s="52"/>
      <c r="E606" s="16"/>
      <c r="F606" s="14"/>
      <c r="G606" s="14"/>
      <c r="H606" s="14"/>
      <c r="I606" s="17"/>
      <c r="J606" s="16"/>
      <c r="K606" s="17"/>
      <c r="L606" s="16"/>
      <c r="N606" s="1"/>
      <c r="O606" s="42"/>
    </row>
    <row r="607">
      <c r="A607" s="16" t="str">
        <f t="shared" si="10"/>
        <v/>
      </c>
      <c r="B607" s="48"/>
      <c r="C607" s="14"/>
      <c r="D607" s="52"/>
      <c r="E607" s="16"/>
      <c r="F607" s="14"/>
      <c r="G607" s="14"/>
      <c r="H607" s="14"/>
      <c r="I607" s="17"/>
      <c r="J607" s="16"/>
      <c r="K607" s="17"/>
      <c r="L607" s="20"/>
      <c r="N607" s="1"/>
      <c r="O607" s="42"/>
    </row>
    <row r="608">
      <c r="A608" s="16" t="str">
        <f t="shared" si="10"/>
        <v/>
      </c>
      <c r="B608" s="48"/>
      <c r="C608" s="14"/>
      <c r="D608" s="52"/>
      <c r="E608" s="16"/>
      <c r="F608" s="14"/>
      <c r="G608" s="14"/>
      <c r="H608" s="14"/>
      <c r="I608" s="17"/>
      <c r="J608" s="16"/>
      <c r="K608" s="17"/>
      <c r="L608" s="20"/>
      <c r="N608" s="1"/>
      <c r="O608" s="42"/>
    </row>
    <row r="609">
      <c r="A609" s="16" t="str">
        <f t="shared" si="10"/>
        <v/>
      </c>
      <c r="B609" s="48"/>
      <c r="C609" s="14"/>
      <c r="D609" s="52"/>
      <c r="E609" s="16"/>
      <c r="F609" s="14"/>
      <c r="G609" s="14"/>
      <c r="H609" s="14"/>
      <c r="I609" s="17"/>
      <c r="J609" s="16"/>
      <c r="K609" s="17"/>
      <c r="L609" s="17"/>
      <c r="N609" s="1"/>
      <c r="O609" s="42"/>
    </row>
    <row r="610">
      <c r="A610" s="16" t="str">
        <f t="shared" si="10"/>
        <v/>
      </c>
      <c r="B610" s="48"/>
      <c r="C610" s="14"/>
      <c r="D610" s="52"/>
      <c r="E610" s="16"/>
      <c r="F610" s="14"/>
      <c r="G610" s="14"/>
      <c r="H610" s="14"/>
      <c r="I610" s="17"/>
      <c r="J610" s="16"/>
      <c r="K610" s="17"/>
      <c r="L610" s="17"/>
      <c r="N610" s="1"/>
      <c r="O610" s="42"/>
    </row>
    <row r="611">
      <c r="A611" s="16" t="str">
        <f t="shared" si="10"/>
        <v/>
      </c>
      <c r="B611" s="48"/>
      <c r="C611" s="14"/>
      <c r="D611" s="52"/>
      <c r="E611" s="16"/>
      <c r="F611" s="14"/>
      <c r="G611" s="14"/>
      <c r="H611" s="14"/>
      <c r="I611" s="17"/>
      <c r="J611" s="16"/>
      <c r="K611" s="17"/>
      <c r="L611" s="17"/>
      <c r="N611" s="1"/>
      <c r="O611" s="42"/>
    </row>
    <row r="612">
      <c r="A612" s="16" t="str">
        <f t="shared" si="10"/>
        <v/>
      </c>
      <c r="B612" s="48"/>
      <c r="C612" s="14"/>
      <c r="D612" s="52"/>
      <c r="E612" s="16"/>
      <c r="F612" s="14"/>
      <c r="G612" s="14"/>
      <c r="H612" s="14"/>
      <c r="I612" s="17"/>
      <c r="J612" s="16"/>
      <c r="K612" s="17"/>
      <c r="L612" s="17"/>
      <c r="N612" s="1"/>
      <c r="O612" s="42"/>
    </row>
    <row r="613">
      <c r="A613" s="16" t="str">
        <f t="shared" si="10"/>
        <v/>
      </c>
      <c r="B613" s="48"/>
      <c r="C613" s="14"/>
      <c r="D613" s="52"/>
      <c r="E613" s="16"/>
      <c r="F613" s="14"/>
      <c r="G613" s="14"/>
      <c r="H613" s="14"/>
      <c r="I613" s="17"/>
      <c r="J613" s="16"/>
      <c r="K613" s="17"/>
      <c r="L613" s="17"/>
      <c r="N613" s="1"/>
      <c r="O613" s="42"/>
    </row>
    <row r="614">
      <c r="A614" s="16" t="str">
        <f t="shared" si="10"/>
        <v/>
      </c>
      <c r="B614" s="48"/>
      <c r="C614" s="14"/>
      <c r="D614" s="52"/>
      <c r="E614" s="16"/>
      <c r="F614" s="14"/>
      <c r="G614" s="14"/>
      <c r="H614" s="14"/>
      <c r="I614" s="17"/>
      <c r="J614" s="16"/>
      <c r="K614" s="17"/>
      <c r="L614" s="14"/>
      <c r="N614" s="1"/>
      <c r="O614" s="42"/>
    </row>
    <row r="615">
      <c r="A615" s="16" t="str">
        <f t="shared" si="10"/>
        <v/>
      </c>
      <c r="B615" s="48"/>
      <c r="C615" s="14"/>
      <c r="D615" s="52"/>
      <c r="E615" s="16"/>
      <c r="F615" s="14"/>
      <c r="G615" s="14"/>
      <c r="H615" s="14"/>
      <c r="I615" s="17"/>
      <c r="J615" s="16"/>
      <c r="K615" s="17"/>
      <c r="L615" s="17"/>
      <c r="N615" s="1"/>
      <c r="O615" s="42"/>
    </row>
    <row r="616">
      <c r="A616" s="16" t="str">
        <f t="shared" si="10"/>
        <v/>
      </c>
      <c r="B616" s="48"/>
      <c r="C616" s="14"/>
      <c r="D616" s="52"/>
      <c r="E616" s="16"/>
      <c r="F616" s="14"/>
      <c r="G616" s="14"/>
      <c r="H616" s="14"/>
      <c r="I616" s="17"/>
      <c r="J616" s="16"/>
      <c r="K616" s="17"/>
      <c r="L616" s="17"/>
      <c r="N616" s="1"/>
      <c r="O616" s="42"/>
    </row>
    <row r="617">
      <c r="A617" s="16" t="str">
        <f t="shared" si="10"/>
        <v/>
      </c>
      <c r="B617" s="48"/>
      <c r="C617" s="14"/>
      <c r="D617" s="52"/>
      <c r="E617" s="16"/>
      <c r="F617" s="14"/>
      <c r="G617" s="14"/>
      <c r="H617" s="14"/>
      <c r="I617" s="17"/>
      <c r="J617" s="16"/>
      <c r="K617" s="17"/>
      <c r="L617" s="14"/>
      <c r="N617" s="1"/>
      <c r="O617" s="42"/>
    </row>
    <row r="618">
      <c r="A618" s="16" t="str">
        <f t="shared" si="10"/>
        <v/>
      </c>
      <c r="B618" s="48"/>
      <c r="C618" s="14"/>
      <c r="D618" s="52"/>
      <c r="E618" s="16"/>
      <c r="F618" s="14"/>
      <c r="G618" s="14"/>
      <c r="H618" s="14"/>
      <c r="I618" s="17"/>
      <c r="J618" s="16"/>
      <c r="K618" s="17"/>
      <c r="L618" s="14"/>
      <c r="N618" s="1"/>
      <c r="O618" s="42"/>
    </row>
    <row r="619">
      <c r="A619" s="16" t="str">
        <f t="shared" si="10"/>
        <v/>
      </c>
      <c r="B619" s="48"/>
      <c r="C619" s="14"/>
      <c r="D619" s="52"/>
      <c r="E619" s="16"/>
      <c r="F619" s="14"/>
      <c r="G619" s="14"/>
      <c r="H619" s="14"/>
      <c r="I619" s="17"/>
      <c r="J619" s="16"/>
      <c r="K619" s="17"/>
      <c r="L619" s="14"/>
      <c r="N619" s="1"/>
      <c r="O619" s="42"/>
    </row>
    <row r="620">
      <c r="A620" s="16" t="str">
        <f t="shared" si="10"/>
        <v/>
      </c>
      <c r="B620" s="48"/>
      <c r="C620" s="14"/>
      <c r="D620" s="52"/>
      <c r="E620" s="16"/>
      <c r="F620" s="14"/>
      <c r="G620" s="14"/>
      <c r="H620" s="14"/>
      <c r="I620" s="17"/>
      <c r="J620" s="16"/>
      <c r="K620" s="17"/>
      <c r="L620" s="17"/>
      <c r="N620" s="1"/>
      <c r="O620" s="42"/>
    </row>
    <row r="621">
      <c r="A621" s="16" t="str">
        <f t="shared" si="10"/>
        <v/>
      </c>
      <c r="B621" s="48"/>
      <c r="C621" s="14"/>
      <c r="D621" s="52"/>
      <c r="E621" s="16"/>
      <c r="F621" s="14"/>
      <c r="G621" s="14"/>
      <c r="H621" s="14"/>
      <c r="I621" s="17"/>
      <c r="J621" s="16"/>
      <c r="K621" s="17"/>
      <c r="L621" s="17"/>
      <c r="N621" s="28"/>
    </row>
    <row r="622">
      <c r="A622" s="16" t="str">
        <f t="shared" si="10"/>
        <v/>
      </c>
      <c r="B622" s="48"/>
      <c r="C622" s="14"/>
      <c r="D622" s="52"/>
      <c r="E622" s="16"/>
      <c r="F622" s="14"/>
      <c r="G622" s="14"/>
      <c r="H622" s="14"/>
      <c r="I622" s="17"/>
      <c r="J622" s="16"/>
      <c r="K622" s="17"/>
      <c r="L622" s="20"/>
      <c r="N622" s="28"/>
    </row>
    <row r="623">
      <c r="A623" s="16" t="str">
        <f t="shared" si="10"/>
        <v/>
      </c>
      <c r="B623" s="48"/>
      <c r="C623" s="14"/>
      <c r="D623" s="52"/>
      <c r="E623" s="16"/>
      <c r="F623" s="14"/>
      <c r="G623" s="14"/>
      <c r="H623" s="17"/>
      <c r="I623" s="17"/>
      <c r="J623" s="16"/>
      <c r="K623" s="17"/>
      <c r="L623" s="17"/>
      <c r="N623" s="28"/>
    </row>
    <row r="624">
      <c r="A624" s="16" t="str">
        <f t="shared" si="10"/>
        <v/>
      </c>
      <c r="B624" s="48"/>
      <c r="C624" s="14"/>
      <c r="D624" s="52"/>
      <c r="E624" s="16"/>
      <c r="F624" s="14"/>
      <c r="G624" s="14"/>
      <c r="H624" s="14"/>
      <c r="I624" s="17"/>
      <c r="J624" s="16"/>
      <c r="K624" s="17"/>
      <c r="L624" s="17"/>
      <c r="N624" s="28"/>
    </row>
    <row r="625">
      <c r="A625" s="16" t="str">
        <f t="shared" si="10"/>
        <v/>
      </c>
      <c r="B625" s="48"/>
      <c r="C625" s="14"/>
      <c r="D625" s="52"/>
      <c r="E625" s="16"/>
      <c r="F625" s="14"/>
      <c r="G625" s="14"/>
      <c r="H625" s="14"/>
      <c r="I625" s="17"/>
      <c r="J625" s="16"/>
      <c r="K625" s="17"/>
      <c r="L625" s="20"/>
      <c r="N625" s="28"/>
    </row>
    <row r="626">
      <c r="A626" s="16" t="str">
        <f t="shared" si="10"/>
        <v/>
      </c>
      <c r="B626" s="48"/>
      <c r="C626" s="14"/>
      <c r="D626" s="52"/>
      <c r="E626" s="16"/>
      <c r="F626" s="14"/>
      <c r="G626" s="14"/>
      <c r="H626" s="14"/>
      <c r="I626" s="17"/>
      <c r="J626" s="16"/>
      <c r="K626" s="17"/>
      <c r="L626" s="16"/>
      <c r="N626" s="28"/>
    </row>
    <row r="627">
      <c r="A627" s="16" t="str">
        <f t="shared" si="10"/>
        <v/>
      </c>
      <c r="B627" s="48"/>
      <c r="C627" s="14"/>
      <c r="D627" s="52"/>
      <c r="E627" s="16"/>
      <c r="F627" s="14"/>
      <c r="G627" s="14"/>
      <c r="H627" s="14"/>
      <c r="I627" s="17"/>
      <c r="J627" s="16"/>
      <c r="K627" s="17"/>
      <c r="L627" s="16"/>
      <c r="N627" s="28"/>
    </row>
    <row r="628">
      <c r="A628" s="16" t="str">
        <f t="shared" si="10"/>
        <v/>
      </c>
      <c r="B628" s="48"/>
      <c r="C628" s="14"/>
      <c r="D628" s="52"/>
      <c r="E628" s="16"/>
      <c r="F628" s="14"/>
      <c r="G628" s="14"/>
      <c r="H628" s="14"/>
      <c r="I628" s="17"/>
      <c r="J628" s="16"/>
      <c r="K628" s="17"/>
      <c r="L628" s="14"/>
      <c r="N628" s="28"/>
    </row>
    <row r="629">
      <c r="A629" s="16" t="str">
        <f t="shared" si="10"/>
        <v/>
      </c>
      <c r="B629" s="48"/>
      <c r="C629" s="14"/>
      <c r="D629" s="52"/>
      <c r="E629" s="16"/>
      <c r="F629" s="14"/>
      <c r="G629" s="14"/>
      <c r="H629" s="14"/>
      <c r="I629" s="17"/>
      <c r="J629" s="16"/>
      <c r="K629" s="17"/>
      <c r="L629" s="14"/>
      <c r="N629" s="28"/>
    </row>
    <row r="630">
      <c r="A630" s="16" t="str">
        <f t="shared" si="10"/>
        <v/>
      </c>
      <c r="B630" s="48"/>
      <c r="C630" s="14"/>
      <c r="D630" s="52"/>
      <c r="E630" s="16"/>
      <c r="F630" s="14"/>
      <c r="G630" s="14"/>
      <c r="H630" s="14"/>
      <c r="I630" s="17"/>
      <c r="J630" s="16"/>
      <c r="K630" s="17"/>
      <c r="L630" s="17"/>
      <c r="N630" s="28"/>
    </row>
    <row r="631">
      <c r="A631" s="16" t="str">
        <f t="shared" si="10"/>
        <v/>
      </c>
      <c r="B631" s="48"/>
      <c r="C631" s="14"/>
      <c r="D631" s="52"/>
      <c r="E631" s="16"/>
      <c r="F631" s="14"/>
      <c r="G631" s="14"/>
      <c r="H631" s="14"/>
      <c r="I631" s="17"/>
      <c r="J631" s="16"/>
      <c r="K631" s="17"/>
      <c r="L631" s="17"/>
      <c r="N631" s="28"/>
    </row>
    <row r="632">
      <c r="A632" s="16" t="str">
        <f t="shared" si="10"/>
        <v/>
      </c>
      <c r="B632" s="48"/>
      <c r="C632" s="14"/>
      <c r="D632" s="52"/>
      <c r="E632" s="16"/>
      <c r="F632" s="14"/>
      <c r="G632" s="14"/>
      <c r="H632" s="14"/>
      <c r="I632" s="17"/>
      <c r="J632" s="16"/>
      <c r="K632" s="17"/>
      <c r="L632" s="20"/>
      <c r="N632" s="28"/>
    </row>
    <row r="633">
      <c r="A633" s="16" t="str">
        <f t="shared" si="10"/>
        <v/>
      </c>
      <c r="B633" s="48"/>
      <c r="C633" s="14"/>
      <c r="D633" s="52"/>
      <c r="E633" s="16"/>
      <c r="F633" s="14"/>
      <c r="G633" s="14"/>
      <c r="H633" s="14"/>
      <c r="I633" s="17"/>
      <c r="J633" s="16"/>
      <c r="K633" s="17"/>
      <c r="L633" s="17"/>
      <c r="N633" s="28"/>
    </row>
    <row r="634">
      <c r="A634" s="16" t="str">
        <f t="shared" si="10"/>
        <v/>
      </c>
      <c r="B634" s="48"/>
      <c r="C634" s="14"/>
      <c r="D634" s="52"/>
      <c r="E634" s="16"/>
      <c r="F634" s="14"/>
      <c r="G634" s="14"/>
      <c r="H634" s="14"/>
      <c r="I634" s="17"/>
      <c r="J634" s="16"/>
      <c r="K634" s="17"/>
      <c r="L634" s="20"/>
      <c r="N634" s="28"/>
    </row>
    <row r="635">
      <c r="A635" s="16" t="str">
        <f t="shared" si="10"/>
        <v/>
      </c>
      <c r="B635" s="48"/>
      <c r="C635" s="14"/>
      <c r="D635" s="52"/>
      <c r="E635" s="16"/>
      <c r="F635" s="14"/>
      <c r="G635" s="14"/>
      <c r="H635" s="14"/>
      <c r="I635" s="17"/>
      <c r="J635" s="16"/>
      <c r="K635" s="17"/>
      <c r="L635" s="20"/>
      <c r="N635" s="28"/>
    </row>
    <row r="636">
      <c r="A636" s="16" t="str">
        <f t="shared" si="10"/>
        <v/>
      </c>
      <c r="B636" s="48"/>
      <c r="C636" s="14"/>
      <c r="D636" s="52"/>
      <c r="E636" s="16"/>
      <c r="F636" s="14"/>
      <c r="G636" s="14"/>
      <c r="H636" s="14"/>
      <c r="I636" s="17"/>
      <c r="J636" s="16"/>
      <c r="K636" s="17"/>
      <c r="L636" s="17"/>
      <c r="N636" s="28"/>
    </row>
    <row r="637">
      <c r="A637" s="16" t="str">
        <f t="shared" si="10"/>
        <v/>
      </c>
      <c r="B637" s="48"/>
      <c r="C637" s="14"/>
      <c r="D637" s="52"/>
      <c r="E637" s="16"/>
      <c r="F637" s="14"/>
      <c r="G637" s="14"/>
      <c r="H637" s="14"/>
      <c r="I637" s="17"/>
      <c r="J637" s="16"/>
      <c r="K637" s="17"/>
      <c r="L637" s="17"/>
      <c r="N637" s="28"/>
    </row>
    <row r="638">
      <c r="A638" s="16" t="str">
        <f t="shared" si="10"/>
        <v/>
      </c>
      <c r="B638" s="48"/>
      <c r="C638" s="14"/>
      <c r="D638" s="52"/>
      <c r="E638" s="16"/>
      <c r="F638" s="14"/>
      <c r="G638" s="14"/>
      <c r="H638" s="14"/>
      <c r="I638" s="17"/>
      <c r="J638" s="16"/>
      <c r="K638" s="17"/>
      <c r="L638" s="17"/>
      <c r="N638" s="28"/>
    </row>
    <row r="639">
      <c r="A639" s="16" t="str">
        <f t="shared" si="10"/>
        <v/>
      </c>
      <c r="B639" s="48"/>
      <c r="C639" s="14"/>
      <c r="D639" s="52"/>
      <c r="E639" s="16"/>
      <c r="F639" s="14"/>
      <c r="G639" s="14"/>
      <c r="H639" s="14"/>
      <c r="I639" s="17"/>
      <c r="J639" s="16"/>
      <c r="K639" s="17"/>
      <c r="L639" s="17"/>
      <c r="N639" s="28"/>
    </row>
    <row r="640">
      <c r="A640" s="16" t="str">
        <f t="shared" si="10"/>
        <v/>
      </c>
      <c r="B640" s="48"/>
      <c r="C640" s="14"/>
      <c r="D640" s="52"/>
      <c r="E640" s="16"/>
      <c r="F640" s="14"/>
      <c r="G640" s="14"/>
      <c r="H640" s="14"/>
      <c r="I640" s="17"/>
      <c r="J640" s="16"/>
      <c r="K640" s="17"/>
      <c r="L640" s="17"/>
      <c r="N640" s="28"/>
    </row>
    <row r="641">
      <c r="A641" s="16" t="str">
        <f t="shared" si="10"/>
        <v/>
      </c>
      <c r="B641" s="48"/>
      <c r="C641" s="14"/>
      <c r="D641" s="52"/>
      <c r="E641" s="16"/>
      <c r="F641" s="14"/>
      <c r="G641" s="14"/>
      <c r="H641" s="14"/>
      <c r="I641" s="17"/>
      <c r="J641" s="16"/>
      <c r="K641" s="17"/>
      <c r="L641" s="20"/>
      <c r="N641" s="28"/>
    </row>
    <row r="642">
      <c r="A642" s="16" t="str">
        <f t="shared" si="10"/>
        <v/>
      </c>
      <c r="B642" s="48"/>
      <c r="C642" s="14"/>
      <c r="D642" s="52"/>
      <c r="E642" s="16"/>
      <c r="F642" s="14"/>
      <c r="G642" s="14"/>
      <c r="H642" s="14"/>
      <c r="I642" s="17"/>
      <c r="J642" s="16"/>
      <c r="K642" s="17"/>
      <c r="L642" s="20"/>
      <c r="N642" s="28"/>
    </row>
    <row r="643">
      <c r="A643" s="16" t="str">
        <f t="shared" si="10"/>
        <v/>
      </c>
      <c r="B643" s="48"/>
      <c r="C643" s="14"/>
      <c r="D643" s="52"/>
      <c r="E643" s="16"/>
      <c r="F643" s="14"/>
      <c r="G643" s="14"/>
      <c r="H643" s="14"/>
      <c r="I643" s="17"/>
      <c r="J643" s="16"/>
      <c r="K643" s="17"/>
      <c r="L643" s="20"/>
      <c r="N643" s="28"/>
    </row>
    <row r="644">
      <c r="A644" s="16" t="str">
        <f t="shared" si="10"/>
        <v/>
      </c>
      <c r="B644" s="48"/>
      <c r="C644" s="14"/>
      <c r="D644" s="52"/>
      <c r="E644" s="16"/>
      <c r="F644" s="14"/>
      <c r="G644" s="14"/>
      <c r="H644" s="14"/>
      <c r="I644" s="17"/>
      <c r="J644" s="16"/>
      <c r="K644" s="17"/>
      <c r="L644" s="14"/>
      <c r="N644" s="28"/>
    </row>
    <row r="645">
      <c r="A645" s="16" t="str">
        <f t="shared" si="10"/>
        <v/>
      </c>
      <c r="B645" s="48"/>
      <c r="C645" s="14"/>
      <c r="D645" s="52"/>
      <c r="E645" s="16"/>
      <c r="F645" s="14"/>
      <c r="G645" s="14"/>
      <c r="H645" s="14"/>
      <c r="I645" s="17"/>
      <c r="J645" s="16"/>
      <c r="K645" s="17"/>
      <c r="L645" s="17"/>
      <c r="N645" s="28"/>
    </row>
    <row r="646">
      <c r="A646" s="16" t="str">
        <f t="shared" si="10"/>
        <v/>
      </c>
      <c r="B646" s="48"/>
      <c r="C646" s="14"/>
      <c r="D646" s="52"/>
      <c r="E646" s="16"/>
      <c r="F646" s="14"/>
      <c r="G646" s="14"/>
      <c r="H646" s="14"/>
      <c r="I646" s="17"/>
      <c r="J646" s="16"/>
      <c r="K646" s="17"/>
      <c r="L646" s="17"/>
      <c r="N646" s="28"/>
    </row>
    <row r="647">
      <c r="A647" s="16" t="str">
        <f t="shared" si="10"/>
        <v/>
      </c>
      <c r="B647" s="48"/>
      <c r="C647" s="14"/>
      <c r="D647" s="52"/>
      <c r="E647" s="16"/>
      <c r="F647" s="14"/>
      <c r="G647" s="14"/>
      <c r="H647" s="14"/>
      <c r="I647" s="17"/>
      <c r="J647" s="16"/>
      <c r="K647" s="17"/>
      <c r="L647" s="14"/>
      <c r="N647" s="28"/>
    </row>
    <row r="648">
      <c r="A648" s="16" t="str">
        <f t="shared" si="10"/>
        <v/>
      </c>
      <c r="B648" s="48"/>
      <c r="C648" s="14"/>
      <c r="D648" s="52"/>
      <c r="E648" s="16"/>
      <c r="F648" s="14"/>
      <c r="G648" s="14"/>
      <c r="H648" s="17"/>
      <c r="I648" s="17"/>
      <c r="J648" s="16"/>
      <c r="K648" s="17"/>
      <c r="L648" s="14"/>
      <c r="N648" s="28"/>
    </row>
    <row r="649">
      <c r="A649" s="16" t="str">
        <f t="shared" si="10"/>
        <v/>
      </c>
      <c r="B649" s="48"/>
      <c r="C649" s="14"/>
      <c r="D649" s="52"/>
      <c r="E649" s="16"/>
      <c r="F649" s="14"/>
      <c r="G649" s="14"/>
      <c r="H649" s="14"/>
      <c r="I649" s="14"/>
      <c r="J649" s="16"/>
      <c r="K649" s="17"/>
      <c r="L649" s="14"/>
      <c r="N649" s="28"/>
    </row>
    <row r="650">
      <c r="A650" s="16" t="str">
        <f t="shared" si="10"/>
        <v/>
      </c>
      <c r="B650" s="48"/>
      <c r="C650" s="14"/>
      <c r="D650" s="52"/>
      <c r="E650" s="16"/>
      <c r="F650" s="14"/>
      <c r="G650" s="14"/>
      <c r="H650" s="14"/>
      <c r="I650" s="17"/>
      <c r="J650" s="16"/>
      <c r="K650" s="17"/>
      <c r="L650" s="20"/>
      <c r="N650" s="28"/>
    </row>
    <row r="651">
      <c r="A651" s="16" t="str">
        <f t="shared" si="10"/>
        <v/>
      </c>
      <c r="B651" s="48"/>
      <c r="C651" s="14"/>
      <c r="D651" s="52"/>
      <c r="E651" s="16"/>
      <c r="F651" s="14"/>
      <c r="G651" s="14"/>
      <c r="H651" s="14"/>
      <c r="I651" s="17"/>
      <c r="J651" s="16"/>
      <c r="K651" s="17"/>
      <c r="L651" s="17"/>
      <c r="N651" s="28"/>
    </row>
    <row r="652">
      <c r="A652" s="16" t="str">
        <f t="shared" si="10"/>
        <v/>
      </c>
      <c r="B652" s="48"/>
      <c r="C652" s="14"/>
      <c r="D652" s="52"/>
      <c r="E652" s="16"/>
      <c r="F652" s="14"/>
      <c r="G652" s="14"/>
      <c r="H652" s="14"/>
      <c r="I652" s="17"/>
      <c r="J652" s="16"/>
      <c r="K652" s="17"/>
      <c r="L652" s="17"/>
      <c r="N652" s="28"/>
    </row>
    <row r="653">
      <c r="A653" s="16" t="str">
        <f t="shared" si="10"/>
        <v/>
      </c>
      <c r="B653" s="48"/>
      <c r="C653" s="14"/>
      <c r="D653" s="52"/>
      <c r="E653" s="16"/>
      <c r="F653" s="14"/>
      <c r="G653" s="14"/>
      <c r="H653" s="17"/>
      <c r="I653" s="17"/>
      <c r="J653" s="16"/>
      <c r="K653" s="17"/>
      <c r="L653" s="20"/>
      <c r="N653" s="28"/>
    </row>
    <row r="654">
      <c r="A654" s="16" t="str">
        <f t="shared" si="10"/>
        <v/>
      </c>
      <c r="B654" s="48"/>
      <c r="C654" s="14"/>
      <c r="D654" s="52"/>
      <c r="E654" s="16"/>
      <c r="F654" s="14"/>
      <c r="G654" s="14"/>
      <c r="H654" s="14"/>
      <c r="I654" s="17"/>
      <c r="J654" s="16"/>
      <c r="K654" s="17"/>
      <c r="L654" s="16"/>
      <c r="N654" s="28"/>
    </row>
    <row r="655">
      <c r="A655" s="16" t="str">
        <f t="shared" si="10"/>
        <v/>
      </c>
      <c r="B655" s="48"/>
      <c r="C655" s="14"/>
      <c r="D655" s="52"/>
      <c r="E655" s="16"/>
      <c r="F655" s="14"/>
      <c r="G655" s="14"/>
      <c r="H655" s="14"/>
      <c r="I655" s="17"/>
      <c r="J655" s="16"/>
      <c r="K655" s="17"/>
      <c r="L655" s="17"/>
      <c r="N655" s="28"/>
    </row>
    <row r="656">
      <c r="A656" s="16" t="str">
        <f t="shared" si="10"/>
        <v/>
      </c>
      <c r="B656" s="48"/>
      <c r="C656" s="14"/>
      <c r="D656" s="52"/>
      <c r="E656" s="16"/>
      <c r="F656" s="14"/>
      <c r="G656" s="14"/>
      <c r="H656" s="14"/>
      <c r="I656" s="17"/>
      <c r="J656" s="16"/>
      <c r="K656" s="17"/>
      <c r="L656" s="14"/>
      <c r="N656" s="28"/>
    </row>
    <row r="657">
      <c r="A657" s="16" t="str">
        <f t="shared" si="10"/>
        <v/>
      </c>
      <c r="B657" s="48"/>
      <c r="C657" s="14"/>
      <c r="D657" s="52"/>
      <c r="E657" s="16"/>
      <c r="F657" s="14"/>
      <c r="G657" s="14"/>
      <c r="H657" s="17"/>
      <c r="I657" s="17"/>
      <c r="J657" s="16"/>
      <c r="K657" s="17"/>
      <c r="L657" s="14"/>
      <c r="N657" s="28"/>
    </row>
    <row r="658">
      <c r="A658" s="16" t="str">
        <f t="shared" si="10"/>
        <v/>
      </c>
      <c r="B658" s="48"/>
      <c r="C658" s="14"/>
      <c r="D658" s="52"/>
      <c r="E658" s="16"/>
      <c r="F658" s="14"/>
      <c r="G658" s="14"/>
      <c r="H658" s="14"/>
      <c r="I658" s="17"/>
      <c r="J658" s="16"/>
      <c r="K658" s="17"/>
      <c r="L658" s="20"/>
      <c r="N658" s="28"/>
    </row>
    <row r="659">
      <c r="A659" s="16" t="str">
        <f t="shared" si="10"/>
        <v/>
      </c>
      <c r="B659" s="48"/>
      <c r="C659" s="14"/>
      <c r="D659" s="52"/>
      <c r="E659" s="16"/>
      <c r="F659" s="14"/>
      <c r="G659" s="14"/>
      <c r="H659" s="14"/>
      <c r="I659" s="17"/>
      <c r="J659" s="16"/>
      <c r="K659" s="14"/>
      <c r="L659" s="20"/>
      <c r="N659" s="28"/>
    </row>
    <row r="660">
      <c r="A660" s="16" t="str">
        <f t="shared" si="10"/>
        <v/>
      </c>
      <c r="B660" s="48"/>
      <c r="C660" s="14"/>
      <c r="D660" s="52"/>
      <c r="E660" s="16"/>
      <c r="F660" s="14"/>
      <c r="G660" s="14"/>
      <c r="H660" s="14"/>
      <c r="I660" s="17"/>
      <c r="J660" s="16"/>
      <c r="K660" s="17"/>
      <c r="L660" s="17"/>
      <c r="N660" s="28"/>
    </row>
    <row r="661">
      <c r="A661" s="16" t="str">
        <f t="shared" si="10"/>
        <v/>
      </c>
      <c r="B661" s="48"/>
      <c r="C661" s="14"/>
      <c r="D661" s="52"/>
      <c r="E661" s="16"/>
      <c r="F661" s="14"/>
      <c r="G661" s="14"/>
      <c r="H661" s="14"/>
      <c r="I661" s="17"/>
      <c r="J661" s="16"/>
      <c r="K661" s="17"/>
      <c r="L661" s="17"/>
      <c r="N661" s="28"/>
    </row>
    <row r="662">
      <c r="A662" s="16" t="str">
        <f t="shared" si="10"/>
        <v/>
      </c>
      <c r="B662" s="48"/>
      <c r="C662" s="14"/>
      <c r="D662" s="52"/>
      <c r="E662" s="16"/>
      <c r="F662" s="14"/>
      <c r="G662" s="14"/>
      <c r="H662" s="14"/>
      <c r="I662" s="17"/>
      <c r="J662" s="16"/>
      <c r="K662" s="17"/>
      <c r="L662" s="17"/>
      <c r="N662" s="28"/>
    </row>
    <row r="663">
      <c r="A663" s="16" t="str">
        <f t="shared" si="10"/>
        <v/>
      </c>
      <c r="B663" s="48"/>
      <c r="C663" s="14"/>
      <c r="D663" s="52"/>
      <c r="E663" s="16"/>
      <c r="F663" s="14"/>
      <c r="G663" s="14"/>
      <c r="H663" s="17"/>
      <c r="I663" s="17"/>
      <c r="J663" s="16"/>
      <c r="K663" s="17"/>
      <c r="L663" s="17"/>
      <c r="N663" s="28"/>
    </row>
    <row r="664">
      <c r="A664" s="16" t="str">
        <f t="shared" si="10"/>
        <v/>
      </c>
      <c r="B664" s="48"/>
      <c r="C664" s="14"/>
      <c r="D664" s="52"/>
      <c r="E664" s="16"/>
      <c r="F664" s="14"/>
      <c r="G664" s="14"/>
      <c r="H664" s="17"/>
      <c r="I664" s="17"/>
      <c r="J664" s="16"/>
      <c r="K664" s="17"/>
      <c r="L664" s="16"/>
      <c r="N664" s="28"/>
    </row>
    <row r="665">
      <c r="A665" s="16" t="str">
        <f t="shared" si="10"/>
        <v/>
      </c>
      <c r="B665" s="48"/>
      <c r="C665" s="14"/>
      <c r="D665" s="52"/>
      <c r="E665" s="16"/>
      <c r="F665" s="14"/>
      <c r="G665" s="14"/>
      <c r="H665" s="17"/>
      <c r="I665" s="17"/>
      <c r="J665" s="16"/>
      <c r="K665" s="17"/>
      <c r="L665" s="14"/>
      <c r="N665" s="28"/>
    </row>
    <row r="666">
      <c r="A666" s="16" t="str">
        <f t="shared" si="10"/>
        <v/>
      </c>
      <c r="B666" s="48"/>
      <c r="C666" s="14"/>
      <c r="D666" s="52"/>
      <c r="E666" s="16"/>
      <c r="F666" s="14"/>
      <c r="G666" s="14"/>
      <c r="H666" s="14"/>
      <c r="I666" s="17"/>
      <c r="J666" s="16"/>
      <c r="K666" s="17"/>
      <c r="L666" s="14"/>
      <c r="N666" s="28"/>
    </row>
    <row r="667">
      <c r="A667" s="16" t="str">
        <f t="shared" si="10"/>
        <v/>
      </c>
      <c r="B667" s="48"/>
      <c r="C667" s="14"/>
      <c r="D667" s="52"/>
      <c r="E667" s="16"/>
      <c r="F667" s="14"/>
      <c r="G667" s="14"/>
      <c r="H667" s="17"/>
      <c r="I667" s="17"/>
      <c r="J667" s="16"/>
      <c r="K667" s="17"/>
      <c r="L667" s="17"/>
      <c r="N667" s="28"/>
    </row>
    <row r="668">
      <c r="A668" s="16" t="str">
        <f t="shared" si="10"/>
        <v/>
      </c>
      <c r="B668" s="48"/>
      <c r="C668" s="14"/>
      <c r="D668" s="52"/>
      <c r="E668" s="16"/>
      <c r="F668" s="14"/>
      <c r="G668" s="14"/>
      <c r="H668" s="14"/>
      <c r="I668" s="17"/>
      <c r="J668" s="16"/>
      <c r="K668" s="17"/>
      <c r="L668" s="20"/>
      <c r="N668" s="28"/>
    </row>
    <row r="669">
      <c r="A669" s="16" t="str">
        <f t="shared" si="10"/>
        <v/>
      </c>
      <c r="B669" s="48"/>
      <c r="C669" s="14"/>
      <c r="D669" s="52"/>
      <c r="E669" s="16"/>
      <c r="F669" s="14"/>
      <c r="G669" s="14"/>
      <c r="H669" s="14"/>
      <c r="I669" s="17"/>
      <c r="J669" s="16"/>
      <c r="K669" s="17"/>
      <c r="L669" s="20"/>
      <c r="N669" s="28"/>
    </row>
    <row r="670">
      <c r="A670" s="16" t="str">
        <f t="shared" si="10"/>
        <v/>
      </c>
      <c r="B670" s="48"/>
      <c r="C670" s="14"/>
      <c r="D670" s="52"/>
      <c r="E670" s="16"/>
      <c r="F670" s="14"/>
      <c r="G670" s="14"/>
      <c r="H670" s="14"/>
      <c r="I670" s="17"/>
      <c r="J670" s="16"/>
      <c r="K670" s="17"/>
      <c r="L670" s="20"/>
      <c r="N670" s="28"/>
    </row>
    <row r="671">
      <c r="A671" s="16" t="str">
        <f t="shared" si="10"/>
        <v/>
      </c>
      <c r="B671" s="48"/>
      <c r="C671" s="14"/>
      <c r="D671" s="52"/>
      <c r="E671" s="16"/>
      <c r="F671" s="14"/>
      <c r="G671" s="14"/>
      <c r="H671" s="14"/>
      <c r="I671" s="17"/>
      <c r="J671" s="16"/>
      <c r="K671" s="17"/>
      <c r="L671" s="17"/>
      <c r="N671" s="28"/>
    </row>
    <row r="672">
      <c r="A672" s="16" t="str">
        <f t="shared" si="10"/>
        <v/>
      </c>
      <c r="B672" s="48"/>
      <c r="C672" s="14"/>
      <c r="D672" s="52"/>
      <c r="E672" s="16"/>
      <c r="F672" s="14"/>
      <c r="G672" s="14"/>
      <c r="H672" s="14"/>
      <c r="I672" s="17"/>
      <c r="J672" s="16"/>
      <c r="K672" s="17"/>
      <c r="L672" s="17"/>
      <c r="N672" s="28"/>
    </row>
    <row r="673">
      <c r="A673" s="16" t="str">
        <f t="shared" si="10"/>
        <v/>
      </c>
      <c r="B673" s="48"/>
      <c r="C673" s="14"/>
      <c r="D673" s="52"/>
      <c r="E673" s="16"/>
      <c r="F673" s="14"/>
      <c r="G673" s="14"/>
      <c r="H673" s="14"/>
      <c r="I673" s="17"/>
      <c r="J673" s="16"/>
      <c r="K673" s="17"/>
      <c r="L673" s="14"/>
      <c r="N673" s="28"/>
    </row>
    <row r="674">
      <c r="A674" s="16" t="str">
        <f t="shared" si="10"/>
        <v/>
      </c>
      <c r="B674" s="48"/>
      <c r="C674" s="14"/>
      <c r="D674" s="52"/>
      <c r="E674" s="16"/>
      <c r="F674" s="14"/>
      <c r="G674" s="14"/>
      <c r="H674" s="14"/>
      <c r="I674" s="17"/>
      <c r="J674" s="16"/>
      <c r="K674" s="17"/>
      <c r="L674" s="17"/>
      <c r="N674" s="28"/>
    </row>
    <row r="675">
      <c r="A675" s="16" t="str">
        <f t="shared" si="10"/>
        <v/>
      </c>
      <c r="B675" s="48"/>
      <c r="C675" s="14"/>
      <c r="D675" s="52"/>
      <c r="E675" s="16"/>
      <c r="F675" s="14"/>
      <c r="G675" s="14"/>
      <c r="H675" s="14"/>
      <c r="I675" s="17"/>
      <c r="J675" s="16"/>
      <c r="K675" s="17"/>
      <c r="L675" s="17"/>
      <c r="N675" s="28"/>
    </row>
    <row r="676">
      <c r="A676" s="16" t="str">
        <f t="shared" si="10"/>
        <v/>
      </c>
      <c r="B676" s="48"/>
      <c r="C676" s="14"/>
      <c r="D676" s="52"/>
      <c r="E676" s="16"/>
      <c r="F676" s="14"/>
      <c r="G676" s="14"/>
      <c r="H676" s="14"/>
      <c r="I676" s="17"/>
      <c r="J676" s="16"/>
      <c r="K676" s="17"/>
      <c r="L676" s="16"/>
      <c r="N676" s="28"/>
    </row>
    <row r="677">
      <c r="A677" s="16" t="str">
        <f t="shared" si="10"/>
        <v/>
      </c>
      <c r="B677" s="48"/>
      <c r="C677" s="14"/>
      <c r="D677" s="52"/>
      <c r="E677" s="16"/>
      <c r="F677" s="14"/>
      <c r="G677" s="14"/>
      <c r="H677" s="17"/>
      <c r="I677" s="17"/>
      <c r="J677" s="16"/>
      <c r="K677" s="17"/>
      <c r="L677" s="16"/>
      <c r="N677" s="28"/>
    </row>
    <row r="678">
      <c r="A678" s="16" t="str">
        <f t="shared" si="10"/>
        <v/>
      </c>
      <c r="B678" s="48"/>
      <c r="C678" s="14"/>
      <c r="D678" s="52"/>
      <c r="E678" s="16"/>
      <c r="F678" s="14"/>
      <c r="G678" s="14"/>
      <c r="H678" s="14"/>
      <c r="I678" s="17"/>
      <c r="J678" s="16"/>
      <c r="K678" s="17"/>
      <c r="L678" s="20"/>
      <c r="N678" s="28"/>
    </row>
    <row r="679">
      <c r="A679" s="16" t="str">
        <f t="shared" si="10"/>
        <v/>
      </c>
      <c r="B679" s="48"/>
      <c r="C679" s="14"/>
      <c r="D679" s="52"/>
      <c r="E679" s="16"/>
      <c r="F679" s="14"/>
      <c r="G679" s="14"/>
      <c r="H679" s="14"/>
      <c r="I679" s="17"/>
      <c r="J679" s="16"/>
      <c r="K679" s="17"/>
      <c r="L679" s="17"/>
      <c r="N679" s="28"/>
    </row>
    <row r="680">
      <c r="A680" s="16" t="str">
        <f t="shared" si="10"/>
        <v/>
      </c>
      <c r="B680" s="48"/>
      <c r="C680" s="14"/>
      <c r="D680" s="52"/>
      <c r="E680" s="16"/>
      <c r="F680" s="14"/>
      <c r="G680" s="14"/>
      <c r="H680" s="17"/>
      <c r="I680" s="17"/>
      <c r="J680" s="16"/>
      <c r="K680" s="17"/>
      <c r="L680" s="17"/>
      <c r="N680" s="28"/>
    </row>
    <row r="681">
      <c r="A681" s="16" t="str">
        <f t="shared" si="10"/>
        <v/>
      </c>
      <c r="B681" s="48"/>
      <c r="C681" s="14"/>
      <c r="D681" s="52"/>
      <c r="E681" s="16"/>
      <c r="F681" s="14"/>
      <c r="G681" s="14"/>
      <c r="H681" s="14"/>
      <c r="I681" s="17"/>
      <c r="J681" s="16"/>
      <c r="K681" s="17"/>
      <c r="L681" s="14"/>
      <c r="N681" s="28"/>
    </row>
    <row r="682">
      <c r="A682" s="16" t="str">
        <f t="shared" si="10"/>
        <v/>
      </c>
      <c r="B682" s="48"/>
      <c r="C682" s="14"/>
      <c r="D682" s="52"/>
      <c r="E682" s="16"/>
      <c r="F682" s="14"/>
      <c r="G682" s="14"/>
      <c r="H682" s="14"/>
      <c r="I682" s="17"/>
      <c r="J682" s="16"/>
      <c r="K682" s="17"/>
      <c r="L682" s="16"/>
      <c r="N682" s="28"/>
    </row>
    <row r="683">
      <c r="A683" s="16" t="str">
        <f t="shared" si="10"/>
        <v/>
      </c>
      <c r="B683" s="48"/>
      <c r="C683" s="14"/>
      <c r="D683" s="52"/>
      <c r="E683" s="16"/>
      <c r="F683" s="14"/>
      <c r="G683" s="14"/>
      <c r="H683" s="14"/>
      <c r="I683" s="17"/>
      <c r="J683" s="16"/>
      <c r="K683" s="17"/>
      <c r="L683" s="20"/>
      <c r="N683" s="28"/>
    </row>
    <row r="684">
      <c r="A684" s="16" t="str">
        <f t="shared" si="10"/>
        <v/>
      </c>
      <c r="B684" s="48"/>
      <c r="C684" s="14"/>
      <c r="D684" s="52"/>
      <c r="E684" s="16"/>
      <c r="F684" s="14"/>
      <c r="G684" s="14"/>
      <c r="H684" s="14"/>
      <c r="I684" s="17"/>
      <c r="J684" s="16"/>
      <c r="K684" s="17"/>
      <c r="L684" s="20"/>
      <c r="N684" s="28"/>
    </row>
    <row r="685">
      <c r="A685" s="16" t="str">
        <f t="shared" si="10"/>
        <v/>
      </c>
      <c r="B685" s="48"/>
      <c r="C685" s="14"/>
      <c r="D685" s="52"/>
      <c r="E685" s="16"/>
      <c r="F685" s="14"/>
      <c r="G685" s="14"/>
      <c r="H685" s="14"/>
      <c r="I685" s="17"/>
      <c r="J685" s="16"/>
      <c r="K685" s="17"/>
      <c r="L685" s="20"/>
      <c r="N685" s="28"/>
    </row>
    <row r="686">
      <c r="A686" s="16" t="str">
        <f t="shared" si="10"/>
        <v/>
      </c>
      <c r="B686" s="48"/>
      <c r="C686" s="14"/>
      <c r="D686" s="52"/>
      <c r="E686" s="16"/>
      <c r="F686" s="14"/>
      <c r="G686" s="14"/>
      <c r="H686" s="14"/>
      <c r="I686" s="17"/>
      <c r="J686" s="16"/>
      <c r="K686" s="17"/>
      <c r="L686" s="20"/>
      <c r="N686" s="28"/>
    </row>
    <row r="687">
      <c r="A687" s="16" t="str">
        <f t="shared" si="10"/>
        <v/>
      </c>
      <c r="B687" s="48"/>
      <c r="C687" s="14"/>
      <c r="D687" s="52"/>
      <c r="E687" s="16"/>
      <c r="F687" s="14"/>
      <c r="G687" s="14"/>
      <c r="H687" s="14"/>
      <c r="I687" s="17"/>
      <c r="J687" s="16"/>
      <c r="K687" s="17"/>
      <c r="L687" s="16"/>
      <c r="N687" s="28"/>
    </row>
    <row r="688">
      <c r="A688" s="16" t="str">
        <f t="shared" si="10"/>
        <v/>
      </c>
      <c r="B688" s="48"/>
      <c r="C688" s="14"/>
      <c r="D688" s="52"/>
      <c r="E688" s="16"/>
      <c r="F688" s="14"/>
      <c r="G688" s="14"/>
      <c r="H688" s="14"/>
      <c r="I688" s="17"/>
      <c r="J688" s="16"/>
      <c r="K688" s="17"/>
      <c r="L688" s="20"/>
      <c r="N688" s="28"/>
    </row>
    <row r="689">
      <c r="A689" s="16" t="str">
        <f t="shared" si="10"/>
        <v/>
      </c>
      <c r="B689" s="48"/>
      <c r="C689" s="14"/>
      <c r="D689" s="52"/>
      <c r="E689" s="16"/>
      <c r="F689" s="14"/>
      <c r="G689" s="14"/>
      <c r="H689" s="14"/>
      <c r="I689" s="17"/>
      <c r="J689" s="16"/>
      <c r="K689" s="17"/>
      <c r="L689" s="20"/>
      <c r="N689" s="28"/>
    </row>
    <row r="690">
      <c r="A690" s="16" t="str">
        <f t="shared" si="10"/>
        <v/>
      </c>
      <c r="B690" s="48"/>
      <c r="C690" s="14"/>
      <c r="D690" s="52"/>
      <c r="E690" s="16"/>
      <c r="F690" s="14"/>
      <c r="G690" s="14"/>
      <c r="H690" s="14"/>
      <c r="I690" s="17"/>
      <c r="J690" s="16"/>
      <c r="K690" s="17"/>
      <c r="L690" s="20"/>
      <c r="N690" s="28"/>
    </row>
    <row r="691">
      <c r="A691" s="16" t="str">
        <f t="shared" si="10"/>
        <v/>
      </c>
      <c r="B691" s="48"/>
      <c r="C691" s="14"/>
      <c r="D691" s="52"/>
      <c r="E691" s="16"/>
      <c r="F691" s="14"/>
      <c r="G691" s="14"/>
      <c r="H691" s="14"/>
      <c r="I691" s="17"/>
      <c r="J691" s="16"/>
      <c r="K691" s="17"/>
      <c r="L691" s="16"/>
      <c r="N691" s="28"/>
    </row>
    <row r="692">
      <c r="A692" s="16" t="str">
        <f t="shared" si="10"/>
        <v/>
      </c>
      <c r="B692" s="48"/>
      <c r="C692" s="14"/>
      <c r="D692" s="52"/>
      <c r="E692" s="16"/>
      <c r="F692" s="14"/>
      <c r="G692" s="14"/>
      <c r="H692" s="14"/>
      <c r="I692" s="17"/>
      <c r="J692" s="16"/>
      <c r="K692" s="17"/>
      <c r="L692" s="16"/>
      <c r="N692" s="28"/>
    </row>
    <row r="693">
      <c r="A693" s="16" t="str">
        <f t="shared" si="10"/>
        <v/>
      </c>
      <c r="B693" s="48"/>
      <c r="C693" s="14"/>
      <c r="D693" s="52"/>
      <c r="E693" s="16"/>
      <c r="F693" s="14"/>
      <c r="G693" s="14"/>
      <c r="H693" s="14"/>
      <c r="I693" s="17"/>
      <c r="J693" s="16"/>
      <c r="K693" s="17"/>
      <c r="L693" s="16"/>
      <c r="N693" s="28"/>
    </row>
    <row r="694">
      <c r="A694" s="16" t="str">
        <f t="shared" si="10"/>
        <v/>
      </c>
      <c r="B694" s="48"/>
      <c r="C694" s="14"/>
      <c r="D694" s="52"/>
      <c r="E694" s="16"/>
      <c r="F694" s="14"/>
      <c r="G694" s="14"/>
      <c r="H694" s="14"/>
      <c r="I694" s="17"/>
      <c r="J694" s="16"/>
      <c r="K694" s="17"/>
      <c r="L694" s="20"/>
      <c r="N694" s="28"/>
    </row>
    <row r="695">
      <c r="A695" s="16" t="str">
        <f t="shared" si="10"/>
        <v/>
      </c>
      <c r="B695" s="48"/>
      <c r="C695" s="14"/>
      <c r="D695" s="52"/>
      <c r="E695" s="16"/>
      <c r="F695" s="14"/>
      <c r="G695" s="14"/>
      <c r="H695" s="17"/>
      <c r="I695" s="17"/>
      <c r="J695" s="16"/>
      <c r="K695" s="17"/>
      <c r="L695" s="20"/>
      <c r="N695" s="28"/>
    </row>
    <row r="696">
      <c r="A696" s="16" t="str">
        <f t="shared" si="10"/>
        <v/>
      </c>
      <c r="B696" s="48"/>
      <c r="C696" s="14"/>
      <c r="D696" s="52"/>
      <c r="E696" s="16"/>
      <c r="F696" s="14"/>
      <c r="G696" s="14"/>
      <c r="H696" s="14"/>
      <c r="I696" s="17"/>
      <c r="J696" s="16"/>
      <c r="K696" s="17"/>
      <c r="L696" s="20"/>
      <c r="N696" s="28"/>
    </row>
    <row r="697">
      <c r="A697" s="16" t="str">
        <f t="shared" si="10"/>
        <v/>
      </c>
      <c r="B697" s="48"/>
      <c r="C697" s="14"/>
      <c r="D697" s="52"/>
      <c r="E697" s="16"/>
      <c r="F697" s="14"/>
      <c r="G697" s="14"/>
      <c r="H697" s="14"/>
      <c r="I697" s="17"/>
      <c r="J697" s="16"/>
      <c r="K697" s="17"/>
      <c r="L697" s="20"/>
      <c r="N697" s="28"/>
    </row>
    <row r="698">
      <c r="A698" s="16" t="str">
        <f t="shared" si="10"/>
        <v/>
      </c>
      <c r="B698" s="48"/>
      <c r="C698" s="14"/>
      <c r="D698" s="52"/>
      <c r="E698" s="16"/>
      <c r="F698" s="14"/>
      <c r="G698" s="14"/>
      <c r="H698" s="14"/>
      <c r="I698" s="17"/>
      <c r="J698" s="16"/>
      <c r="K698" s="17"/>
      <c r="L698" s="20"/>
      <c r="N698" s="28"/>
    </row>
    <row r="699">
      <c r="A699" s="16" t="str">
        <f t="shared" si="10"/>
        <v/>
      </c>
      <c r="B699" s="48"/>
      <c r="C699" s="14"/>
      <c r="D699" s="52"/>
      <c r="E699" s="16"/>
      <c r="F699" s="14"/>
      <c r="G699" s="14"/>
      <c r="H699" s="17"/>
      <c r="I699" s="17"/>
      <c r="J699" s="16"/>
      <c r="K699" s="17"/>
      <c r="L699" s="16"/>
      <c r="N699" s="28"/>
    </row>
    <row r="700">
      <c r="A700" s="16" t="str">
        <f t="shared" si="10"/>
        <v/>
      </c>
      <c r="B700" s="48"/>
      <c r="C700" s="14"/>
      <c r="D700" s="52"/>
      <c r="E700" s="16"/>
      <c r="F700" s="14"/>
      <c r="G700" s="14"/>
      <c r="H700" s="17"/>
      <c r="I700" s="17"/>
      <c r="J700" s="16"/>
      <c r="K700" s="17"/>
      <c r="L700" s="16"/>
      <c r="N700" s="28"/>
    </row>
    <row r="701">
      <c r="A701" s="16" t="str">
        <f t="shared" si="10"/>
        <v/>
      </c>
      <c r="B701" s="48"/>
      <c r="C701" s="14"/>
      <c r="D701" s="52"/>
      <c r="E701" s="16"/>
      <c r="F701" s="14"/>
      <c r="G701" s="14"/>
      <c r="H701" s="17"/>
      <c r="I701" s="17"/>
      <c r="J701" s="16"/>
      <c r="K701" s="14"/>
      <c r="L701" s="16"/>
      <c r="N701" s="28"/>
    </row>
    <row r="702">
      <c r="A702" s="16" t="str">
        <f t="shared" si="10"/>
        <v/>
      </c>
      <c r="B702" s="48"/>
      <c r="C702" s="14"/>
      <c r="D702" s="52"/>
      <c r="E702" s="16"/>
      <c r="F702" s="14"/>
      <c r="G702" s="14"/>
      <c r="H702" s="14"/>
      <c r="I702" s="17"/>
      <c r="J702" s="16"/>
      <c r="K702" s="17"/>
      <c r="L702" s="20"/>
      <c r="N702" s="28"/>
    </row>
    <row r="703">
      <c r="A703" s="16" t="str">
        <f t="shared" si="10"/>
        <v/>
      </c>
      <c r="B703" s="48"/>
      <c r="C703" s="14"/>
      <c r="D703" s="52"/>
      <c r="E703" s="16"/>
      <c r="F703" s="14"/>
      <c r="G703" s="14"/>
      <c r="H703" s="17"/>
      <c r="I703" s="17"/>
      <c r="J703" s="16"/>
      <c r="K703" s="17"/>
      <c r="L703" s="20"/>
      <c r="N703" s="28"/>
    </row>
    <row r="704">
      <c r="A704" s="16" t="str">
        <f t="shared" si="10"/>
        <v/>
      </c>
      <c r="B704" s="48"/>
      <c r="C704" s="14"/>
      <c r="D704" s="52"/>
      <c r="E704" s="16"/>
      <c r="F704" s="14"/>
      <c r="G704" s="14"/>
      <c r="H704" s="17"/>
      <c r="I704" s="17"/>
      <c r="J704" s="16"/>
      <c r="K704" s="17"/>
      <c r="L704" s="20"/>
      <c r="N704" s="28"/>
    </row>
    <row r="705">
      <c r="A705" s="16" t="str">
        <f t="shared" si="10"/>
        <v/>
      </c>
      <c r="B705" s="48"/>
      <c r="C705" s="14"/>
      <c r="D705" s="52"/>
      <c r="E705" s="16"/>
      <c r="F705" s="14"/>
      <c r="G705" s="14"/>
      <c r="H705" s="14"/>
      <c r="I705" s="17"/>
      <c r="J705" s="16"/>
      <c r="K705" s="17"/>
      <c r="L705" s="16"/>
      <c r="N705" s="28"/>
    </row>
    <row r="706">
      <c r="A706" s="16" t="str">
        <f t="shared" si="10"/>
        <v/>
      </c>
      <c r="B706" s="48"/>
      <c r="C706" s="14"/>
      <c r="D706" s="52"/>
      <c r="E706" s="16"/>
      <c r="F706" s="14"/>
      <c r="G706" s="14"/>
      <c r="H706" s="14"/>
      <c r="I706" s="17"/>
      <c r="J706" s="16"/>
      <c r="K706" s="17"/>
      <c r="L706" s="16"/>
      <c r="N706" s="28"/>
    </row>
    <row r="707">
      <c r="A707" s="16" t="str">
        <f t="shared" si="10"/>
        <v/>
      </c>
      <c r="B707" s="48"/>
      <c r="C707" s="14"/>
      <c r="D707" s="52"/>
      <c r="E707" s="16"/>
      <c r="F707" s="14"/>
      <c r="G707" s="14"/>
      <c r="H707" s="14"/>
      <c r="I707" s="17"/>
      <c r="J707" s="16"/>
      <c r="K707" s="17"/>
      <c r="L707" s="16"/>
      <c r="N707" s="28"/>
    </row>
    <row r="708">
      <c r="A708" s="16" t="str">
        <f t="shared" si="10"/>
        <v/>
      </c>
      <c r="B708" s="48"/>
      <c r="C708" s="14"/>
      <c r="D708" s="52"/>
      <c r="E708" s="16"/>
      <c r="F708" s="14"/>
      <c r="G708" s="14"/>
      <c r="H708" s="14"/>
      <c r="I708" s="17"/>
      <c r="J708" s="16"/>
      <c r="K708" s="17"/>
      <c r="L708" s="16"/>
      <c r="N708" s="28"/>
    </row>
    <row r="709">
      <c r="A709" s="16" t="str">
        <f t="shared" si="10"/>
        <v/>
      </c>
      <c r="B709" s="48"/>
      <c r="C709" s="14"/>
      <c r="D709" s="52"/>
      <c r="E709" s="16"/>
      <c r="F709" s="14"/>
      <c r="G709" s="14"/>
      <c r="H709" s="14"/>
      <c r="I709" s="17"/>
      <c r="J709" s="16"/>
      <c r="K709" s="17"/>
      <c r="L709" s="16"/>
      <c r="N709" s="28"/>
    </row>
    <row r="710">
      <c r="A710" s="16" t="str">
        <f t="shared" si="10"/>
        <v/>
      </c>
      <c r="B710" s="48"/>
      <c r="C710" s="14"/>
      <c r="D710" s="52"/>
      <c r="E710" s="16"/>
      <c r="F710" s="14"/>
      <c r="G710" s="14"/>
      <c r="H710" s="14"/>
      <c r="I710" s="17"/>
      <c r="J710" s="16"/>
      <c r="K710" s="17"/>
      <c r="L710" s="16"/>
      <c r="N710" s="28"/>
    </row>
    <row r="711">
      <c r="A711" s="16" t="str">
        <f t="shared" si="10"/>
        <v/>
      </c>
      <c r="B711" s="48"/>
      <c r="C711" s="14"/>
      <c r="D711" s="52"/>
      <c r="E711" s="16"/>
      <c r="F711" s="14"/>
      <c r="G711" s="14"/>
      <c r="H711" s="17"/>
      <c r="I711" s="17"/>
      <c r="J711" s="16"/>
      <c r="K711" s="17"/>
      <c r="L711" s="16"/>
      <c r="N711" s="28"/>
    </row>
    <row r="712">
      <c r="A712" s="16" t="str">
        <f t="shared" si="10"/>
        <v/>
      </c>
      <c r="B712" s="48"/>
      <c r="C712" s="14"/>
      <c r="D712" s="52"/>
      <c r="E712" s="16"/>
      <c r="F712" s="14"/>
      <c r="G712" s="14"/>
      <c r="H712" s="14"/>
      <c r="I712" s="17"/>
      <c r="J712" s="16"/>
      <c r="K712" s="17"/>
      <c r="L712" s="16"/>
      <c r="N712" s="28"/>
    </row>
    <row r="713">
      <c r="A713" s="16" t="str">
        <f t="shared" si="10"/>
        <v/>
      </c>
      <c r="B713" s="48"/>
      <c r="C713" s="14"/>
      <c r="D713" s="52"/>
      <c r="E713" s="16"/>
      <c r="F713" s="14"/>
      <c r="G713" s="14"/>
      <c r="H713" s="14"/>
      <c r="I713" s="17"/>
      <c r="J713" s="16"/>
      <c r="K713" s="17"/>
      <c r="L713" s="16"/>
      <c r="N713" s="28"/>
    </row>
    <row r="714">
      <c r="A714" s="16" t="str">
        <f t="shared" si="10"/>
        <v/>
      </c>
      <c r="B714" s="48"/>
      <c r="C714" s="14"/>
      <c r="D714" s="52"/>
      <c r="E714" s="16"/>
      <c r="F714" s="14"/>
      <c r="G714" s="14"/>
      <c r="H714" s="17"/>
      <c r="I714" s="17"/>
      <c r="J714" s="16"/>
      <c r="K714" s="17"/>
      <c r="L714" s="16"/>
      <c r="N714" s="28"/>
    </row>
    <row r="715">
      <c r="A715" s="16" t="str">
        <f t="shared" si="10"/>
        <v/>
      </c>
      <c r="B715" s="48"/>
      <c r="C715" s="14"/>
      <c r="D715" s="52"/>
      <c r="E715" s="16"/>
      <c r="F715" s="14"/>
      <c r="G715" s="14"/>
      <c r="H715" s="14"/>
      <c r="I715" s="17"/>
      <c r="J715" s="16"/>
      <c r="K715" s="17"/>
      <c r="L715" s="16"/>
      <c r="N715" s="28"/>
    </row>
    <row r="716">
      <c r="A716" s="16" t="str">
        <f t="shared" si="10"/>
        <v/>
      </c>
      <c r="B716" s="48"/>
      <c r="C716" s="14"/>
      <c r="D716" s="52"/>
      <c r="E716" s="16"/>
      <c r="F716" s="14"/>
      <c r="G716" s="14"/>
      <c r="H716" s="14"/>
      <c r="I716" s="17"/>
      <c r="J716" s="16"/>
      <c r="K716" s="17"/>
      <c r="L716" s="16"/>
      <c r="N716" s="28"/>
    </row>
    <row r="717">
      <c r="A717" s="16" t="str">
        <f t="shared" si="10"/>
        <v/>
      </c>
      <c r="B717" s="48"/>
      <c r="C717" s="14"/>
      <c r="D717" s="52"/>
      <c r="E717" s="16"/>
      <c r="F717" s="14"/>
      <c r="G717" s="14"/>
      <c r="H717" s="17"/>
      <c r="I717" s="17"/>
      <c r="J717" s="16"/>
      <c r="K717" s="17"/>
      <c r="L717" s="16"/>
      <c r="N717" s="28"/>
    </row>
    <row r="718">
      <c r="A718" s="16" t="str">
        <f t="shared" si="10"/>
        <v/>
      </c>
      <c r="B718" s="48"/>
      <c r="C718" s="14"/>
      <c r="D718" s="52"/>
      <c r="E718" s="16"/>
      <c r="F718" s="14"/>
      <c r="G718" s="14"/>
      <c r="H718" s="14"/>
      <c r="I718" s="17"/>
      <c r="J718" s="16"/>
      <c r="K718" s="17"/>
      <c r="L718" s="16"/>
      <c r="N718" s="28"/>
    </row>
    <row r="719">
      <c r="A719" s="16" t="str">
        <f t="shared" si="10"/>
        <v/>
      </c>
      <c r="B719" s="48"/>
      <c r="C719" s="14"/>
      <c r="D719" s="52"/>
      <c r="E719" s="16"/>
      <c r="F719" s="14"/>
      <c r="G719" s="14"/>
      <c r="H719" s="17"/>
      <c r="I719" s="17"/>
      <c r="J719" s="16"/>
      <c r="K719" s="17"/>
      <c r="L719" s="16"/>
      <c r="N719" s="28"/>
    </row>
    <row r="720">
      <c r="A720" s="16" t="str">
        <f t="shared" si="10"/>
        <v/>
      </c>
      <c r="B720" s="48"/>
      <c r="C720" s="14"/>
      <c r="D720" s="52"/>
      <c r="E720" s="16"/>
      <c r="F720" s="14"/>
      <c r="G720" s="14"/>
      <c r="H720" s="14"/>
      <c r="I720" s="17"/>
      <c r="J720" s="16"/>
      <c r="K720" s="17"/>
      <c r="L720" s="16"/>
      <c r="N720" s="28"/>
    </row>
    <row r="721">
      <c r="A721" s="16" t="str">
        <f t="shared" si="10"/>
        <v/>
      </c>
      <c r="B721" s="48"/>
      <c r="C721" s="14"/>
      <c r="D721" s="52"/>
      <c r="E721" s="16"/>
      <c r="F721" s="14"/>
      <c r="G721" s="14"/>
      <c r="H721" s="17"/>
      <c r="I721" s="17"/>
      <c r="J721" s="16"/>
      <c r="K721" s="17"/>
      <c r="L721" s="16"/>
      <c r="N721" s="28"/>
    </row>
    <row r="722">
      <c r="A722" s="16" t="str">
        <f t="shared" si="10"/>
        <v/>
      </c>
      <c r="B722" s="48"/>
      <c r="C722" s="14"/>
      <c r="D722" s="52"/>
      <c r="E722" s="16"/>
      <c r="F722" s="14"/>
      <c r="G722" s="14"/>
      <c r="H722" s="14"/>
      <c r="I722" s="17"/>
      <c r="J722" s="16"/>
      <c r="K722" s="17"/>
      <c r="L722" s="16"/>
      <c r="N722" s="28"/>
    </row>
    <row r="723">
      <c r="A723" s="16" t="str">
        <f t="shared" si="10"/>
        <v/>
      </c>
      <c r="B723" s="48"/>
      <c r="C723" s="14"/>
      <c r="D723" s="52"/>
      <c r="E723" s="16"/>
      <c r="F723" s="14"/>
      <c r="G723" s="14"/>
      <c r="H723" s="17"/>
      <c r="I723" s="17"/>
      <c r="J723" s="16"/>
      <c r="K723" s="17"/>
      <c r="L723" s="16"/>
      <c r="N723" s="28"/>
    </row>
    <row r="724">
      <c r="A724" s="16" t="str">
        <f t="shared" si="10"/>
        <v/>
      </c>
      <c r="B724" s="48"/>
      <c r="C724" s="14"/>
      <c r="D724" s="52"/>
      <c r="E724" s="16"/>
      <c r="F724" s="14"/>
      <c r="G724" s="14"/>
      <c r="H724" s="14"/>
      <c r="I724" s="17"/>
      <c r="J724" s="16"/>
      <c r="K724" s="17"/>
      <c r="L724" s="16"/>
      <c r="N724" s="28"/>
    </row>
    <row r="725">
      <c r="A725" s="16" t="str">
        <f t="shared" si="10"/>
        <v/>
      </c>
      <c r="B725" s="48"/>
      <c r="C725" s="14"/>
      <c r="D725" s="52"/>
      <c r="E725" s="16"/>
      <c r="F725" s="14"/>
      <c r="G725" s="14"/>
      <c r="H725" s="14"/>
      <c r="I725" s="17"/>
      <c r="J725" s="16"/>
      <c r="K725" s="17"/>
      <c r="L725" s="16"/>
      <c r="N725" s="28"/>
    </row>
    <row r="726">
      <c r="A726" s="16" t="str">
        <f t="shared" si="10"/>
        <v/>
      </c>
      <c r="B726" s="48"/>
      <c r="C726" s="14"/>
      <c r="D726" s="52"/>
      <c r="E726" s="16"/>
      <c r="F726" s="14"/>
      <c r="G726" s="14"/>
      <c r="H726" s="14"/>
      <c r="I726" s="17"/>
      <c r="J726" s="16"/>
      <c r="K726" s="17"/>
      <c r="L726" s="16"/>
      <c r="N726" s="28"/>
    </row>
    <row r="727">
      <c r="A727" s="16" t="str">
        <f t="shared" si="10"/>
        <v/>
      </c>
      <c r="B727" s="48"/>
      <c r="C727" s="14"/>
      <c r="D727" s="52"/>
      <c r="E727" s="16"/>
      <c r="F727" s="14"/>
      <c r="G727" s="14"/>
      <c r="H727" s="14"/>
      <c r="I727" s="17"/>
      <c r="J727" s="16"/>
      <c r="K727" s="17"/>
      <c r="L727" s="16"/>
      <c r="N727" s="28"/>
    </row>
    <row r="728">
      <c r="A728" s="16" t="str">
        <f t="shared" si="10"/>
        <v/>
      </c>
      <c r="B728" s="48"/>
      <c r="C728" s="14"/>
      <c r="D728" s="52"/>
      <c r="E728" s="16"/>
      <c r="F728" s="14"/>
      <c r="G728" s="14"/>
      <c r="H728" s="14"/>
      <c r="I728" s="17"/>
      <c r="J728" s="16"/>
      <c r="K728" s="17"/>
      <c r="L728" s="16"/>
      <c r="N728" s="28"/>
    </row>
    <row r="729">
      <c r="A729" s="16" t="str">
        <f t="shared" si="10"/>
        <v/>
      </c>
      <c r="B729" s="48"/>
      <c r="C729" s="14"/>
      <c r="D729" s="52"/>
      <c r="E729" s="16"/>
      <c r="F729" s="14"/>
      <c r="G729" s="14"/>
      <c r="H729" s="17"/>
      <c r="I729" s="17"/>
      <c r="J729" s="16"/>
      <c r="K729" s="17"/>
      <c r="L729" s="16"/>
      <c r="N729" s="28"/>
    </row>
    <row r="730">
      <c r="A730" s="16" t="str">
        <f t="shared" si="10"/>
        <v/>
      </c>
      <c r="B730" s="48"/>
      <c r="C730" s="14"/>
      <c r="D730" s="52"/>
      <c r="E730" s="16"/>
      <c r="F730" s="14"/>
      <c r="G730" s="14"/>
      <c r="H730" s="17"/>
      <c r="I730" s="17"/>
      <c r="J730" s="16"/>
      <c r="K730" s="17"/>
      <c r="L730" s="16"/>
      <c r="N730" s="28"/>
    </row>
    <row r="731">
      <c r="A731" s="16" t="str">
        <f t="shared" si="10"/>
        <v/>
      </c>
      <c r="B731" s="48"/>
      <c r="C731" s="14"/>
      <c r="D731" s="52"/>
      <c r="E731" s="16"/>
      <c r="F731" s="14"/>
      <c r="G731" s="14"/>
      <c r="H731" s="17"/>
      <c r="I731" s="17"/>
      <c r="J731" s="16"/>
      <c r="K731" s="17"/>
      <c r="L731" s="16"/>
      <c r="N731" s="28"/>
    </row>
    <row r="732">
      <c r="A732" s="16" t="str">
        <f t="shared" si="10"/>
        <v/>
      </c>
      <c r="B732" s="48"/>
      <c r="C732" s="14"/>
      <c r="D732" s="52"/>
      <c r="E732" s="16"/>
      <c r="F732" s="14"/>
      <c r="G732" s="14"/>
      <c r="H732" s="14"/>
      <c r="I732" s="17"/>
      <c r="J732" s="16"/>
      <c r="K732" s="17"/>
      <c r="L732" s="16"/>
      <c r="N732" s="28"/>
    </row>
    <row r="733">
      <c r="A733" s="16" t="str">
        <f t="shared" si="10"/>
        <v/>
      </c>
      <c r="B733" s="48"/>
      <c r="C733" s="14"/>
      <c r="D733" s="52"/>
      <c r="E733" s="16"/>
      <c r="F733" s="14"/>
      <c r="G733" s="14"/>
      <c r="H733" s="17"/>
      <c r="I733" s="17"/>
      <c r="J733" s="16"/>
      <c r="K733" s="17"/>
      <c r="L733" s="16"/>
      <c r="N733" s="28"/>
    </row>
    <row r="734">
      <c r="A734" s="16" t="str">
        <f t="shared" si="10"/>
        <v/>
      </c>
      <c r="B734" s="48"/>
      <c r="C734" s="14"/>
      <c r="D734" s="52"/>
      <c r="E734" s="16"/>
      <c r="F734" s="14"/>
      <c r="G734" s="14"/>
      <c r="H734" s="14"/>
      <c r="I734" s="17"/>
      <c r="J734" s="16"/>
      <c r="K734" s="17"/>
      <c r="L734" s="16"/>
      <c r="N734" s="28"/>
    </row>
    <row r="735">
      <c r="A735" s="16" t="str">
        <f t="shared" si="10"/>
        <v/>
      </c>
      <c r="B735" s="48"/>
      <c r="C735" s="14"/>
      <c r="D735" s="52"/>
      <c r="E735" s="16"/>
      <c r="F735" s="14"/>
      <c r="G735" s="14"/>
      <c r="H735" s="14"/>
      <c r="I735" s="17"/>
      <c r="J735" s="16"/>
      <c r="K735" s="17"/>
      <c r="L735" s="16"/>
      <c r="N735" s="28"/>
    </row>
    <row r="736">
      <c r="A736" s="16" t="str">
        <f t="shared" si="10"/>
        <v/>
      </c>
      <c r="B736" s="48"/>
      <c r="C736" s="14"/>
      <c r="D736" s="52"/>
      <c r="E736" s="16"/>
      <c r="F736" s="14"/>
      <c r="G736" s="14"/>
      <c r="H736" s="14"/>
      <c r="I736" s="17"/>
      <c r="J736" s="16"/>
      <c r="K736" s="17"/>
      <c r="L736" s="16"/>
      <c r="N736" s="28"/>
    </row>
    <row r="737">
      <c r="A737" s="16" t="str">
        <f t="shared" si="10"/>
        <v/>
      </c>
      <c r="B737" s="48"/>
      <c r="C737" s="14"/>
      <c r="D737" s="52"/>
      <c r="E737" s="16"/>
      <c r="F737" s="14"/>
      <c r="G737" s="14"/>
      <c r="H737" s="14"/>
      <c r="I737" s="17"/>
      <c r="J737" s="16"/>
      <c r="K737" s="17"/>
      <c r="L737" s="16"/>
      <c r="N737" s="28"/>
    </row>
    <row r="738">
      <c r="A738" s="16" t="str">
        <f t="shared" si="10"/>
        <v/>
      </c>
      <c r="B738" s="48"/>
      <c r="C738" s="14"/>
      <c r="D738" s="52"/>
      <c r="E738" s="16"/>
      <c r="F738" s="14"/>
      <c r="G738" s="14"/>
      <c r="H738" s="14"/>
      <c r="I738" s="17"/>
      <c r="J738" s="16"/>
      <c r="K738" s="17"/>
      <c r="L738" s="16"/>
      <c r="N738" s="28"/>
    </row>
    <row r="739">
      <c r="A739" s="16" t="str">
        <f t="shared" si="10"/>
        <v/>
      </c>
      <c r="B739" s="48"/>
      <c r="C739" s="14"/>
      <c r="D739" s="52"/>
      <c r="E739" s="16"/>
      <c r="F739" s="14"/>
      <c r="G739" s="14"/>
      <c r="H739" s="14"/>
      <c r="I739" s="17"/>
      <c r="J739" s="16"/>
      <c r="K739" s="17"/>
      <c r="L739" s="16"/>
      <c r="N739" s="28"/>
    </row>
    <row r="740">
      <c r="A740" s="16" t="str">
        <f t="shared" si="10"/>
        <v/>
      </c>
      <c r="B740" s="48"/>
      <c r="C740" s="14"/>
      <c r="D740" s="52"/>
      <c r="E740" s="16"/>
      <c r="F740" s="14"/>
      <c r="G740" s="14"/>
      <c r="H740" s="14"/>
      <c r="I740" s="17"/>
      <c r="J740" s="16"/>
      <c r="K740" s="17"/>
      <c r="L740" s="16"/>
      <c r="N740" s="28"/>
    </row>
    <row r="741">
      <c r="A741" s="16" t="str">
        <f t="shared" si="10"/>
        <v/>
      </c>
      <c r="B741" s="48"/>
      <c r="C741" s="14"/>
      <c r="D741" s="52"/>
      <c r="E741" s="16"/>
      <c r="F741" s="14"/>
      <c r="G741" s="14"/>
      <c r="H741" s="14"/>
      <c r="I741" s="17"/>
      <c r="J741" s="16"/>
      <c r="K741" s="17"/>
      <c r="L741" s="16"/>
      <c r="N741" s="28"/>
    </row>
    <row r="742">
      <c r="A742" s="16" t="str">
        <f t="shared" si="10"/>
        <v/>
      </c>
      <c r="B742" s="48"/>
      <c r="C742" s="14"/>
      <c r="D742" s="52"/>
      <c r="E742" s="16"/>
      <c r="F742" s="14"/>
      <c r="G742" s="14"/>
      <c r="H742" s="17"/>
      <c r="I742" s="17"/>
      <c r="J742" s="16"/>
      <c r="K742" s="17"/>
      <c r="L742" s="16"/>
      <c r="N742" s="28"/>
    </row>
    <row r="743">
      <c r="A743" s="16" t="str">
        <f t="shared" si="10"/>
        <v/>
      </c>
      <c r="B743" s="48"/>
      <c r="C743" s="14"/>
      <c r="D743" s="52"/>
      <c r="E743" s="16"/>
      <c r="F743" s="14"/>
      <c r="G743" s="14"/>
      <c r="H743" s="14"/>
      <c r="I743" s="17"/>
      <c r="J743" s="16"/>
      <c r="K743" s="17"/>
      <c r="L743" s="16"/>
      <c r="N743" s="28"/>
    </row>
    <row r="744">
      <c r="A744" s="16" t="str">
        <f t="shared" si="10"/>
        <v/>
      </c>
      <c r="B744" s="48"/>
      <c r="C744" s="14"/>
      <c r="D744" s="52"/>
      <c r="E744" s="16"/>
      <c r="F744" s="14"/>
      <c r="G744" s="14"/>
      <c r="H744" s="17"/>
      <c r="I744" s="17"/>
      <c r="J744" s="16"/>
      <c r="K744" s="17"/>
      <c r="L744" s="16"/>
      <c r="N744" s="28"/>
    </row>
    <row r="745">
      <c r="A745" s="16" t="str">
        <f t="shared" si="10"/>
        <v/>
      </c>
      <c r="B745" s="48"/>
      <c r="C745" s="14"/>
      <c r="D745" s="52"/>
      <c r="E745" s="16"/>
      <c r="F745" s="14"/>
      <c r="G745" s="14"/>
      <c r="H745" s="14"/>
      <c r="I745" s="17"/>
      <c r="J745" s="16"/>
      <c r="K745" s="17"/>
      <c r="L745" s="16"/>
      <c r="N745" s="28"/>
    </row>
    <row r="746">
      <c r="A746" s="16" t="str">
        <f t="shared" si="10"/>
        <v/>
      </c>
      <c r="B746" s="48"/>
      <c r="C746" s="14"/>
      <c r="D746" s="52"/>
      <c r="E746" s="16"/>
      <c r="F746" s="14"/>
      <c r="G746" s="14"/>
      <c r="H746" s="14"/>
      <c r="I746" s="17"/>
      <c r="J746" s="16"/>
      <c r="K746" s="17"/>
      <c r="L746" s="16"/>
      <c r="N746" s="28"/>
    </row>
    <row r="747">
      <c r="A747" s="16" t="str">
        <f t="shared" si="10"/>
        <v/>
      </c>
      <c r="B747" s="48"/>
      <c r="C747" s="14"/>
      <c r="D747" s="52"/>
      <c r="E747" s="16"/>
      <c r="F747" s="14"/>
      <c r="G747" s="14"/>
      <c r="H747" s="14"/>
      <c r="I747" s="17"/>
      <c r="J747" s="16"/>
      <c r="K747" s="17"/>
      <c r="L747" s="16"/>
      <c r="N747" s="28"/>
    </row>
    <row r="748">
      <c r="A748" s="16" t="str">
        <f t="shared" si="10"/>
        <v/>
      </c>
      <c r="B748" s="48"/>
      <c r="C748" s="14"/>
      <c r="D748" s="52"/>
      <c r="E748" s="16"/>
      <c r="F748" s="14"/>
      <c r="G748" s="14"/>
      <c r="H748" s="14"/>
      <c r="I748" s="17"/>
      <c r="J748" s="16"/>
      <c r="K748" s="17"/>
      <c r="L748" s="16"/>
      <c r="N748" s="28"/>
    </row>
    <row r="749">
      <c r="A749" s="16" t="str">
        <f t="shared" si="10"/>
        <v/>
      </c>
      <c r="B749" s="48"/>
      <c r="C749" s="14"/>
      <c r="D749" s="52"/>
      <c r="E749" s="16"/>
      <c r="F749" s="14"/>
      <c r="G749" s="14"/>
      <c r="H749" s="14"/>
      <c r="I749" s="17"/>
      <c r="J749" s="16"/>
      <c r="K749" s="17"/>
      <c r="L749" s="16"/>
      <c r="N749" s="28"/>
    </row>
    <row r="750">
      <c r="A750" s="16" t="str">
        <f t="shared" si="10"/>
        <v/>
      </c>
      <c r="B750" s="48"/>
      <c r="C750" s="14"/>
      <c r="D750" s="52"/>
      <c r="E750" s="16"/>
      <c r="F750" s="14"/>
      <c r="G750" s="14"/>
      <c r="H750" s="17"/>
      <c r="I750" s="17"/>
      <c r="J750" s="16"/>
      <c r="K750" s="17"/>
      <c r="L750" s="16"/>
      <c r="N750" s="28"/>
    </row>
    <row r="751">
      <c r="A751" s="16" t="str">
        <f t="shared" si="10"/>
        <v/>
      </c>
      <c r="B751" s="48"/>
      <c r="C751" s="14"/>
      <c r="D751" s="52"/>
      <c r="E751" s="16"/>
      <c r="F751" s="14"/>
      <c r="G751" s="14"/>
      <c r="H751" s="17"/>
      <c r="I751" s="17"/>
      <c r="J751" s="16"/>
      <c r="K751" s="17"/>
      <c r="L751" s="16"/>
      <c r="N751" s="28"/>
    </row>
    <row r="752">
      <c r="A752" s="16" t="str">
        <f t="shared" si="10"/>
        <v/>
      </c>
      <c r="B752" s="48"/>
      <c r="C752" s="14"/>
      <c r="D752" s="52"/>
      <c r="E752" s="16"/>
      <c r="F752" s="14"/>
      <c r="G752" s="14"/>
      <c r="H752" s="17"/>
      <c r="I752" s="17"/>
      <c r="J752" s="16"/>
      <c r="K752" s="17"/>
      <c r="L752" s="16"/>
      <c r="N752" s="28"/>
    </row>
    <row r="753">
      <c r="A753" s="16" t="str">
        <f t="shared" si="10"/>
        <v/>
      </c>
      <c r="B753" s="48"/>
      <c r="C753" s="14"/>
      <c r="D753" s="52"/>
      <c r="E753" s="16"/>
      <c r="F753" s="14"/>
      <c r="G753" s="14"/>
      <c r="H753" s="14"/>
      <c r="I753" s="17"/>
      <c r="J753" s="16"/>
      <c r="K753" s="17"/>
      <c r="L753" s="16"/>
      <c r="N753" s="28"/>
    </row>
    <row r="754">
      <c r="A754" s="16" t="str">
        <f t="shared" si="10"/>
        <v/>
      </c>
      <c r="B754" s="48"/>
      <c r="C754" s="14"/>
      <c r="D754" s="52"/>
      <c r="E754" s="16"/>
      <c r="F754" s="14"/>
      <c r="G754" s="14"/>
      <c r="H754" s="17"/>
      <c r="I754" s="17"/>
      <c r="J754" s="16"/>
      <c r="K754" s="14"/>
      <c r="L754" s="16"/>
      <c r="N754" s="28"/>
    </row>
    <row r="755">
      <c r="A755" s="16" t="str">
        <f t="shared" si="10"/>
        <v/>
      </c>
      <c r="B755" s="48"/>
      <c r="C755" s="14"/>
      <c r="D755" s="52"/>
      <c r="E755" s="16"/>
      <c r="F755" s="14"/>
      <c r="G755" s="14"/>
      <c r="H755" s="14"/>
      <c r="I755" s="17"/>
      <c r="J755" s="16"/>
      <c r="K755" s="17"/>
      <c r="L755" s="16"/>
      <c r="N755" s="28"/>
    </row>
    <row r="756">
      <c r="A756" s="16" t="str">
        <f t="shared" si="10"/>
        <v/>
      </c>
      <c r="B756" s="48"/>
      <c r="C756" s="14"/>
      <c r="D756" s="52"/>
      <c r="E756" s="16"/>
      <c r="F756" s="14"/>
      <c r="G756" s="14"/>
      <c r="H756" s="14"/>
      <c r="I756" s="17"/>
      <c r="J756" s="16"/>
      <c r="K756" s="17"/>
      <c r="L756" s="16"/>
      <c r="N756" s="28"/>
    </row>
    <row r="757">
      <c r="A757" s="16" t="str">
        <f t="shared" si="10"/>
        <v/>
      </c>
      <c r="B757" s="48"/>
      <c r="C757" s="14"/>
      <c r="D757" s="52"/>
      <c r="E757" s="16"/>
      <c r="F757" s="14"/>
      <c r="G757" s="14"/>
      <c r="H757" s="17"/>
      <c r="I757" s="17"/>
      <c r="J757" s="16"/>
      <c r="K757" s="17"/>
      <c r="L757" s="16"/>
      <c r="N757" s="28"/>
    </row>
    <row r="758">
      <c r="A758" s="16" t="str">
        <f t="shared" si="10"/>
        <v/>
      </c>
      <c r="B758" s="48"/>
      <c r="C758" s="14"/>
      <c r="D758" s="52"/>
      <c r="E758" s="16"/>
      <c r="F758" s="14"/>
      <c r="G758" s="14"/>
      <c r="H758" s="17"/>
      <c r="I758" s="17"/>
      <c r="J758" s="16"/>
      <c r="K758" s="17"/>
      <c r="L758" s="16"/>
      <c r="N758" s="28"/>
    </row>
    <row r="759">
      <c r="A759" s="16" t="str">
        <f t="shared" si="10"/>
        <v/>
      </c>
      <c r="B759" s="48"/>
      <c r="C759" s="14"/>
      <c r="D759" s="52"/>
      <c r="E759" s="16"/>
      <c r="F759" s="14"/>
      <c r="G759" s="14"/>
      <c r="H759" s="17"/>
      <c r="I759" s="17"/>
      <c r="J759" s="16"/>
      <c r="K759" s="17"/>
      <c r="L759" s="16"/>
      <c r="N759" s="28"/>
    </row>
    <row r="760">
      <c r="A760" s="16" t="str">
        <f t="shared" si="10"/>
        <v/>
      </c>
      <c r="B760" s="48"/>
      <c r="C760" s="14"/>
      <c r="D760" s="52"/>
      <c r="E760" s="16"/>
      <c r="F760" s="14"/>
      <c r="G760" s="14"/>
      <c r="H760" s="17"/>
      <c r="I760" s="17"/>
      <c r="J760" s="16"/>
      <c r="K760" s="17"/>
      <c r="L760" s="16"/>
      <c r="N760" s="28"/>
    </row>
    <row r="761">
      <c r="A761" s="16" t="str">
        <f t="shared" si="10"/>
        <v/>
      </c>
      <c r="B761" s="48"/>
      <c r="C761" s="14"/>
      <c r="D761" s="52"/>
      <c r="E761" s="16"/>
      <c r="F761" s="14"/>
      <c r="G761" s="14"/>
      <c r="H761" s="17"/>
      <c r="I761" s="17"/>
      <c r="J761" s="16"/>
      <c r="K761" s="17"/>
      <c r="L761" s="16"/>
      <c r="N761" s="28"/>
    </row>
    <row r="762">
      <c r="A762" s="16" t="str">
        <f t="shared" si="10"/>
        <v/>
      </c>
      <c r="B762" s="48"/>
      <c r="C762" s="14"/>
      <c r="D762" s="52"/>
      <c r="E762" s="16"/>
      <c r="F762" s="14"/>
      <c r="G762" s="14"/>
      <c r="H762" s="17"/>
      <c r="I762" s="17"/>
      <c r="J762" s="16"/>
      <c r="K762" s="14"/>
      <c r="L762" s="16"/>
      <c r="N762" s="28"/>
    </row>
    <row r="763">
      <c r="A763" s="16" t="str">
        <f t="shared" si="10"/>
        <v/>
      </c>
      <c r="B763" s="48"/>
      <c r="C763" s="14"/>
      <c r="D763" s="52"/>
      <c r="E763" s="16"/>
      <c r="F763" s="14"/>
      <c r="G763" s="14"/>
      <c r="H763" s="14"/>
      <c r="I763" s="17"/>
      <c r="J763" s="16"/>
      <c r="K763" s="17"/>
      <c r="L763" s="16"/>
      <c r="N763" s="28"/>
    </row>
    <row r="764">
      <c r="A764" s="16" t="str">
        <f t="shared" si="10"/>
        <v/>
      </c>
      <c r="B764" s="48"/>
      <c r="C764" s="14"/>
      <c r="D764" s="52"/>
      <c r="E764" s="16"/>
      <c r="F764" s="14"/>
      <c r="G764" s="14"/>
      <c r="H764" s="14"/>
      <c r="I764" s="17"/>
      <c r="J764" s="16"/>
      <c r="K764" s="17"/>
      <c r="L764" s="16"/>
      <c r="N764" s="28"/>
    </row>
    <row r="765">
      <c r="A765" s="16" t="str">
        <f t="shared" si="10"/>
        <v/>
      </c>
      <c r="B765" s="48"/>
      <c r="C765" s="14"/>
      <c r="D765" s="52"/>
      <c r="E765" s="16"/>
      <c r="F765" s="14"/>
      <c r="G765" s="14"/>
      <c r="H765" s="17"/>
      <c r="I765" s="17"/>
      <c r="J765" s="16"/>
      <c r="K765" s="17"/>
      <c r="L765" s="16"/>
      <c r="N765" s="28"/>
    </row>
    <row r="766">
      <c r="A766" s="16" t="str">
        <f t="shared" si="10"/>
        <v/>
      </c>
      <c r="B766" s="48"/>
      <c r="C766" s="14"/>
      <c r="D766" s="52"/>
      <c r="E766" s="16"/>
      <c r="F766" s="14"/>
      <c r="G766" s="14"/>
      <c r="H766" s="14"/>
      <c r="I766" s="17"/>
      <c r="J766" s="16"/>
      <c r="K766" s="17"/>
      <c r="L766" s="16"/>
      <c r="N766" s="28"/>
    </row>
    <row r="767">
      <c r="A767" s="16" t="str">
        <f t="shared" si="10"/>
        <v/>
      </c>
      <c r="B767" s="48"/>
      <c r="C767" s="14"/>
      <c r="D767" s="52"/>
      <c r="E767" s="16"/>
      <c r="F767" s="14"/>
      <c r="G767" s="14"/>
      <c r="H767" s="14"/>
      <c r="I767" s="17"/>
      <c r="J767" s="16"/>
      <c r="K767" s="17"/>
      <c r="L767" s="16"/>
      <c r="N767" s="28"/>
    </row>
    <row r="768">
      <c r="A768" s="16" t="str">
        <f t="shared" si="10"/>
        <v/>
      </c>
      <c r="B768" s="48"/>
      <c r="C768" s="14"/>
      <c r="D768" s="52"/>
      <c r="E768" s="16"/>
      <c r="F768" s="14"/>
      <c r="G768" s="14"/>
      <c r="H768" s="17"/>
      <c r="I768" s="17"/>
      <c r="J768" s="16"/>
      <c r="K768" s="17"/>
      <c r="L768" s="16"/>
      <c r="N768" s="28"/>
    </row>
    <row r="769">
      <c r="A769" s="16" t="str">
        <f t="shared" si="10"/>
        <v/>
      </c>
      <c r="B769" s="48"/>
      <c r="C769" s="14"/>
      <c r="D769" s="52"/>
      <c r="E769" s="16"/>
      <c r="F769" s="14"/>
      <c r="G769" s="14"/>
      <c r="H769" s="17"/>
      <c r="I769" s="17"/>
      <c r="J769" s="16"/>
      <c r="K769" s="17"/>
      <c r="L769" s="16"/>
      <c r="N769" s="28"/>
    </row>
    <row r="770">
      <c r="A770" s="16" t="str">
        <f t="shared" si="10"/>
        <v/>
      </c>
      <c r="B770" s="48"/>
      <c r="C770" s="14"/>
      <c r="D770" s="52"/>
      <c r="E770" s="16"/>
      <c r="F770" s="14"/>
      <c r="G770" s="14"/>
      <c r="H770" s="14"/>
      <c r="I770" s="17"/>
      <c r="J770" s="16"/>
      <c r="K770" s="17"/>
      <c r="L770" s="16"/>
      <c r="N770" s="28"/>
    </row>
    <row r="771">
      <c r="A771" s="16" t="str">
        <f t="shared" si="10"/>
        <v/>
      </c>
      <c r="B771" s="48"/>
      <c r="C771" s="14"/>
      <c r="D771" s="52"/>
      <c r="E771" s="16"/>
      <c r="F771" s="14"/>
      <c r="G771" s="14"/>
      <c r="H771" s="14"/>
      <c r="I771" s="17"/>
      <c r="J771" s="16"/>
      <c r="K771" s="17"/>
      <c r="L771" s="16"/>
      <c r="N771" s="28"/>
    </row>
    <row r="772">
      <c r="A772" s="16" t="str">
        <f t="shared" si="10"/>
        <v/>
      </c>
      <c r="B772" s="48"/>
      <c r="C772" s="14"/>
      <c r="D772" s="52"/>
      <c r="E772" s="16"/>
      <c r="F772" s="14"/>
      <c r="G772" s="14"/>
      <c r="H772" s="17"/>
      <c r="I772" s="17"/>
      <c r="J772" s="16"/>
      <c r="K772" s="17"/>
      <c r="L772" s="16"/>
      <c r="N772" s="28"/>
    </row>
    <row r="773">
      <c r="A773" s="16" t="str">
        <f t="shared" si="10"/>
        <v/>
      </c>
      <c r="B773" s="48"/>
      <c r="C773" s="14"/>
      <c r="D773" s="52"/>
      <c r="E773" s="16"/>
      <c r="F773" s="14"/>
      <c r="G773" s="14"/>
      <c r="H773" s="14"/>
      <c r="I773" s="17"/>
      <c r="J773" s="16"/>
      <c r="K773" s="17"/>
      <c r="L773" s="16"/>
      <c r="N773" s="28"/>
    </row>
    <row r="774">
      <c r="A774" s="16" t="str">
        <f t="shared" si="10"/>
        <v/>
      </c>
      <c r="B774" s="48"/>
      <c r="C774" s="14"/>
      <c r="D774" s="52"/>
      <c r="E774" s="16"/>
      <c r="F774" s="14"/>
      <c r="G774" s="14"/>
      <c r="H774" s="14"/>
      <c r="I774" s="17"/>
      <c r="J774" s="16"/>
      <c r="K774" s="17"/>
      <c r="L774" s="16"/>
      <c r="N774" s="28"/>
    </row>
    <row r="775">
      <c r="A775" s="16" t="str">
        <f t="shared" si="10"/>
        <v/>
      </c>
      <c r="B775" s="48"/>
      <c r="C775" s="14"/>
      <c r="D775" s="52"/>
      <c r="E775" s="16"/>
      <c r="F775" s="14"/>
      <c r="G775" s="14"/>
      <c r="H775" s="17"/>
      <c r="I775" s="17"/>
      <c r="J775" s="16"/>
      <c r="K775" s="17"/>
      <c r="L775" s="16"/>
      <c r="N775" s="28"/>
    </row>
    <row r="776">
      <c r="A776" s="16" t="str">
        <f t="shared" si="10"/>
        <v/>
      </c>
      <c r="B776" s="48"/>
      <c r="C776" s="14"/>
      <c r="D776" s="52"/>
      <c r="E776" s="16"/>
      <c r="F776" s="14"/>
      <c r="G776" s="14"/>
      <c r="H776" s="14"/>
      <c r="I776" s="17"/>
      <c r="J776" s="16"/>
      <c r="K776" s="17"/>
      <c r="L776" s="16"/>
      <c r="N776" s="28"/>
    </row>
    <row r="777">
      <c r="A777" s="16" t="str">
        <f t="shared" si="10"/>
        <v/>
      </c>
      <c r="B777" s="48"/>
      <c r="C777" s="14"/>
      <c r="D777" s="52"/>
      <c r="E777" s="16"/>
      <c r="F777" s="14"/>
      <c r="G777" s="14"/>
      <c r="H777" s="14"/>
      <c r="I777" s="17"/>
      <c r="J777" s="16"/>
      <c r="K777" s="17"/>
      <c r="L777" s="16"/>
      <c r="N777" s="28"/>
    </row>
    <row r="778">
      <c r="A778" s="16" t="str">
        <f t="shared" si="10"/>
        <v/>
      </c>
      <c r="B778" s="48"/>
      <c r="C778" s="14"/>
      <c r="D778" s="52"/>
      <c r="E778" s="16"/>
      <c r="F778" s="14"/>
      <c r="G778" s="14"/>
      <c r="H778" s="14"/>
      <c r="I778" s="17"/>
      <c r="J778" s="16"/>
      <c r="K778" s="17"/>
      <c r="L778" s="16"/>
      <c r="N778" s="28"/>
    </row>
    <row r="779">
      <c r="A779" s="16" t="str">
        <f t="shared" si="10"/>
        <v/>
      </c>
      <c r="B779" s="48"/>
      <c r="C779" s="14"/>
      <c r="D779" s="52"/>
      <c r="E779" s="16"/>
      <c r="F779" s="14"/>
      <c r="G779" s="14"/>
      <c r="H779" s="14"/>
      <c r="I779" s="17"/>
      <c r="J779" s="16"/>
      <c r="K779" s="17"/>
      <c r="L779" s="16"/>
      <c r="N779" s="28"/>
    </row>
    <row r="780">
      <c r="A780" s="16" t="str">
        <f t="shared" si="10"/>
        <v/>
      </c>
      <c r="B780" s="48"/>
      <c r="C780" s="14"/>
      <c r="D780" s="52"/>
      <c r="E780" s="16"/>
      <c r="F780" s="14"/>
      <c r="G780" s="14"/>
      <c r="H780" s="17"/>
      <c r="I780" s="17"/>
      <c r="J780" s="16"/>
      <c r="K780" s="17"/>
      <c r="L780" s="16"/>
      <c r="N780" s="28"/>
    </row>
    <row r="781">
      <c r="A781" s="16" t="str">
        <f t="shared" si="10"/>
        <v/>
      </c>
      <c r="B781" s="48"/>
      <c r="C781" s="14"/>
      <c r="D781" s="52"/>
      <c r="E781" s="16"/>
      <c r="F781" s="14"/>
      <c r="G781" s="14"/>
      <c r="H781" s="51"/>
      <c r="I781" s="17"/>
      <c r="J781" s="16"/>
      <c r="K781" s="17"/>
      <c r="L781" s="16"/>
      <c r="N781" s="28"/>
    </row>
    <row r="782">
      <c r="A782" s="16" t="str">
        <f t="shared" si="10"/>
        <v/>
      </c>
      <c r="B782" s="48"/>
      <c r="C782" s="14"/>
      <c r="D782" s="52"/>
      <c r="E782" s="16"/>
      <c r="F782" s="14"/>
      <c r="G782" s="14"/>
      <c r="H782" s="14"/>
      <c r="I782" s="17"/>
      <c r="J782" s="16"/>
      <c r="K782" s="17"/>
      <c r="L782" s="16"/>
      <c r="N782" s="28"/>
    </row>
    <row r="783">
      <c r="A783" s="16" t="str">
        <f t="shared" si="10"/>
        <v/>
      </c>
      <c r="B783" s="48"/>
      <c r="C783" s="14"/>
      <c r="D783" s="52"/>
      <c r="E783" s="16"/>
      <c r="F783" s="14"/>
      <c r="G783" s="14"/>
      <c r="H783" s="17"/>
      <c r="I783" s="17"/>
      <c r="J783" s="16"/>
      <c r="K783" s="17"/>
      <c r="L783" s="16"/>
      <c r="N783" s="28"/>
    </row>
    <row r="784">
      <c r="A784" s="16" t="str">
        <f t="shared" si="10"/>
        <v/>
      </c>
      <c r="B784" s="48"/>
      <c r="C784" s="14"/>
      <c r="D784" s="52"/>
      <c r="E784" s="16"/>
      <c r="F784" s="14"/>
      <c r="G784" s="14"/>
      <c r="H784" s="17"/>
      <c r="I784" s="17"/>
      <c r="J784" s="16"/>
      <c r="K784" s="17"/>
      <c r="L784" s="16"/>
      <c r="N784" s="28"/>
    </row>
    <row r="785">
      <c r="A785" s="16" t="str">
        <f t="shared" si="10"/>
        <v/>
      </c>
      <c r="B785" s="48"/>
      <c r="C785" s="14"/>
      <c r="D785" s="52"/>
      <c r="E785" s="16"/>
      <c r="F785" s="14"/>
      <c r="G785" s="14"/>
      <c r="H785" s="17"/>
      <c r="I785" s="17"/>
      <c r="J785" s="16"/>
      <c r="K785" s="17"/>
      <c r="L785" s="16"/>
      <c r="N785" s="28"/>
    </row>
    <row r="786">
      <c r="A786" s="16" t="str">
        <f t="shared" si="10"/>
        <v/>
      </c>
      <c r="B786" s="48"/>
      <c r="C786" s="14"/>
      <c r="D786" s="52"/>
      <c r="E786" s="16"/>
      <c r="F786" s="14"/>
      <c r="G786" s="14"/>
      <c r="H786" s="17"/>
      <c r="I786" s="17"/>
      <c r="J786" s="16"/>
      <c r="K786" s="17"/>
      <c r="L786" s="16"/>
      <c r="N786" s="28"/>
    </row>
    <row r="787">
      <c r="A787" s="16" t="str">
        <f t="shared" si="10"/>
        <v/>
      </c>
      <c r="B787" s="48"/>
      <c r="C787" s="14"/>
      <c r="D787" s="52"/>
      <c r="E787" s="16"/>
      <c r="F787" s="14"/>
      <c r="G787" s="14"/>
      <c r="H787" s="17"/>
      <c r="I787" s="17"/>
      <c r="J787" s="16"/>
      <c r="K787" s="17"/>
      <c r="L787" s="16"/>
      <c r="N787" s="28"/>
    </row>
    <row r="788">
      <c r="A788" s="16" t="str">
        <f t="shared" si="10"/>
        <v/>
      </c>
      <c r="B788" s="48"/>
      <c r="C788" s="14"/>
      <c r="D788" s="52"/>
      <c r="E788" s="16"/>
      <c r="F788" s="14"/>
      <c r="G788" s="14"/>
      <c r="H788" s="17"/>
      <c r="I788" s="17"/>
      <c r="J788" s="16"/>
      <c r="K788" s="17"/>
      <c r="L788" s="16"/>
      <c r="N788" s="28"/>
    </row>
    <row r="789">
      <c r="A789" s="16" t="str">
        <f t="shared" si="10"/>
        <v/>
      </c>
      <c r="B789" s="48"/>
      <c r="C789" s="14"/>
      <c r="D789" s="52"/>
      <c r="E789" s="16"/>
      <c r="F789" s="14"/>
      <c r="G789" s="14"/>
      <c r="H789" s="17"/>
      <c r="I789" s="17"/>
      <c r="J789" s="16"/>
      <c r="K789" s="17"/>
      <c r="L789" s="16"/>
      <c r="N789" s="28"/>
    </row>
    <row r="790">
      <c r="A790" s="16" t="str">
        <f t="shared" si="10"/>
        <v/>
      </c>
      <c r="B790" s="48"/>
      <c r="C790" s="14"/>
      <c r="D790" s="52"/>
      <c r="E790" s="16"/>
      <c r="F790" s="14"/>
      <c r="G790" s="14"/>
      <c r="H790" s="14"/>
      <c r="I790" s="17"/>
      <c r="J790" s="16"/>
      <c r="K790" s="17"/>
      <c r="L790" s="16"/>
      <c r="N790" s="28"/>
    </row>
    <row r="791">
      <c r="A791" s="16" t="str">
        <f t="shared" si="10"/>
        <v/>
      </c>
      <c r="B791" s="48"/>
      <c r="C791" s="14"/>
      <c r="D791" s="52"/>
      <c r="E791" s="16"/>
      <c r="F791" s="14"/>
      <c r="G791" s="14"/>
      <c r="H791" s="17"/>
      <c r="I791" s="17"/>
      <c r="J791" s="16"/>
      <c r="K791" s="17"/>
      <c r="L791" s="16"/>
      <c r="N791" s="28"/>
    </row>
    <row r="792">
      <c r="A792" s="16" t="str">
        <f t="shared" si="10"/>
        <v/>
      </c>
      <c r="B792" s="48"/>
      <c r="C792" s="14"/>
      <c r="D792" s="52"/>
      <c r="E792" s="16"/>
      <c r="F792" s="14"/>
      <c r="G792" s="14"/>
      <c r="H792" s="14"/>
      <c r="I792" s="17"/>
      <c r="J792" s="16"/>
      <c r="K792" s="17"/>
      <c r="L792" s="16"/>
      <c r="N792" s="28"/>
    </row>
    <row r="793">
      <c r="A793" s="16" t="str">
        <f t="shared" si="10"/>
        <v/>
      </c>
      <c r="B793" s="48"/>
      <c r="C793" s="14"/>
      <c r="D793" s="52"/>
      <c r="E793" s="16"/>
      <c r="F793" s="14"/>
      <c r="G793" s="14"/>
      <c r="H793" s="17"/>
      <c r="I793" s="17"/>
      <c r="J793" s="16"/>
      <c r="K793" s="17"/>
      <c r="L793" s="16"/>
      <c r="N793" s="28"/>
    </row>
    <row r="794">
      <c r="A794" s="16" t="str">
        <f t="shared" si="10"/>
        <v/>
      </c>
      <c r="B794" s="48"/>
      <c r="C794" s="14"/>
      <c r="D794" s="52"/>
      <c r="E794" s="16"/>
      <c r="F794" s="14"/>
      <c r="G794" s="14"/>
      <c r="H794" s="17"/>
      <c r="I794" s="17"/>
      <c r="J794" s="16"/>
      <c r="K794" s="17"/>
      <c r="L794" s="16"/>
      <c r="N794" s="28"/>
    </row>
    <row r="795">
      <c r="A795" s="16" t="str">
        <f t="shared" si="10"/>
        <v/>
      </c>
      <c r="B795" s="48"/>
      <c r="C795" s="14"/>
      <c r="D795" s="52"/>
      <c r="E795" s="16"/>
      <c r="F795" s="14"/>
      <c r="G795" s="14"/>
      <c r="H795" s="14"/>
      <c r="I795" s="17"/>
      <c r="J795" s="16"/>
      <c r="K795" s="17"/>
      <c r="L795" s="16"/>
      <c r="N795" s="28"/>
    </row>
    <row r="796">
      <c r="A796" s="16" t="str">
        <f t="shared" si="10"/>
        <v/>
      </c>
      <c r="B796" s="48"/>
      <c r="C796" s="14"/>
      <c r="D796" s="52"/>
      <c r="E796" s="16"/>
      <c r="F796" s="14"/>
      <c r="G796" s="14"/>
      <c r="H796" s="17"/>
      <c r="I796" s="17"/>
      <c r="J796" s="16"/>
      <c r="K796" s="17"/>
      <c r="L796" s="16"/>
      <c r="N796" s="28"/>
    </row>
    <row r="797">
      <c r="A797" s="16" t="str">
        <f t="shared" si="10"/>
        <v/>
      </c>
      <c r="B797" s="48"/>
      <c r="C797" s="14"/>
      <c r="D797" s="52"/>
      <c r="E797" s="16"/>
      <c r="F797" s="14"/>
      <c r="G797" s="14"/>
      <c r="H797" s="17"/>
      <c r="I797" s="17"/>
      <c r="J797" s="16"/>
      <c r="K797" s="14"/>
      <c r="L797" s="16"/>
      <c r="N797" s="28"/>
    </row>
    <row r="798">
      <c r="A798" s="16" t="str">
        <f t="shared" si="10"/>
        <v/>
      </c>
      <c r="B798" s="48"/>
      <c r="C798" s="14"/>
      <c r="D798" s="52"/>
      <c r="E798" s="16"/>
      <c r="F798" s="14"/>
      <c r="G798" s="14"/>
      <c r="H798" s="17"/>
      <c r="I798" s="17"/>
      <c r="J798" s="16"/>
      <c r="K798" s="17"/>
      <c r="L798" s="16"/>
      <c r="N798" s="28"/>
    </row>
    <row r="799">
      <c r="A799" s="16" t="str">
        <f t="shared" si="10"/>
        <v/>
      </c>
      <c r="B799" s="48"/>
      <c r="C799" s="14"/>
      <c r="D799" s="52"/>
      <c r="E799" s="16"/>
      <c r="F799" s="14"/>
      <c r="G799" s="14"/>
      <c r="H799" s="14"/>
      <c r="I799" s="17"/>
      <c r="J799" s="16"/>
      <c r="K799" s="17"/>
      <c r="L799" s="16"/>
      <c r="N799" s="28"/>
    </row>
    <row r="800">
      <c r="A800" s="16" t="str">
        <f t="shared" si="10"/>
        <v/>
      </c>
      <c r="B800" s="48"/>
      <c r="C800" s="14"/>
      <c r="D800" s="52"/>
      <c r="E800" s="16"/>
      <c r="F800" s="14"/>
      <c r="G800" s="14"/>
      <c r="H800" s="14"/>
      <c r="I800" s="17"/>
      <c r="J800" s="16"/>
      <c r="K800" s="17"/>
      <c r="L800" s="16"/>
      <c r="N800" s="28"/>
    </row>
    <row r="801">
      <c r="A801" s="16" t="str">
        <f t="shared" si="10"/>
        <v/>
      </c>
      <c r="B801" s="48"/>
      <c r="C801" s="14"/>
      <c r="D801" s="52"/>
      <c r="E801" s="16"/>
      <c r="F801" s="14"/>
      <c r="G801" s="14"/>
      <c r="H801" s="14"/>
      <c r="I801" s="17"/>
      <c r="J801" s="16"/>
      <c r="K801" s="17"/>
      <c r="L801" s="16"/>
      <c r="N801" s="28"/>
    </row>
    <row r="802">
      <c r="A802" s="16" t="str">
        <f t="shared" si="10"/>
        <v/>
      </c>
      <c r="B802" s="48"/>
      <c r="C802" s="14"/>
      <c r="D802" s="52"/>
      <c r="E802" s="16"/>
      <c r="F802" s="14"/>
      <c r="G802" s="14"/>
      <c r="H802" s="17"/>
      <c r="I802" s="17"/>
      <c r="J802" s="16"/>
      <c r="K802" s="17"/>
      <c r="L802" s="16"/>
      <c r="N802" s="28"/>
    </row>
    <row r="803">
      <c r="A803" s="16" t="str">
        <f t="shared" si="10"/>
        <v/>
      </c>
      <c r="B803" s="48"/>
      <c r="C803" s="14"/>
      <c r="D803" s="52"/>
      <c r="E803" s="16"/>
      <c r="F803" s="14"/>
      <c r="G803" s="14"/>
      <c r="H803" s="14"/>
      <c r="I803" s="17"/>
      <c r="J803" s="16"/>
      <c r="K803" s="17"/>
      <c r="L803" s="16"/>
      <c r="N803" s="28"/>
    </row>
    <row r="804">
      <c r="A804" s="16" t="str">
        <f t="shared" si="10"/>
        <v/>
      </c>
      <c r="B804" s="48"/>
      <c r="C804" s="14"/>
      <c r="D804" s="52"/>
      <c r="E804" s="16"/>
      <c r="F804" s="14"/>
      <c r="G804" s="14"/>
      <c r="H804" s="14"/>
      <c r="I804" s="17"/>
      <c r="J804" s="16"/>
      <c r="K804" s="17"/>
      <c r="L804" s="16"/>
      <c r="N804" s="28"/>
    </row>
    <row r="805">
      <c r="A805" s="16" t="str">
        <f t="shared" si="10"/>
        <v/>
      </c>
      <c r="B805" s="48"/>
      <c r="C805" s="14"/>
      <c r="D805" s="52"/>
      <c r="E805" s="16"/>
      <c r="F805" s="14"/>
      <c r="G805" s="14"/>
      <c r="H805" s="17"/>
      <c r="I805" s="17"/>
      <c r="J805" s="16"/>
      <c r="K805" s="17"/>
      <c r="L805" s="16"/>
      <c r="N805" s="28"/>
    </row>
    <row r="806">
      <c r="A806" s="16" t="str">
        <f t="shared" si="10"/>
        <v/>
      </c>
      <c r="B806" s="48"/>
      <c r="C806" s="14"/>
      <c r="D806" s="52"/>
      <c r="E806" s="16"/>
      <c r="F806" s="14"/>
      <c r="G806" s="14"/>
      <c r="H806" s="17"/>
      <c r="I806" s="17"/>
      <c r="J806" s="16"/>
      <c r="K806" s="17"/>
      <c r="L806" s="16"/>
      <c r="N806" s="28"/>
    </row>
    <row r="807">
      <c r="A807" s="16" t="str">
        <f t="shared" si="10"/>
        <v/>
      </c>
      <c r="B807" s="48"/>
      <c r="C807" s="14"/>
      <c r="D807" s="52"/>
      <c r="E807" s="16"/>
      <c r="F807" s="14"/>
      <c r="G807" s="14"/>
      <c r="H807" s="17"/>
      <c r="I807" s="17"/>
      <c r="J807" s="16"/>
      <c r="K807" s="17"/>
      <c r="L807" s="16"/>
      <c r="N807" s="28"/>
    </row>
    <row r="808">
      <c r="A808" s="16" t="str">
        <f t="shared" si="10"/>
        <v/>
      </c>
      <c r="B808" s="48"/>
      <c r="C808" s="14"/>
      <c r="D808" s="52"/>
      <c r="E808" s="16"/>
      <c r="F808" s="14"/>
      <c r="G808" s="14"/>
      <c r="H808" s="14"/>
      <c r="I808" s="17"/>
      <c r="J808" s="16"/>
      <c r="K808" s="17"/>
      <c r="L808" s="16"/>
      <c r="N808" s="28"/>
    </row>
    <row r="809">
      <c r="A809" s="16" t="str">
        <f t="shared" si="10"/>
        <v/>
      </c>
      <c r="B809" s="48"/>
      <c r="C809" s="14"/>
      <c r="D809" s="52"/>
      <c r="E809" s="16"/>
      <c r="F809" s="14"/>
      <c r="G809" s="14"/>
      <c r="H809" s="14"/>
      <c r="I809" s="17"/>
      <c r="J809" s="16"/>
      <c r="K809" s="17"/>
      <c r="L809" s="16"/>
      <c r="N809" s="28"/>
    </row>
    <row r="810">
      <c r="A810" s="16" t="str">
        <f t="shared" si="10"/>
        <v/>
      </c>
      <c r="B810" s="48"/>
      <c r="C810" s="14"/>
      <c r="D810" s="52"/>
      <c r="E810" s="16"/>
      <c r="F810" s="14"/>
      <c r="G810" s="14"/>
      <c r="H810" s="17"/>
      <c r="I810" s="17"/>
      <c r="J810" s="16"/>
      <c r="K810" s="17"/>
      <c r="L810" s="16"/>
      <c r="N810" s="28"/>
    </row>
    <row r="811">
      <c r="A811" s="16" t="str">
        <f t="shared" si="10"/>
        <v/>
      </c>
      <c r="B811" s="48"/>
      <c r="C811" s="14"/>
      <c r="D811" s="52"/>
      <c r="E811" s="16"/>
      <c r="F811" s="14"/>
      <c r="G811" s="14"/>
      <c r="H811" s="17"/>
      <c r="I811" s="17"/>
      <c r="J811" s="16"/>
      <c r="K811" s="17"/>
      <c r="L811" s="16"/>
      <c r="N811" s="28"/>
    </row>
    <row r="812">
      <c r="A812" s="16" t="str">
        <f t="shared" si="10"/>
        <v/>
      </c>
      <c r="B812" s="48"/>
      <c r="C812" s="14"/>
      <c r="D812" s="52"/>
      <c r="E812" s="16"/>
      <c r="F812" s="14"/>
      <c r="G812" s="14"/>
      <c r="H812" s="14"/>
      <c r="I812" s="17"/>
      <c r="J812" s="16"/>
      <c r="K812" s="17"/>
      <c r="L812" s="16"/>
      <c r="N812" s="28"/>
    </row>
    <row r="813">
      <c r="A813" s="16" t="str">
        <f t="shared" si="10"/>
        <v/>
      </c>
      <c r="B813" s="48"/>
      <c r="C813" s="14"/>
      <c r="D813" s="52"/>
      <c r="E813" s="16"/>
      <c r="F813" s="14"/>
      <c r="G813" s="14"/>
      <c r="H813" s="17"/>
      <c r="I813" s="17"/>
      <c r="J813" s="16"/>
      <c r="K813" s="17"/>
      <c r="L813" s="16"/>
      <c r="N813" s="28"/>
    </row>
    <row r="814">
      <c r="A814" s="16" t="str">
        <f t="shared" si="10"/>
        <v/>
      </c>
      <c r="B814" s="48"/>
      <c r="C814" s="14"/>
      <c r="D814" s="52"/>
      <c r="E814" s="16"/>
      <c r="F814" s="14"/>
      <c r="G814" s="14"/>
      <c r="H814" s="17"/>
      <c r="I814" s="17"/>
      <c r="J814" s="16"/>
      <c r="K814" s="17"/>
      <c r="L814" s="16"/>
      <c r="N814" s="28"/>
    </row>
    <row r="815">
      <c r="A815" s="16" t="str">
        <f t="shared" si="10"/>
        <v/>
      </c>
      <c r="B815" s="48"/>
      <c r="C815" s="14"/>
      <c r="D815" s="52"/>
      <c r="E815" s="16"/>
      <c r="F815" s="14"/>
      <c r="G815" s="14"/>
      <c r="H815" s="17"/>
      <c r="I815" s="17"/>
      <c r="J815" s="16"/>
      <c r="K815" s="17"/>
      <c r="L815" s="16"/>
      <c r="N815" s="28"/>
    </row>
    <row r="816">
      <c r="A816" s="16" t="str">
        <f t="shared" si="10"/>
        <v/>
      </c>
      <c r="B816" s="48"/>
      <c r="C816" s="14"/>
      <c r="D816" s="52"/>
      <c r="E816" s="16"/>
      <c r="F816" s="14"/>
      <c r="G816" s="14"/>
      <c r="H816" s="17"/>
      <c r="I816" s="17"/>
      <c r="J816" s="16"/>
      <c r="K816" s="17"/>
      <c r="L816" s="16"/>
      <c r="N816" s="28"/>
    </row>
    <row r="817">
      <c r="A817" s="16" t="str">
        <f t="shared" si="10"/>
        <v/>
      </c>
      <c r="B817" s="48"/>
      <c r="C817" s="14"/>
      <c r="D817" s="52"/>
      <c r="E817" s="16"/>
      <c r="F817" s="14"/>
      <c r="G817" s="14"/>
      <c r="H817" s="14"/>
      <c r="I817" s="17"/>
      <c r="J817" s="16"/>
      <c r="K817" s="17"/>
      <c r="L817" s="16"/>
      <c r="N817" s="28"/>
    </row>
    <row r="818">
      <c r="A818" s="16" t="str">
        <f t="shared" si="10"/>
        <v/>
      </c>
      <c r="B818" s="48"/>
      <c r="C818" s="14"/>
      <c r="D818" s="52"/>
      <c r="E818" s="16"/>
      <c r="F818" s="14"/>
      <c r="G818" s="14"/>
      <c r="H818" s="14"/>
      <c r="I818" s="17"/>
      <c r="J818" s="16"/>
      <c r="K818" s="17"/>
      <c r="L818" s="16"/>
      <c r="N818" s="28"/>
    </row>
    <row r="819">
      <c r="A819" s="16" t="str">
        <f t="shared" si="10"/>
        <v/>
      </c>
      <c r="B819" s="48"/>
      <c r="C819" s="14"/>
      <c r="D819" s="52"/>
      <c r="E819" s="16"/>
      <c r="F819" s="14"/>
      <c r="G819" s="14"/>
      <c r="H819" s="14"/>
      <c r="I819" s="17"/>
      <c r="J819" s="16"/>
      <c r="K819" s="17"/>
      <c r="L819" s="16"/>
      <c r="N819" s="28"/>
    </row>
    <row r="820">
      <c r="A820" s="16" t="str">
        <f t="shared" si="10"/>
        <v/>
      </c>
      <c r="B820" s="48"/>
      <c r="C820" s="14"/>
      <c r="D820" s="52"/>
      <c r="E820" s="16"/>
      <c r="F820" s="14"/>
      <c r="G820" s="14"/>
      <c r="H820" s="14"/>
      <c r="I820" s="17"/>
      <c r="J820" s="16"/>
      <c r="K820" s="17"/>
      <c r="L820" s="16"/>
      <c r="N820" s="28"/>
    </row>
    <row r="821">
      <c r="A821" s="16" t="str">
        <f t="shared" si="10"/>
        <v/>
      </c>
      <c r="B821" s="48"/>
      <c r="C821" s="14"/>
      <c r="D821" s="52"/>
      <c r="E821" s="16"/>
      <c r="F821" s="14"/>
      <c r="G821" s="14"/>
      <c r="H821" s="14"/>
      <c r="I821" s="17"/>
      <c r="J821" s="16"/>
      <c r="K821" s="17"/>
      <c r="L821" s="16"/>
      <c r="N821" s="28"/>
    </row>
    <row r="822">
      <c r="A822" s="16" t="str">
        <f t="shared" si="10"/>
        <v/>
      </c>
      <c r="B822" s="48"/>
      <c r="C822" s="14"/>
      <c r="D822" s="52"/>
      <c r="E822" s="16"/>
      <c r="F822" s="14"/>
      <c r="G822" s="14"/>
      <c r="H822" s="17"/>
      <c r="I822" s="17"/>
      <c r="J822" s="16"/>
      <c r="K822" s="17"/>
      <c r="L822" s="16"/>
      <c r="N822" s="28"/>
    </row>
    <row r="823">
      <c r="A823" s="16" t="str">
        <f t="shared" si="10"/>
        <v/>
      </c>
      <c r="B823" s="48"/>
      <c r="C823" s="14"/>
      <c r="D823" s="52"/>
      <c r="E823" s="16"/>
      <c r="F823" s="14"/>
      <c r="G823" s="14"/>
      <c r="H823" s="17"/>
      <c r="I823" s="17"/>
      <c r="J823" s="16"/>
      <c r="K823" s="17"/>
      <c r="L823" s="16"/>
      <c r="N823" s="28"/>
    </row>
    <row r="824">
      <c r="A824" s="16" t="str">
        <f t="shared" si="10"/>
        <v/>
      </c>
      <c r="B824" s="48"/>
      <c r="C824" s="14"/>
      <c r="D824" s="52"/>
      <c r="E824" s="16"/>
      <c r="F824" s="14"/>
      <c r="G824" s="14"/>
      <c r="H824" s="17"/>
      <c r="I824" s="17"/>
      <c r="J824" s="16"/>
      <c r="K824" s="17"/>
      <c r="L824" s="16"/>
      <c r="N824" s="28"/>
    </row>
    <row r="825">
      <c r="A825" s="16" t="str">
        <f t="shared" si="10"/>
        <v/>
      </c>
      <c r="B825" s="48"/>
      <c r="C825" s="14"/>
      <c r="D825" s="52"/>
      <c r="E825" s="16"/>
      <c r="F825" s="14"/>
      <c r="G825" s="14"/>
      <c r="H825" s="17"/>
      <c r="I825" s="17"/>
      <c r="J825" s="16"/>
      <c r="K825" s="17"/>
      <c r="L825" s="16"/>
      <c r="N825" s="28"/>
    </row>
    <row r="826">
      <c r="A826" s="16" t="str">
        <f t="shared" si="10"/>
        <v/>
      </c>
      <c r="B826" s="48"/>
      <c r="C826" s="14"/>
      <c r="D826" s="52"/>
      <c r="E826" s="16"/>
      <c r="F826" s="14"/>
      <c r="G826" s="14"/>
      <c r="H826" s="17"/>
      <c r="I826" s="17"/>
      <c r="J826" s="16"/>
      <c r="K826" s="17"/>
      <c r="L826" s="16"/>
      <c r="N826" s="28"/>
    </row>
    <row r="827">
      <c r="A827" s="16" t="str">
        <f t="shared" si="10"/>
        <v/>
      </c>
      <c r="B827" s="48"/>
      <c r="C827" s="14"/>
      <c r="D827" s="52"/>
      <c r="E827" s="16"/>
      <c r="F827" s="14"/>
      <c r="G827" s="14"/>
      <c r="H827" s="17"/>
      <c r="I827" s="17"/>
      <c r="J827" s="16"/>
      <c r="K827" s="17"/>
      <c r="L827" s="16"/>
      <c r="N827" s="28"/>
    </row>
    <row r="828">
      <c r="A828" s="16" t="str">
        <f t="shared" si="10"/>
        <v/>
      </c>
      <c r="B828" s="48"/>
      <c r="C828" s="14"/>
      <c r="D828" s="52"/>
      <c r="E828" s="16"/>
      <c r="F828" s="14"/>
      <c r="G828" s="14"/>
      <c r="H828" s="14"/>
      <c r="I828" s="17"/>
      <c r="J828" s="16"/>
      <c r="K828" s="17"/>
      <c r="L828" s="16"/>
      <c r="N828" s="28"/>
    </row>
    <row r="829">
      <c r="A829" s="16" t="str">
        <f t="shared" si="10"/>
        <v/>
      </c>
      <c r="B829" s="48"/>
      <c r="C829" s="14"/>
      <c r="D829" s="52"/>
      <c r="E829" s="16"/>
      <c r="F829" s="14"/>
      <c r="G829" s="14"/>
      <c r="H829" s="14"/>
      <c r="I829" s="17"/>
      <c r="J829" s="16"/>
      <c r="K829" s="17"/>
      <c r="L829" s="16"/>
      <c r="N829" s="28"/>
    </row>
    <row r="830">
      <c r="A830" s="16" t="str">
        <f t="shared" si="10"/>
        <v/>
      </c>
      <c r="B830" s="48"/>
      <c r="C830" s="14"/>
      <c r="D830" s="52"/>
      <c r="E830" s="16"/>
      <c r="F830" s="14"/>
      <c r="G830" s="14"/>
      <c r="H830" s="14"/>
      <c r="I830" s="17"/>
      <c r="J830" s="16"/>
      <c r="K830" s="17"/>
      <c r="L830" s="16"/>
      <c r="N830" s="28"/>
    </row>
    <row r="831">
      <c r="A831" s="16" t="str">
        <f t="shared" si="10"/>
        <v/>
      </c>
      <c r="B831" s="48"/>
      <c r="C831" s="14"/>
      <c r="D831" s="52"/>
      <c r="E831" s="16"/>
      <c r="F831" s="14"/>
      <c r="G831" s="14"/>
      <c r="H831" s="17"/>
      <c r="I831" s="17"/>
      <c r="J831" s="16"/>
      <c r="K831" s="17"/>
      <c r="L831" s="16"/>
      <c r="N831" s="28"/>
    </row>
    <row r="832">
      <c r="A832" s="16" t="str">
        <f t="shared" si="10"/>
        <v/>
      </c>
      <c r="B832" s="48"/>
      <c r="C832" s="14"/>
      <c r="D832" s="52"/>
      <c r="E832" s="16"/>
      <c r="F832" s="14"/>
      <c r="G832" s="14"/>
      <c r="H832" s="17"/>
      <c r="I832" s="17"/>
      <c r="J832" s="16"/>
      <c r="K832" s="17"/>
      <c r="L832" s="16"/>
      <c r="N832" s="28"/>
    </row>
    <row r="833">
      <c r="A833" s="16" t="str">
        <f t="shared" si="10"/>
        <v/>
      </c>
      <c r="B833" s="48"/>
      <c r="C833" s="14"/>
      <c r="D833" s="52"/>
      <c r="E833" s="16"/>
      <c r="F833" s="14"/>
      <c r="G833" s="14"/>
      <c r="H833" s="17"/>
      <c r="I833" s="17"/>
      <c r="J833" s="16"/>
      <c r="K833" s="17"/>
      <c r="L833" s="16"/>
      <c r="N833" s="28"/>
    </row>
    <row r="834">
      <c r="A834" s="16" t="str">
        <f t="shared" si="10"/>
        <v/>
      </c>
      <c r="B834" s="48"/>
      <c r="C834" s="14"/>
      <c r="D834" s="52"/>
      <c r="E834" s="16"/>
      <c r="F834" s="14"/>
      <c r="G834" s="14"/>
      <c r="H834" s="17"/>
      <c r="I834" s="17"/>
      <c r="J834" s="16"/>
      <c r="K834" s="17"/>
      <c r="L834" s="16"/>
      <c r="N834" s="28"/>
    </row>
    <row r="835">
      <c r="A835" s="16" t="str">
        <f t="shared" si="10"/>
        <v/>
      </c>
      <c r="B835" s="48"/>
      <c r="C835" s="14"/>
      <c r="D835" s="52"/>
      <c r="E835" s="16"/>
      <c r="F835" s="14"/>
      <c r="G835" s="14"/>
      <c r="H835" s="14"/>
      <c r="I835" s="17"/>
      <c r="J835" s="16"/>
      <c r="K835" s="17"/>
      <c r="L835" s="16"/>
      <c r="N835" s="28"/>
    </row>
    <row r="836">
      <c r="A836" s="16" t="str">
        <f t="shared" si="10"/>
        <v/>
      </c>
      <c r="B836" s="48"/>
      <c r="C836" s="14"/>
      <c r="D836" s="52"/>
      <c r="E836" s="16"/>
      <c r="F836" s="14"/>
      <c r="G836" s="14"/>
      <c r="H836" s="14"/>
      <c r="I836" s="17"/>
      <c r="J836" s="16"/>
      <c r="K836" s="17"/>
      <c r="L836" s="16"/>
      <c r="N836" s="28"/>
    </row>
    <row r="837">
      <c r="A837" s="16" t="str">
        <f t="shared" si="10"/>
        <v/>
      </c>
      <c r="B837" s="48"/>
      <c r="C837" s="14"/>
      <c r="D837" s="52"/>
      <c r="E837" s="16"/>
      <c r="F837" s="14"/>
      <c r="G837" s="14"/>
      <c r="H837" s="17"/>
      <c r="I837" s="17"/>
      <c r="J837" s="16"/>
      <c r="K837" s="17"/>
      <c r="L837" s="16"/>
      <c r="N837" s="28"/>
    </row>
    <row r="838">
      <c r="A838" s="16" t="str">
        <f t="shared" si="10"/>
        <v/>
      </c>
      <c r="B838" s="48"/>
      <c r="C838" s="14"/>
      <c r="D838" s="52"/>
      <c r="E838" s="16"/>
      <c r="F838" s="14"/>
      <c r="G838" s="14"/>
      <c r="H838" s="14"/>
      <c r="I838" s="17"/>
      <c r="J838" s="16"/>
      <c r="K838" s="17"/>
      <c r="L838" s="16"/>
      <c r="N838" s="28"/>
    </row>
    <row r="839">
      <c r="A839" s="16" t="str">
        <f t="shared" si="10"/>
        <v/>
      </c>
      <c r="B839" s="48"/>
      <c r="C839" s="14"/>
      <c r="D839" s="52"/>
      <c r="E839" s="16"/>
      <c r="F839" s="14"/>
      <c r="G839" s="14"/>
      <c r="H839" s="14"/>
      <c r="I839" s="17"/>
      <c r="J839" s="16"/>
      <c r="K839" s="17"/>
      <c r="L839" s="16"/>
      <c r="N839" s="28"/>
    </row>
    <row r="840">
      <c r="A840" s="16" t="str">
        <f t="shared" si="10"/>
        <v/>
      </c>
      <c r="B840" s="48"/>
      <c r="C840" s="14"/>
      <c r="D840" s="52"/>
      <c r="E840" s="16"/>
      <c r="F840" s="14"/>
      <c r="G840" s="14"/>
      <c r="H840" s="14"/>
      <c r="I840" s="17"/>
      <c r="J840" s="16"/>
      <c r="K840" s="17"/>
      <c r="L840" s="16"/>
      <c r="N840" s="28"/>
    </row>
    <row r="841">
      <c r="A841" s="16" t="str">
        <f t="shared" si="10"/>
        <v/>
      </c>
      <c r="B841" s="48"/>
      <c r="C841" s="14"/>
      <c r="D841" s="52"/>
      <c r="E841" s="16"/>
      <c r="F841" s="14"/>
      <c r="G841" s="14"/>
      <c r="H841" s="14"/>
      <c r="I841" s="17"/>
      <c r="J841" s="16"/>
      <c r="K841" s="17"/>
      <c r="L841" s="14"/>
      <c r="N841" s="28"/>
    </row>
    <row r="842">
      <c r="A842" s="16" t="str">
        <f t="shared" si="10"/>
        <v/>
      </c>
      <c r="B842" s="48"/>
      <c r="C842" s="14"/>
      <c r="D842" s="52"/>
      <c r="E842" s="16"/>
      <c r="F842" s="14"/>
      <c r="G842" s="14"/>
      <c r="H842" s="14"/>
      <c r="I842" s="17"/>
      <c r="J842" s="16"/>
      <c r="K842" s="17"/>
      <c r="L842" s="16"/>
      <c r="N842" s="28"/>
    </row>
    <row r="843">
      <c r="A843" s="16" t="str">
        <f t="shared" si="10"/>
        <v/>
      </c>
      <c r="B843" s="48"/>
      <c r="C843" s="14"/>
      <c r="D843" s="52"/>
      <c r="E843" s="16"/>
      <c r="F843" s="14"/>
      <c r="G843" s="14"/>
      <c r="H843" s="14"/>
      <c r="I843" s="17"/>
      <c r="J843" s="16"/>
      <c r="K843" s="17"/>
      <c r="L843" s="16"/>
      <c r="N843" s="28"/>
    </row>
    <row r="844">
      <c r="A844" s="16" t="str">
        <f t="shared" si="10"/>
        <v/>
      </c>
      <c r="B844" s="48"/>
      <c r="C844" s="14"/>
      <c r="D844" s="52"/>
      <c r="E844" s="16"/>
      <c r="F844" s="14"/>
      <c r="G844" s="14"/>
      <c r="H844" s="17"/>
      <c r="I844" s="17"/>
      <c r="J844" s="16"/>
      <c r="K844" s="17"/>
      <c r="L844" s="16"/>
      <c r="N844" s="28"/>
    </row>
    <row r="845">
      <c r="A845" s="16" t="str">
        <f t="shared" si="10"/>
        <v/>
      </c>
      <c r="B845" s="48"/>
      <c r="C845" s="14"/>
      <c r="D845" s="52"/>
      <c r="E845" s="16"/>
      <c r="F845" s="14"/>
      <c r="G845" s="14"/>
      <c r="H845" s="17"/>
      <c r="I845" s="17"/>
      <c r="J845" s="16"/>
      <c r="K845" s="17"/>
      <c r="L845" s="16"/>
      <c r="N845" s="28"/>
    </row>
    <row r="846">
      <c r="A846" s="16" t="str">
        <f t="shared" si="10"/>
        <v/>
      </c>
      <c r="B846" s="48"/>
      <c r="C846" s="14"/>
      <c r="D846" s="52"/>
      <c r="E846" s="16"/>
      <c r="F846" s="14"/>
      <c r="G846" s="14"/>
      <c r="H846" s="17"/>
      <c r="I846" s="17"/>
      <c r="J846" s="16"/>
      <c r="K846" s="17"/>
      <c r="L846" s="16"/>
      <c r="N846" s="28"/>
    </row>
    <row r="847">
      <c r="A847" s="16" t="str">
        <f t="shared" si="10"/>
        <v/>
      </c>
      <c r="B847" s="48"/>
      <c r="C847" s="14"/>
      <c r="D847" s="52"/>
      <c r="E847" s="16"/>
      <c r="F847" s="14"/>
      <c r="G847" s="14"/>
      <c r="H847" s="14"/>
      <c r="I847" s="17"/>
      <c r="J847" s="16"/>
      <c r="K847" s="17"/>
      <c r="L847" s="16"/>
      <c r="N847" s="28"/>
    </row>
    <row r="848">
      <c r="A848" s="16" t="str">
        <f t="shared" si="10"/>
        <v/>
      </c>
      <c r="B848" s="48"/>
      <c r="C848" s="14"/>
      <c r="D848" s="52"/>
      <c r="E848" s="16"/>
      <c r="F848" s="14"/>
      <c r="G848" s="14"/>
      <c r="H848" s="14"/>
      <c r="I848" s="17"/>
      <c r="J848" s="16"/>
      <c r="K848" s="17"/>
      <c r="L848" s="16"/>
      <c r="N848" s="28"/>
    </row>
    <row r="849">
      <c r="A849" s="16" t="str">
        <f t="shared" si="10"/>
        <v/>
      </c>
      <c r="B849" s="48"/>
      <c r="C849" s="14"/>
      <c r="D849" s="52"/>
      <c r="E849" s="16"/>
      <c r="F849" s="14"/>
      <c r="G849" s="14"/>
      <c r="H849" s="14"/>
      <c r="I849" s="17"/>
      <c r="J849" s="16"/>
      <c r="K849" s="17"/>
      <c r="L849" s="16"/>
      <c r="N849" s="28"/>
    </row>
    <row r="850">
      <c r="A850" s="16" t="str">
        <f t="shared" si="10"/>
        <v/>
      </c>
      <c r="B850" s="48"/>
      <c r="C850" s="14"/>
      <c r="D850" s="52"/>
      <c r="E850" s="16"/>
      <c r="F850" s="14"/>
      <c r="G850" s="14"/>
      <c r="H850" s="14"/>
      <c r="I850" s="17"/>
      <c r="J850" s="16"/>
      <c r="K850" s="17"/>
      <c r="L850" s="16"/>
      <c r="N850" s="28"/>
    </row>
    <row r="851">
      <c r="A851" s="16" t="str">
        <f t="shared" si="10"/>
        <v/>
      </c>
      <c r="B851" s="48"/>
      <c r="C851" s="14"/>
      <c r="D851" s="52"/>
      <c r="E851" s="16"/>
      <c r="F851" s="14"/>
      <c r="G851" s="14"/>
      <c r="H851" s="17"/>
      <c r="I851" s="17"/>
      <c r="J851" s="16"/>
      <c r="K851" s="17"/>
      <c r="L851" s="16"/>
      <c r="N851" s="28"/>
    </row>
    <row r="852">
      <c r="A852" s="16" t="str">
        <f t="shared" si="10"/>
        <v/>
      </c>
      <c r="B852" s="48"/>
      <c r="C852" s="14"/>
      <c r="D852" s="52"/>
      <c r="E852" s="16"/>
      <c r="F852" s="14"/>
      <c r="G852" s="14"/>
      <c r="H852" s="14"/>
      <c r="I852" s="17"/>
      <c r="J852" s="16"/>
      <c r="K852" s="17"/>
      <c r="L852" s="16"/>
      <c r="N852" s="28"/>
    </row>
    <row r="853">
      <c r="A853" s="16" t="str">
        <f t="shared" si="10"/>
        <v/>
      </c>
      <c r="B853" s="48"/>
      <c r="C853" s="14"/>
      <c r="D853" s="52"/>
      <c r="E853" s="16"/>
      <c r="F853" s="14"/>
      <c r="G853" s="14"/>
      <c r="H853" s="17"/>
      <c r="I853" s="17"/>
      <c r="J853" s="16"/>
      <c r="K853" s="17"/>
      <c r="L853" s="16"/>
      <c r="N853" s="28"/>
    </row>
    <row r="854">
      <c r="A854" s="16" t="str">
        <f t="shared" si="10"/>
        <v/>
      </c>
      <c r="B854" s="48"/>
      <c r="C854" s="14"/>
      <c r="D854" s="52"/>
      <c r="E854" s="16"/>
      <c r="F854" s="14"/>
      <c r="G854" s="14"/>
      <c r="H854" s="14"/>
      <c r="I854" s="17"/>
      <c r="J854" s="16"/>
      <c r="K854" s="17"/>
      <c r="L854" s="16"/>
      <c r="N854" s="28"/>
    </row>
    <row r="855">
      <c r="A855" s="16" t="str">
        <f t="shared" si="10"/>
        <v/>
      </c>
      <c r="B855" s="48"/>
      <c r="C855" s="14"/>
      <c r="D855" s="52"/>
      <c r="E855" s="16"/>
      <c r="F855" s="14"/>
      <c r="G855" s="14"/>
      <c r="H855" s="14"/>
      <c r="I855" s="17"/>
      <c r="J855" s="16"/>
      <c r="K855" s="17"/>
      <c r="L855" s="16"/>
      <c r="N855" s="28"/>
    </row>
    <row r="856">
      <c r="A856" s="16" t="str">
        <f t="shared" si="10"/>
        <v/>
      </c>
      <c r="B856" s="48"/>
      <c r="C856" s="14"/>
      <c r="D856" s="52"/>
      <c r="E856" s="16"/>
      <c r="F856" s="14"/>
      <c r="G856" s="14"/>
      <c r="H856" s="14"/>
      <c r="I856" s="17"/>
      <c r="J856" s="16"/>
      <c r="K856" s="17"/>
      <c r="L856" s="16"/>
      <c r="N856" s="28"/>
    </row>
    <row r="857">
      <c r="A857" s="16" t="str">
        <f t="shared" si="10"/>
        <v/>
      </c>
      <c r="B857" s="48"/>
      <c r="C857" s="14"/>
      <c r="D857" s="52"/>
      <c r="E857" s="16"/>
      <c r="F857" s="14"/>
      <c r="G857" s="14"/>
      <c r="H857" s="14"/>
      <c r="I857" s="17"/>
      <c r="J857" s="16"/>
      <c r="K857" s="17"/>
      <c r="L857" s="16"/>
      <c r="N857" s="28"/>
    </row>
    <row r="858">
      <c r="A858" s="16" t="str">
        <f t="shared" si="10"/>
        <v/>
      </c>
      <c r="B858" s="48"/>
      <c r="C858" s="14"/>
      <c r="D858" s="52"/>
      <c r="E858" s="16"/>
      <c r="F858" s="14"/>
      <c r="G858" s="14"/>
      <c r="H858" s="14"/>
      <c r="I858" s="17"/>
      <c r="J858" s="16"/>
      <c r="K858" s="17"/>
      <c r="L858" s="16"/>
      <c r="N858" s="28"/>
    </row>
    <row r="859">
      <c r="A859" s="16" t="str">
        <f t="shared" si="10"/>
        <v/>
      </c>
      <c r="B859" s="48"/>
      <c r="C859" s="14"/>
      <c r="D859" s="52"/>
      <c r="E859" s="16"/>
      <c r="F859" s="14"/>
      <c r="G859" s="14"/>
      <c r="H859" s="17"/>
      <c r="I859" s="17"/>
      <c r="J859" s="16"/>
      <c r="K859" s="17"/>
      <c r="L859" s="16"/>
      <c r="N859" s="28"/>
    </row>
    <row r="860">
      <c r="A860" s="16" t="str">
        <f t="shared" si="10"/>
        <v/>
      </c>
      <c r="B860" s="48"/>
      <c r="C860" s="14"/>
      <c r="D860" s="52"/>
      <c r="E860" s="16"/>
      <c r="F860" s="14"/>
      <c r="G860" s="14"/>
      <c r="H860" s="14"/>
      <c r="I860" s="17"/>
      <c r="J860" s="16"/>
      <c r="K860" s="17"/>
      <c r="L860" s="16"/>
      <c r="N860" s="28"/>
    </row>
    <row r="861">
      <c r="A861" s="16" t="str">
        <f t="shared" si="10"/>
        <v/>
      </c>
      <c r="B861" s="48"/>
      <c r="C861" s="14"/>
      <c r="D861" s="52"/>
      <c r="E861" s="16"/>
      <c r="F861" s="14"/>
      <c r="G861" s="14"/>
      <c r="H861" s="17"/>
      <c r="I861" s="17"/>
      <c r="J861" s="16"/>
      <c r="K861" s="17"/>
      <c r="L861" s="16"/>
      <c r="N861" s="28"/>
    </row>
    <row r="862">
      <c r="A862" s="16" t="str">
        <f t="shared" si="10"/>
        <v/>
      </c>
      <c r="B862" s="48"/>
      <c r="C862" s="14"/>
      <c r="D862" s="52"/>
      <c r="E862" s="16"/>
      <c r="F862" s="14"/>
      <c r="G862" s="14"/>
      <c r="H862" s="17"/>
      <c r="I862" s="17"/>
      <c r="J862" s="16"/>
      <c r="K862" s="17"/>
      <c r="L862" s="16"/>
      <c r="N862" s="28"/>
    </row>
    <row r="863">
      <c r="A863" s="16" t="str">
        <f t="shared" si="10"/>
        <v/>
      </c>
      <c r="B863" s="48"/>
      <c r="C863" s="14"/>
      <c r="D863" s="52"/>
      <c r="E863" s="16"/>
      <c r="F863" s="14"/>
      <c r="G863" s="14"/>
      <c r="H863" s="14"/>
      <c r="I863" s="17"/>
      <c r="J863" s="16"/>
      <c r="K863" s="17"/>
      <c r="L863" s="16"/>
      <c r="N863" s="28"/>
    </row>
    <row r="864">
      <c r="A864" s="16" t="str">
        <f t="shared" si="10"/>
        <v/>
      </c>
      <c r="B864" s="48"/>
      <c r="C864" s="14"/>
      <c r="D864" s="52"/>
      <c r="E864" s="16"/>
      <c r="F864" s="14"/>
      <c r="G864" s="14"/>
      <c r="H864" s="14"/>
      <c r="I864" s="17"/>
      <c r="J864" s="16"/>
      <c r="K864" s="17"/>
      <c r="L864" s="16"/>
      <c r="N864" s="28"/>
    </row>
    <row r="865">
      <c r="A865" s="16" t="str">
        <f t="shared" si="10"/>
        <v/>
      </c>
      <c r="B865" s="48"/>
      <c r="C865" s="14"/>
      <c r="D865" s="52"/>
      <c r="E865" s="16"/>
      <c r="F865" s="14"/>
      <c r="G865" s="14"/>
      <c r="H865" s="17"/>
      <c r="I865" s="17"/>
      <c r="J865" s="16"/>
      <c r="K865" s="17"/>
      <c r="L865" s="16"/>
      <c r="N865" s="28"/>
    </row>
    <row r="866">
      <c r="A866" s="16" t="str">
        <f t="shared" si="10"/>
        <v/>
      </c>
      <c r="B866" s="48"/>
      <c r="C866" s="14"/>
      <c r="D866" s="52"/>
      <c r="E866" s="16"/>
      <c r="F866" s="14"/>
      <c r="G866" s="14"/>
      <c r="H866" s="14"/>
      <c r="I866" s="17"/>
      <c r="J866" s="16"/>
      <c r="K866" s="17"/>
      <c r="L866" s="16"/>
      <c r="N866" s="28"/>
    </row>
    <row r="867">
      <c r="A867" s="16" t="str">
        <f t="shared" si="10"/>
        <v/>
      </c>
      <c r="B867" s="48"/>
      <c r="C867" s="14"/>
      <c r="D867" s="52"/>
      <c r="E867" s="16"/>
      <c r="F867" s="14"/>
      <c r="G867" s="14"/>
      <c r="H867" s="17"/>
      <c r="I867" s="17"/>
      <c r="J867" s="16"/>
      <c r="K867" s="17"/>
      <c r="L867" s="16"/>
      <c r="N867" s="28"/>
    </row>
    <row r="868">
      <c r="A868" s="16" t="str">
        <f t="shared" si="10"/>
        <v/>
      </c>
      <c r="B868" s="48"/>
      <c r="C868" s="14"/>
      <c r="D868" s="52"/>
      <c r="E868" s="16"/>
      <c r="F868" s="14"/>
      <c r="G868" s="14"/>
      <c r="H868" s="14"/>
      <c r="I868" s="17"/>
      <c r="J868" s="16"/>
      <c r="K868" s="17"/>
      <c r="L868" s="16"/>
      <c r="N868" s="28"/>
    </row>
    <row r="869">
      <c r="A869" s="16" t="str">
        <f t="shared" si="10"/>
        <v/>
      </c>
      <c r="B869" s="48"/>
      <c r="C869" s="14"/>
      <c r="D869" s="52"/>
      <c r="E869" s="16"/>
      <c r="F869" s="14"/>
      <c r="G869" s="14"/>
      <c r="H869" s="14"/>
      <c r="I869" s="17"/>
      <c r="J869" s="16"/>
      <c r="K869" s="17"/>
      <c r="L869" s="16"/>
      <c r="N869" s="28"/>
    </row>
    <row r="870">
      <c r="A870" s="16" t="str">
        <f t="shared" si="10"/>
        <v/>
      </c>
      <c r="B870" s="48"/>
      <c r="C870" s="14"/>
      <c r="D870" s="52"/>
      <c r="E870" s="16"/>
      <c r="F870" s="14"/>
      <c r="G870" s="14"/>
      <c r="H870" s="14"/>
      <c r="I870" s="17"/>
      <c r="J870" s="16"/>
      <c r="K870" s="17"/>
      <c r="L870" s="16"/>
      <c r="N870" s="28"/>
    </row>
    <row r="871">
      <c r="A871" s="16" t="str">
        <f t="shared" si="10"/>
        <v/>
      </c>
      <c r="B871" s="48"/>
      <c r="C871" s="14"/>
      <c r="D871" s="52"/>
      <c r="E871" s="16"/>
      <c r="F871" s="14"/>
      <c r="G871" s="14"/>
      <c r="H871" s="17"/>
      <c r="I871" s="17"/>
      <c r="J871" s="16"/>
      <c r="K871" s="14"/>
      <c r="L871" s="16"/>
      <c r="N871" s="28"/>
    </row>
    <row r="872">
      <c r="A872" s="16" t="str">
        <f t="shared" si="10"/>
        <v/>
      </c>
      <c r="B872" s="48"/>
      <c r="C872" s="14"/>
      <c r="D872" s="52"/>
      <c r="E872" s="16"/>
      <c r="F872" s="14"/>
      <c r="G872" s="14"/>
      <c r="H872" s="14"/>
      <c r="I872" s="17"/>
      <c r="J872" s="16"/>
      <c r="K872" s="17"/>
      <c r="L872" s="20"/>
      <c r="N872" s="28"/>
    </row>
    <row r="873">
      <c r="A873" s="16" t="str">
        <f t="shared" si="10"/>
        <v/>
      </c>
      <c r="B873" s="48"/>
      <c r="C873" s="14"/>
      <c r="D873" s="52"/>
      <c r="E873" s="16"/>
      <c r="F873" s="14"/>
      <c r="G873" s="14"/>
      <c r="H873" s="14"/>
      <c r="I873" s="17"/>
      <c r="J873" s="16"/>
      <c r="K873" s="17"/>
      <c r="L873" s="16"/>
      <c r="N873" s="28"/>
    </row>
    <row r="874">
      <c r="A874" s="16" t="str">
        <f t="shared" si="10"/>
        <v/>
      </c>
      <c r="B874" s="48"/>
      <c r="C874" s="14"/>
      <c r="D874" s="52"/>
      <c r="E874" s="16"/>
      <c r="F874" s="14"/>
      <c r="G874" s="14"/>
      <c r="H874" s="17"/>
      <c r="I874" s="17"/>
      <c r="J874" s="16"/>
      <c r="K874" s="17"/>
      <c r="L874" s="16"/>
      <c r="N874" s="28"/>
    </row>
    <row r="875">
      <c r="A875" s="16" t="str">
        <f t="shared" si="10"/>
        <v/>
      </c>
      <c r="B875" s="48"/>
      <c r="C875" s="14"/>
      <c r="D875" s="52"/>
      <c r="E875" s="16"/>
      <c r="F875" s="14"/>
      <c r="G875" s="14"/>
      <c r="H875" s="14"/>
      <c r="I875" s="17"/>
      <c r="J875" s="16"/>
      <c r="K875" s="17"/>
      <c r="L875" s="16"/>
      <c r="N875" s="28"/>
    </row>
    <row r="876">
      <c r="A876" s="16" t="str">
        <f t="shared" si="10"/>
        <v/>
      </c>
      <c r="B876" s="48"/>
      <c r="C876" s="14"/>
      <c r="D876" s="52"/>
      <c r="E876" s="16"/>
      <c r="F876" s="14"/>
      <c r="G876" s="14"/>
      <c r="H876" s="14"/>
      <c r="I876" s="17"/>
      <c r="J876" s="16"/>
      <c r="K876" s="17"/>
      <c r="L876" s="16"/>
      <c r="N876" s="28"/>
    </row>
    <row r="877">
      <c r="A877" s="16" t="str">
        <f t="shared" si="10"/>
        <v/>
      </c>
      <c r="B877" s="48"/>
      <c r="C877" s="14"/>
      <c r="D877" s="52"/>
      <c r="E877" s="16"/>
      <c r="F877" s="14"/>
      <c r="G877" s="14"/>
      <c r="H877" s="14"/>
      <c r="I877" s="14"/>
      <c r="J877" s="16"/>
      <c r="K877" s="17"/>
      <c r="L877" s="16"/>
      <c r="N877" s="28"/>
    </row>
    <row r="878">
      <c r="A878" s="16" t="str">
        <f t="shared" si="10"/>
        <v/>
      </c>
      <c r="B878" s="48"/>
      <c r="C878" s="14"/>
      <c r="D878" s="52"/>
      <c r="E878" s="16"/>
      <c r="F878" s="14"/>
      <c r="G878" s="14"/>
      <c r="H878" s="14"/>
      <c r="I878" s="17"/>
      <c r="J878" s="16"/>
      <c r="K878" s="17"/>
      <c r="L878" s="16"/>
      <c r="N878" s="28"/>
    </row>
    <row r="879">
      <c r="A879" s="16" t="str">
        <f t="shared" si="10"/>
        <v/>
      </c>
      <c r="B879" s="48"/>
      <c r="C879" s="14"/>
      <c r="D879" s="52"/>
      <c r="E879" s="16"/>
      <c r="F879" s="14"/>
      <c r="G879" s="14"/>
      <c r="H879" s="14"/>
      <c r="I879" s="17"/>
      <c r="J879" s="16"/>
      <c r="K879" s="17"/>
      <c r="L879" s="16"/>
      <c r="N879" s="28"/>
    </row>
    <row r="880">
      <c r="A880" s="16" t="str">
        <f t="shared" si="10"/>
        <v/>
      </c>
      <c r="B880" s="48"/>
      <c r="C880" s="14"/>
      <c r="D880" s="52"/>
      <c r="E880" s="16"/>
      <c r="F880" s="14"/>
      <c r="G880" s="14"/>
      <c r="H880" s="14"/>
      <c r="I880" s="17"/>
      <c r="J880" s="16"/>
      <c r="K880" s="17"/>
      <c r="L880" s="16"/>
      <c r="N880" s="28"/>
    </row>
    <row r="881">
      <c r="A881" s="16" t="str">
        <f t="shared" si="10"/>
        <v/>
      </c>
      <c r="B881" s="48"/>
      <c r="C881" s="14"/>
      <c r="D881" s="52"/>
      <c r="E881" s="16"/>
      <c r="F881" s="14"/>
      <c r="G881" s="14"/>
      <c r="H881" s="14"/>
      <c r="I881" s="17"/>
      <c r="J881" s="16"/>
      <c r="K881" s="17"/>
      <c r="L881" s="16"/>
      <c r="N881" s="28"/>
    </row>
    <row r="882">
      <c r="A882" s="16" t="str">
        <f t="shared" si="10"/>
        <v/>
      </c>
      <c r="B882" s="48"/>
      <c r="C882" s="14"/>
      <c r="D882" s="52"/>
      <c r="E882" s="16"/>
      <c r="F882" s="14"/>
      <c r="G882" s="14"/>
      <c r="H882" s="14"/>
      <c r="I882" s="17"/>
      <c r="J882" s="16"/>
      <c r="K882" s="17"/>
      <c r="L882" s="16"/>
      <c r="N882" s="28"/>
    </row>
    <row r="883">
      <c r="A883" s="16" t="str">
        <f t="shared" si="10"/>
        <v/>
      </c>
      <c r="B883" s="48"/>
      <c r="C883" s="14"/>
      <c r="D883" s="52"/>
      <c r="E883" s="16"/>
      <c r="F883" s="14"/>
      <c r="G883" s="14"/>
      <c r="H883" s="17"/>
      <c r="I883" s="17"/>
      <c r="J883" s="16"/>
      <c r="K883" s="17"/>
      <c r="L883" s="16"/>
      <c r="N883" s="28"/>
    </row>
    <row r="884">
      <c r="A884" s="16" t="str">
        <f t="shared" si="10"/>
        <v/>
      </c>
      <c r="B884" s="48"/>
      <c r="C884" s="14"/>
      <c r="D884" s="52"/>
      <c r="E884" s="16"/>
      <c r="F884" s="14"/>
      <c r="G884" s="14"/>
      <c r="H884" s="17"/>
      <c r="I884" s="17"/>
      <c r="J884" s="16"/>
      <c r="K884" s="17"/>
      <c r="L884" s="16"/>
      <c r="N884" s="28"/>
    </row>
    <row r="885">
      <c r="A885" s="16" t="str">
        <f t="shared" si="10"/>
        <v/>
      </c>
      <c r="B885" s="48"/>
      <c r="C885" s="14"/>
      <c r="D885" s="52"/>
      <c r="E885" s="16"/>
      <c r="F885" s="14"/>
      <c r="G885" s="14"/>
      <c r="H885" s="14"/>
      <c r="I885" s="17"/>
      <c r="J885" s="16"/>
      <c r="K885" s="17"/>
      <c r="L885" s="16"/>
      <c r="N885" s="28"/>
    </row>
    <row r="886">
      <c r="A886" s="16" t="str">
        <f t="shared" si="10"/>
        <v/>
      </c>
      <c r="B886" s="48"/>
      <c r="C886" s="14"/>
      <c r="D886" s="52"/>
      <c r="E886" s="16"/>
      <c r="F886" s="14"/>
      <c r="G886" s="14"/>
      <c r="H886" s="14"/>
      <c r="I886" s="17"/>
      <c r="J886" s="16"/>
      <c r="K886" s="17"/>
      <c r="L886" s="16"/>
      <c r="N886" s="28"/>
    </row>
    <row r="887">
      <c r="A887" s="16" t="str">
        <f t="shared" si="10"/>
        <v/>
      </c>
      <c r="B887" s="48"/>
      <c r="C887" s="14"/>
      <c r="D887" s="52"/>
      <c r="E887" s="16"/>
      <c r="F887" s="14"/>
      <c r="G887" s="14"/>
      <c r="H887" s="14"/>
      <c r="I887" s="17"/>
      <c r="J887" s="16"/>
      <c r="K887" s="17"/>
      <c r="L887" s="16"/>
      <c r="N887" s="28"/>
    </row>
    <row r="888">
      <c r="A888" s="16" t="str">
        <f t="shared" si="10"/>
        <v/>
      </c>
      <c r="B888" s="48"/>
      <c r="C888" s="14"/>
      <c r="D888" s="52"/>
      <c r="E888" s="16"/>
      <c r="F888" s="14"/>
      <c r="G888" s="14"/>
      <c r="H888" s="14"/>
      <c r="I888" s="17"/>
      <c r="J888" s="16"/>
      <c r="K888" s="17"/>
      <c r="L888" s="16"/>
      <c r="N888" s="28"/>
    </row>
    <row r="889">
      <c r="A889" s="16" t="str">
        <f t="shared" si="10"/>
        <v/>
      </c>
      <c r="B889" s="48"/>
      <c r="C889" s="14"/>
      <c r="D889" s="52"/>
      <c r="E889" s="16"/>
      <c r="F889" s="14"/>
      <c r="G889" s="14"/>
      <c r="H889" s="14"/>
      <c r="I889" s="17"/>
      <c r="J889" s="16"/>
      <c r="K889" s="17"/>
      <c r="L889" s="16"/>
      <c r="N889" s="28"/>
    </row>
    <row r="890">
      <c r="A890" s="16" t="str">
        <f t="shared" si="10"/>
        <v/>
      </c>
      <c r="B890" s="48"/>
      <c r="C890" s="14"/>
      <c r="D890" s="52"/>
      <c r="E890" s="16"/>
      <c r="F890" s="14"/>
      <c r="G890" s="14"/>
      <c r="H890" s="14"/>
      <c r="I890" s="17"/>
      <c r="J890" s="16"/>
      <c r="K890" s="17"/>
      <c r="L890" s="16"/>
      <c r="N890" s="28"/>
    </row>
    <row r="891">
      <c r="A891" s="16" t="str">
        <f t="shared" si="10"/>
        <v/>
      </c>
      <c r="B891" s="48"/>
      <c r="C891" s="14"/>
      <c r="D891" s="52"/>
      <c r="E891" s="16"/>
      <c r="F891" s="14"/>
      <c r="G891" s="14"/>
      <c r="H891" s="14"/>
      <c r="I891" s="17"/>
      <c r="J891" s="16"/>
      <c r="K891" s="17"/>
      <c r="L891" s="16"/>
      <c r="N891" s="28"/>
    </row>
    <row r="892">
      <c r="A892" s="16" t="str">
        <f t="shared" si="10"/>
        <v/>
      </c>
      <c r="B892" s="48"/>
      <c r="C892" s="14"/>
      <c r="D892" s="52"/>
      <c r="E892" s="16"/>
      <c r="F892" s="14"/>
      <c r="G892" s="14"/>
      <c r="H892" s="14"/>
      <c r="I892" s="17"/>
      <c r="J892" s="16"/>
      <c r="K892" s="17"/>
      <c r="L892" s="16"/>
      <c r="N892" s="28"/>
    </row>
    <row r="893">
      <c r="A893" s="16" t="str">
        <f t="shared" si="10"/>
        <v/>
      </c>
      <c r="B893" s="48"/>
      <c r="C893" s="14"/>
      <c r="D893" s="52"/>
      <c r="E893" s="16"/>
      <c r="F893" s="14"/>
      <c r="G893" s="14"/>
      <c r="H893" s="14"/>
      <c r="I893" s="17"/>
      <c r="J893" s="16"/>
      <c r="K893" s="17"/>
      <c r="L893" s="16"/>
      <c r="N893" s="28"/>
    </row>
    <row r="894">
      <c r="A894" s="16" t="str">
        <f t="shared" si="10"/>
        <v/>
      </c>
      <c r="B894" s="48"/>
      <c r="C894" s="14"/>
      <c r="D894" s="52"/>
      <c r="E894" s="16"/>
      <c r="F894" s="14"/>
      <c r="G894" s="14"/>
      <c r="H894" s="14"/>
      <c r="I894" s="17"/>
      <c r="J894" s="16"/>
      <c r="K894" s="17"/>
      <c r="L894" s="16"/>
      <c r="N894" s="28"/>
    </row>
    <row r="895">
      <c r="A895" s="16" t="str">
        <f t="shared" si="10"/>
        <v/>
      </c>
      <c r="B895" s="48"/>
      <c r="C895" s="14"/>
      <c r="D895" s="52"/>
      <c r="E895" s="16"/>
      <c r="F895" s="14"/>
      <c r="G895" s="14"/>
      <c r="H895" s="14"/>
      <c r="I895" s="17"/>
      <c r="J895" s="16"/>
      <c r="K895" s="17"/>
      <c r="L895" s="16"/>
      <c r="N895" s="28"/>
    </row>
    <row r="896">
      <c r="A896" s="16" t="str">
        <f t="shared" si="10"/>
        <v/>
      </c>
      <c r="B896" s="48"/>
      <c r="C896" s="14"/>
      <c r="D896" s="52"/>
      <c r="E896" s="16"/>
      <c r="F896" s="14"/>
      <c r="G896" s="14"/>
      <c r="H896" s="14"/>
      <c r="I896" s="17"/>
      <c r="J896" s="16"/>
      <c r="K896" s="17"/>
      <c r="L896" s="16"/>
      <c r="N896" s="28"/>
    </row>
    <row r="897">
      <c r="A897" s="16" t="str">
        <f t="shared" si="10"/>
        <v/>
      </c>
      <c r="B897" s="48"/>
      <c r="C897" s="14"/>
      <c r="D897" s="52"/>
      <c r="E897" s="16"/>
      <c r="F897" s="14"/>
      <c r="G897" s="14"/>
      <c r="H897" s="14"/>
      <c r="I897" s="17"/>
      <c r="J897" s="16"/>
      <c r="K897" s="17"/>
      <c r="L897" s="16"/>
      <c r="N897" s="28"/>
    </row>
    <row r="898">
      <c r="A898" s="16" t="str">
        <f t="shared" si="10"/>
        <v/>
      </c>
      <c r="B898" s="48"/>
      <c r="C898" s="14"/>
      <c r="D898" s="52"/>
      <c r="E898" s="16"/>
      <c r="F898" s="14"/>
      <c r="G898" s="14"/>
      <c r="H898" s="14"/>
      <c r="I898" s="17"/>
      <c r="J898" s="16"/>
      <c r="K898" s="17"/>
      <c r="L898" s="16"/>
      <c r="N898" s="28"/>
    </row>
    <row r="899">
      <c r="A899" s="16" t="str">
        <f t="shared" si="10"/>
        <v/>
      </c>
      <c r="B899" s="48"/>
      <c r="C899" s="14"/>
      <c r="D899" s="52"/>
      <c r="E899" s="16"/>
      <c r="F899" s="14"/>
      <c r="G899" s="14"/>
      <c r="H899" s="17"/>
      <c r="I899" s="17"/>
      <c r="J899" s="16"/>
      <c r="K899" s="17"/>
      <c r="L899" s="16"/>
      <c r="N899" s="28"/>
    </row>
    <row r="900">
      <c r="A900" s="16" t="str">
        <f t="shared" si="10"/>
        <v/>
      </c>
      <c r="B900" s="48"/>
      <c r="C900" s="14"/>
      <c r="D900" s="52"/>
      <c r="E900" s="16"/>
      <c r="F900" s="14"/>
      <c r="G900" s="14"/>
      <c r="H900" s="14"/>
      <c r="I900" s="17"/>
      <c r="J900" s="16"/>
      <c r="K900" s="17"/>
      <c r="L900" s="16"/>
      <c r="N900" s="28"/>
    </row>
    <row r="901">
      <c r="A901" s="16" t="str">
        <f t="shared" si="10"/>
        <v/>
      </c>
      <c r="B901" s="48"/>
      <c r="C901" s="14"/>
      <c r="D901" s="52"/>
      <c r="E901" s="16"/>
      <c r="F901" s="14"/>
      <c r="G901" s="14"/>
      <c r="H901" s="17"/>
      <c r="I901" s="17"/>
      <c r="J901" s="16"/>
      <c r="K901" s="17"/>
      <c r="L901" s="16"/>
      <c r="N901" s="28"/>
    </row>
    <row r="902">
      <c r="A902" s="16" t="str">
        <f t="shared" si="10"/>
        <v/>
      </c>
      <c r="B902" s="48"/>
      <c r="C902" s="14"/>
      <c r="D902" s="52"/>
      <c r="E902" s="16"/>
      <c r="F902" s="14"/>
      <c r="G902" s="14"/>
      <c r="H902" s="17"/>
      <c r="I902" s="17"/>
      <c r="J902" s="16"/>
      <c r="K902" s="17"/>
      <c r="L902" s="16"/>
      <c r="N902" s="28"/>
    </row>
    <row r="903">
      <c r="A903" s="16" t="str">
        <f t="shared" si="10"/>
        <v/>
      </c>
      <c r="B903" s="48"/>
      <c r="C903" s="14"/>
      <c r="D903" s="52"/>
      <c r="E903" s="16"/>
      <c r="F903" s="14"/>
      <c r="G903" s="14"/>
      <c r="H903" s="14"/>
      <c r="I903" s="17"/>
      <c r="J903" s="16"/>
      <c r="K903" s="17"/>
      <c r="L903" s="16"/>
      <c r="N903" s="28"/>
    </row>
    <row r="904">
      <c r="A904" s="16" t="str">
        <f t="shared" si="10"/>
        <v/>
      </c>
      <c r="B904" s="48"/>
      <c r="C904" s="14"/>
      <c r="D904" s="52"/>
      <c r="E904" s="16"/>
      <c r="F904" s="14"/>
      <c r="G904" s="14"/>
      <c r="H904" s="17"/>
      <c r="I904" s="17"/>
      <c r="J904" s="16"/>
      <c r="K904" s="17"/>
      <c r="L904" s="16"/>
      <c r="N904" s="28"/>
    </row>
    <row r="905">
      <c r="A905" s="16" t="str">
        <f t="shared" si="10"/>
        <v/>
      </c>
      <c r="B905" s="48"/>
      <c r="C905" s="14"/>
      <c r="D905" s="52"/>
      <c r="E905" s="16"/>
      <c r="F905" s="14"/>
      <c r="G905" s="14"/>
      <c r="H905" s="17"/>
      <c r="I905" s="17"/>
      <c r="J905" s="16"/>
      <c r="K905" s="17"/>
      <c r="L905" s="16"/>
      <c r="N905" s="28"/>
    </row>
    <row r="906">
      <c r="A906" s="16" t="str">
        <f t="shared" si="10"/>
        <v/>
      </c>
      <c r="B906" s="48"/>
      <c r="C906" s="14"/>
      <c r="D906" s="52"/>
      <c r="E906" s="16"/>
      <c r="F906" s="14"/>
      <c r="G906" s="14"/>
      <c r="H906" s="17"/>
      <c r="I906" s="17"/>
      <c r="J906" s="16"/>
      <c r="K906" s="17"/>
      <c r="L906" s="16"/>
      <c r="N906" s="28"/>
    </row>
    <row r="907">
      <c r="A907" s="16" t="str">
        <f t="shared" si="10"/>
        <v/>
      </c>
      <c r="B907" s="48"/>
      <c r="C907" s="14"/>
      <c r="D907" s="52"/>
      <c r="E907" s="16"/>
      <c r="F907" s="14"/>
      <c r="G907" s="14"/>
      <c r="H907" s="14"/>
      <c r="I907" s="17"/>
      <c r="J907" s="16"/>
      <c r="K907" s="17"/>
      <c r="L907" s="16"/>
      <c r="N907" s="28"/>
    </row>
    <row r="908">
      <c r="A908" s="16" t="str">
        <f t="shared" si="10"/>
        <v/>
      </c>
      <c r="B908" s="48"/>
      <c r="C908" s="14"/>
      <c r="D908" s="52"/>
      <c r="E908" s="16"/>
      <c r="F908" s="14"/>
      <c r="G908" s="14"/>
      <c r="H908" s="14"/>
      <c r="I908" s="17"/>
      <c r="J908" s="16"/>
      <c r="K908" s="17"/>
      <c r="L908" s="16"/>
      <c r="N908" s="28"/>
    </row>
    <row r="909">
      <c r="A909" s="16" t="str">
        <f t="shared" si="10"/>
        <v/>
      </c>
      <c r="B909" s="48"/>
      <c r="C909" s="14"/>
      <c r="D909" s="52"/>
      <c r="E909" s="16"/>
      <c r="F909" s="14"/>
      <c r="G909" s="14"/>
      <c r="H909" s="14"/>
      <c r="I909" s="17"/>
      <c r="J909" s="16"/>
      <c r="K909" s="17"/>
      <c r="L909" s="16"/>
      <c r="N909" s="28"/>
    </row>
    <row r="910">
      <c r="A910" s="16" t="str">
        <f t="shared" si="10"/>
        <v/>
      </c>
      <c r="B910" s="48"/>
      <c r="C910" s="14"/>
      <c r="D910" s="52"/>
      <c r="E910" s="16"/>
      <c r="F910" s="14"/>
      <c r="G910" s="14"/>
      <c r="H910" s="14"/>
      <c r="I910" s="17"/>
      <c r="J910" s="16"/>
      <c r="K910" s="17"/>
      <c r="L910" s="16"/>
      <c r="N910" s="28"/>
    </row>
    <row r="911">
      <c r="A911" s="16" t="str">
        <f t="shared" si="10"/>
        <v/>
      </c>
      <c r="B911" s="48"/>
      <c r="C911" s="14"/>
      <c r="D911" s="52"/>
      <c r="E911" s="16"/>
      <c r="F911" s="14"/>
      <c r="G911" s="14"/>
      <c r="H911" s="17"/>
      <c r="I911" s="17"/>
      <c r="J911" s="16"/>
      <c r="K911" s="17"/>
      <c r="L911" s="16"/>
      <c r="N911" s="28"/>
    </row>
    <row r="912">
      <c r="A912" s="16" t="str">
        <f t="shared" si="10"/>
        <v/>
      </c>
      <c r="B912" s="48"/>
      <c r="C912" s="14"/>
      <c r="D912" s="52"/>
      <c r="E912" s="16"/>
      <c r="F912" s="14"/>
      <c r="G912" s="14"/>
      <c r="H912" s="17"/>
      <c r="I912" s="17"/>
      <c r="J912" s="16"/>
      <c r="K912" s="17"/>
      <c r="L912" s="16"/>
      <c r="N912" s="28"/>
    </row>
    <row r="913">
      <c r="A913" s="16" t="str">
        <f t="shared" si="10"/>
        <v/>
      </c>
      <c r="B913" s="48"/>
      <c r="C913" s="14"/>
      <c r="D913" s="52"/>
      <c r="E913" s="16"/>
      <c r="F913" s="14"/>
      <c r="G913" s="14"/>
      <c r="H913" s="14"/>
      <c r="I913" s="17"/>
      <c r="J913" s="16"/>
      <c r="K913" s="17"/>
      <c r="L913" s="16"/>
      <c r="N913" s="28"/>
    </row>
    <row r="914">
      <c r="A914" s="16" t="str">
        <f t="shared" si="10"/>
        <v/>
      </c>
      <c r="B914" s="48"/>
      <c r="C914" s="14"/>
      <c r="D914" s="52"/>
      <c r="E914" s="16"/>
      <c r="F914" s="14"/>
      <c r="G914" s="14"/>
      <c r="H914" s="14"/>
      <c r="I914" s="17"/>
      <c r="J914" s="16"/>
      <c r="K914" s="17"/>
      <c r="L914" s="16"/>
      <c r="N914" s="28"/>
    </row>
    <row r="915">
      <c r="A915" s="16" t="str">
        <f t="shared" si="10"/>
        <v/>
      </c>
      <c r="B915" s="48"/>
      <c r="C915" s="14"/>
      <c r="D915" s="52"/>
      <c r="E915" s="16"/>
      <c r="F915" s="14"/>
      <c r="G915" s="14"/>
      <c r="H915" s="14"/>
      <c r="I915" s="17"/>
      <c r="J915" s="16"/>
      <c r="K915" s="17"/>
      <c r="L915" s="16"/>
      <c r="N915" s="28"/>
    </row>
    <row r="916">
      <c r="A916" s="16" t="str">
        <f t="shared" si="10"/>
        <v/>
      </c>
      <c r="B916" s="48"/>
      <c r="C916" s="14"/>
      <c r="D916" s="52"/>
      <c r="E916" s="16"/>
      <c r="F916" s="14"/>
      <c r="G916" s="14"/>
      <c r="H916" s="14"/>
      <c r="I916" s="17"/>
      <c r="J916" s="16"/>
      <c r="K916" s="17"/>
      <c r="L916" s="16"/>
      <c r="N916" s="28"/>
    </row>
    <row r="917">
      <c r="A917" s="16" t="str">
        <f t="shared" si="10"/>
        <v/>
      </c>
      <c r="B917" s="48"/>
      <c r="C917" s="14"/>
      <c r="D917" s="52"/>
      <c r="E917" s="16"/>
      <c r="F917" s="14"/>
      <c r="G917" s="14"/>
      <c r="H917" s="17"/>
      <c r="I917" s="17"/>
      <c r="J917" s="16"/>
      <c r="K917" s="17"/>
      <c r="L917" s="16"/>
      <c r="N917" s="28"/>
    </row>
    <row r="918">
      <c r="A918" s="16" t="str">
        <f t="shared" si="10"/>
        <v/>
      </c>
      <c r="B918" s="48"/>
      <c r="C918" s="14"/>
      <c r="D918" s="52"/>
      <c r="E918" s="16"/>
      <c r="F918" s="14"/>
      <c r="G918" s="14"/>
      <c r="H918" s="14"/>
      <c r="I918" s="17"/>
      <c r="J918" s="16"/>
      <c r="K918" s="17"/>
      <c r="L918" s="16"/>
      <c r="N918" s="28"/>
    </row>
    <row r="919">
      <c r="A919" s="16" t="str">
        <f t="shared" si="10"/>
        <v/>
      </c>
      <c r="B919" s="48"/>
      <c r="C919" s="14"/>
      <c r="D919" s="52"/>
      <c r="E919" s="16"/>
      <c r="F919" s="14"/>
      <c r="G919" s="14"/>
      <c r="H919" s="14"/>
      <c r="I919" s="17"/>
      <c r="J919" s="16"/>
      <c r="K919" s="17"/>
      <c r="L919" s="16"/>
      <c r="N919" s="28"/>
    </row>
    <row r="920">
      <c r="A920" s="16" t="str">
        <f t="shared" si="10"/>
        <v/>
      </c>
      <c r="B920" s="48"/>
      <c r="C920" s="14"/>
      <c r="D920" s="52"/>
      <c r="E920" s="16"/>
      <c r="F920" s="14"/>
      <c r="G920" s="14"/>
      <c r="H920" s="14"/>
      <c r="I920" s="17"/>
      <c r="J920" s="16"/>
      <c r="K920" s="17"/>
      <c r="L920" s="16"/>
      <c r="N920" s="28"/>
    </row>
    <row r="921">
      <c r="A921" s="16" t="str">
        <f t="shared" si="10"/>
        <v/>
      </c>
      <c r="B921" s="48"/>
      <c r="C921" s="14"/>
      <c r="D921" s="52"/>
      <c r="E921" s="16"/>
      <c r="F921" s="14"/>
      <c r="G921" s="14"/>
      <c r="H921" s="14"/>
      <c r="I921" s="17"/>
      <c r="J921" s="16"/>
      <c r="K921" s="17"/>
      <c r="L921" s="16"/>
      <c r="N921" s="28"/>
    </row>
    <row r="922">
      <c r="A922" s="16" t="str">
        <f t="shared" si="10"/>
        <v/>
      </c>
      <c r="B922" s="48"/>
      <c r="C922" s="14"/>
      <c r="D922" s="52"/>
      <c r="E922" s="16"/>
      <c r="F922" s="14"/>
      <c r="G922" s="14"/>
      <c r="H922" s="17"/>
      <c r="I922" s="17"/>
      <c r="J922" s="16"/>
      <c r="K922" s="17"/>
      <c r="L922" s="16"/>
      <c r="N922" s="28"/>
    </row>
    <row r="923">
      <c r="A923" s="16" t="str">
        <f t="shared" si="10"/>
        <v/>
      </c>
      <c r="B923" s="48"/>
      <c r="C923" s="14"/>
      <c r="D923" s="52"/>
      <c r="E923" s="16"/>
      <c r="F923" s="14"/>
      <c r="G923" s="14"/>
      <c r="H923" s="14"/>
      <c r="I923" s="17"/>
      <c r="J923" s="16"/>
      <c r="K923" s="17"/>
      <c r="L923" s="16"/>
      <c r="N923" s="28"/>
    </row>
    <row r="924">
      <c r="A924" s="16" t="str">
        <f t="shared" si="10"/>
        <v/>
      </c>
      <c r="B924" s="48"/>
      <c r="C924" s="14"/>
      <c r="D924" s="52"/>
      <c r="E924" s="16"/>
      <c r="F924" s="14"/>
      <c r="G924" s="14"/>
      <c r="H924" s="14"/>
      <c r="I924" s="17"/>
      <c r="J924" s="16"/>
      <c r="K924" s="17"/>
      <c r="L924" s="16"/>
      <c r="N924" s="28"/>
    </row>
    <row r="925">
      <c r="A925" s="16" t="str">
        <f t="shared" si="10"/>
        <v/>
      </c>
      <c r="B925" s="48"/>
      <c r="C925" s="14"/>
      <c r="D925" s="52"/>
      <c r="E925" s="16"/>
      <c r="F925" s="14"/>
      <c r="G925" s="14"/>
      <c r="H925" s="14"/>
      <c r="I925" s="17"/>
      <c r="J925" s="16"/>
      <c r="K925" s="17"/>
      <c r="L925" s="16"/>
      <c r="N925" s="28"/>
    </row>
    <row r="926">
      <c r="A926" s="16" t="str">
        <f t="shared" si="10"/>
        <v/>
      </c>
      <c r="B926" s="48"/>
      <c r="C926" s="14"/>
      <c r="D926" s="52"/>
      <c r="E926" s="16"/>
      <c r="F926" s="14"/>
      <c r="G926" s="14"/>
      <c r="H926" s="14"/>
      <c r="I926" s="17"/>
      <c r="J926" s="16"/>
      <c r="K926" s="17"/>
      <c r="L926" s="16"/>
      <c r="N926" s="28"/>
    </row>
    <row r="927">
      <c r="A927" s="16" t="str">
        <f t="shared" si="10"/>
        <v/>
      </c>
      <c r="B927" s="48"/>
      <c r="C927" s="14"/>
      <c r="D927" s="52"/>
      <c r="E927" s="16"/>
      <c r="F927" s="14"/>
      <c r="G927" s="14"/>
      <c r="H927" s="14"/>
      <c r="I927" s="17"/>
      <c r="J927" s="16"/>
      <c r="K927" s="17"/>
      <c r="L927" s="16"/>
      <c r="N927" s="28"/>
    </row>
    <row r="928">
      <c r="A928" s="16" t="str">
        <f t="shared" si="10"/>
        <v/>
      </c>
      <c r="B928" s="48"/>
      <c r="C928" s="14"/>
      <c r="D928" s="52"/>
      <c r="E928" s="16"/>
      <c r="F928" s="14"/>
      <c r="G928" s="14"/>
      <c r="H928" s="14"/>
      <c r="I928" s="17"/>
      <c r="J928" s="16"/>
      <c r="K928" s="17"/>
      <c r="L928" s="16"/>
      <c r="N928" s="28"/>
    </row>
    <row r="929">
      <c r="A929" s="16" t="str">
        <f t="shared" si="10"/>
        <v/>
      </c>
      <c r="B929" s="48"/>
      <c r="C929" s="14"/>
      <c r="D929" s="52"/>
      <c r="E929" s="16"/>
      <c r="F929" s="14"/>
      <c r="G929" s="14"/>
      <c r="H929" s="17"/>
      <c r="I929" s="17"/>
      <c r="J929" s="16"/>
      <c r="K929" s="17"/>
      <c r="L929" s="16"/>
      <c r="N929" s="28"/>
    </row>
    <row r="930">
      <c r="A930" s="16" t="str">
        <f t="shared" si="10"/>
        <v/>
      </c>
      <c r="B930" s="48"/>
      <c r="C930" s="14"/>
      <c r="D930" s="52"/>
      <c r="E930" s="16"/>
      <c r="F930" s="14"/>
      <c r="G930" s="14"/>
      <c r="H930" s="14"/>
      <c r="I930" s="17"/>
      <c r="J930" s="16"/>
      <c r="K930" s="17"/>
      <c r="L930" s="16"/>
      <c r="N930" s="28"/>
    </row>
    <row r="931">
      <c r="A931" s="16" t="str">
        <f t="shared" si="10"/>
        <v/>
      </c>
      <c r="B931" s="48"/>
      <c r="C931" s="14"/>
      <c r="D931" s="52"/>
      <c r="E931" s="16"/>
      <c r="F931" s="14"/>
      <c r="G931" s="14"/>
      <c r="H931" s="17"/>
      <c r="I931" s="17"/>
      <c r="J931" s="16"/>
      <c r="K931" s="17"/>
      <c r="L931" s="16"/>
      <c r="N931" s="28"/>
    </row>
    <row r="932">
      <c r="A932" s="16" t="str">
        <f t="shared" si="10"/>
        <v/>
      </c>
      <c r="B932" s="48"/>
      <c r="C932" s="14"/>
      <c r="D932" s="52"/>
      <c r="E932" s="16"/>
      <c r="F932" s="14"/>
      <c r="G932" s="14"/>
      <c r="H932" s="14"/>
      <c r="I932" s="17"/>
      <c r="J932" s="16"/>
      <c r="K932" s="17"/>
      <c r="L932" s="16"/>
      <c r="N932" s="28"/>
    </row>
    <row r="933">
      <c r="A933" s="16" t="str">
        <f t="shared" si="10"/>
        <v/>
      </c>
      <c r="B933" s="48"/>
      <c r="C933" s="14"/>
      <c r="D933" s="52"/>
      <c r="E933" s="16"/>
      <c r="F933" s="14"/>
      <c r="G933" s="14"/>
      <c r="H933" s="14"/>
      <c r="I933" s="17"/>
      <c r="J933" s="16"/>
      <c r="K933" s="17"/>
      <c r="L933" s="16"/>
      <c r="N933" s="28"/>
    </row>
    <row r="934">
      <c r="A934" s="16" t="str">
        <f t="shared" si="10"/>
        <v/>
      </c>
      <c r="B934" s="48"/>
      <c r="C934" s="14"/>
      <c r="D934" s="52"/>
      <c r="E934" s="16"/>
      <c r="F934" s="14"/>
      <c r="G934" s="14"/>
      <c r="H934" s="17"/>
      <c r="I934" s="17"/>
      <c r="J934" s="16"/>
      <c r="K934" s="17"/>
      <c r="L934" s="16"/>
      <c r="N934" s="28"/>
    </row>
    <row r="935">
      <c r="A935" s="16" t="str">
        <f t="shared" si="10"/>
        <v/>
      </c>
      <c r="B935" s="48"/>
      <c r="C935" s="14"/>
      <c r="D935" s="52"/>
      <c r="E935" s="16"/>
      <c r="F935" s="14"/>
      <c r="G935" s="14"/>
      <c r="H935" s="14"/>
      <c r="I935" s="17"/>
      <c r="J935" s="16"/>
      <c r="K935" s="17"/>
      <c r="L935" s="16"/>
      <c r="N935" s="28"/>
    </row>
    <row r="936">
      <c r="A936" s="16" t="str">
        <f t="shared" si="10"/>
        <v/>
      </c>
      <c r="B936" s="48"/>
      <c r="C936" s="14"/>
      <c r="D936" s="52"/>
      <c r="E936" s="16"/>
      <c r="F936" s="14"/>
      <c r="G936" s="14"/>
      <c r="H936" s="17"/>
      <c r="I936" s="17"/>
      <c r="J936" s="16"/>
      <c r="K936" s="17"/>
      <c r="L936" s="16"/>
      <c r="N936" s="28"/>
    </row>
    <row r="937">
      <c r="A937" s="16" t="str">
        <f t="shared" si="10"/>
        <v/>
      </c>
      <c r="B937" s="48"/>
      <c r="C937" s="14"/>
      <c r="D937" s="52"/>
      <c r="E937" s="16"/>
      <c r="F937" s="14"/>
      <c r="G937" s="14"/>
      <c r="H937" s="14"/>
      <c r="I937" s="17"/>
      <c r="J937" s="16"/>
      <c r="K937" s="17"/>
      <c r="L937" s="16"/>
      <c r="N937" s="28"/>
    </row>
    <row r="938">
      <c r="A938" s="16" t="str">
        <f t="shared" si="10"/>
        <v/>
      </c>
      <c r="B938" s="48"/>
      <c r="C938" s="14"/>
      <c r="D938" s="52"/>
      <c r="E938" s="16"/>
      <c r="F938" s="14"/>
      <c r="G938" s="14"/>
      <c r="H938" s="17"/>
      <c r="I938" s="17"/>
      <c r="J938" s="16"/>
      <c r="K938" s="17"/>
      <c r="L938" s="16"/>
      <c r="N938" s="28"/>
    </row>
    <row r="939">
      <c r="A939" s="16" t="str">
        <f t="shared" si="10"/>
        <v/>
      </c>
      <c r="B939" s="48"/>
      <c r="C939" s="14"/>
      <c r="D939" s="52"/>
      <c r="E939" s="16"/>
      <c r="F939" s="14"/>
      <c r="G939" s="14"/>
      <c r="H939" s="17"/>
      <c r="I939" s="17"/>
      <c r="J939" s="16"/>
      <c r="K939" s="17"/>
      <c r="L939" s="16"/>
      <c r="N939" s="28"/>
    </row>
    <row r="940">
      <c r="A940" s="16" t="str">
        <f t="shared" si="10"/>
        <v/>
      </c>
      <c r="B940" s="48"/>
      <c r="C940" s="14"/>
      <c r="D940" s="52"/>
      <c r="E940" s="16"/>
      <c r="F940" s="14"/>
      <c r="G940" s="14"/>
      <c r="H940" s="14"/>
      <c r="I940" s="17"/>
      <c r="J940" s="16"/>
      <c r="K940" s="17"/>
      <c r="L940" s="16"/>
      <c r="N940" s="28"/>
    </row>
    <row r="941">
      <c r="A941" s="16" t="str">
        <f t="shared" si="10"/>
        <v/>
      </c>
      <c r="B941" s="48"/>
      <c r="C941" s="14"/>
      <c r="D941" s="52"/>
      <c r="E941" s="16"/>
      <c r="F941" s="14"/>
      <c r="G941" s="14"/>
      <c r="H941" s="14"/>
      <c r="I941" s="17"/>
      <c r="J941" s="16"/>
      <c r="K941" s="17"/>
      <c r="L941" s="16"/>
      <c r="N941" s="28"/>
    </row>
    <row r="942">
      <c r="A942" s="16" t="str">
        <f t="shared" si="10"/>
        <v/>
      </c>
      <c r="B942" s="48"/>
      <c r="C942" s="14"/>
      <c r="D942" s="52"/>
      <c r="E942" s="16"/>
      <c r="F942" s="14"/>
      <c r="G942" s="14"/>
      <c r="H942" s="14"/>
      <c r="I942" s="17"/>
      <c r="J942" s="16"/>
      <c r="K942" s="17"/>
      <c r="L942" s="16"/>
      <c r="N942" s="28"/>
    </row>
    <row r="943">
      <c r="A943" s="16" t="str">
        <f t="shared" si="10"/>
        <v/>
      </c>
      <c r="B943" s="48"/>
      <c r="C943" s="14"/>
      <c r="D943" s="52"/>
      <c r="E943" s="16"/>
      <c r="F943" s="14"/>
      <c r="G943" s="14"/>
      <c r="H943" s="17"/>
      <c r="I943" s="17"/>
      <c r="J943" s="16"/>
      <c r="K943" s="17"/>
      <c r="L943" s="16"/>
      <c r="N943" s="28"/>
    </row>
    <row r="944">
      <c r="A944" s="16" t="str">
        <f t="shared" si="10"/>
        <v/>
      </c>
      <c r="B944" s="48"/>
      <c r="C944" s="14"/>
      <c r="D944" s="52"/>
      <c r="E944" s="16"/>
      <c r="F944" s="14"/>
      <c r="G944" s="14"/>
      <c r="H944" s="14"/>
      <c r="I944" s="17"/>
      <c r="J944" s="16"/>
      <c r="K944" s="17"/>
      <c r="L944" s="16"/>
      <c r="N944" s="28"/>
    </row>
    <row r="945">
      <c r="A945" s="16" t="str">
        <f t="shared" si="10"/>
        <v/>
      </c>
      <c r="B945" s="48"/>
      <c r="C945" s="14"/>
      <c r="D945" s="52"/>
      <c r="E945" s="16"/>
      <c r="F945" s="14"/>
      <c r="G945" s="14"/>
      <c r="H945" s="14"/>
      <c r="I945" s="17"/>
      <c r="J945" s="16"/>
      <c r="K945" s="17"/>
      <c r="L945" s="16"/>
      <c r="N945" s="28"/>
    </row>
    <row r="946">
      <c r="A946" s="16" t="str">
        <f t="shared" si="10"/>
        <v/>
      </c>
      <c r="B946" s="48"/>
      <c r="C946" s="14"/>
      <c r="D946" s="52"/>
      <c r="E946" s="16"/>
      <c r="F946" s="14"/>
      <c r="G946" s="14"/>
      <c r="H946" s="14"/>
      <c r="I946" s="17"/>
      <c r="J946" s="16"/>
      <c r="K946" s="17"/>
      <c r="L946" s="16"/>
      <c r="N946" s="28"/>
    </row>
    <row r="947">
      <c r="A947" s="16" t="str">
        <f t="shared" si="10"/>
        <v/>
      </c>
      <c r="B947" s="48"/>
      <c r="C947" s="14"/>
      <c r="D947" s="52"/>
      <c r="E947" s="16"/>
      <c r="F947" s="14"/>
      <c r="G947" s="14"/>
      <c r="H947" s="17"/>
      <c r="I947" s="17"/>
      <c r="J947" s="16"/>
      <c r="K947" s="17"/>
      <c r="L947" s="16"/>
      <c r="N947" s="28"/>
    </row>
    <row r="948">
      <c r="A948" s="16" t="str">
        <f t="shared" si="10"/>
        <v/>
      </c>
      <c r="B948" s="48"/>
      <c r="C948" s="14"/>
      <c r="D948" s="52"/>
      <c r="E948" s="16"/>
      <c r="F948" s="14"/>
      <c r="G948" s="14"/>
      <c r="H948" s="14"/>
      <c r="I948" s="17"/>
      <c r="J948" s="16"/>
      <c r="K948" s="17"/>
      <c r="L948" s="16"/>
      <c r="N948" s="28"/>
    </row>
    <row r="949">
      <c r="A949" s="16" t="str">
        <f t="shared" si="10"/>
        <v/>
      </c>
      <c r="B949" s="48"/>
      <c r="C949" s="14"/>
      <c r="D949" s="52"/>
      <c r="E949" s="16"/>
      <c r="F949" s="14"/>
      <c r="G949" s="14"/>
      <c r="H949" s="14"/>
      <c r="I949" s="17"/>
      <c r="J949" s="16"/>
      <c r="K949" s="17"/>
      <c r="L949" s="16"/>
      <c r="N949" s="28"/>
    </row>
    <row r="950">
      <c r="A950" s="16" t="str">
        <f t="shared" si="10"/>
        <v/>
      </c>
      <c r="B950" s="48"/>
      <c r="C950" s="14"/>
      <c r="D950" s="52"/>
      <c r="E950" s="16"/>
      <c r="F950" s="14"/>
      <c r="G950" s="14"/>
      <c r="H950" s="14"/>
      <c r="I950" s="17"/>
      <c r="J950" s="16"/>
      <c r="K950" s="17"/>
      <c r="L950" s="16"/>
      <c r="N950" s="28"/>
    </row>
    <row r="951">
      <c r="A951" s="16" t="str">
        <f t="shared" si="10"/>
        <v/>
      </c>
      <c r="B951" s="48"/>
      <c r="C951" s="14"/>
      <c r="D951" s="52"/>
      <c r="E951" s="16"/>
      <c r="F951" s="14"/>
      <c r="G951" s="14"/>
      <c r="H951" s="14"/>
      <c r="I951" s="17"/>
      <c r="J951" s="16"/>
      <c r="K951" s="17"/>
      <c r="L951" s="16"/>
      <c r="N951" s="28"/>
    </row>
    <row r="952">
      <c r="A952" s="16" t="str">
        <f t="shared" si="10"/>
        <v/>
      </c>
      <c r="B952" s="48"/>
      <c r="C952" s="14"/>
      <c r="D952" s="52"/>
      <c r="E952" s="16"/>
      <c r="F952" s="14"/>
      <c r="G952" s="14"/>
      <c r="H952" s="14"/>
      <c r="I952" s="17"/>
      <c r="J952" s="16"/>
      <c r="K952" s="17"/>
      <c r="L952" s="16"/>
      <c r="N952" s="28"/>
    </row>
    <row r="953">
      <c r="A953" s="16" t="str">
        <f t="shared" si="10"/>
        <v/>
      </c>
      <c r="B953" s="48"/>
      <c r="C953" s="14"/>
      <c r="D953" s="52"/>
      <c r="E953" s="16"/>
      <c r="F953" s="14"/>
      <c r="G953" s="14"/>
      <c r="H953" s="17"/>
      <c r="I953" s="17"/>
      <c r="J953" s="16"/>
      <c r="K953" s="17"/>
      <c r="L953" s="16"/>
      <c r="N953" s="28"/>
    </row>
    <row r="954">
      <c r="A954" s="16" t="str">
        <f t="shared" si="10"/>
        <v/>
      </c>
      <c r="B954" s="48"/>
      <c r="C954" s="14"/>
      <c r="D954" s="52"/>
      <c r="E954" s="16"/>
      <c r="F954" s="14"/>
      <c r="G954" s="14"/>
      <c r="H954" s="17"/>
      <c r="I954" s="17"/>
      <c r="J954" s="16"/>
      <c r="K954" s="17"/>
      <c r="L954" s="16"/>
      <c r="N954" s="28"/>
    </row>
    <row r="955">
      <c r="A955" s="16" t="str">
        <f t="shared" si="10"/>
        <v/>
      </c>
      <c r="B955" s="48"/>
      <c r="C955" s="14"/>
      <c r="D955" s="52"/>
      <c r="E955" s="16"/>
      <c r="F955" s="14"/>
      <c r="G955" s="14"/>
      <c r="H955" s="17"/>
      <c r="I955" s="17"/>
      <c r="J955" s="16"/>
      <c r="K955" s="17"/>
      <c r="L955" s="16"/>
      <c r="N955" s="28"/>
    </row>
    <row r="956">
      <c r="A956" s="16" t="str">
        <f t="shared" si="10"/>
        <v/>
      </c>
      <c r="B956" s="48"/>
      <c r="C956" s="14"/>
      <c r="D956" s="52"/>
      <c r="E956" s="16"/>
      <c r="F956" s="14"/>
      <c r="G956" s="14"/>
      <c r="H956" s="14"/>
      <c r="I956" s="17"/>
      <c r="J956" s="16"/>
      <c r="K956" s="17"/>
      <c r="L956" s="16"/>
      <c r="N956" s="28"/>
    </row>
    <row r="957">
      <c r="A957" s="16" t="str">
        <f t="shared" si="10"/>
        <v/>
      </c>
      <c r="B957" s="48"/>
      <c r="C957" s="14"/>
      <c r="D957" s="52"/>
      <c r="E957" s="16"/>
      <c r="F957" s="14"/>
      <c r="G957" s="14"/>
      <c r="H957" s="17"/>
      <c r="I957" s="17"/>
      <c r="J957" s="16"/>
      <c r="K957" s="17"/>
      <c r="L957" s="16"/>
      <c r="N957" s="28"/>
    </row>
    <row r="958">
      <c r="A958" s="16" t="str">
        <f t="shared" si="10"/>
        <v/>
      </c>
      <c r="B958" s="48"/>
      <c r="C958" s="14"/>
      <c r="D958" s="52"/>
      <c r="E958" s="16"/>
      <c r="F958" s="14"/>
      <c r="G958" s="14"/>
      <c r="H958" s="17"/>
      <c r="I958" s="17"/>
      <c r="J958" s="16"/>
      <c r="K958" s="17"/>
      <c r="L958" s="16"/>
      <c r="N958" s="28"/>
    </row>
    <row r="959">
      <c r="A959" s="16" t="str">
        <f t="shared" si="10"/>
        <v/>
      </c>
      <c r="B959" s="48"/>
      <c r="C959" s="14"/>
      <c r="D959" s="52"/>
      <c r="E959" s="16"/>
      <c r="F959" s="14"/>
      <c r="G959" s="14"/>
      <c r="H959" s="17"/>
      <c r="I959" s="17"/>
      <c r="J959" s="16"/>
      <c r="K959" s="17"/>
      <c r="L959" s="16"/>
      <c r="N959" s="28"/>
    </row>
    <row r="960">
      <c r="A960" s="16" t="str">
        <f t="shared" si="10"/>
        <v/>
      </c>
      <c r="B960" s="48"/>
      <c r="C960" s="14"/>
      <c r="D960" s="52"/>
      <c r="E960" s="16"/>
      <c r="F960" s="14"/>
      <c r="G960" s="14"/>
      <c r="H960" s="14"/>
      <c r="I960" s="17"/>
      <c r="J960" s="16"/>
      <c r="K960" s="17"/>
      <c r="L960" s="16"/>
      <c r="N960" s="28"/>
    </row>
    <row r="961">
      <c r="A961" s="16" t="str">
        <f t="shared" si="10"/>
        <v/>
      </c>
      <c r="B961" s="48"/>
      <c r="C961" s="14"/>
      <c r="D961" s="52"/>
      <c r="E961" s="16"/>
      <c r="F961" s="14"/>
      <c r="G961" s="14"/>
      <c r="H961" s="17"/>
      <c r="I961" s="17"/>
      <c r="J961" s="16"/>
      <c r="K961" s="17"/>
      <c r="L961" s="16"/>
      <c r="N961" s="28"/>
    </row>
    <row r="962">
      <c r="A962" s="16" t="str">
        <f t="shared" si="10"/>
        <v/>
      </c>
      <c r="B962" s="48"/>
      <c r="C962" s="14"/>
      <c r="D962" s="52"/>
      <c r="E962" s="16"/>
      <c r="F962" s="14"/>
      <c r="G962" s="14"/>
      <c r="H962" s="17"/>
      <c r="I962" s="17"/>
      <c r="J962" s="16"/>
      <c r="K962" s="17"/>
      <c r="L962" s="16"/>
      <c r="N962" s="28"/>
    </row>
    <row r="963">
      <c r="A963" s="16" t="str">
        <f t="shared" si="10"/>
        <v/>
      </c>
      <c r="B963" s="48"/>
      <c r="C963" s="14"/>
      <c r="D963" s="52"/>
      <c r="E963" s="16"/>
      <c r="F963" s="14"/>
      <c r="G963" s="14"/>
      <c r="H963" s="14"/>
      <c r="I963" s="17"/>
      <c r="J963" s="16"/>
      <c r="K963" s="17"/>
      <c r="L963" s="16"/>
      <c r="N963" s="28"/>
    </row>
    <row r="964">
      <c r="A964" s="16" t="str">
        <f t="shared" si="10"/>
        <v/>
      </c>
      <c r="B964" s="48"/>
      <c r="C964" s="14"/>
      <c r="D964" s="52"/>
      <c r="E964" s="16"/>
      <c r="F964" s="14"/>
      <c r="G964" s="14"/>
      <c r="H964" s="14"/>
      <c r="I964" s="17"/>
      <c r="J964" s="16"/>
      <c r="K964" s="17"/>
      <c r="L964" s="16"/>
      <c r="N964" s="28"/>
    </row>
    <row r="965">
      <c r="A965" s="16" t="str">
        <f t="shared" si="10"/>
        <v/>
      </c>
      <c r="B965" s="48"/>
      <c r="C965" s="14"/>
      <c r="D965" s="52"/>
      <c r="E965" s="16"/>
      <c r="F965" s="14"/>
      <c r="G965" s="14"/>
      <c r="H965" s="17"/>
      <c r="I965" s="17"/>
      <c r="J965" s="16"/>
      <c r="K965" s="17"/>
      <c r="L965" s="16"/>
      <c r="N965" s="28"/>
    </row>
    <row r="966">
      <c r="A966" s="16" t="str">
        <f t="shared" si="10"/>
        <v/>
      </c>
      <c r="B966" s="48"/>
      <c r="C966" s="14"/>
      <c r="D966" s="52"/>
      <c r="E966" s="16"/>
      <c r="F966" s="14"/>
      <c r="G966" s="14"/>
      <c r="H966" s="14"/>
      <c r="I966" s="17"/>
      <c r="J966" s="16"/>
      <c r="K966" s="17"/>
      <c r="L966" s="16"/>
      <c r="N966" s="28"/>
    </row>
    <row r="967">
      <c r="A967" s="16" t="str">
        <f t="shared" si="10"/>
        <v/>
      </c>
      <c r="B967" s="48"/>
      <c r="C967" s="14"/>
      <c r="D967" s="52"/>
      <c r="E967" s="16"/>
      <c r="F967" s="14"/>
      <c r="G967" s="14"/>
      <c r="H967" s="14"/>
      <c r="I967" s="17"/>
      <c r="J967" s="16"/>
      <c r="K967" s="17"/>
      <c r="L967" s="16"/>
      <c r="N967" s="28"/>
    </row>
    <row r="968">
      <c r="A968" s="16" t="str">
        <f t="shared" si="10"/>
        <v/>
      </c>
      <c r="B968" s="48"/>
      <c r="C968" s="14"/>
      <c r="D968" s="52"/>
      <c r="E968" s="16"/>
      <c r="F968" s="14"/>
      <c r="G968" s="14"/>
      <c r="H968" s="14"/>
      <c r="I968" s="17"/>
      <c r="J968" s="16"/>
      <c r="K968" s="17"/>
      <c r="L968" s="16"/>
      <c r="N968" s="28"/>
    </row>
    <row r="969">
      <c r="A969" s="16" t="str">
        <f t="shared" si="10"/>
        <v/>
      </c>
      <c r="B969" s="48"/>
      <c r="C969" s="14"/>
      <c r="D969" s="52"/>
      <c r="E969" s="16"/>
      <c r="F969" s="14"/>
      <c r="G969" s="14"/>
      <c r="H969" s="14"/>
      <c r="I969" s="17"/>
      <c r="J969" s="16"/>
      <c r="K969" s="17"/>
      <c r="L969" s="16"/>
      <c r="N969" s="28"/>
    </row>
    <row r="970">
      <c r="A970" s="16" t="str">
        <f t="shared" si="10"/>
        <v/>
      </c>
      <c r="B970" s="48"/>
      <c r="C970" s="14"/>
      <c r="D970" s="52"/>
      <c r="E970" s="16"/>
      <c r="F970" s="14"/>
      <c r="G970" s="14"/>
      <c r="H970" s="14"/>
      <c r="I970" s="17"/>
      <c r="J970" s="16"/>
      <c r="K970" s="17"/>
      <c r="L970" s="16"/>
      <c r="N970" s="28"/>
    </row>
    <row r="971">
      <c r="A971" s="16" t="str">
        <f t="shared" si="10"/>
        <v/>
      </c>
      <c r="B971" s="48"/>
      <c r="C971" s="14"/>
      <c r="D971" s="52"/>
      <c r="E971" s="16"/>
      <c r="F971" s="14"/>
      <c r="G971" s="14"/>
      <c r="H971" s="14"/>
      <c r="I971" s="17"/>
      <c r="J971" s="16"/>
      <c r="K971" s="17"/>
      <c r="L971" s="16"/>
      <c r="N971" s="28"/>
    </row>
    <row r="972">
      <c r="A972" s="16" t="str">
        <f t="shared" si="10"/>
        <v/>
      </c>
      <c r="B972" s="48"/>
      <c r="C972" s="14"/>
      <c r="D972" s="52"/>
      <c r="E972" s="16"/>
      <c r="F972" s="14"/>
      <c r="G972" s="14"/>
      <c r="H972" s="14"/>
      <c r="I972" s="17"/>
      <c r="J972" s="16"/>
      <c r="K972" s="17"/>
      <c r="L972" s="16"/>
      <c r="N972" s="28"/>
    </row>
    <row r="973">
      <c r="A973" s="16" t="str">
        <f t="shared" si="10"/>
        <v/>
      </c>
      <c r="B973" s="48"/>
      <c r="C973" s="14"/>
      <c r="D973" s="52"/>
      <c r="E973" s="16"/>
      <c r="F973" s="14"/>
      <c r="G973" s="14"/>
      <c r="H973" s="14"/>
      <c r="I973" s="17"/>
      <c r="J973" s="16"/>
      <c r="K973" s="17"/>
      <c r="L973" s="16"/>
      <c r="N973" s="28"/>
    </row>
    <row r="974">
      <c r="A974" s="16" t="str">
        <f t="shared" si="10"/>
        <v/>
      </c>
      <c r="B974" s="48"/>
      <c r="C974" s="14"/>
      <c r="D974" s="52"/>
      <c r="E974" s="16"/>
      <c r="F974" s="14"/>
      <c r="G974" s="14"/>
      <c r="H974" s="14"/>
      <c r="I974" s="17"/>
      <c r="J974" s="16"/>
      <c r="K974" s="17"/>
      <c r="L974" s="16"/>
      <c r="N974" s="28"/>
    </row>
    <row r="975">
      <c r="A975" s="16" t="str">
        <f t="shared" si="10"/>
        <v/>
      </c>
      <c r="B975" s="48"/>
      <c r="C975" s="14"/>
      <c r="D975" s="52"/>
      <c r="E975" s="16"/>
      <c r="F975" s="14"/>
      <c r="G975" s="14"/>
      <c r="H975" s="14"/>
      <c r="I975" s="17"/>
      <c r="J975" s="16"/>
      <c r="K975" s="17"/>
      <c r="L975" s="16"/>
      <c r="N975" s="28"/>
    </row>
    <row r="976">
      <c r="A976" s="16" t="str">
        <f t="shared" si="10"/>
        <v/>
      </c>
      <c r="B976" s="48"/>
      <c r="C976" s="14"/>
      <c r="D976" s="52"/>
      <c r="E976" s="16"/>
      <c r="F976" s="14"/>
      <c r="G976" s="14"/>
      <c r="H976" s="14"/>
      <c r="I976" s="17"/>
      <c r="J976" s="16"/>
      <c r="K976" s="17"/>
      <c r="L976" s="16"/>
      <c r="N976" s="28"/>
    </row>
    <row r="977">
      <c r="A977" s="16" t="str">
        <f t="shared" si="10"/>
        <v/>
      </c>
      <c r="B977" s="48"/>
      <c r="C977" s="14"/>
      <c r="D977" s="52"/>
      <c r="E977" s="16"/>
      <c r="F977" s="14"/>
      <c r="G977" s="14"/>
      <c r="H977" s="14"/>
      <c r="I977" s="17"/>
      <c r="J977" s="16"/>
      <c r="K977" s="17"/>
      <c r="L977" s="16"/>
      <c r="N977" s="28"/>
    </row>
    <row r="978">
      <c r="A978" s="16" t="str">
        <f t="shared" si="10"/>
        <v/>
      </c>
      <c r="B978" s="48"/>
      <c r="C978" s="14"/>
      <c r="D978" s="52"/>
      <c r="E978" s="16"/>
      <c r="F978" s="14"/>
      <c r="G978" s="14"/>
      <c r="H978" s="17"/>
      <c r="I978" s="17"/>
      <c r="J978" s="16"/>
      <c r="K978" s="17"/>
      <c r="L978" s="16"/>
      <c r="N978" s="28"/>
    </row>
    <row r="979">
      <c r="A979" s="16" t="str">
        <f t="shared" si="10"/>
        <v/>
      </c>
      <c r="B979" s="48"/>
      <c r="C979" s="14"/>
      <c r="D979" s="52"/>
      <c r="E979" s="16"/>
      <c r="F979" s="14"/>
      <c r="G979" s="14"/>
      <c r="H979" s="17"/>
      <c r="I979" s="17"/>
      <c r="J979" s="16"/>
      <c r="K979" s="17"/>
      <c r="L979" s="16"/>
      <c r="N979" s="28"/>
    </row>
    <row r="980">
      <c r="A980" s="16" t="str">
        <f t="shared" si="10"/>
        <v/>
      </c>
      <c r="B980" s="48"/>
      <c r="C980" s="14"/>
      <c r="D980" s="52"/>
      <c r="E980" s="16"/>
      <c r="F980" s="14"/>
      <c r="G980" s="14"/>
      <c r="H980" s="14"/>
      <c r="I980" s="17"/>
      <c r="J980" s="16"/>
      <c r="K980" s="17"/>
      <c r="L980" s="16"/>
      <c r="N980" s="28"/>
    </row>
    <row r="981">
      <c r="A981" s="16" t="str">
        <f t="shared" si="10"/>
        <v/>
      </c>
      <c r="B981" s="48"/>
      <c r="C981" s="14"/>
      <c r="D981" s="52"/>
      <c r="E981" s="16"/>
      <c r="F981" s="14"/>
      <c r="G981" s="14"/>
      <c r="H981" s="17"/>
      <c r="I981" s="17"/>
      <c r="J981" s="16"/>
      <c r="K981" s="17"/>
      <c r="L981" s="16"/>
      <c r="N981" s="28"/>
    </row>
    <row r="982">
      <c r="A982" s="16" t="str">
        <f t="shared" si="10"/>
        <v/>
      </c>
      <c r="B982" s="48"/>
      <c r="C982" s="14"/>
      <c r="D982" s="52"/>
      <c r="E982" s="16"/>
      <c r="F982" s="14"/>
      <c r="G982" s="14"/>
      <c r="H982" s="14"/>
      <c r="I982" s="17"/>
      <c r="J982" s="16"/>
      <c r="K982" s="17"/>
      <c r="L982" s="16"/>
      <c r="N982" s="28"/>
    </row>
    <row r="983">
      <c r="A983" s="16" t="str">
        <f t="shared" si="10"/>
        <v/>
      </c>
      <c r="B983" s="48"/>
      <c r="C983" s="14"/>
      <c r="D983" s="52"/>
      <c r="E983" s="16"/>
      <c r="F983" s="14"/>
      <c r="G983" s="14"/>
      <c r="H983" s="14"/>
      <c r="I983" s="17"/>
      <c r="J983" s="16"/>
      <c r="K983" s="17"/>
      <c r="L983" s="16"/>
      <c r="N983" s="28"/>
    </row>
    <row r="984">
      <c r="A984" s="16" t="str">
        <f t="shared" si="10"/>
        <v/>
      </c>
      <c r="B984" s="48"/>
      <c r="C984" s="14"/>
      <c r="D984" s="52"/>
      <c r="E984" s="16"/>
      <c r="F984" s="14"/>
      <c r="G984" s="14"/>
      <c r="H984" s="17"/>
      <c r="I984" s="17"/>
      <c r="J984" s="16"/>
      <c r="K984" s="17"/>
      <c r="L984" s="16"/>
      <c r="N984" s="28"/>
    </row>
    <row r="985">
      <c r="A985" s="16" t="str">
        <f t="shared" si="10"/>
        <v/>
      </c>
      <c r="B985" s="48"/>
      <c r="C985" s="14"/>
      <c r="D985" s="52"/>
      <c r="E985" s="16"/>
      <c r="F985" s="14"/>
      <c r="G985" s="14"/>
      <c r="H985" s="14"/>
      <c r="I985" s="17"/>
      <c r="J985" s="16"/>
      <c r="K985" s="17"/>
      <c r="L985" s="16"/>
      <c r="N985" s="28"/>
    </row>
    <row r="986">
      <c r="A986" s="16" t="str">
        <f t="shared" si="10"/>
        <v/>
      </c>
      <c r="B986" s="48"/>
      <c r="C986" s="14"/>
      <c r="D986" s="52"/>
      <c r="E986" s="16"/>
      <c r="F986" s="14"/>
      <c r="G986" s="14"/>
      <c r="H986" s="14"/>
      <c r="I986" s="17"/>
      <c r="J986" s="16"/>
      <c r="K986" s="17"/>
      <c r="L986" s="16"/>
      <c r="N986" s="28"/>
    </row>
    <row r="987">
      <c r="A987" s="16" t="str">
        <f t="shared" si="10"/>
        <v/>
      </c>
      <c r="B987" s="48"/>
      <c r="C987" s="14"/>
      <c r="D987" s="52"/>
      <c r="E987" s="16"/>
      <c r="F987" s="14"/>
      <c r="G987" s="14"/>
      <c r="H987" s="17"/>
      <c r="I987" s="17"/>
      <c r="J987" s="16"/>
      <c r="K987" s="17"/>
      <c r="L987" s="16"/>
      <c r="N987" s="28"/>
    </row>
    <row r="988">
      <c r="A988" s="16" t="str">
        <f t="shared" si="10"/>
        <v/>
      </c>
      <c r="B988" s="48"/>
      <c r="C988" s="14"/>
      <c r="D988" s="52"/>
      <c r="E988" s="16"/>
      <c r="F988" s="14"/>
      <c r="G988" s="14"/>
      <c r="H988" s="17"/>
      <c r="I988" s="17"/>
      <c r="J988" s="16"/>
      <c r="K988" s="17"/>
      <c r="L988" s="16"/>
      <c r="N988" s="28"/>
    </row>
    <row r="989">
      <c r="A989" s="16" t="str">
        <f t="shared" si="10"/>
        <v/>
      </c>
      <c r="B989" s="48"/>
      <c r="C989" s="14"/>
      <c r="D989" s="52"/>
      <c r="E989" s="16"/>
      <c r="F989" s="14"/>
      <c r="G989" s="14"/>
      <c r="H989" s="14"/>
      <c r="I989" s="17"/>
      <c r="J989" s="16"/>
      <c r="K989" s="17"/>
      <c r="L989" s="16"/>
      <c r="N989" s="28"/>
    </row>
    <row r="990">
      <c r="A990" s="16" t="str">
        <f t="shared" si="10"/>
        <v/>
      </c>
      <c r="B990" s="48"/>
      <c r="C990" s="14"/>
      <c r="D990" s="52"/>
      <c r="E990" s="16"/>
      <c r="F990" s="14"/>
      <c r="G990" s="14"/>
      <c r="H990" s="17"/>
      <c r="I990" s="17"/>
      <c r="J990" s="16"/>
      <c r="K990" s="17"/>
      <c r="L990" s="16"/>
      <c r="N990" s="28"/>
    </row>
    <row r="991">
      <c r="A991" s="16" t="str">
        <f t="shared" si="10"/>
        <v/>
      </c>
      <c r="B991" s="48"/>
      <c r="C991" s="14"/>
      <c r="D991" s="52"/>
      <c r="E991" s="16"/>
      <c r="F991" s="14"/>
      <c r="G991" s="14"/>
      <c r="H991" s="14"/>
      <c r="I991" s="17"/>
      <c r="J991" s="16"/>
      <c r="K991" s="17"/>
      <c r="L991" s="16"/>
      <c r="N991" s="28"/>
    </row>
    <row r="992">
      <c r="A992" s="16" t="str">
        <f t="shared" si="10"/>
        <v/>
      </c>
      <c r="B992" s="48"/>
      <c r="C992" s="14"/>
      <c r="D992" s="52"/>
      <c r="E992" s="16"/>
      <c r="F992" s="14"/>
      <c r="G992" s="14"/>
      <c r="H992" s="14"/>
      <c r="I992" s="17"/>
      <c r="J992" s="16"/>
      <c r="K992" s="17"/>
      <c r="L992" s="16"/>
      <c r="N992" s="28"/>
    </row>
    <row r="993">
      <c r="A993" s="16" t="str">
        <f t="shared" si="10"/>
        <v/>
      </c>
      <c r="B993" s="48"/>
      <c r="C993" s="14"/>
      <c r="D993" s="52"/>
      <c r="E993" s="16"/>
      <c r="F993" s="14"/>
      <c r="G993" s="14"/>
      <c r="H993" s="14"/>
      <c r="I993" s="17"/>
      <c r="J993" s="16"/>
      <c r="K993" s="17"/>
      <c r="L993" s="16"/>
      <c r="N993" s="28"/>
    </row>
    <row r="994">
      <c r="A994" s="16" t="str">
        <f t="shared" si="10"/>
        <v/>
      </c>
      <c r="B994" s="48"/>
      <c r="C994" s="14"/>
      <c r="D994" s="52"/>
      <c r="E994" s="16"/>
      <c r="F994" s="14"/>
      <c r="G994" s="14"/>
      <c r="H994" s="14"/>
      <c r="I994" s="17"/>
      <c r="J994" s="16"/>
      <c r="K994" s="17"/>
      <c r="L994" s="16"/>
      <c r="N994" s="28"/>
    </row>
    <row r="995">
      <c r="A995" s="16" t="str">
        <f t="shared" si="10"/>
        <v/>
      </c>
      <c r="B995" s="48"/>
      <c r="C995" s="14"/>
      <c r="D995" s="52"/>
      <c r="E995" s="16"/>
      <c r="F995" s="14"/>
      <c r="G995" s="14"/>
      <c r="H995" s="14"/>
      <c r="I995" s="17"/>
      <c r="J995" s="16"/>
      <c r="K995" s="17"/>
      <c r="L995" s="16"/>
      <c r="N995" s="28"/>
    </row>
    <row r="996">
      <c r="A996" s="16" t="str">
        <f t="shared" si="10"/>
        <v/>
      </c>
      <c r="B996" s="48"/>
      <c r="C996" s="14"/>
      <c r="D996" s="52"/>
      <c r="E996" s="16"/>
      <c r="F996" s="14"/>
      <c r="G996" s="14"/>
      <c r="H996" s="17"/>
      <c r="I996" s="17"/>
      <c r="J996" s="16"/>
      <c r="K996" s="17"/>
      <c r="L996" s="16"/>
      <c r="N996" s="28"/>
    </row>
    <row r="997">
      <c r="A997" s="16" t="str">
        <f t="shared" si="10"/>
        <v/>
      </c>
      <c r="B997" s="48"/>
      <c r="C997" s="14"/>
      <c r="D997" s="52"/>
      <c r="E997" s="16"/>
      <c r="F997" s="14"/>
      <c r="G997" s="14"/>
      <c r="H997" s="17"/>
      <c r="I997" s="17"/>
      <c r="J997" s="16"/>
      <c r="K997" s="17"/>
      <c r="L997" s="16"/>
      <c r="N997" s="28"/>
    </row>
    <row r="998">
      <c r="A998" s="16" t="str">
        <f t="shared" si="10"/>
        <v/>
      </c>
      <c r="B998" s="48"/>
      <c r="C998" s="14"/>
      <c r="D998" s="52"/>
      <c r="E998" s="16"/>
      <c r="F998" s="14"/>
      <c r="G998" s="14"/>
      <c r="H998" s="14"/>
      <c r="I998" s="17"/>
      <c r="J998" s="16"/>
      <c r="K998" s="17"/>
      <c r="L998" s="16"/>
      <c r="N998" s="28"/>
    </row>
    <row r="999">
      <c r="A999" s="16" t="str">
        <f t="shared" si="10"/>
        <v/>
      </c>
      <c r="B999" s="48"/>
      <c r="C999" s="14"/>
      <c r="D999" s="52"/>
      <c r="E999" s="16"/>
      <c r="F999" s="14"/>
      <c r="G999" s="14"/>
      <c r="H999" s="14"/>
      <c r="I999" s="17"/>
      <c r="J999" s="16"/>
      <c r="K999" s="17"/>
      <c r="L999" s="16"/>
      <c r="N999" s="28"/>
    </row>
    <row r="1000">
      <c r="A1000" s="16" t="str">
        <f t="shared" si="10"/>
        <v/>
      </c>
      <c r="B1000" s="48"/>
      <c r="C1000" s="14"/>
      <c r="D1000" s="52"/>
      <c r="E1000" s="16"/>
      <c r="F1000" s="14"/>
      <c r="G1000" s="14"/>
      <c r="H1000" s="14"/>
      <c r="I1000" s="17"/>
      <c r="J1000" s="16"/>
      <c r="K1000" s="17"/>
      <c r="L1000" s="16"/>
      <c r="N1000" s="28"/>
    </row>
    <row r="1001">
      <c r="A1001" s="16" t="str">
        <f t="shared" si="10"/>
        <v/>
      </c>
      <c r="B1001" s="48"/>
      <c r="C1001" s="14"/>
      <c r="D1001" s="52"/>
      <c r="E1001" s="16"/>
      <c r="F1001" s="14"/>
      <c r="G1001" s="14"/>
      <c r="H1001" s="14"/>
      <c r="I1001" s="17"/>
      <c r="J1001" s="16"/>
      <c r="K1001" s="17"/>
      <c r="L1001" s="16"/>
      <c r="N1001" s="28"/>
    </row>
    <row r="1002">
      <c r="A1002" s="16" t="str">
        <f t="shared" si="10"/>
        <v/>
      </c>
      <c r="B1002" s="48"/>
      <c r="C1002" s="14"/>
      <c r="D1002" s="52"/>
      <c r="E1002" s="16"/>
      <c r="F1002" s="14"/>
      <c r="G1002" s="14"/>
      <c r="H1002" s="14"/>
      <c r="I1002" s="17"/>
      <c r="J1002" s="16"/>
      <c r="K1002" s="17"/>
      <c r="L1002" s="16"/>
      <c r="N1002" s="28"/>
    </row>
    <row r="1003">
      <c r="A1003" s="16" t="str">
        <f t="shared" si="10"/>
        <v/>
      </c>
      <c r="B1003" s="48"/>
      <c r="C1003" s="14"/>
      <c r="D1003" s="52"/>
      <c r="E1003" s="16"/>
      <c r="F1003" s="14"/>
      <c r="G1003" s="14"/>
      <c r="H1003" s="14"/>
      <c r="I1003" s="17"/>
      <c r="J1003" s="16"/>
      <c r="K1003" s="17"/>
      <c r="L1003" s="16"/>
      <c r="N1003" s="28"/>
    </row>
    <row r="1004">
      <c r="A1004" s="16" t="str">
        <f t="shared" si="10"/>
        <v/>
      </c>
      <c r="B1004" s="48"/>
      <c r="C1004" s="14"/>
      <c r="D1004" s="52"/>
      <c r="E1004" s="16"/>
      <c r="F1004" s="14"/>
      <c r="G1004" s="14"/>
      <c r="H1004" s="14"/>
      <c r="I1004" s="17"/>
      <c r="J1004" s="16"/>
      <c r="K1004" s="17"/>
      <c r="L1004" s="16"/>
      <c r="N1004" s="28"/>
    </row>
    <row r="1005">
      <c r="A1005" s="16" t="str">
        <f t="shared" si="10"/>
        <v/>
      </c>
      <c r="B1005" s="48"/>
      <c r="C1005" s="14"/>
      <c r="D1005" s="52"/>
      <c r="E1005" s="16"/>
      <c r="F1005" s="14"/>
      <c r="G1005" s="14"/>
      <c r="H1005" s="14"/>
      <c r="I1005" s="17"/>
      <c r="J1005" s="16"/>
      <c r="K1005" s="17"/>
      <c r="L1005" s="16"/>
      <c r="N1005" s="28"/>
    </row>
    <row r="1006">
      <c r="A1006" s="16" t="str">
        <f t="shared" si="10"/>
        <v/>
      </c>
      <c r="B1006" s="48"/>
      <c r="C1006" s="14"/>
      <c r="D1006" s="52"/>
      <c r="E1006" s="16"/>
      <c r="F1006" s="14"/>
      <c r="G1006" s="14"/>
      <c r="H1006" s="14"/>
      <c r="I1006" s="17"/>
      <c r="J1006" s="16"/>
      <c r="K1006" s="17"/>
      <c r="L1006" s="16"/>
      <c r="N1006" s="28"/>
    </row>
    <row r="1007">
      <c r="A1007" s="16" t="str">
        <f t="shared" si="10"/>
        <v/>
      </c>
      <c r="B1007" s="48"/>
      <c r="C1007" s="14"/>
      <c r="D1007" s="52"/>
      <c r="E1007" s="16"/>
      <c r="F1007" s="14"/>
      <c r="G1007" s="14"/>
      <c r="H1007" s="14"/>
      <c r="I1007" s="17"/>
      <c r="J1007" s="16"/>
      <c r="K1007" s="17"/>
      <c r="L1007" s="16"/>
      <c r="N1007" s="28"/>
    </row>
    <row r="1008">
      <c r="A1008" s="16" t="str">
        <f t="shared" si="10"/>
        <v/>
      </c>
      <c r="B1008" s="48"/>
      <c r="C1008" s="14"/>
      <c r="D1008" s="52"/>
      <c r="E1008" s="16"/>
      <c r="F1008" s="14"/>
      <c r="G1008" s="14"/>
      <c r="H1008" s="14"/>
      <c r="I1008" s="17"/>
      <c r="J1008" s="16"/>
      <c r="K1008" s="17"/>
      <c r="L1008" s="16"/>
      <c r="N1008" s="28"/>
    </row>
    <row r="1009">
      <c r="A1009" s="16" t="str">
        <f t="shared" si="10"/>
        <v/>
      </c>
      <c r="B1009" s="48"/>
      <c r="C1009" s="14"/>
      <c r="D1009" s="52"/>
      <c r="E1009" s="16"/>
      <c r="F1009" s="14"/>
      <c r="G1009" s="14"/>
      <c r="H1009" s="14"/>
      <c r="I1009" s="17"/>
      <c r="J1009" s="16"/>
      <c r="K1009" s="17"/>
      <c r="L1009" s="16"/>
      <c r="N1009" s="28"/>
    </row>
    <row r="1010">
      <c r="A1010" s="16" t="str">
        <f t="shared" si="10"/>
        <v/>
      </c>
      <c r="B1010" s="48"/>
      <c r="C1010" s="14"/>
      <c r="D1010" s="52"/>
      <c r="E1010" s="16"/>
      <c r="F1010" s="14"/>
      <c r="G1010" s="14"/>
      <c r="H1010" s="14"/>
      <c r="I1010" s="17"/>
      <c r="J1010" s="16"/>
      <c r="K1010" s="17"/>
      <c r="L1010" s="16"/>
      <c r="N1010" s="28"/>
    </row>
    <row r="1011">
      <c r="A1011" s="16" t="str">
        <f t="shared" si="10"/>
        <v/>
      </c>
      <c r="B1011" s="48"/>
      <c r="C1011" s="14"/>
      <c r="D1011" s="52"/>
      <c r="E1011" s="16"/>
      <c r="F1011" s="14"/>
      <c r="G1011" s="14"/>
      <c r="H1011" s="17"/>
      <c r="I1011" s="17"/>
      <c r="J1011" s="16"/>
      <c r="K1011" s="17"/>
      <c r="L1011" s="16"/>
      <c r="N1011" s="28"/>
    </row>
    <row r="1012">
      <c r="A1012" s="16" t="str">
        <f t="shared" si="10"/>
        <v/>
      </c>
      <c r="B1012" s="48"/>
      <c r="C1012" s="14"/>
      <c r="D1012" s="52"/>
      <c r="E1012" s="16"/>
      <c r="F1012" s="14"/>
      <c r="G1012" s="14"/>
      <c r="H1012" s="14"/>
      <c r="I1012" s="17"/>
      <c r="J1012" s="16"/>
      <c r="K1012" s="17"/>
      <c r="L1012" s="16"/>
      <c r="N1012" s="28"/>
    </row>
    <row r="1013">
      <c r="A1013" s="16" t="str">
        <f t="shared" si="10"/>
        <v/>
      </c>
      <c r="B1013" s="48"/>
      <c r="C1013" s="14"/>
      <c r="D1013" s="52"/>
      <c r="E1013" s="16"/>
      <c r="F1013" s="14"/>
      <c r="G1013" s="14"/>
      <c r="H1013" s="17"/>
      <c r="I1013" s="17"/>
      <c r="J1013" s="16"/>
      <c r="K1013" s="17"/>
      <c r="L1013" s="16"/>
      <c r="N1013" s="28"/>
    </row>
    <row r="1014">
      <c r="A1014" s="16" t="str">
        <f t="shared" si="10"/>
        <v/>
      </c>
      <c r="B1014" s="48"/>
      <c r="C1014" s="14"/>
      <c r="D1014" s="52"/>
      <c r="E1014" s="16"/>
      <c r="F1014" s="14"/>
      <c r="G1014" s="14"/>
      <c r="H1014" s="14"/>
      <c r="I1014" s="17"/>
      <c r="J1014" s="16"/>
      <c r="K1014" s="17"/>
      <c r="L1014" s="16"/>
      <c r="N1014" s="28"/>
    </row>
    <row r="1015">
      <c r="A1015" s="16" t="str">
        <f t="shared" si="10"/>
        <v/>
      </c>
      <c r="B1015" s="48"/>
      <c r="C1015" s="14"/>
      <c r="D1015" s="52"/>
      <c r="E1015" s="16"/>
      <c r="F1015" s="14"/>
      <c r="G1015" s="14"/>
      <c r="H1015" s="17"/>
      <c r="I1015" s="17"/>
      <c r="J1015" s="16"/>
      <c r="K1015" s="14"/>
      <c r="L1015" s="16"/>
      <c r="N1015" s="28"/>
    </row>
    <row r="1016">
      <c r="A1016" s="16" t="str">
        <f t="shared" si="10"/>
        <v/>
      </c>
      <c r="B1016" s="48"/>
      <c r="C1016" s="14"/>
      <c r="D1016" s="52"/>
      <c r="E1016" s="16"/>
      <c r="F1016" s="14"/>
      <c r="G1016" s="14"/>
      <c r="H1016" s="14"/>
      <c r="I1016" s="17"/>
      <c r="J1016" s="16"/>
      <c r="K1016" s="17"/>
      <c r="L1016" s="16"/>
      <c r="N1016" s="28"/>
    </row>
    <row r="1017">
      <c r="A1017" s="16" t="str">
        <f t="shared" si="10"/>
        <v/>
      </c>
      <c r="B1017" s="48"/>
      <c r="C1017" s="14"/>
      <c r="D1017" s="52"/>
      <c r="E1017" s="16"/>
      <c r="F1017" s="14"/>
      <c r="G1017" s="14"/>
      <c r="H1017" s="14"/>
      <c r="I1017" s="17"/>
      <c r="J1017" s="16"/>
      <c r="K1017" s="17"/>
      <c r="L1017" s="16"/>
      <c r="N1017" s="28"/>
    </row>
    <row r="1018">
      <c r="A1018" s="16" t="str">
        <f t="shared" si="10"/>
        <v/>
      </c>
      <c r="B1018" s="48"/>
      <c r="C1018" s="14"/>
      <c r="D1018" s="52"/>
      <c r="E1018" s="16"/>
      <c r="F1018" s="14"/>
      <c r="G1018" s="14"/>
      <c r="H1018" s="17"/>
      <c r="I1018" s="17"/>
      <c r="J1018" s="16"/>
      <c r="K1018" s="17"/>
      <c r="L1018" s="16"/>
      <c r="N1018" s="28"/>
    </row>
    <row r="1019">
      <c r="A1019" s="16" t="str">
        <f t="shared" si="10"/>
        <v/>
      </c>
      <c r="B1019" s="48"/>
      <c r="C1019" s="14"/>
      <c r="D1019" s="52"/>
      <c r="E1019" s="16"/>
      <c r="F1019" s="14"/>
      <c r="G1019" s="14"/>
      <c r="H1019" s="14"/>
      <c r="I1019" s="17"/>
      <c r="J1019" s="16"/>
      <c r="K1019" s="17"/>
      <c r="L1019" s="16"/>
      <c r="N1019" s="28"/>
    </row>
    <row r="1020">
      <c r="A1020" s="16" t="str">
        <f t="shared" si="10"/>
        <v/>
      </c>
      <c r="B1020" s="48"/>
      <c r="C1020" s="14"/>
      <c r="D1020" s="52"/>
      <c r="E1020" s="16"/>
      <c r="F1020" s="14"/>
      <c r="G1020" s="14"/>
      <c r="H1020" s="14"/>
      <c r="I1020" s="17"/>
      <c r="J1020" s="16"/>
      <c r="K1020" s="17"/>
      <c r="L1020" s="16"/>
      <c r="N1020" s="28"/>
    </row>
    <row r="1021">
      <c r="A1021" s="16" t="str">
        <f t="shared" si="10"/>
        <v/>
      </c>
      <c r="B1021" s="48"/>
      <c r="C1021" s="14"/>
      <c r="D1021" s="52"/>
      <c r="E1021" s="16"/>
      <c r="F1021" s="14"/>
      <c r="G1021" s="14"/>
      <c r="H1021" s="17"/>
      <c r="I1021" s="17"/>
      <c r="J1021" s="16"/>
      <c r="K1021" s="17"/>
      <c r="L1021" s="16"/>
      <c r="N1021" s="28"/>
    </row>
    <row r="1022">
      <c r="A1022" s="16" t="str">
        <f t="shared" si="10"/>
        <v/>
      </c>
      <c r="B1022" s="48"/>
      <c r="C1022" s="14"/>
      <c r="D1022" s="52"/>
      <c r="E1022" s="16"/>
      <c r="F1022" s="14"/>
      <c r="G1022" s="14"/>
      <c r="H1022" s="14"/>
      <c r="I1022" s="17"/>
      <c r="J1022" s="16"/>
      <c r="K1022" s="17"/>
      <c r="L1022" s="16"/>
      <c r="N1022" s="28"/>
    </row>
    <row r="1023">
      <c r="A1023" s="16" t="str">
        <f t="shared" si="10"/>
        <v/>
      </c>
      <c r="B1023" s="48"/>
      <c r="C1023" s="14"/>
      <c r="D1023" s="52"/>
      <c r="E1023" s="16"/>
      <c r="F1023" s="14"/>
      <c r="G1023" s="14"/>
      <c r="H1023" s="17"/>
      <c r="I1023" s="17"/>
      <c r="J1023" s="16"/>
      <c r="K1023" s="17"/>
      <c r="L1023" s="16"/>
      <c r="N1023" s="28"/>
    </row>
    <row r="1024">
      <c r="A1024" s="16" t="str">
        <f t="shared" si="10"/>
        <v/>
      </c>
      <c r="B1024" s="48"/>
      <c r="C1024" s="14"/>
      <c r="D1024" s="52"/>
      <c r="E1024" s="16"/>
      <c r="F1024" s="14"/>
      <c r="G1024" s="14"/>
      <c r="H1024" s="14"/>
      <c r="I1024" s="17"/>
      <c r="J1024" s="16"/>
      <c r="K1024" s="17"/>
      <c r="L1024" s="16"/>
      <c r="N1024" s="28"/>
    </row>
    <row r="1025">
      <c r="A1025" s="16" t="str">
        <f t="shared" si="10"/>
        <v/>
      </c>
      <c r="B1025" s="48"/>
      <c r="C1025" s="14"/>
      <c r="D1025" s="52"/>
      <c r="E1025" s="16"/>
      <c r="F1025" s="14"/>
      <c r="G1025" s="14"/>
      <c r="H1025" s="17"/>
      <c r="I1025" s="17"/>
      <c r="J1025" s="16"/>
      <c r="K1025" s="17"/>
      <c r="L1025" s="16"/>
      <c r="N1025" s="28"/>
    </row>
    <row r="1026">
      <c r="A1026" s="16" t="str">
        <f t="shared" si="10"/>
        <v/>
      </c>
      <c r="B1026" s="48"/>
      <c r="C1026" s="14"/>
      <c r="D1026" s="52"/>
      <c r="E1026" s="16"/>
      <c r="F1026" s="14"/>
      <c r="G1026" s="14"/>
      <c r="H1026" s="14"/>
      <c r="I1026" s="17"/>
      <c r="J1026" s="16"/>
      <c r="K1026" s="17"/>
      <c r="L1026" s="16"/>
      <c r="N1026" s="28"/>
    </row>
    <row r="1027">
      <c r="A1027" s="16" t="str">
        <f t="shared" si="10"/>
        <v/>
      </c>
      <c r="B1027" s="48"/>
      <c r="C1027" s="14"/>
      <c r="D1027" s="52"/>
      <c r="E1027" s="16"/>
      <c r="F1027" s="14"/>
      <c r="G1027" s="14"/>
      <c r="H1027" s="17"/>
      <c r="I1027" s="17"/>
      <c r="J1027" s="16"/>
      <c r="K1027" s="17"/>
      <c r="L1027" s="16"/>
      <c r="N1027" s="28"/>
    </row>
    <row r="1028">
      <c r="A1028" s="16" t="str">
        <f t="shared" si="10"/>
        <v/>
      </c>
      <c r="B1028" s="48"/>
      <c r="C1028" s="14"/>
      <c r="D1028" s="52"/>
      <c r="E1028" s="16"/>
      <c r="F1028" s="14"/>
      <c r="G1028" s="14"/>
      <c r="H1028" s="14"/>
      <c r="I1028" s="17"/>
      <c r="J1028" s="16"/>
      <c r="K1028" s="17"/>
      <c r="L1028" s="16"/>
      <c r="N1028" s="28"/>
    </row>
    <row r="1029">
      <c r="A1029" s="16" t="str">
        <f t="shared" si="10"/>
        <v/>
      </c>
      <c r="B1029" s="48"/>
      <c r="C1029" s="14"/>
      <c r="D1029" s="52"/>
      <c r="E1029" s="16"/>
      <c r="F1029" s="14"/>
      <c r="G1029" s="14"/>
      <c r="H1029" s="14"/>
      <c r="I1029" s="17"/>
      <c r="J1029" s="16"/>
      <c r="K1029" s="17"/>
      <c r="L1029" s="16"/>
      <c r="N1029" s="28"/>
    </row>
    <row r="1030">
      <c r="A1030" s="16" t="str">
        <f t="shared" si="10"/>
        <v/>
      </c>
      <c r="B1030" s="48"/>
      <c r="C1030" s="14"/>
      <c r="D1030" s="52"/>
      <c r="E1030" s="16"/>
      <c r="F1030" s="14"/>
      <c r="G1030" s="14"/>
      <c r="H1030" s="17"/>
      <c r="I1030" s="17"/>
      <c r="J1030" s="16"/>
      <c r="K1030" s="17"/>
      <c r="L1030" s="16"/>
      <c r="N1030" s="28"/>
    </row>
    <row r="1031">
      <c r="A1031" s="16" t="str">
        <f t="shared" si="10"/>
        <v/>
      </c>
      <c r="B1031" s="48"/>
      <c r="C1031" s="14"/>
      <c r="D1031" s="52"/>
      <c r="E1031" s="16"/>
      <c r="F1031" s="14"/>
      <c r="G1031" s="14"/>
      <c r="H1031" s="14"/>
      <c r="I1031" s="17"/>
      <c r="J1031" s="16"/>
      <c r="K1031" s="17"/>
      <c r="L1031" s="16"/>
      <c r="N1031" s="28"/>
    </row>
    <row r="1032">
      <c r="A1032" s="16" t="str">
        <f t="shared" si="10"/>
        <v/>
      </c>
      <c r="B1032" s="48"/>
      <c r="C1032" s="14"/>
      <c r="D1032" s="52"/>
      <c r="E1032" s="16"/>
      <c r="F1032" s="14"/>
      <c r="G1032" s="14"/>
      <c r="H1032" s="17"/>
      <c r="I1032" s="17"/>
      <c r="J1032" s="16"/>
      <c r="K1032" s="17"/>
      <c r="L1032" s="16"/>
      <c r="N1032" s="28"/>
    </row>
    <row r="1033">
      <c r="A1033" s="16" t="str">
        <f t="shared" si="10"/>
        <v/>
      </c>
      <c r="B1033" s="48"/>
      <c r="C1033" s="14"/>
      <c r="D1033" s="52"/>
      <c r="E1033" s="16"/>
      <c r="F1033" s="14"/>
      <c r="G1033" s="14"/>
      <c r="H1033" s="14"/>
      <c r="I1033" s="17"/>
      <c r="J1033" s="16"/>
      <c r="K1033" s="17"/>
      <c r="L1033" s="16"/>
      <c r="N1033" s="28"/>
    </row>
    <row r="1034">
      <c r="A1034" s="16" t="str">
        <f t="shared" si="10"/>
        <v/>
      </c>
      <c r="B1034" s="48"/>
      <c r="C1034" s="14"/>
      <c r="D1034" s="52"/>
      <c r="E1034" s="16"/>
      <c r="F1034" s="14"/>
      <c r="G1034" s="14"/>
      <c r="H1034" s="14"/>
      <c r="I1034" s="17"/>
      <c r="J1034" s="16"/>
      <c r="K1034" s="17"/>
      <c r="L1034" s="16"/>
      <c r="N1034" s="28"/>
    </row>
    <row r="1035">
      <c r="A1035" s="16" t="str">
        <f t="shared" si="10"/>
        <v/>
      </c>
      <c r="B1035" s="48"/>
      <c r="C1035" s="14"/>
      <c r="D1035" s="52"/>
      <c r="E1035" s="16"/>
      <c r="F1035" s="14"/>
      <c r="G1035" s="14"/>
      <c r="H1035" s="17"/>
      <c r="I1035" s="17"/>
      <c r="J1035" s="16"/>
      <c r="K1035" s="17"/>
      <c r="L1035" s="16"/>
      <c r="N1035" s="28"/>
    </row>
    <row r="1036">
      <c r="A1036" s="16" t="str">
        <f t="shared" si="10"/>
        <v/>
      </c>
      <c r="B1036" s="48"/>
      <c r="C1036" s="14"/>
      <c r="D1036" s="52"/>
      <c r="E1036" s="16"/>
      <c r="F1036" s="14"/>
      <c r="G1036" s="14"/>
      <c r="H1036" s="17"/>
      <c r="I1036" s="17"/>
      <c r="J1036" s="16"/>
      <c r="K1036" s="17"/>
      <c r="L1036" s="16"/>
      <c r="N1036" s="28"/>
    </row>
    <row r="1037">
      <c r="A1037" s="16" t="str">
        <f t="shared" si="10"/>
        <v/>
      </c>
      <c r="B1037" s="48"/>
      <c r="C1037" s="14"/>
      <c r="D1037" s="52"/>
      <c r="E1037" s="16"/>
      <c r="F1037" s="14"/>
      <c r="G1037" s="14"/>
      <c r="H1037" s="14"/>
      <c r="I1037" s="17"/>
      <c r="J1037" s="16"/>
      <c r="K1037" s="17"/>
      <c r="L1037" s="16"/>
      <c r="N1037" s="28"/>
    </row>
    <row r="1038">
      <c r="A1038" s="16" t="str">
        <f t="shared" si="10"/>
        <v/>
      </c>
      <c r="B1038" s="48"/>
      <c r="C1038" s="14"/>
      <c r="D1038" s="52"/>
      <c r="E1038" s="16"/>
      <c r="F1038" s="14"/>
      <c r="G1038" s="14"/>
      <c r="H1038" s="14"/>
      <c r="I1038" s="17"/>
      <c r="J1038" s="16"/>
      <c r="K1038" s="17"/>
      <c r="L1038" s="16"/>
      <c r="N1038" s="28"/>
    </row>
    <row r="1039">
      <c r="A1039" s="16" t="str">
        <f t="shared" si="10"/>
        <v/>
      </c>
      <c r="B1039" s="48"/>
      <c r="C1039" s="14"/>
      <c r="D1039" s="52"/>
      <c r="E1039" s="16"/>
      <c r="F1039" s="14"/>
      <c r="G1039" s="14"/>
      <c r="H1039" s="14"/>
      <c r="I1039" s="17"/>
      <c r="J1039" s="16"/>
      <c r="K1039" s="17"/>
      <c r="L1039" s="16"/>
      <c r="N1039" s="28"/>
    </row>
    <row r="1040">
      <c r="A1040" s="16" t="str">
        <f t="shared" si="10"/>
        <v/>
      </c>
      <c r="B1040" s="48"/>
      <c r="C1040" s="14"/>
      <c r="D1040" s="52"/>
      <c r="E1040" s="16"/>
      <c r="F1040" s="14"/>
      <c r="G1040" s="14"/>
      <c r="H1040" s="14"/>
      <c r="I1040" s="17"/>
      <c r="J1040" s="16"/>
      <c r="K1040" s="17"/>
      <c r="L1040" s="16"/>
      <c r="N1040" s="28"/>
    </row>
    <row r="1041">
      <c r="A1041" s="16" t="str">
        <f t="shared" si="10"/>
        <v/>
      </c>
      <c r="B1041" s="48"/>
      <c r="C1041" s="14"/>
      <c r="D1041" s="52"/>
      <c r="E1041" s="16"/>
      <c r="F1041" s="14"/>
      <c r="G1041" s="14"/>
      <c r="H1041" s="14"/>
      <c r="I1041" s="17"/>
      <c r="J1041" s="16"/>
      <c r="K1041" s="17"/>
      <c r="L1041" s="16"/>
      <c r="N1041" s="28"/>
    </row>
    <row r="1042">
      <c r="A1042" s="16" t="str">
        <f t="shared" si="10"/>
        <v/>
      </c>
      <c r="B1042" s="48"/>
      <c r="C1042" s="14"/>
      <c r="D1042" s="52"/>
      <c r="E1042" s="16"/>
      <c r="F1042" s="14"/>
      <c r="G1042" s="14"/>
      <c r="H1042" s="17"/>
      <c r="I1042" s="17"/>
      <c r="J1042" s="16"/>
      <c r="K1042" s="17"/>
      <c r="L1042" s="16"/>
      <c r="N1042" s="28"/>
    </row>
    <row r="1043">
      <c r="A1043" s="16" t="str">
        <f t="shared" si="10"/>
        <v/>
      </c>
      <c r="B1043" s="48"/>
      <c r="C1043" s="14"/>
      <c r="D1043" s="52"/>
      <c r="E1043" s="16"/>
      <c r="F1043" s="14"/>
      <c r="G1043" s="14"/>
      <c r="H1043" s="14"/>
      <c r="I1043" s="17"/>
      <c r="J1043" s="16"/>
      <c r="K1043" s="17"/>
      <c r="L1043" s="16"/>
      <c r="N1043" s="28"/>
    </row>
    <row r="1044">
      <c r="A1044" s="16" t="str">
        <f t="shared" si="10"/>
        <v/>
      </c>
      <c r="B1044" s="48"/>
      <c r="C1044" s="14"/>
      <c r="D1044" s="52"/>
      <c r="E1044" s="16"/>
      <c r="F1044" s="14"/>
      <c r="G1044" s="14"/>
      <c r="H1044" s="14"/>
      <c r="I1044" s="17"/>
      <c r="J1044" s="16"/>
      <c r="K1044" s="17"/>
      <c r="L1044" s="16"/>
      <c r="N1044" s="28"/>
    </row>
    <row r="1045">
      <c r="A1045" s="16" t="str">
        <f t="shared" si="10"/>
        <v/>
      </c>
      <c r="B1045" s="48"/>
      <c r="C1045" s="14"/>
      <c r="D1045" s="52"/>
      <c r="E1045" s="16"/>
      <c r="F1045" s="14"/>
      <c r="G1045" s="14"/>
      <c r="H1045" s="14"/>
      <c r="I1045" s="17"/>
      <c r="J1045" s="16"/>
      <c r="K1045" s="17"/>
      <c r="L1045" s="16"/>
      <c r="N1045" s="28"/>
    </row>
    <row r="1046">
      <c r="A1046" s="16" t="str">
        <f t="shared" si="10"/>
        <v/>
      </c>
      <c r="B1046" s="48"/>
      <c r="C1046" s="14"/>
      <c r="D1046" s="52"/>
      <c r="E1046" s="16"/>
      <c r="F1046" s="14"/>
      <c r="G1046" s="14"/>
      <c r="H1046" s="14"/>
      <c r="I1046" s="17"/>
      <c r="J1046" s="16"/>
      <c r="K1046" s="17"/>
      <c r="L1046" s="16"/>
      <c r="N1046" s="28"/>
    </row>
    <row r="1047">
      <c r="A1047" s="16" t="str">
        <f t="shared" si="10"/>
        <v/>
      </c>
      <c r="B1047" s="48"/>
      <c r="C1047" s="14"/>
      <c r="D1047" s="52"/>
      <c r="E1047" s="16"/>
      <c r="F1047" s="14"/>
      <c r="G1047" s="14"/>
      <c r="H1047" s="14"/>
      <c r="I1047" s="17"/>
      <c r="J1047" s="16"/>
      <c r="K1047" s="17"/>
      <c r="L1047" s="16"/>
      <c r="N1047" s="28"/>
    </row>
    <row r="1048">
      <c r="A1048" s="16" t="str">
        <f t="shared" si="10"/>
        <v/>
      </c>
      <c r="B1048" s="48"/>
      <c r="C1048" s="14"/>
      <c r="D1048" s="52"/>
      <c r="E1048" s="16"/>
      <c r="F1048" s="14"/>
      <c r="G1048" s="14"/>
      <c r="H1048" s="14"/>
      <c r="I1048" s="17"/>
      <c r="J1048" s="16"/>
      <c r="K1048" s="17"/>
      <c r="L1048" s="16"/>
      <c r="N1048" s="28"/>
    </row>
    <row r="1049">
      <c r="A1049" s="16" t="str">
        <f t="shared" si="10"/>
        <v/>
      </c>
      <c r="B1049" s="48"/>
      <c r="C1049" s="14"/>
      <c r="D1049" s="52"/>
      <c r="E1049" s="16"/>
      <c r="F1049" s="14"/>
      <c r="G1049" s="14"/>
      <c r="H1049" s="14"/>
      <c r="I1049" s="17"/>
      <c r="J1049" s="16"/>
      <c r="K1049" s="17"/>
      <c r="L1049" s="16"/>
      <c r="N1049" s="28"/>
    </row>
    <row r="1050">
      <c r="A1050" s="16" t="str">
        <f t="shared" si="10"/>
        <v/>
      </c>
      <c r="B1050" s="48"/>
      <c r="C1050" s="14"/>
      <c r="D1050" s="52"/>
      <c r="E1050" s="16"/>
      <c r="F1050" s="14"/>
      <c r="G1050" s="14"/>
      <c r="H1050" s="17"/>
      <c r="I1050" s="17"/>
      <c r="J1050" s="16"/>
      <c r="K1050" s="17"/>
      <c r="L1050" s="16"/>
      <c r="N1050" s="28"/>
    </row>
    <row r="1051">
      <c r="A1051" s="16" t="str">
        <f t="shared" si="10"/>
        <v/>
      </c>
      <c r="B1051" s="48"/>
      <c r="C1051" s="14"/>
      <c r="D1051" s="52"/>
      <c r="E1051" s="16"/>
      <c r="F1051" s="14"/>
      <c r="G1051" s="14"/>
      <c r="H1051" s="14"/>
      <c r="I1051" s="17"/>
      <c r="J1051" s="16"/>
      <c r="K1051" s="17"/>
      <c r="L1051" s="16"/>
      <c r="N1051" s="28"/>
    </row>
    <row r="1052">
      <c r="A1052" s="16" t="str">
        <f t="shared" si="10"/>
        <v/>
      </c>
      <c r="B1052" s="48"/>
      <c r="C1052" s="14"/>
      <c r="D1052" s="52"/>
      <c r="E1052" s="16"/>
      <c r="F1052" s="14"/>
      <c r="G1052" s="14"/>
      <c r="H1052" s="17"/>
      <c r="I1052" s="17"/>
      <c r="J1052" s="16"/>
      <c r="K1052" s="17"/>
      <c r="L1052" s="16"/>
      <c r="N1052" s="28"/>
    </row>
    <row r="1053">
      <c r="A1053" s="16" t="str">
        <f t="shared" si="10"/>
        <v/>
      </c>
      <c r="B1053" s="48"/>
      <c r="C1053" s="14"/>
      <c r="D1053" s="52"/>
      <c r="E1053" s="16"/>
      <c r="F1053" s="14"/>
      <c r="G1053" s="14"/>
      <c r="H1053" s="14"/>
      <c r="I1053" s="17"/>
      <c r="J1053" s="16"/>
      <c r="K1053" s="17"/>
      <c r="L1053" s="16"/>
      <c r="N1053" s="28"/>
    </row>
    <row r="1054">
      <c r="A1054" s="16" t="str">
        <f t="shared" si="10"/>
        <v/>
      </c>
      <c r="B1054" s="48"/>
      <c r="C1054" s="14"/>
      <c r="D1054" s="52"/>
      <c r="E1054" s="16"/>
      <c r="F1054" s="14"/>
      <c r="G1054" s="14"/>
      <c r="H1054" s="14"/>
      <c r="I1054" s="17"/>
      <c r="J1054" s="16"/>
      <c r="K1054" s="17"/>
      <c r="L1054" s="16"/>
      <c r="N1054" s="28"/>
    </row>
    <row r="1055">
      <c r="A1055" s="16" t="str">
        <f t="shared" si="10"/>
        <v/>
      </c>
      <c r="B1055" s="48"/>
      <c r="C1055" s="14"/>
      <c r="D1055" s="52"/>
      <c r="E1055" s="16"/>
      <c r="F1055" s="14"/>
      <c r="G1055" s="14"/>
      <c r="H1055" s="14"/>
      <c r="I1055" s="17"/>
      <c r="J1055" s="16"/>
      <c r="K1055" s="17"/>
      <c r="L1055" s="16"/>
      <c r="N1055" s="28"/>
    </row>
    <row r="1056">
      <c r="A1056" s="16" t="str">
        <f t="shared" si="10"/>
        <v/>
      </c>
      <c r="B1056" s="48"/>
      <c r="C1056" s="14"/>
      <c r="D1056" s="52"/>
      <c r="E1056" s="16"/>
      <c r="F1056" s="14"/>
      <c r="G1056" s="14"/>
      <c r="H1056" s="14"/>
      <c r="I1056" s="17"/>
      <c r="J1056" s="16"/>
      <c r="K1056" s="17"/>
      <c r="L1056" s="16"/>
      <c r="N1056" s="28"/>
    </row>
    <row r="1057">
      <c r="A1057" s="16" t="str">
        <f t="shared" si="10"/>
        <v/>
      </c>
      <c r="B1057" s="48"/>
      <c r="C1057" s="14"/>
      <c r="D1057" s="52"/>
      <c r="E1057" s="16"/>
      <c r="F1057" s="14"/>
      <c r="G1057" s="14"/>
      <c r="H1057" s="14"/>
      <c r="I1057" s="17"/>
      <c r="J1057" s="16"/>
      <c r="K1057" s="17"/>
      <c r="L1057" s="16"/>
      <c r="N1057" s="28"/>
    </row>
    <row r="1058">
      <c r="A1058" s="16" t="str">
        <f t="shared" si="10"/>
        <v/>
      </c>
      <c r="B1058" s="48"/>
      <c r="C1058" s="14"/>
      <c r="D1058" s="52"/>
      <c r="E1058" s="16"/>
      <c r="F1058" s="14"/>
      <c r="G1058" s="14"/>
      <c r="H1058" s="17"/>
      <c r="I1058" s="17"/>
      <c r="J1058" s="16"/>
      <c r="K1058" s="17"/>
      <c r="L1058" s="16"/>
      <c r="N1058" s="28"/>
    </row>
    <row r="1059">
      <c r="A1059" s="16" t="str">
        <f t="shared" si="10"/>
        <v/>
      </c>
      <c r="B1059" s="48"/>
      <c r="C1059" s="14"/>
      <c r="D1059" s="52"/>
      <c r="E1059" s="16"/>
      <c r="F1059" s="14"/>
      <c r="G1059" s="14"/>
      <c r="H1059" s="14"/>
      <c r="I1059" s="17"/>
      <c r="J1059" s="16"/>
      <c r="K1059" s="17"/>
      <c r="L1059" s="16"/>
      <c r="N1059" s="28"/>
    </row>
    <row r="1060">
      <c r="A1060" s="16" t="str">
        <f t="shared" si="10"/>
        <v/>
      </c>
      <c r="B1060" s="48"/>
      <c r="C1060" s="14"/>
      <c r="D1060" s="52"/>
      <c r="E1060" s="16"/>
      <c r="F1060" s="14"/>
      <c r="G1060" s="14"/>
      <c r="H1060" s="14"/>
      <c r="I1060" s="17"/>
      <c r="J1060" s="16"/>
      <c r="K1060" s="17"/>
      <c r="L1060" s="16"/>
      <c r="N1060" s="28"/>
    </row>
    <row r="1061">
      <c r="A1061" s="16" t="str">
        <f t="shared" si="10"/>
        <v/>
      </c>
      <c r="B1061" s="48"/>
      <c r="C1061" s="14"/>
      <c r="D1061" s="52"/>
      <c r="E1061" s="16"/>
      <c r="F1061" s="14"/>
      <c r="G1061" s="14"/>
      <c r="H1061" s="17"/>
      <c r="I1061" s="17"/>
      <c r="J1061" s="16"/>
      <c r="K1061" s="17"/>
      <c r="L1061" s="16"/>
      <c r="N1061" s="28"/>
    </row>
    <row r="1062">
      <c r="A1062" s="16" t="str">
        <f t="shared" si="10"/>
        <v/>
      </c>
      <c r="B1062" s="48"/>
      <c r="C1062" s="14"/>
      <c r="D1062" s="52"/>
      <c r="E1062" s="16"/>
      <c r="F1062" s="14"/>
      <c r="G1062" s="14"/>
      <c r="H1062" s="17"/>
      <c r="I1062" s="17"/>
      <c r="J1062" s="16"/>
      <c r="K1062" s="17"/>
      <c r="L1062" s="16"/>
      <c r="N1062" s="28"/>
    </row>
    <row r="1063">
      <c r="A1063" s="16" t="str">
        <f t="shared" si="10"/>
        <v/>
      </c>
      <c r="B1063" s="48"/>
      <c r="C1063" s="14"/>
      <c r="D1063" s="52"/>
      <c r="E1063" s="16"/>
      <c r="F1063" s="14"/>
      <c r="G1063" s="14"/>
      <c r="H1063" s="14"/>
      <c r="I1063" s="17"/>
      <c r="J1063" s="16"/>
      <c r="K1063" s="17"/>
      <c r="L1063" s="16"/>
      <c r="N1063" s="28"/>
    </row>
    <row r="1064">
      <c r="A1064" s="16" t="str">
        <f t="shared" si="10"/>
        <v/>
      </c>
      <c r="B1064" s="48"/>
      <c r="C1064" s="14"/>
      <c r="D1064" s="52"/>
      <c r="E1064" s="16"/>
      <c r="F1064" s="14"/>
      <c r="G1064" s="14"/>
      <c r="H1064" s="17"/>
      <c r="I1064" s="17"/>
      <c r="J1064" s="16"/>
      <c r="K1064" s="17"/>
      <c r="L1064" s="16"/>
      <c r="N1064" s="28"/>
    </row>
    <row r="1065">
      <c r="A1065" s="16" t="str">
        <f t="shared" si="10"/>
        <v/>
      </c>
      <c r="B1065" s="48"/>
      <c r="C1065" s="14"/>
      <c r="D1065" s="52"/>
      <c r="E1065" s="16"/>
      <c r="F1065" s="14"/>
      <c r="G1065" s="14"/>
      <c r="H1065" s="14"/>
      <c r="I1065" s="17"/>
      <c r="J1065" s="16"/>
      <c r="K1065" s="17"/>
      <c r="L1065" s="16"/>
      <c r="N1065" s="28"/>
    </row>
    <row r="1066">
      <c r="A1066" s="16" t="str">
        <f t="shared" si="10"/>
        <v/>
      </c>
      <c r="B1066" s="48"/>
      <c r="C1066" s="14"/>
      <c r="D1066" s="52"/>
      <c r="E1066" s="16"/>
      <c r="F1066" s="14"/>
      <c r="G1066" s="14"/>
      <c r="H1066" s="14"/>
      <c r="I1066" s="17"/>
      <c r="J1066" s="16"/>
      <c r="K1066" s="17"/>
      <c r="L1066" s="16"/>
      <c r="N1066" s="28"/>
    </row>
    <row r="1067">
      <c r="A1067" s="16" t="str">
        <f t="shared" si="10"/>
        <v/>
      </c>
      <c r="B1067" s="48"/>
      <c r="C1067" s="14"/>
      <c r="D1067" s="52"/>
      <c r="E1067" s="16"/>
      <c r="F1067" s="14"/>
      <c r="G1067" s="14"/>
      <c r="H1067" s="17"/>
      <c r="I1067" s="17"/>
      <c r="J1067" s="16"/>
      <c r="K1067" s="17"/>
      <c r="L1067" s="16"/>
      <c r="N1067" s="28"/>
    </row>
    <row r="1068">
      <c r="A1068" s="16" t="str">
        <f t="shared" si="10"/>
        <v/>
      </c>
      <c r="B1068" s="48"/>
      <c r="C1068" s="14"/>
      <c r="D1068" s="52"/>
      <c r="E1068" s="16"/>
      <c r="F1068" s="14"/>
      <c r="G1068" s="14"/>
      <c r="H1068" s="17"/>
      <c r="I1068" s="17"/>
      <c r="J1068" s="16"/>
      <c r="K1068" s="17"/>
      <c r="L1068" s="16"/>
      <c r="N1068" s="28"/>
    </row>
    <row r="1069">
      <c r="A1069" s="16" t="str">
        <f t="shared" si="10"/>
        <v/>
      </c>
      <c r="B1069" s="48"/>
      <c r="C1069" s="14"/>
      <c r="D1069" s="52"/>
      <c r="E1069" s="16"/>
      <c r="F1069" s="14"/>
      <c r="G1069" s="14"/>
      <c r="H1069" s="14"/>
      <c r="I1069" s="17"/>
      <c r="J1069" s="16"/>
      <c r="K1069" s="17"/>
      <c r="L1069" s="16"/>
      <c r="N1069" s="28"/>
    </row>
    <row r="1070">
      <c r="A1070" s="16" t="str">
        <f t="shared" si="10"/>
        <v/>
      </c>
      <c r="B1070" s="48"/>
      <c r="C1070" s="14"/>
      <c r="D1070" s="52"/>
      <c r="E1070" s="16"/>
      <c r="F1070" s="14"/>
      <c r="G1070" s="14"/>
      <c r="H1070" s="17"/>
      <c r="I1070" s="17"/>
      <c r="J1070" s="16"/>
      <c r="K1070" s="17"/>
      <c r="L1070" s="16"/>
      <c r="N1070" s="28"/>
    </row>
    <row r="1071">
      <c r="A1071" s="16" t="str">
        <f t="shared" si="10"/>
        <v/>
      </c>
      <c r="B1071" s="48"/>
      <c r="C1071" s="14"/>
      <c r="D1071" s="52"/>
      <c r="E1071" s="16"/>
      <c r="F1071" s="14"/>
      <c r="G1071" s="14"/>
      <c r="H1071" s="14"/>
      <c r="I1071" s="17"/>
      <c r="J1071" s="16"/>
      <c r="K1071" s="17"/>
      <c r="L1071" s="16"/>
      <c r="N1071" s="28"/>
    </row>
    <row r="1072">
      <c r="A1072" s="16" t="str">
        <f t="shared" si="10"/>
        <v/>
      </c>
      <c r="B1072" s="48"/>
      <c r="C1072" s="14"/>
      <c r="D1072" s="52"/>
      <c r="E1072" s="16"/>
      <c r="F1072" s="14"/>
      <c r="G1072" s="14"/>
      <c r="H1072" s="14"/>
      <c r="I1072" s="17"/>
      <c r="J1072" s="16"/>
      <c r="K1072" s="17"/>
      <c r="L1072" s="16"/>
      <c r="N1072" s="28"/>
    </row>
    <row r="1073">
      <c r="A1073" s="16" t="str">
        <f t="shared" si="10"/>
        <v/>
      </c>
      <c r="B1073" s="48"/>
      <c r="C1073" s="14"/>
      <c r="D1073" s="52"/>
      <c r="E1073" s="16"/>
      <c r="F1073" s="14"/>
      <c r="G1073" s="14"/>
      <c r="H1073" s="14"/>
      <c r="I1073" s="17"/>
      <c r="J1073" s="16"/>
      <c r="K1073" s="17"/>
      <c r="L1073" s="16"/>
      <c r="N1073" s="28"/>
    </row>
    <row r="1074">
      <c r="A1074" s="16" t="str">
        <f t="shared" si="10"/>
        <v/>
      </c>
      <c r="B1074" s="48"/>
      <c r="C1074" s="14"/>
      <c r="D1074" s="52"/>
      <c r="E1074" s="16"/>
      <c r="F1074" s="14"/>
      <c r="G1074" s="14"/>
      <c r="H1074" s="14"/>
      <c r="I1074" s="17"/>
      <c r="J1074" s="16"/>
      <c r="K1074" s="17"/>
      <c r="L1074" s="16"/>
      <c r="N1074" s="28"/>
    </row>
    <row r="1075">
      <c r="A1075" s="16" t="str">
        <f t="shared" si="10"/>
        <v/>
      </c>
      <c r="B1075" s="48"/>
      <c r="C1075" s="14"/>
      <c r="D1075" s="52"/>
      <c r="E1075" s="16"/>
      <c r="F1075" s="14"/>
      <c r="G1075" s="14"/>
      <c r="H1075" s="14"/>
      <c r="I1075" s="17"/>
      <c r="J1075" s="16"/>
      <c r="K1075" s="17"/>
      <c r="L1075" s="16"/>
      <c r="N1075" s="28"/>
    </row>
    <row r="1076">
      <c r="A1076" s="16" t="str">
        <f t="shared" si="10"/>
        <v/>
      </c>
      <c r="B1076" s="48"/>
      <c r="C1076" s="14"/>
      <c r="D1076" s="52"/>
      <c r="E1076" s="16"/>
      <c r="F1076" s="14"/>
      <c r="G1076" s="14"/>
      <c r="H1076" s="14"/>
      <c r="I1076" s="17"/>
      <c r="J1076" s="16"/>
      <c r="K1076" s="17"/>
      <c r="L1076" s="16"/>
      <c r="N1076" s="28"/>
    </row>
    <row r="1077">
      <c r="A1077" s="16" t="str">
        <f t="shared" si="10"/>
        <v/>
      </c>
      <c r="B1077" s="48"/>
      <c r="C1077" s="14"/>
      <c r="D1077" s="52"/>
      <c r="E1077" s="16"/>
      <c r="F1077" s="14"/>
      <c r="G1077" s="14"/>
      <c r="H1077" s="14"/>
      <c r="I1077" s="17"/>
      <c r="J1077" s="16"/>
      <c r="K1077" s="17"/>
      <c r="L1077" s="16"/>
      <c r="N1077" s="28"/>
    </row>
    <row r="1078">
      <c r="A1078" s="16" t="str">
        <f t="shared" si="10"/>
        <v/>
      </c>
      <c r="B1078" s="48"/>
      <c r="C1078" s="14"/>
      <c r="D1078" s="52"/>
      <c r="E1078" s="16"/>
      <c r="F1078" s="14"/>
      <c r="G1078" s="14"/>
      <c r="H1078" s="14"/>
      <c r="I1078" s="17"/>
      <c r="J1078" s="16"/>
      <c r="K1078" s="17"/>
      <c r="L1078" s="16"/>
      <c r="N1078" s="28"/>
    </row>
    <row r="1079">
      <c r="A1079" s="16" t="str">
        <f t="shared" si="10"/>
        <v/>
      </c>
      <c r="B1079" s="48"/>
      <c r="C1079" s="14"/>
      <c r="D1079" s="52"/>
      <c r="E1079" s="16"/>
      <c r="F1079" s="14"/>
      <c r="G1079" s="14"/>
      <c r="H1079" s="14"/>
      <c r="I1079" s="17"/>
      <c r="J1079" s="16"/>
      <c r="K1079" s="17"/>
      <c r="L1079" s="16"/>
      <c r="N1079" s="28"/>
    </row>
    <row r="1080">
      <c r="A1080" s="16" t="str">
        <f t="shared" si="10"/>
        <v/>
      </c>
      <c r="B1080" s="48"/>
      <c r="C1080" s="14"/>
      <c r="D1080" s="52"/>
      <c r="E1080" s="16"/>
      <c r="F1080" s="14"/>
      <c r="G1080" s="14"/>
      <c r="H1080" s="14"/>
      <c r="I1080" s="17"/>
      <c r="J1080" s="16"/>
      <c r="K1080" s="17"/>
      <c r="L1080" s="16"/>
      <c r="N1080" s="28"/>
    </row>
    <row r="1081">
      <c r="A1081" s="16" t="str">
        <f t="shared" si="10"/>
        <v/>
      </c>
      <c r="B1081" s="48"/>
      <c r="C1081" s="14"/>
      <c r="D1081" s="52"/>
      <c r="E1081" s="16"/>
      <c r="F1081" s="14"/>
      <c r="G1081" s="14"/>
      <c r="H1081" s="14"/>
      <c r="I1081" s="17"/>
      <c r="J1081" s="16"/>
      <c r="K1081" s="17"/>
      <c r="L1081" s="16"/>
      <c r="N1081" s="28"/>
    </row>
    <row r="1082">
      <c r="A1082" s="16" t="str">
        <f t="shared" si="10"/>
        <v/>
      </c>
      <c r="B1082" s="48"/>
      <c r="C1082" s="14"/>
      <c r="D1082" s="52"/>
      <c r="E1082" s="16"/>
      <c r="F1082" s="14"/>
      <c r="G1082" s="14"/>
      <c r="H1082" s="14"/>
      <c r="I1082" s="17"/>
      <c r="J1082" s="16"/>
      <c r="K1082" s="17"/>
      <c r="L1082" s="16"/>
      <c r="N1082" s="28"/>
    </row>
    <row r="1083">
      <c r="A1083" s="16" t="str">
        <f t="shared" si="10"/>
        <v/>
      </c>
      <c r="B1083" s="48"/>
      <c r="C1083" s="14"/>
      <c r="D1083" s="52"/>
      <c r="E1083" s="16"/>
      <c r="F1083" s="14"/>
      <c r="G1083" s="14"/>
      <c r="H1083" s="14"/>
      <c r="I1083" s="17"/>
      <c r="J1083" s="16"/>
      <c r="K1083" s="17"/>
      <c r="L1083" s="16"/>
      <c r="N1083" s="28"/>
    </row>
    <row r="1084">
      <c r="A1084" s="16" t="str">
        <f t="shared" si="10"/>
        <v/>
      </c>
      <c r="B1084" s="48"/>
      <c r="C1084" s="14"/>
      <c r="D1084" s="52"/>
      <c r="E1084" s="16"/>
      <c r="F1084" s="14"/>
      <c r="G1084" s="14"/>
      <c r="H1084" s="17"/>
      <c r="I1084" s="17"/>
      <c r="J1084" s="16"/>
      <c r="K1084" s="17"/>
      <c r="L1084" s="16"/>
      <c r="N1084" s="28"/>
    </row>
    <row r="1085">
      <c r="A1085" s="16" t="str">
        <f t="shared" si="10"/>
        <v/>
      </c>
      <c r="B1085" s="48"/>
      <c r="C1085" s="14"/>
      <c r="D1085" s="52"/>
      <c r="E1085" s="16"/>
      <c r="F1085" s="14"/>
      <c r="G1085" s="14"/>
      <c r="H1085" s="14"/>
      <c r="I1085" s="17"/>
      <c r="J1085" s="16"/>
      <c r="K1085" s="17"/>
      <c r="L1085" s="16"/>
      <c r="N1085" s="28"/>
    </row>
    <row r="1086">
      <c r="A1086" s="16" t="str">
        <f t="shared" si="10"/>
        <v/>
      </c>
      <c r="B1086" s="48"/>
      <c r="C1086" s="14"/>
      <c r="D1086" s="52"/>
      <c r="E1086" s="16"/>
      <c r="F1086" s="14"/>
      <c r="G1086" s="14"/>
      <c r="H1086" s="14"/>
      <c r="I1086" s="17"/>
      <c r="J1086" s="16"/>
      <c r="K1086" s="17"/>
      <c r="L1086" s="16"/>
      <c r="N1086" s="28"/>
    </row>
    <row r="1087">
      <c r="A1087" s="16" t="str">
        <f t="shared" si="10"/>
        <v/>
      </c>
      <c r="B1087" s="48"/>
      <c r="C1087" s="14"/>
      <c r="D1087" s="52"/>
      <c r="E1087" s="16"/>
      <c r="F1087" s="14"/>
      <c r="G1087" s="14"/>
      <c r="H1087" s="17"/>
      <c r="I1087" s="17"/>
      <c r="J1087" s="16"/>
      <c r="K1087" s="17"/>
      <c r="L1087" s="16"/>
      <c r="N1087" s="28"/>
    </row>
    <row r="1088">
      <c r="A1088" s="16" t="str">
        <f t="shared" si="10"/>
        <v/>
      </c>
      <c r="B1088" s="48"/>
      <c r="C1088" s="14"/>
      <c r="D1088" s="52"/>
      <c r="E1088" s="16"/>
      <c r="F1088" s="14"/>
      <c r="G1088" s="14"/>
      <c r="H1088" s="14"/>
      <c r="I1088" s="17"/>
      <c r="J1088" s="16"/>
      <c r="K1088" s="17"/>
      <c r="L1088" s="16"/>
      <c r="N1088" s="28"/>
    </row>
    <row r="1089">
      <c r="A1089" s="16" t="str">
        <f t="shared" si="10"/>
        <v/>
      </c>
      <c r="B1089" s="48"/>
      <c r="C1089" s="14"/>
      <c r="D1089" s="52"/>
      <c r="E1089" s="16"/>
      <c r="F1089" s="14"/>
      <c r="G1089" s="14"/>
      <c r="H1089" s="14"/>
      <c r="I1089" s="17"/>
      <c r="J1089" s="16"/>
      <c r="K1089" s="17"/>
      <c r="L1089" s="16"/>
      <c r="N1089" s="28"/>
    </row>
    <row r="1090">
      <c r="A1090" s="16" t="str">
        <f t="shared" si="10"/>
        <v/>
      </c>
      <c r="B1090" s="48"/>
      <c r="C1090" s="14"/>
      <c r="D1090" s="52"/>
      <c r="E1090" s="16"/>
      <c r="F1090" s="14"/>
      <c r="G1090" s="14"/>
      <c r="H1090" s="14"/>
      <c r="I1090" s="17"/>
      <c r="J1090" s="16"/>
      <c r="K1090" s="17"/>
      <c r="L1090" s="16"/>
      <c r="N1090" s="28"/>
    </row>
    <row r="1091">
      <c r="A1091" s="16" t="str">
        <f t="shared" si="10"/>
        <v/>
      </c>
      <c r="B1091" s="48"/>
      <c r="C1091" s="14"/>
      <c r="D1091" s="52"/>
      <c r="E1091" s="16"/>
      <c r="F1091" s="14"/>
      <c r="G1091" s="14"/>
      <c r="H1091" s="14"/>
      <c r="I1091" s="17"/>
      <c r="J1091" s="16"/>
      <c r="K1091" s="17"/>
      <c r="L1091" s="16"/>
      <c r="N1091" s="28"/>
    </row>
    <row r="1092">
      <c r="A1092" s="16" t="str">
        <f t="shared" si="10"/>
        <v/>
      </c>
      <c r="B1092" s="48"/>
      <c r="C1092" s="14"/>
      <c r="D1092" s="52"/>
      <c r="E1092" s="16"/>
      <c r="F1092" s="14"/>
      <c r="G1092" s="14"/>
      <c r="H1092" s="17"/>
      <c r="I1092" s="17"/>
      <c r="J1092" s="16"/>
      <c r="K1092" s="17"/>
      <c r="L1092" s="16"/>
      <c r="N1092" s="28"/>
    </row>
    <row r="1093">
      <c r="A1093" s="16" t="str">
        <f t="shared" si="10"/>
        <v/>
      </c>
      <c r="B1093" s="48"/>
      <c r="C1093" s="14"/>
      <c r="D1093" s="52"/>
      <c r="E1093" s="16"/>
      <c r="F1093" s="14"/>
      <c r="G1093" s="14"/>
      <c r="H1093" s="14"/>
      <c r="I1093" s="17"/>
      <c r="J1093" s="16"/>
      <c r="K1093" s="17"/>
      <c r="L1093" s="16"/>
      <c r="N1093" s="28"/>
    </row>
    <row r="1094">
      <c r="A1094" s="16" t="str">
        <f t="shared" si="10"/>
        <v/>
      </c>
      <c r="B1094" s="48"/>
      <c r="C1094" s="14"/>
      <c r="D1094" s="52"/>
      <c r="E1094" s="16"/>
      <c r="F1094" s="14"/>
      <c r="G1094" s="14"/>
      <c r="H1094" s="14"/>
      <c r="I1094" s="17"/>
      <c r="J1094" s="16"/>
      <c r="K1094" s="17"/>
      <c r="L1094" s="16"/>
      <c r="N1094" s="28"/>
    </row>
    <row r="1095">
      <c r="A1095" s="16" t="str">
        <f t="shared" si="10"/>
        <v/>
      </c>
      <c r="B1095" s="48"/>
      <c r="C1095" s="14"/>
      <c r="D1095" s="52"/>
      <c r="E1095" s="16"/>
      <c r="F1095" s="14"/>
      <c r="G1095" s="14"/>
      <c r="H1095" s="14"/>
      <c r="I1095" s="17"/>
      <c r="J1095" s="16"/>
      <c r="K1095" s="17"/>
      <c r="L1095" s="16"/>
      <c r="N1095" s="28"/>
    </row>
    <row r="1096">
      <c r="A1096" s="16" t="str">
        <f t="shared" si="10"/>
        <v/>
      </c>
      <c r="B1096" s="48"/>
      <c r="C1096" s="14"/>
      <c r="D1096" s="52"/>
      <c r="E1096" s="16"/>
      <c r="F1096" s="14"/>
      <c r="G1096" s="14"/>
      <c r="H1096" s="17"/>
      <c r="I1096" s="17"/>
      <c r="J1096" s="16"/>
      <c r="K1096" s="17"/>
      <c r="L1096" s="16"/>
      <c r="N1096" s="28"/>
    </row>
    <row r="1097">
      <c r="A1097" s="16" t="str">
        <f t="shared" si="10"/>
        <v/>
      </c>
      <c r="B1097" s="48"/>
      <c r="C1097" s="14"/>
      <c r="D1097" s="52"/>
      <c r="E1097" s="16"/>
      <c r="F1097" s="14"/>
      <c r="G1097" s="14"/>
      <c r="H1097" s="14"/>
      <c r="I1097" s="17"/>
      <c r="J1097" s="16"/>
      <c r="K1097" s="17"/>
      <c r="L1097" s="16"/>
      <c r="N1097" s="28"/>
    </row>
    <row r="1098">
      <c r="A1098" s="16" t="str">
        <f t="shared" si="10"/>
        <v/>
      </c>
      <c r="B1098" s="48"/>
      <c r="C1098" s="14"/>
      <c r="D1098" s="52"/>
      <c r="E1098" s="16"/>
      <c r="F1098" s="14"/>
      <c r="G1098" s="14"/>
      <c r="H1098" s="17"/>
      <c r="I1098" s="17"/>
      <c r="J1098" s="16"/>
      <c r="K1098" s="17"/>
      <c r="L1098" s="16"/>
      <c r="N1098" s="28"/>
    </row>
    <row r="1099">
      <c r="A1099" s="16" t="str">
        <f t="shared" si="10"/>
        <v/>
      </c>
      <c r="B1099" s="48"/>
      <c r="C1099" s="14"/>
      <c r="D1099" s="52"/>
      <c r="E1099" s="16"/>
      <c r="F1099" s="14"/>
      <c r="G1099" s="14"/>
      <c r="H1099" s="17"/>
      <c r="I1099" s="17"/>
      <c r="J1099" s="16"/>
      <c r="K1099" s="17"/>
      <c r="L1099" s="16"/>
      <c r="N1099" s="28"/>
    </row>
    <row r="1100">
      <c r="A1100" s="16" t="str">
        <f t="shared" si="10"/>
        <v/>
      </c>
      <c r="B1100" s="48"/>
      <c r="C1100" s="14"/>
      <c r="D1100" s="52"/>
      <c r="E1100" s="16"/>
      <c r="F1100" s="14"/>
      <c r="G1100" s="14"/>
      <c r="H1100" s="14"/>
      <c r="I1100" s="17"/>
      <c r="J1100" s="16"/>
      <c r="K1100" s="17"/>
      <c r="L1100" s="16"/>
      <c r="N1100" s="28"/>
    </row>
    <row r="1101">
      <c r="A1101" s="16" t="str">
        <f t="shared" si="10"/>
        <v/>
      </c>
      <c r="B1101" s="48"/>
      <c r="C1101" s="14"/>
      <c r="D1101" s="52"/>
      <c r="E1101" s="16"/>
      <c r="F1101" s="14"/>
      <c r="G1101" s="14"/>
      <c r="H1101" s="14"/>
      <c r="I1101" s="17"/>
      <c r="J1101" s="16"/>
      <c r="K1101" s="17"/>
      <c r="L1101" s="16"/>
      <c r="N1101" s="28"/>
    </row>
    <row r="1102">
      <c r="A1102" s="16" t="str">
        <f t="shared" si="10"/>
        <v/>
      </c>
      <c r="B1102" s="48"/>
      <c r="C1102" s="14"/>
      <c r="D1102" s="52"/>
      <c r="E1102" s="16"/>
      <c r="F1102" s="14"/>
      <c r="G1102" s="14"/>
      <c r="H1102" s="14"/>
      <c r="I1102" s="17"/>
      <c r="J1102" s="16"/>
      <c r="K1102" s="17"/>
      <c r="L1102" s="16"/>
      <c r="N1102" s="28"/>
    </row>
    <row r="1103">
      <c r="A1103" s="16" t="str">
        <f t="shared" si="10"/>
        <v/>
      </c>
      <c r="B1103" s="48"/>
      <c r="C1103" s="14"/>
      <c r="D1103" s="52"/>
      <c r="E1103" s="16"/>
      <c r="F1103" s="14"/>
      <c r="G1103" s="14"/>
      <c r="H1103" s="14"/>
      <c r="I1103" s="17"/>
      <c r="J1103" s="16"/>
      <c r="K1103" s="17"/>
      <c r="L1103" s="16"/>
      <c r="N1103" s="28"/>
    </row>
    <row r="1104">
      <c r="A1104" s="16" t="str">
        <f t="shared" si="10"/>
        <v/>
      </c>
      <c r="B1104" s="48"/>
      <c r="C1104" s="14"/>
      <c r="D1104" s="52"/>
      <c r="E1104" s="16"/>
      <c r="F1104" s="14"/>
      <c r="G1104" s="14"/>
      <c r="H1104" s="14"/>
      <c r="I1104" s="17"/>
      <c r="J1104" s="16"/>
      <c r="K1104" s="17"/>
      <c r="L1104" s="16"/>
      <c r="N1104" s="28"/>
    </row>
    <row r="1105">
      <c r="A1105" s="16" t="str">
        <f t="shared" si="10"/>
        <v/>
      </c>
      <c r="B1105" s="48"/>
      <c r="C1105" s="14"/>
      <c r="D1105" s="52"/>
      <c r="E1105" s="16"/>
      <c r="F1105" s="14"/>
      <c r="G1105" s="14"/>
      <c r="H1105" s="14"/>
      <c r="I1105" s="17"/>
      <c r="J1105" s="16"/>
      <c r="K1105" s="17"/>
      <c r="L1105" s="16"/>
      <c r="N1105" s="28"/>
    </row>
    <row r="1106">
      <c r="A1106" s="16" t="str">
        <f t="shared" si="10"/>
        <v/>
      </c>
      <c r="B1106" s="48"/>
      <c r="C1106" s="14"/>
      <c r="D1106" s="52"/>
      <c r="E1106" s="16"/>
      <c r="F1106" s="14"/>
      <c r="G1106" s="14"/>
      <c r="H1106" s="14"/>
      <c r="I1106" s="17"/>
      <c r="J1106" s="16"/>
      <c r="K1106" s="17"/>
      <c r="L1106" s="16"/>
      <c r="N1106" s="28"/>
    </row>
    <row r="1107">
      <c r="A1107" s="16" t="str">
        <f t="shared" si="10"/>
        <v/>
      </c>
      <c r="B1107" s="48"/>
      <c r="C1107" s="14"/>
      <c r="D1107" s="52"/>
      <c r="E1107" s="16"/>
      <c r="F1107" s="14"/>
      <c r="G1107" s="14"/>
      <c r="H1107" s="14"/>
      <c r="I1107" s="17"/>
      <c r="J1107" s="16"/>
      <c r="K1107" s="17"/>
      <c r="L1107" s="16"/>
      <c r="N1107" s="28"/>
    </row>
    <row r="1108">
      <c r="A1108" s="16" t="str">
        <f t="shared" si="10"/>
        <v/>
      </c>
      <c r="B1108" s="48"/>
      <c r="C1108" s="14"/>
      <c r="D1108" s="52"/>
      <c r="E1108" s="16"/>
      <c r="F1108" s="14"/>
      <c r="G1108" s="14"/>
      <c r="H1108" s="14"/>
      <c r="I1108" s="17"/>
      <c r="J1108" s="16"/>
      <c r="K1108" s="17"/>
      <c r="L1108" s="16"/>
      <c r="N1108" s="28"/>
    </row>
    <row r="1109">
      <c r="A1109" s="16" t="str">
        <f t="shared" si="10"/>
        <v/>
      </c>
      <c r="B1109" s="48"/>
      <c r="C1109" s="14"/>
      <c r="D1109" s="52"/>
      <c r="E1109" s="16"/>
      <c r="F1109" s="14"/>
      <c r="G1109" s="14"/>
      <c r="H1109" s="14"/>
      <c r="I1109" s="17"/>
      <c r="J1109" s="16"/>
      <c r="K1109" s="17"/>
      <c r="L1109" s="16"/>
      <c r="N1109" s="28"/>
    </row>
    <row r="1110">
      <c r="A1110" s="16" t="str">
        <f t="shared" si="10"/>
        <v/>
      </c>
      <c r="B1110" s="48"/>
      <c r="C1110" s="14"/>
      <c r="D1110" s="52"/>
      <c r="E1110" s="16"/>
      <c r="F1110" s="14"/>
      <c r="G1110" s="14"/>
      <c r="H1110" s="14"/>
      <c r="I1110" s="17"/>
      <c r="J1110" s="16"/>
      <c r="K1110" s="17"/>
      <c r="L1110" s="16"/>
      <c r="N1110" s="28"/>
    </row>
    <row r="1111">
      <c r="A1111" s="16" t="str">
        <f t="shared" si="10"/>
        <v/>
      </c>
      <c r="B1111" s="48"/>
      <c r="C1111" s="14"/>
      <c r="D1111" s="52"/>
      <c r="E1111" s="16"/>
      <c r="F1111" s="14"/>
      <c r="G1111" s="14"/>
      <c r="H1111" s="14"/>
      <c r="I1111" s="17"/>
      <c r="J1111" s="16"/>
      <c r="K1111" s="17"/>
      <c r="L1111" s="16"/>
      <c r="N1111" s="28"/>
    </row>
    <row r="1112">
      <c r="A1112" s="16" t="str">
        <f t="shared" si="10"/>
        <v/>
      </c>
      <c r="B1112" s="48"/>
      <c r="C1112" s="14"/>
      <c r="D1112" s="52"/>
      <c r="E1112" s="16"/>
      <c r="F1112" s="14"/>
      <c r="G1112" s="14"/>
      <c r="H1112" s="14"/>
      <c r="I1112" s="17"/>
      <c r="J1112" s="16"/>
      <c r="K1112" s="17"/>
      <c r="L1112" s="16"/>
      <c r="N1112" s="28"/>
    </row>
    <row r="1113">
      <c r="A1113" s="16" t="str">
        <f t="shared" si="10"/>
        <v/>
      </c>
      <c r="B1113" s="48"/>
      <c r="C1113" s="14"/>
      <c r="D1113" s="52"/>
      <c r="E1113" s="16"/>
      <c r="F1113" s="14"/>
      <c r="G1113" s="14"/>
      <c r="H1113" s="17"/>
      <c r="I1113" s="17"/>
      <c r="J1113" s="16"/>
      <c r="K1113" s="17"/>
      <c r="L1113" s="16"/>
      <c r="N1113" s="28"/>
    </row>
    <row r="1114">
      <c r="A1114" s="16" t="str">
        <f t="shared" si="10"/>
        <v/>
      </c>
      <c r="B1114" s="48"/>
      <c r="C1114" s="14"/>
      <c r="D1114" s="52"/>
      <c r="E1114" s="16"/>
      <c r="F1114" s="14"/>
      <c r="G1114" s="14"/>
      <c r="H1114" s="14"/>
      <c r="I1114" s="17"/>
      <c r="J1114" s="16"/>
      <c r="K1114" s="17"/>
      <c r="L1114" s="16"/>
      <c r="N1114" s="28"/>
    </row>
    <row r="1115">
      <c r="A1115" s="16" t="str">
        <f t="shared" si="10"/>
        <v/>
      </c>
      <c r="B1115" s="48"/>
      <c r="C1115" s="14"/>
      <c r="D1115" s="52"/>
      <c r="E1115" s="16"/>
      <c r="F1115" s="14"/>
      <c r="G1115" s="14"/>
      <c r="H1115" s="17"/>
      <c r="I1115" s="17"/>
      <c r="J1115" s="16"/>
      <c r="K1115" s="17"/>
      <c r="L1115" s="16"/>
      <c r="N1115" s="28"/>
    </row>
    <row r="1116">
      <c r="A1116" s="16" t="str">
        <f t="shared" si="10"/>
        <v/>
      </c>
      <c r="B1116" s="48"/>
      <c r="C1116" s="14"/>
      <c r="D1116" s="52"/>
      <c r="E1116" s="16"/>
      <c r="F1116" s="14"/>
      <c r="G1116" s="14"/>
      <c r="H1116" s="14"/>
      <c r="I1116" s="17"/>
      <c r="J1116" s="16"/>
      <c r="K1116" s="17"/>
      <c r="L1116" s="16"/>
      <c r="N1116" s="28"/>
    </row>
    <row r="1117">
      <c r="A1117" s="16" t="str">
        <f t="shared" si="10"/>
        <v/>
      </c>
      <c r="B1117" s="48"/>
      <c r="C1117" s="14"/>
      <c r="D1117" s="52"/>
      <c r="E1117" s="16"/>
      <c r="F1117" s="14"/>
      <c r="G1117" s="14"/>
      <c r="H1117" s="14"/>
      <c r="I1117" s="17"/>
      <c r="J1117" s="16"/>
      <c r="K1117" s="17"/>
      <c r="L1117" s="16"/>
      <c r="N1117" s="28"/>
    </row>
    <row r="1118">
      <c r="A1118" s="16" t="str">
        <f t="shared" si="10"/>
        <v/>
      </c>
      <c r="B1118" s="48"/>
      <c r="C1118" s="14"/>
      <c r="D1118" s="52"/>
      <c r="E1118" s="16"/>
      <c r="F1118" s="14"/>
      <c r="G1118" s="14"/>
      <c r="H1118" s="17"/>
      <c r="I1118" s="17"/>
      <c r="J1118" s="16"/>
      <c r="K1118" s="17"/>
      <c r="L1118" s="16"/>
      <c r="N1118" s="28"/>
    </row>
    <row r="1119">
      <c r="A1119" s="16" t="str">
        <f t="shared" si="10"/>
        <v/>
      </c>
      <c r="B1119" s="48"/>
      <c r="C1119" s="14"/>
      <c r="D1119" s="52"/>
      <c r="E1119" s="16"/>
      <c r="F1119" s="14"/>
      <c r="G1119" s="14"/>
      <c r="H1119" s="17"/>
      <c r="I1119" s="17"/>
      <c r="J1119" s="16"/>
      <c r="K1119" s="17"/>
      <c r="L1119" s="16"/>
      <c r="N1119" s="28"/>
    </row>
    <row r="1120">
      <c r="A1120" s="16" t="str">
        <f t="shared" si="10"/>
        <v/>
      </c>
      <c r="B1120" s="48"/>
      <c r="C1120" s="14"/>
      <c r="D1120" s="52"/>
      <c r="E1120" s="16"/>
      <c r="F1120" s="14"/>
      <c r="G1120" s="14"/>
      <c r="H1120" s="14"/>
      <c r="I1120" s="17"/>
      <c r="J1120" s="16"/>
      <c r="K1120" s="17"/>
      <c r="L1120" s="16"/>
      <c r="N1120" s="28"/>
    </row>
    <row r="1121">
      <c r="A1121" s="16" t="str">
        <f t="shared" si="10"/>
        <v/>
      </c>
      <c r="B1121" s="48"/>
      <c r="C1121" s="14"/>
      <c r="D1121" s="52"/>
      <c r="E1121" s="16"/>
      <c r="F1121" s="14"/>
      <c r="G1121" s="14"/>
      <c r="H1121" s="17"/>
      <c r="I1121" s="17"/>
      <c r="J1121" s="16"/>
      <c r="K1121" s="17"/>
      <c r="L1121" s="16"/>
      <c r="N1121" s="28"/>
    </row>
    <row r="1122">
      <c r="A1122" s="16" t="str">
        <f t="shared" si="10"/>
        <v/>
      </c>
      <c r="B1122" s="48"/>
      <c r="C1122" s="14"/>
      <c r="D1122" s="52"/>
      <c r="E1122" s="16"/>
      <c r="F1122" s="14"/>
      <c r="G1122" s="14"/>
      <c r="H1122" s="14"/>
      <c r="I1122" s="17"/>
      <c r="J1122" s="16"/>
      <c r="K1122" s="17"/>
      <c r="L1122" s="16"/>
      <c r="N1122" s="28"/>
    </row>
    <row r="1123">
      <c r="A1123" s="16" t="str">
        <f t="shared" si="10"/>
        <v/>
      </c>
      <c r="B1123" s="48"/>
      <c r="C1123" s="14"/>
      <c r="D1123" s="52"/>
      <c r="E1123" s="16"/>
      <c r="F1123" s="14"/>
      <c r="G1123" s="14"/>
      <c r="H1123" s="17"/>
      <c r="I1123" s="17"/>
      <c r="J1123" s="16"/>
      <c r="K1123" s="17"/>
      <c r="L1123" s="16"/>
      <c r="N1123" s="28"/>
    </row>
    <row r="1124">
      <c r="A1124" s="16" t="str">
        <f t="shared" si="10"/>
        <v/>
      </c>
      <c r="B1124" s="48"/>
      <c r="C1124" s="14"/>
      <c r="D1124" s="52"/>
      <c r="E1124" s="16"/>
      <c r="F1124" s="14"/>
      <c r="G1124" s="14"/>
      <c r="H1124" s="14"/>
      <c r="I1124" s="17"/>
      <c r="J1124" s="16"/>
      <c r="K1124" s="17"/>
      <c r="L1124" s="16"/>
      <c r="N1124" s="28"/>
    </row>
    <row r="1125">
      <c r="A1125" s="16" t="str">
        <f t="shared" si="10"/>
        <v/>
      </c>
      <c r="B1125" s="48"/>
      <c r="C1125" s="14"/>
      <c r="D1125" s="52"/>
      <c r="E1125" s="16"/>
      <c r="F1125" s="14"/>
      <c r="G1125" s="14"/>
      <c r="H1125" s="14"/>
      <c r="I1125" s="17"/>
      <c r="J1125" s="16"/>
      <c r="K1125" s="17"/>
      <c r="L1125" s="16"/>
      <c r="N1125" s="28"/>
    </row>
    <row r="1126">
      <c r="A1126" s="16" t="str">
        <f t="shared" si="10"/>
        <v/>
      </c>
      <c r="B1126" s="48"/>
      <c r="C1126" s="14"/>
      <c r="D1126" s="52"/>
      <c r="E1126" s="16"/>
      <c r="F1126" s="14"/>
      <c r="G1126" s="14"/>
      <c r="H1126" s="17"/>
      <c r="I1126" s="17"/>
      <c r="J1126" s="16"/>
      <c r="K1126" s="17"/>
      <c r="L1126" s="16"/>
      <c r="N1126" s="28"/>
    </row>
    <row r="1127">
      <c r="A1127" s="16" t="str">
        <f t="shared" si="10"/>
        <v/>
      </c>
      <c r="B1127" s="48"/>
      <c r="C1127" s="14"/>
      <c r="D1127" s="52"/>
      <c r="E1127" s="16"/>
      <c r="F1127" s="14"/>
      <c r="G1127" s="14"/>
      <c r="H1127" s="14"/>
      <c r="I1127" s="17"/>
      <c r="J1127" s="16"/>
      <c r="K1127" s="17"/>
      <c r="L1127" s="16"/>
      <c r="N1127" s="28"/>
    </row>
    <row r="1128">
      <c r="A1128" s="16" t="str">
        <f t="shared" si="10"/>
        <v/>
      </c>
      <c r="B1128" s="48"/>
      <c r="C1128" s="14"/>
      <c r="D1128" s="52"/>
      <c r="E1128" s="16"/>
      <c r="F1128" s="14"/>
      <c r="G1128" s="14"/>
      <c r="H1128" s="17"/>
      <c r="I1128" s="17"/>
      <c r="J1128" s="16"/>
      <c r="K1128" s="17"/>
      <c r="L1128" s="16"/>
      <c r="N1128" s="28"/>
    </row>
    <row r="1129">
      <c r="A1129" s="16" t="str">
        <f t="shared" si="10"/>
        <v/>
      </c>
      <c r="B1129" s="48"/>
      <c r="C1129" s="14"/>
      <c r="D1129" s="52"/>
      <c r="E1129" s="16"/>
      <c r="F1129" s="14"/>
      <c r="G1129" s="14"/>
      <c r="H1129" s="14"/>
      <c r="I1129" s="17"/>
      <c r="J1129" s="16"/>
      <c r="K1129" s="17"/>
      <c r="L1129" s="16"/>
      <c r="N1129" s="28"/>
    </row>
    <row r="1130">
      <c r="A1130" s="16" t="str">
        <f t="shared" si="10"/>
        <v/>
      </c>
      <c r="B1130" s="48"/>
      <c r="C1130" s="14"/>
      <c r="D1130" s="52"/>
      <c r="E1130" s="16"/>
      <c r="F1130" s="14"/>
      <c r="G1130" s="14"/>
      <c r="H1130" s="14"/>
      <c r="I1130" s="17"/>
      <c r="J1130" s="16"/>
      <c r="K1130" s="17"/>
      <c r="L1130" s="16"/>
      <c r="N1130" s="28"/>
    </row>
    <row r="1131">
      <c r="A1131" s="16" t="str">
        <f t="shared" si="10"/>
        <v/>
      </c>
      <c r="B1131" s="48"/>
      <c r="C1131" s="14"/>
      <c r="D1131" s="52"/>
      <c r="E1131" s="16"/>
      <c r="F1131" s="14"/>
      <c r="G1131" s="14"/>
      <c r="H1131" s="14"/>
      <c r="I1131" s="17"/>
      <c r="J1131" s="16"/>
      <c r="K1131" s="17"/>
      <c r="L1131" s="16"/>
      <c r="N1131" s="28"/>
    </row>
    <row r="1132">
      <c r="A1132" s="16" t="str">
        <f t="shared" si="10"/>
        <v/>
      </c>
      <c r="B1132" s="48"/>
      <c r="C1132" s="14"/>
      <c r="D1132" s="52"/>
      <c r="E1132" s="16"/>
      <c r="F1132" s="14"/>
      <c r="G1132" s="14"/>
      <c r="H1132" s="17"/>
      <c r="I1132" s="17"/>
      <c r="J1132" s="16"/>
      <c r="K1132" s="17"/>
      <c r="L1132" s="16"/>
      <c r="N1132" s="28"/>
    </row>
    <row r="1133">
      <c r="A1133" s="16" t="str">
        <f t="shared" si="10"/>
        <v/>
      </c>
      <c r="B1133" s="48"/>
      <c r="C1133" s="14"/>
      <c r="D1133" s="52"/>
      <c r="E1133" s="16"/>
      <c r="F1133" s="14"/>
      <c r="G1133" s="14"/>
      <c r="H1133" s="14"/>
      <c r="I1133" s="17"/>
      <c r="J1133" s="16"/>
      <c r="K1133" s="17"/>
      <c r="L1133" s="16"/>
      <c r="N1133" s="28"/>
    </row>
    <row r="1134">
      <c r="A1134" s="16" t="str">
        <f t="shared" si="10"/>
        <v/>
      </c>
      <c r="B1134" s="48"/>
      <c r="C1134" s="14"/>
      <c r="D1134" s="52"/>
      <c r="E1134" s="16"/>
      <c r="F1134" s="14"/>
      <c r="G1134" s="14"/>
      <c r="H1134" s="17"/>
      <c r="I1134" s="17"/>
      <c r="J1134" s="16"/>
      <c r="K1134" s="17"/>
      <c r="L1134" s="16"/>
      <c r="N1134" s="28"/>
    </row>
    <row r="1135">
      <c r="A1135" s="16" t="str">
        <f t="shared" si="10"/>
        <v/>
      </c>
      <c r="B1135" s="48"/>
      <c r="C1135" s="14"/>
      <c r="D1135" s="52"/>
      <c r="E1135" s="16"/>
      <c r="F1135" s="14"/>
      <c r="G1135" s="14"/>
      <c r="H1135" s="14"/>
      <c r="I1135" s="17"/>
      <c r="J1135" s="16"/>
      <c r="K1135" s="17"/>
      <c r="L1135" s="16"/>
      <c r="N1135" s="28"/>
    </row>
    <row r="1136">
      <c r="A1136" s="16" t="str">
        <f t="shared" si="10"/>
        <v/>
      </c>
      <c r="B1136" s="48"/>
      <c r="C1136" s="14"/>
      <c r="D1136" s="52"/>
      <c r="E1136" s="16"/>
      <c r="F1136" s="14"/>
      <c r="G1136" s="14"/>
      <c r="H1136" s="17"/>
      <c r="I1136" s="17"/>
      <c r="J1136" s="16"/>
      <c r="K1136" s="17"/>
      <c r="L1136" s="16"/>
      <c r="N1136" s="28"/>
    </row>
    <row r="1137">
      <c r="A1137" s="16" t="str">
        <f t="shared" si="10"/>
        <v/>
      </c>
      <c r="B1137" s="48"/>
      <c r="C1137" s="14"/>
      <c r="D1137" s="52"/>
      <c r="E1137" s="16"/>
      <c r="F1137" s="14"/>
      <c r="G1137" s="14"/>
      <c r="H1137" s="14"/>
      <c r="I1137" s="17"/>
      <c r="J1137" s="16"/>
      <c r="K1137" s="17"/>
      <c r="L1137" s="16"/>
      <c r="N1137" s="28"/>
    </row>
    <row r="1138">
      <c r="A1138" s="16" t="str">
        <f t="shared" si="10"/>
        <v/>
      </c>
      <c r="B1138" s="48"/>
      <c r="C1138" s="14"/>
      <c r="D1138" s="52"/>
      <c r="E1138" s="16"/>
      <c r="F1138" s="14"/>
      <c r="G1138" s="14"/>
      <c r="H1138" s="14"/>
      <c r="I1138" s="17"/>
      <c r="J1138" s="16"/>
      <c r="K1138" s="17"/>
      <c r="L1138" s="16"/>
      <c r="N1138" s="28"/>
    </row>
    <row r="1139">
      <c r="A1139" s="16" t="str">
        <f t="shared" si="10"/>
        <v/>
      </c>
      <c r="B1139" s="48"/>
      <c r="C1139" s="14"/>
      <c r="D1139" s="52"/>
      <c r="E1139" s="16"/>
      <c r="F1139" s="14"/>
      <c r="G1139" s="14"/>
      <c r="H1139" s="14"/>
      <c r="I1139" s="17"/>
      <c r="J1139" s="16"/>
      <c r="K1139" s="17"/>
      <c r="L1139" s="16"/>
      <c r="N1139" s="28"/>
    </row>
    <row r="1140">
      <c r="A1140" s="16" t="str">
        <f t="shared" si="10"/>
        <v/>
      </c>
      <c r="B1140" s="48"/>
      <c r="C1140" s="14"/>
      <c r="D1140" s="52"/>
      <c r="E1140" s="16"/>
      <c r="F1140" s="14"/>
      <c r="G1140" s="14"/>
      <c r="H1140" s="17"/>
      <c r="I1140" s="17"/>
      <c r="J1140" s="16"/>
      <c r="K1140" s="17"/>
      <c r="L1140" s="16"/>
      <c r="N1140" s="28"/>
    </row>
    <row r="1141">
      <c r="A1141" s="16" t="str">
        <f t="shared" si="10"/>
        <v/>
      </c>
      <c r="B1141" s="48"/>
      <c r="C1141" s="14"/>
      <c r="D1141" s="52"/>
      <c r="E1141" s="16"/>
      <c r="F1141" s="14"/>
      <c r="G1141" s="14"/>
      <c r="H1141" s="14"/>
      <c r="I1141" s="17"/>
      <c r="J1141" s="16"/>
      <c r="K1141" s="17"/>
      <c r="L1141" s="16"/>
      <c r="N1141" s="28"/>
    </row>
    <row r="1142">
      <c r="A1142" s="16" t="str">
        <f t="shared" si="10"/>
        <v/>
      </c>
      <c r="B1142" s="48"/>
      <c r="C1142" s="14"/>
      <c r="D1142" s="52"/>
      <c r="E1142" s="16"/>
      <c r="F1142" s="14"/>
      <c r="G1142" s="14"/>
      <c r="H1142" s="14"/>
      <c r="I1142" s="17"/>
      <c r="J1142" s="16"/>
      <c r="K1142" s="17"/>
      <c r="L1142" s="16"/>
      <c r="N1142" s="28"/>
    </row>
    <row r="1143">
      <c r="A1143" s="16" t="str">
        <f t="shared" si="10"/>
        <v/>
      </c>
      <c r="B1143" s="48"/>
      <c r="C1143" s="14"/>
      <c r="D1143" s="52"/>
      <c r="E1143" s="16"/>
      <c r="F1143" s="14"/>
      <c r="G1143" s="14"/>
      <c r="H1143" s="17"/>
      <c r="I1143" s="17"/>
      <c r="J1143" s="16"/>
      <c r="K1143" s="17"/>
      <c r="L1143" s="16"/>
      <c r="N1143" s="28"/>
    </row>
    <row r="1144">
      <c r="A1144" s="16" t="str">
        <f t="shared" si="10"/>
        <v/>
      </c>
      <c r="B1144" s="48"/>
      <c r="C1144" s="14"/>
      <c r="D1144" s="52"/>
      <c r="E1144" s="16"/>
      <c r="F1144" s="14"/>
      <c r="G1144" s="14"/>
      <c r="H1144" s="14"/>
      <c r="I1144" s="17"/>
      <c r="J1144" s="16"/>
      <c r="K1144" s="17"/>
      <c r="L1144" s="16"/>
      <c r="N1144" s="28"/>
    </row>
    <row r="1145">
      <c r="A1145" s="16" t="str">
        <f t="shared" si="10"/>
        <v/>
      </c>
      <c r="B1145" s="48"/>
      <c r="C1145" s="14"/>
      <c r="D1145" s="52"/>
      <c r="E1145" s="16"/>
      <c r="F1145" s="14"/>
      <c r="G1145" s="14"/>
      <c r="H1145" s="17"/>
      <c r="I1145" s="17"/>
      <c r="J1145" s="16"/>
      <c r="K1145" s="17"/>
      <c r="L1145" s="16"/>
      <c r="N1145" s="28"/>
    </row>
    <row r="1146">
      <c r="A1146" s="16" t="str">
        <f t="shared" si="10"/>
        <v/>
      </c>
      <c r="B1146" s="48"/>
      <c r="C1146" s="14"/>
      <c r="D1146" s="52"/>
      <c r="E1146" s="16"/>
      <c r="F1146" s="14"/>
      <c r="G1146" s="14"/>
      <c r="H1146" s="14"/>
      <c r="I1146" s="17"/>
      <c r="J1146" s="16"/>
      <c r="K1146" s="17"/>
      <c r="L1146" s="16"/>
      <c r="N1146" s="28"/>
    </row>
    <row r="1147">
      <c r="A1147" s="16" t="str">
        <f t="shared" si="10"/>
        <v/>
      </c>
      <c r="B1147" s="48"/>
      <c r="C1147" s="14"/>
      <c r="D1147" s="52"/>
      <c r="E1147" s="16"/>
      <c r="F1147" s="14"/>
      <c r="G1147" s="14"/>
      <c r="H1147" s="14"/>
      <c r="I1147" s="17"/>
      <c r="J1147" s="16"/>
      <c r="K1147" s="17"/>
      <c r="L1147" s="16"/>
      <c r="N1147" s="28"/>
    </row>
    <row r="1148">
      <c r="A1148" s="16" t="str">
        <f t="shared" si="10"/>
        <v/>
      </c>
      <c r="B1148" s="48"/>
      <c r="C1148" s="14"/>
      <c r="D1148" s="52"/>
      <c r="E1148" s="16"/>
      <c r="F1148" s="14"/>
      <c r="G1148" s="14"/>
      <c r="H1148" s="14"/>
      <c r="I1148" s="17"/>
      <c r="J1148" s="16"/>
      <c r="K1148" s="17"/>
      <c r="L1148" s="16"/>
      <c r="N1148" s="28"/>
    </row>
    <row r="1149">
      <c r="A1149" s="16" t="str">
        <f t="shared" si="10"/>
        <v/>
      </c>
      <c r="B1149" s="48"/>
      <c r="C1149" s="14"/>
      <c r="D1149" s="52"/>
      <c r="E1149" s="16"/>
      <c r="F1149" s="14"/>
      <c r="G1149" s="14"/>
      <c r="H1149" s="14"/>
      <c r="I1149" s="17"/>
      <c r="J1149" s="16"/>
      <c r="K1149" s="17"/>
      <c r="L1149" s="16"/>
      <c r="N1149" s="28"/>
    </row>
    <row r="1150">
      <c r="A1150" s="16" t="str">
        <f t="shared" si="10"/>
        <v/>
      </c>
      <c r="B1150" s="48"/>
      <c r="C1150" s="14"/>
      <c r="D1150" s="52"/>
      <c r="E1150" s="16"/>
      <c r="F1150" s="14"/>
      <c r="G1150" s="14"/>
      <c r="H1150" s="17"/>
      <c r="I1150" s="17"/>
      <c r="J1150" s="16"/>
      <c r="K1150" s="17"/>
      <c r="L1150" s="16"/>
      <c r="N1150" s="28"/>
    </row>
    <row r="1151">
      <c r="A1151" s="16" t="str">
        <f t="shared" si="10"/>
        <v/>
      </c>
      <c r="B1151" s="48"/>
      <c r="C1151" s="14"/>
      <c r="D1151" s="52"/>
      <c r="E1151" s="16"/>
      <c r="F1151" s="14"/>
      <c r="G1151" s="14"/>
      <c r="H1151" s="14"/>
      <c r="I1151" s="17"/>
      <c r="J1151" s="16"/>
      <c r="K1151" s="17"/>
      <c r="L1151" s="16"/>
      <c r="N1151" s="28"/>
    </row>
    <row r="1152">
      <c r="A1152" s="16" t="str">
        <f t="shared" si="10"/>
        <v/>
      </c>
      <c r="B1152" s="48"/>
      <c r="C1152" s="14"/>
      <c r="D1152" s="52"/>
      <c r="E1152" s="16"/>
      <c r="F1152" s="14"/>
      <c r="G1152" s="14"/>
      <c r="H1152" s="14"/>
      <c r="I1152" s="17"/>
      <c r="J1152" s="16"/>
      <c r="K1152" s="17"/>
      <c r="L1152" s="16"/>
      <c r="N1152" s="28"/>
    </row>
    <row r="1153">
      <c r="A1153" s="16" t="str">
        <f t="shared" si="10"/>
        <v/>
      </c>
      <c r="B1153" s="48"/>
      <c r="C1153" s="14"/>
      <c r="D1153" s="52"/>
      <c r="E1153" s="16"/>
      <c r="F1153" s="14"/>
      <c r="G1153" s="14"/>
      <c r="H1153" s="17"/>
      <c r="I1153" s="17"/>
      <c r="J1153" s="16"/>
      <c r="K1153" s="17"/>
      <c r="L1153" s="16"/>
      <c r="N1153" s="28"/>
    </row>
    <row r="1154">
      <c r="A1154" s="16" t="str">
        <f t="shared" si="10"/>
        <v/>
      </c>
      <c r="B1154" s="48"/>
      <c r="C1154" s="14"/>
      <c r="D1154" s="52"/>
      <c r="E1154" s="16"/>
      <c r="F1154" s="14"/>
      <c r="G1154" s="14"/>
      <c r="H1154" s="17"/>
      <c r="I1154" s="17"/>
      <c r="J1154" s="16"/>
      <c r="K1154" s="17"/>
      <c r="L1154" s="16"/>
      <c r="N1154" s="28"/>
    </row>
    <row r="1155">
      <c r="A1155" s="16" t="str">
        <f t="shared" si="10"/>
        <v/>
      </c>
      <c r="B1155" s="48"/>
      <c r="C1155" s="14"/>
      <c r="D1155" s="52"/>
      <c r="E1155" s="16"/>
      <c r="F1155" s="14"/>
      <c r="G1155" s="14"/>
      <c r="H1155" s="17"/>
      <c r="I1155" s="17"/>
      <c r="J1155" s="16"/>
      <c r="K1155" s="17"/>
      <c r="L1155" s="16"/>
      <c r="N1155" s="28"/>
    </row>
    <row r="1156">
      <c r="A1156" s="16" t="str">
        <f t="shared" si="10"/>
        <v/>
      </c>
      <c r="B1156" s="48"/>
      <c r="C1156" s="14"/>
      <c r="D1156" s="52"/>
      <c r="E1156" s="16"/>
      <c r="F1156" s="14"/>
      <c r="G1156" s="14"/>
      <c r="H1156" s="17"/>
      <c r="I1156" s="17"/>
      <c r="J1156" s="16"/>
      <c r="K1156" s="17"/>
      <c r="L1156" s="16"/>
      <c r="N1156" s="28"/>
    </row>
    <row r="1157">
      <c r="A1157" s="16" t="str">
        <f t="shared" si="10"/>
        <v/>
      </c>
      <c r="B1157" s="48"/>
      <c r="C1157" s="14"/>
      <c r="D1157" s="52"/>
      <c r="E1157" s="16"/>
      <c r="F1157" s="14"/>
      <c r="G1157" s="14"/>
      <c r="H1157" s="14"/>
      <c r="I1157" s="17"/>
      <c r="J1157" s="16"/>
      <c r="K1157" s="17"/>
      <c r="L1157" s="16"/>
      <c r="N1157" s="28"/>
    </row>
    <row r="1158">
      <c r="A1158" s="16" t="str">
        <f t="shared" si="10"/>
        <v/>
      </c>
      <c r="B1158" s="48"/>
      <c r="C1158" s="14"/>
      <c r="D1158" s="52"/>
      <c r="E1158" s="16"/>
      <c r="F1158" s="14"/>
      <c r="G1158" s="14"/>
      <c r="H1158" s="17"/>
      <c r="I1158" s="17"/>
      <c r="J1158" s="16"/>
      <c r="K1158" s="17"/>
      <c r="L1158" s="16"/>
      <c r="N1158" s="28"/>
    </row>
    <row r="1159">
      <c r="A1159" s="16" t="str">
        <f t="shared" si="10"/>
        <v/>
      </c>
      <c r="B1159" s="48"/>
      <c r="C1159" s="14"/>
      <c r="D1159" s="52"/>
      <c r="E1159" s="16"/>
      <c r="F1159" s="14"/>
      <c r="G1159" s="14"/>
      <c r="H1159" s="17"/>
      <c r="I1159" s="17"/>
      <c r="J1159" s="16"/>
      <c r="K1159" s="17"/>
      <c r="L1159" s="16"/>
      <c r="N1159" s="28"/>
    </row>
    <row r="1160">
      <c r="A1160" s="16" t="str">
        <f t="shared" si="10"/>
        <v/>
      </c>
      <c r="B1160" s="48"/>
      <c r="C1160" s="14"/>
      <c r="D1160" s="52"/>
      <c r="E1160" s="16"/>
      <c r="F1160" s="14"/>
      <c r="G1160" s="14"/>
      <c r="H1160" s="17"/>
      <c r="I1160" s="17"/>
      <c r="J1160" s="16"/>
      <c r="K1160" s="17"/>
      <c r="L1160" s="16"/>
      <c r="N1160" s="28"/>
    </row>
    <row r="1161">
      <c r="A1161" s="16" t="str">
        <f t="shared" si="10"/>
        <v/>
      </c>
      <c r="B1161" s="48"/>
      <c r="C1161" s="14"/>
      <c r="D1161" s="52"/>
      <c r="E1161" s="16"/>
      <c r="F1161" s="14"/>
      <c r="G1161" s="14"/>
      <c r="H1161" s="14"/>
      <c r="I1161" s="17"/>
      <c r="J1161" s="16"/>
      <c r="K1161" s="17"/>
      <c r="L1161" s="16"/>
      <c r="N1161" s="28"/>
    </row>
    <row r="1162">
      <c r="A1162" s="16" t="str">
        <f t="shared" si="10"/>
        <v/>
      </c>
      <c r="B1162" s="48"/>
      <c r="C1162" s="14"/>
      <c r="D1162" s="52"/>
      <c r="E1162" s="16"/>
      <c r="F1162" s="14"/>
      <c r="G1162" s="14"/>
      <c r="H1162" s="14"/>
      <c r="I1162" s="17"/>
      <c r="J1162" s="16"/>
      <c r="K1162" s="17"/>
      <c r="L1162" s="16"/>
      <c r="N1162" s="28"/>
    </row>
    <row r="1163">
      <c r="A1163" s="16" t="str">
        <f t="shared" si="10"/>
        <v/>
      </c>
      <c r="B1163" s="48"/>
      <c r="C1163" s="14"/>
      <c r="D1163" s="52"/>
      <c r="E1163" s="16"/>
      <c r="F1163" s="14"/>
      <c r="G1163" s="14"/>
      <c r="H1163" s="14"/>
      <c r="I1163" s="17"/>
      <c r="J1163" s="16"/>
      <c r="K1163" s="17"/>
      <c r="L1163" s="16"/>
      <c r="N1163" s="28"/>
    </row>
    <row r="1164">
      <c r="A1164" s="16" t="str">
        <f t="shared" si="10"/>
        <v/>
      </c>
      <c r="B1164" s="48"/>
      <c r="C1164" s="14"/>
      <c r="D1164" s="52"/>
      <c r="E1164" s="16"/>
      <c r="F1164" s="14"/>
      <c r="G1164" s="14"/>
      <c r="H1164" s="14"/>
      <c r="I1164" s="17"/>
      <c r="J1164" s="16"/>
      <c r="K1164" s="17"/>
      <c r="L1164" s="16"/>
      <c r="N1164" s="28"/>
    </row>
    <row r="1165">
      <c r="A1165" s="16" t="str">
        <f t="shared" si="10"/>
        <v/>
      </c>
      <c r="B1165" s="48"/>
      <c r="C1165" s="14"/>
      <c r="D1165" s="52"/>
      <c r="E1165" s="16"/>
      <c r="F1165" s="14"/>
      <c r="G1165" s="14"/>
      <c r="H1165" s="14"/>
      <c r="I1165" s="17"/>
      <c r="J1165" s="16"/>
      <c r="K1165" s="17"/>
      <c r="L1165" s="16"/>
      <c r="N1165" s="28"/>
    </row>
    <row r="1166">
      <c r="A1166" s="16" t="str">
        <f t="shared" si="10"/>
        <v/>
      </c>
      <c r="B1166" s="48"/>
      <c r="C1166" s="14"/>
      <c r="D1166" s="52"/>
      <c r="E1166" s="16"/>
      <c r="F1166" s="14"/>
      <c r="G1166" s="14"/>
      <c r="H1166" s="17"/>
      <c r="I1166" s="17"/>
      <c r="J1166" s="16"/>
      <c r="K1166" s="17"/>
      <c r="L1166" s="16"/>
      <c r="N1166" s="28"/>
    </row>
    <row r="1167">
      <c r="A1167" s="16" t="str">
        <f t="shared" si="10"/>
        <v/>
      </c>
      <c r="B1167" s="48"/>
      <c r="C1167" s="14"/>
      <c r="D1167" s="52"/>
      <c r="E1167" s="16"/>
      <c r="F1167" s="14"/>
      <c r="G1167" s="14"/>
      <c r="H1167" s="14"/>
      <c r="I1167" s="17"/>
      <c r="J1167" s="16"/>
      <c r="K1167" s="17"/>
      <c r="L1167" s="16"/>
      <c r="N1167" s="28"/>
    </row>
    <row r="1168">
      <c r="A1168" s="16" t="str">
        <f t="shared" si="10"/>
        <v/>
      </c>
      <c r="B1168" s="48"/>
      <c r="C1168" s="14"/>
      <c r="D1168" s="52"/>
      <c r="E1168" s="16"/>
      <c r="F1168" s="14"/>
      <c r="G1168" s="14"/>
      <c r="H1168" s="14"/>
      <c r="I1168" s="17"/>
      <c r="J1168" s="16"/>
      <c r="K1168" s="17"/>
      <c r="L1168" s="16"/>
      <c r="N1168" s="28"/>
    </row>
    <row r="1169">
      <c r="A1169" s="16" t="str">
        <f t="shared" si="10"/>
        <v/>
      </c>
      <c r="B1169" s="48"/>
      <c r="C1169" s="14"/>
      <c r="D1169" s="52"/>
      <c r="E1169" s="16"/>
      <c r="F1169" s="14"/>
      <c r="G1169" s="14"/>
      <c r="H1169" s="14"/>
      <c r="I1169" s="17"/>
      <c r="J1169" s="16"/>
      <c r="K1169" s="17"/>
      <c r="L1169" s="16"/>
      <c r="N1169" s="28"/>
    </row>
    <row r="1170">
      <c r="A1170" s="16" t="str">
        <f t="shared" si="10"/>
        <v/>
      </c>
      <c r="B1170" s="48"/>
      <c r="C1170" s="14"/>
      <c r="D1170" s="52"/>
      <c r="E1170" s="16"/>
      <c r="F1170" s="14"/>
      <c r="G1170" s="14"/>
      <c r="H1170" s="14"/>
      <c r="I1170" s="17"/>
      <c r="J1170" s="16"/>
      <c r="K1170" s="17"/>
      <c r="L1170" s="16"/>
      <c r="N1170" s="28"/>
    </row>
    <row r="1171">
      <c r="A1171" s="16" t="str">
        <f t="shared" si="10"/>
        <v/>
      </c>
      <c r="B1171" s="48"/>
      <c r="C1171" s="14"/>
      <c r="D1171" s="52"/>
      <c r="E1171" s="16"/>
      <c r="F1171" s="14"/>
      <c r="G1171" s="14"/>
      <c r="H1171" s="14"/>
      <c r="I1171" s="17"/>
      <c r="J1171" s="16"/>
      <c r="K1171" s="17"/>
      <c r="L1171" s="16"/>
      <c r="N1171" s="28"/>
    </row>
    <row r="1172">
      <c r="A1172" s="16" t="str">
        <f t="shared" si="10"/>
        <v/>
      </c>
      <c r="B1172" s="48"/>
      <c r="C1172" s="14"/>
      <c r="D1172" s="52"/>
      <c r="E1172" s="16"/>
      <c r="F1172" s="14"/>
      <c r="G1172" s="14"/>
      <c r="H1172" s="14"/>
      <c r="I1172" s="17"/>
      <c r="J1172" s="16"/>
      <c r="K1172" s="17"/>
      <c r="L1172" s="16"/>
      <c r="N1172" s="28"/>
    </row>
    <row r="1173">
      <c r="A1173" s="16" t="str">
        <f t="shared" si="10"/>
        <v/>
      </c>
      <c r="B1173" s="48"/>
      <c r="C1173" s="14"/>
      <c r="D1173" s="52"/>
      <c r="E1173" s="16"/>
      <c r="F1173" s="14"/>
      <c r="G1173" s="14"/>
      <c r="H1173" s="14"/>
      <c r="I1173" s="17"/>
      <c r="J1173" s="16"/>
      <c r="K1173" s="17"/>
      <c r="L1173" s="16"/>
      <c r="N1173" s="28"/>
    </row>
    <row r="1174">
      <c r="A1174" s="16" t="str">
        <f t="shared" si="10"/>
        <v/>
      </c>
      <c r="B1174" s="48"/>
      <c r="C1174" s="14"/>
      <c r="D1174" s="52"/>
      <c r="E1174" s="16"/>
      <c r="F1174" s="14"/>
      <c r="G1174" s="14"/>
      <c r="H1174" s="14"/>
      <c r="I1174" s="17"/>
      <c r="J1174" s="16"/>
      <c r="K1174" s="17"/>
      <c r="L1174" s="16"/>
      <c r="N1174" s="28"/>
    </row>
    <row r="1175">
      <c r="A1175" s="16" t="str">
        <f t="shared" si="10"/>
        <v/>
      </c>
      <c r="B1175" s="48"/>
      <c r="C1175" s="14"/>
      <c r="D1175" s="52"/>
      <c r="E1175" s="16"/>
      <c r="F1175" s="14"/>
      <c r="G1175" s="14"/>
      <c r="H1175" s="14"/>
      <c r="I1175" s="17"/>
      <c r="J1175" s="16"/>
      <c r="K1175" s="17"/>
      <c r="L1175" s="16"/>
      <c r="N1175" s="28"/>
    </row>
    <row r="1176">
      <c r="A1176" s="16" t="str">
        <f t="shared" si="10"/>
        <v/>
      </c>
      <c r="B1176" s="48"/>
      <c r="C1176" s="14"/>
      <c r="D1176" s="52"/>
      <c r="E1176" s="16"/>
      <c r="F1176" s="14"/>
      <c r="G1176" s="14"/>
      <c r="H1176" s="14"/>
      <c r="I1176" s="17"/>
      <c r="J1176" s="16"/>
      <c r="K1176" s="17"/>
      <c r="L1176" s="16"/>
      <c r="N1176" s="28"/>
    </row>
    <row r="1177">
      <c r="A1177" s="16" t="str">
        <f t="shared" si="10"/>
        <v/>
      </c>
      <c r="B1177" s="48"/>
      <c r="C1177" s="14"/>
      <c r="D1177" s="52"/>
      <c r="E1177" s="16"/>
      <c r="F1177" s="14"/>
      <c r="G1177" s="14"/>
      <c r="H1177" s="14"/>
      <c r="I1177" s="17"/>
      <c r="J1177" s="16"/>
      <c r="K1177" s="17"/>
      <c r="L1177" s="16"/>
      <c r="N1177" s="28"/>
    </row>
    <row r="1178">
      <c r="A1178" s="16" t="str">
        <f t="shared" si="10"/>
        <v/>
      </c>
      <c r="B1178" s="48"/>
      <c r="C1178" s="14"/>
      <c r="D1178" s="52"/>
      <c r="E1178" s="16"/>
      <c r="F1178" s="14"/>
      <c r="G1178" s="14"/>
      <c r="H1178" s="14"/>
      <c r="I1178" s="17"/>
      <c r="J1178" s="16"/>
      <c r="K1178" s="17"/>
      <c r="L1178" s="16"/>
      <c r="N1178" s="28"/>
    </row>
    <row r="1179">
      <c r="A1179" s="16" t="str">
        <f t="shared" si="10"/>
        <v/>
      </c>
      <c r="B1179" s="48"/>
      <c r="C1179" s="14"/>
      <c r="D1179" s="52"/>
      <c r="E1179" s="16"/>
      <c r="F1179" s="14"/>
      <c r="G1179" s="14"/>
      <c r="H1179" s="17"/>
      <c r="I1179" s="17"/>
      <c r="J1179" s="16"/>
      <c r="K1179" s="17"/>
      <c r="L1179" s="16"/>
      <c r="N1179" s="28"/>
    </row>
    <row r="1180">
      <c r="A1180" s="16" t="str">
        <f t="shared" si="10"/>
        <v/>
      </c>
      <c r="B1180" s="48"/>
      <c r="C1180" s="14"/>
      <c r="D1180" s="52"/>
      <c r="E1180" s="16"/>
      <c r="F1180" s="14"/>
      <c r="G1180" s="14"/>
      <c r="H1180" s="14"/>
      <c r="I1180" s="17"/>
      <c r="J1180" s="16"/>
      <c r="K1180" s="17"/>
      <c r="L1180" s="16"/>
      <c r="N1180" s="28"/>
    </row>
    <row r="1181">
      <c r="A1181" s="16" t="str">
        <f t="shared" si="10"/>
        <v/>
      </c>
      <c r="B1181" s="48"/>
      <c r="C1181" s="14"/>
      <c r="D1181" s="52"/>
      <c r="E1181" s="16"/>
      <c r="F1181" s="14"/>
      <c r="G1181" s="14"/>
      <c r="H1181" s="17"/>
      <c r="I1181" s="17"/>
      <c r="J1181" s="16"/>
      <c r="K1181" s="17"/>
      <c r="L1181" s="16"/>
      <c r="N1181" s="28"/>
    </row>
    <row r="1182">
      <c r="A1182" s="16" t="str">
        <f t="shared" si="10"/>
        <v/>
      </c>
      <c r="B1182" s="48"/>
      <c r="C1182" s="14"/>
      <c r="D1182" s="52"/>
      <c r="E1182" s="16"/>
      <c r="F1182" s="14"/>
      <c r="G1182" s="14"/>
      <c r="H1182" s="17"/>
      <c r="I1182" s="17"/>
      <c r="J1182" s="16"/>
      <c r="K1182" s="17"/>
      <c r="L1182" s="16"/>
      <c r="N1182" s="28"/>
    </row>
    <row r="1183">
      <c r="A1183" s="16" t="str">
        <f t="shared" si="10"/>
        <v/>
      </c>
      <c r="B1183" s="48"/>
      <c r="C1183" s="14"/>
      <c r="D1183" s="52"/>
      <c r="E1183" s="16"/>
      <c r="F1183" s="14"/>
      <c r="G1183" s="14"/>
      <c r="H1183" s="14"/>
      <c r="I1183" s="17"/>
      <c r="J1183" s="16"/>
      <c r="K1183" s="17"/>
      <c r="L1183" s="16"/>
      <c r="N1183" s="28"/>
    </row>
    <row r="1184">
      <c r="A1184" s="16" t="str">
        <f t="shared" si="10"/>
        <v/>
      </c>
      <c r="B1184" s="48"/>
      <c r="C1184" s="14"/>
      <c r="D1184" s="52"/>
      <c r="E1184" s="16"/>
      <c r="F1184" s="14"/>
      <c r="G1184" s="14"/>
      <c r="H1184" s="14"/>
      <c r="I1184" s="17"/>
      <c r="J1184" s="16"/>
      <c r="K1184" s="17"/>
      <c r="L1184" s="16"/>
      <c r="N1184" s="28"/>
    </row>
    <row r="1185">
      <c r="A1185" s="16" t="str">
        <f t="shared" si="10"/>
        <v/>
      </c>
      <c r="B1185" s="48"/>
      <c r="C1185" s="14"/>
      <c r="D1185" s="52"/>
      <c r="E1185" s="16"/>
      <c r="F1185" s="14"/>
      <c r="G1185" s="14"/>
      <c r="H1185" s="14"/>
      <c r="I1185" s="17"/>
      <c r="J1185" s="16"/>
      <c r="K1185" s="17"/>
      <c r="L1185" s="16"/>
      <c r="N1185" s="28"/>
    </row>
    <row r="1186">
      <c r="A1186" s="16" t="str">
        <f t="shared" si="10"/>
        <v/>
      </c>
      <c r="B1186" s="48"/>
      <c r="C1186" s="14"/>
      <c r="D1186" s="52"/>
      <c r="E1186" s="16"/>
      <c r="F1186" s="14"/>
      <c r="G1186" s="14"/>
      <c r="H1186" s="14"/>
      <c r="I1186" s="17"/>
      <c r="J1186" s="16"/>
      <c r="K1186" s="17"/>
      <c r="L1186" s="16"/>
      <c r="N1186" s="28"/>
    </row>
    <row r="1187">
      <c r="A1187" s="16" t="str">
        <f t="shared" si="10"/>
        <v/>
      </c>
      <c r="B1187" s="48"/>
      <c r="C1187" s="14"/>
      <c r="D1187" s="52"/>
      <c r="E1187" s="16"/>
      <c r="F1187" s="14"/>
      <c r="G1187" s="14"/>
      <c r="H1187" s="14"/>
      <c r="I1187" s="17"/>
      <c r="J1187" s="16"/>
      <c r="K1187" s="17"/>
      <c r="L1187" s="16"/>
      <c r="N1187" s="28"/>
    </row>
    <row r="1188">
      <c r="A1188" s="16" t="str">
        <f t="shared" si="10"/>
        <v/>
      </c>
      <c r="B1188" s="48"/>
      <c r="C1188" s="14"/>
      <c r="D1188" s="52"/>
      <c r="E1188" s="16"/>
      <c r="F1188" s="14"/>
      <c r="G1188" s="14"/>
      <c r="H1188" s="14"/>
      <c r="I1188" s="17"/>
      <c r="J1188" s="16"/>
      <c r="K1188" s="17"/>
      <c r="L1188" s="16"/>
      <c r="N1188" s="28"/>
    </row>
    <row r="1189">
      <c r="A1189" s="16" t="str">
        <f t="shared" si="10"/>
        <v/>
      </c>
      <c r="B1189" s="48"/>
      <c r="C1189" s="14"/>
      <c r="D1189" s="52"/>
      <c r="E1189" s="16"/>
      <c r="F1189" s="14"/>
      <c r="G1189" s="14"/>
      <c r="H1189" s="14"/>
      <c r="I1189" s="17"/>
      <c r="J1189" s="16"/>
      <c r="K1189" s="17"/>
      <c r="L1189" s="16"/>
      <c r="N1189" s="28"/>
    </row>
    <row r="1190">
      <c r="A1190" s="16" t="str">
        <f t="shared" si="10"/>
        <v/>
      </c>
      <c r="B1190" s="48"/>
      <c r="C1190" s="14"/>
      <c r="D1190" s="52"/>
      <c r="E1190" s="16"/>
      <c r="F1190" s="14"/>
      <c r="G1190" s="14"/>
      <c r="H1190" s="14"/>
      <c r="I1190" s="17"/>
      <c r="J1190" s="16"/>
      <c r="K1190" s="17"/>
      <c r="L1190" s="16"/>
      <c r="N1190" s="28"/>
    </row>
    <row r="1191">
      <c r="A1191" s="16" t="str">
        <f t="shared" si="10"/>
        <v/>
      </c>
      <c r="B1191" s="48"/>
      <c r="C1191" s="14"/>
      <c r="D1191" s="52"/>
      <c r="E1191" s="16"/>
      <c r="F1191" s="14"/>
      <c r="G1191" s="14"/>
      <c r="H1191" s="14"/>
      <c r="I1191" s="17"/>
      <c r="J1191" s="16"/>
      <c r="K1191" s="17"/>
      <c r="L1191" s="16"/>
      <c r="N1191" s="28"/>
    </row>
    <row r="1192">
      <c r="A1192" s="16" t="str">
        <f t="shared" si="10"/>
        <v/>
      </c>
      <c r="B1192" s="48"/>
      <c r="C1192" s="14"/>
      <c r="D1192" s="52"/>
      <c r="E1192" s="16"/>
      <c r="F1192" s="14"/>
      <c r="G1192" s="14"/>
      <c r="H1192" s="14"/>
      <c r="I1192" s="17"/>
      <c r="J1192" s="16"/>
      <c r="K1192" s="17"/>
      <c r="L1192" s="16"/>
      <c r="N1192" s="28"/>
    </row>
    <row r="1193">
      <c r="A1193" s="16" t="str">
        <f t="shared" si="10"/>
        <v/>
      </c>
      <c r="B1193" s="48"/>
      <c r="C1193" s="14"/>
      <c r="D1193" s="52"/>
      <c r="E1193" s="16"/>
      <c r="F1193" s="14"/>
      <c r="G1193" s="14"/>
      <c r="H1193" s="17"/>
      <c r="I1193" s="17"/>
      <c r="J1193" s="16"/>
      <c r="K1193" s="17"/>
      <c r="L1193" s="16"/>
      <c r="N1193" s="28"/>
    </row>
    <row r="1194">
      <c r="A1194" s="16" t="str">
        <f t="shared" si="10"/>
        <v/>
      </c>
      <c r="B1194" s="48"/>
      <c r="C1194" s="14"/>
      <c r="D1194" s="52"/>
      <c r="E1194" s="16"/>
      <c r="F1194" s="14"/>
      <c r="G1194" s="14"/>
      <c r="H1194" s="14"/>
      <c r="I1194" s="17"/>
      <c r="J1194" s="16"/>
      <c r="K1194" s="17"/>
      <c r="L1194" s="16"/>
      <c r="N1194" s="28"/>
    </row>
    <row r="1195">
      <c r="A1195" s="16" t="str">
        <f t="shared" si="10"/>
        <v/>
      </c>
      <c r="B1195" s="48"/>
      <c r="C1195" s="14"/>
      <c r="D1195" s="52"/>
      <c r="E1195" s="16"/>
      <c r="F1195" s="14"/>
      <c r="G1195" s="14"/>
      <c r="H1195" s="14"/>
      <c r="I1195" s="17"/>
      <c r="J1195" s="16"/>
      <c r="K1195" s="17"/>
      <c r="L1195" s="16"/>
      <c r="N1195" s="28"/>
    </row>
    <row r="1196">
      <c r="A1196" s="16" t="str">
        <f t="shared" si="10"/>
        <v/>
      </c>
      <c r="B1196" s="48"/>
      <c r="C1196" s="14"/>
      <c r="D1196" s="52"/>
      <c r="E1196" s="16"/>
      <c r="F1196" s="14"/>
      <c r="G1196" s="14"/>
      <c r="H1196" s="17"/>
      <c r="I1196" s="17"/>
      <c r="J1196" s="16"/>
      <c r="K1196" s="17"/>
      <c r="L1196" s="16"/>
      <c r="N1196" s="28"/>
    </row>
    <row r="1197">
      <c r="A1197" s="16" t="str">
        <f t="shared" si="10"/>
        <v/>
      </c>
      <c r="B1197" s="48"/>
      <c r="C1197" s="14"/>
      <c r="D1197" s="52"/>
      <c r="E1197" s="16"/>
      <c r="F1197" s="14"/>
      <c r="G1197" s="14"/>
      <c r="H1197" s="17"/>
      <c r="I1197" s="17"/>
      <c r="J1197" s="16"/>
      <c r="K1197" s="17"/>
      <c r="L1197" s="16"/>
      <c r="N1197" s="28"/>
    </row>
    <row r="1198">
      <c r="A1198" s="16" t="str">
        <f t="shared" si="10"/>
        <v/>
      </c>
      <c r="B1198" s="48"/>
      <c r="C1198" s="14"/>
      <c r="D1198" s="52"/>
      <c r="E1198" s="16"/>
      <c r="F1198" s="14"/>
      <c r="G1198" s="14"/>
      <c r="H1198" s="17"/>
      <c r="I1198" s="17"/>
      <c r="J1198" s="16"/>
      <c r="K1198" s="17"/>
      <c r="L1198" s="16"/>
      <c r="N1198" s="28"/>
    </row>
    <row r="1199">
      <c r="A1199" s="16" t="str">
        <f t="shared" si="10"/>
        <v/>
      </c>
      <c r="B1199" s="48"/>
      <c r="C1199" s="14"/>
      <c r="D1199" s="52"/>
      <c r="E1199" s="16"/>
      <c r="F1199" s="14"/>
      <c r="G1199" s="14"/>
      <c r="H1199" s="14"/>
      <c r="I1199" s="17"/>
      <c r="J1199" s="16"/>
      <c r="K1199" s="17"/>
      <c r="L1199" s="16"/>
      <c r="N1199" s="28"/>
    </row>
    <row r="1200">
      <c r="A1200" s="16" t="str">
        <f t="shared" si="10"/>
        <v/>
      </c>
      <c r="B1200" s="48"/>
      <c r="C1200" s="14"/>
      <c r="D1200" s="52"/>
      <c r="E1200" s="16"/>
      <c r="F1200" s="14"/>
      <c r="G1200" s="14"/>
      <c r="H1200" s="14"/>
      <c r="I1200" s="17"/>
      <c r="J1200" s="16"/>
      <c r="K1200" s="17"/>
      <c r="L1200" s="16"/>
      <c r="N1200" s="28"/>
    </row>
    <row r="1201">
      <c r="A1201" s="16" t="str">
        <f t="shared" si="10"/>
        <v/>
      </c>
      <c r="B1201" s="48"/>
      <c r="C1201" s="14"/>
      <c r="D1201" s="52"/>
      <c r="E1201" s="16"/>
      <c r="F1201" s="14"/>
      <c r="G1201" s="14"/>
      <c r="H1201" s="14"/>
      <c r="I1201" s="17"/>
      <c r="J1201" s="16"/>
      <c r="K1201" s="17"/>
      <c r="L1201" s="16"/>
      <c r="N1201" s="28"/>
    </row>
    <row r="1202">
      <c r="A1202" s="16" t="str">
        <f t="shared" si="10"/>
        <v/>
      </c>
      <c r="B1202" s="48"/>
      <c r="C1202" s="14"/>
      <c r="D1202" s="52"/>
      <c r="E1202" s="16"/>
      <c r="F1202" s="14"/>
      <c r="G1202" s="14"/>
      <c r="H1202" s="14"/>
      <c r="I1202" s="17"/>
      <c r="J1202" s="16"/>
      <c r="K1202" s="17"/>
      <c r="L1202" s="16"/>
      <c r="N1202" s="28"/>
    </row>
    <row r="1203">
      <c r="A1203" s="16" t="str">
        <f t="shared" si="10"/>
        <v/>
      </c>
      <c r="B1203" s="48"/>
      <c r="C1203" s="14"/>
      <c r="D1203" s="52"/>
      <c r="E1203" s="16"/>
      <c r="F1203" s="14"/>
      <c r="G1203" s="14"/>
      <c r="H1203" s="14"/>
      <c r="I1203" s="17"/>
      <c r="J1203" s="16"/>
      <c r="K1203" s="17"/>
      <c r="L1203" s="16"/>
      <c r="N1203" s="28"/>
    </row>
    <row r="1204">
      <c r="A1204" s="16" t="str">
        <f t="shared" si="10"/>
        <v/>
      </c>
      <c r="B1204" s="48"/>
      <c r="C1204" s="14"/>
      <c r="D1204" s="52"/>
      <c r="E1204" s="16"/>
      <c r="F1204" s="14"/>
      <c r="G1204" s="14"/>
      <c r="H1204" s="17"/>
      <c r="I1204" s="17"/>
      <c r="J1204" s="16"/>
      <c r="K1204" s="17"/>
      <c r="L1204" s="16"/>
      <c r="N1204" s="28"/>
    </row>
    <row r="1205">
      <c r="A1205" s="16" t="str">
        <f t="shared" si="10"/>
        <v/>
      </c>
      <c r="B1205" s="48"/>
      <c r="C1205" s="14"/>
      <c r="D1205" s="52"/>
      <c r="E1205" s="16"/>
      <c r="F1205" s="14"/>
      <c r="G1205" s="14"/>
      <c r="H1205" s="14"/>
      <c r="I1205" s="17"/>
      <c r="J1205" s="16"/>
      <c r="K1205" s="17"/>
      <c r="L1205" s="16"/>
      <c r="N1205" s="28"/>
    </row>
    <row r="1206">
      <c r="A1206" s="16" t="str">
        <f t="shared" si="10"/>
        <v/>
      </c>
      <c r="B1206" s="48"/>
      <c r="C1206" s="14"/>
      <c r="D1206" s="52"/>
      <c r="E1206" s="16"/>
      <c r="F1206" s="14"/>
      <c r="G1206" s="14"/>
      <c r="H1206" s="14"/>
      <c r="I1206" s="17"/>
      <c r="J1206" s="16"/>
      <c r="K1206" s="17"/>
      <c r="L1206" s="16"/>
      <c r="N1206" s="28"/>
    </row>
    <row r="1207">
      <c r="A1207" s="16" t="str">
        <f t="shared" si="10"/>
        <v/>
      </c>
      <c r="B1207" s="48"/>
      <c r="C1207" s="14"/>
      <c r="D1207" s="52"/>
      <c r="E1207" s="16"/>
      <c r="F1207" s="14"/>
      <c r="G1207" s="14"/>
      <c r="H1207" s="14"/>
      <c r="I1207" s="17"/>
      <c r="J1207" s="16"/>
      <c r="K1207" s="17"/>
      <c r="L1207" s="16"/>
      <c r="N1207" s="28"/>
    </row>
    <row r="1208">
      <c r="A1208" s="16" t="str">
        <f t="shared" si="10"/>
        <v/>
      </c>
      <c r="B1208" s="48"/>
      <c r="C1208" s="14"/>
      <c r="D1208" s="52"/>
      <c r="E1208" s="16"/>
      <c r="F1208" s="14"/>
      <c r="G1208" s="14"/>
      <c r="H1208" s="14"/>
      <c r="I1208" s="17"/>
      <c r="J1208" s="16"/>
      <c r="K1208" s="17"/>
      <c r="L1208" s="16"/>
      <c r="N1208" s="28"/>
    </row>
    <row r="1209">
      <c r="A1209" s="16" t="str">
        <f t="shared" si="10"/>
        <v/>
      </c>
      <c r="B1209" s="48"/>
      <c r="C1209" s="14"/>
      <c r="D1209" s="52"/>
      <c r="E1209" s="16"/>
      <c r="F1209" s="14"/>
      <c r="G1209" s="14"/>
      <c r="H1209" s="14"/>
      <c r="I1209" s="17"/>
      <c r="J1209" s="16"/>
      <c r="K1209" s="17"/>
      <c r="L1209" s="16"/>
      <c r="N1209" s="28"/>
    </row>
    <row r="1210">
      <c r="A1210" s="16" t="str">
        <f t="shared" si="10"/>
        <v/>
      </c>
      <c r="B1210" s="48"/>
      <c r="C1210" s="14"/>
      <c r="D1210" s="52"/>
      <c r="E1210" s="16"/>
      <c r="F1210" s="14"/>
      <c r="G1210" s="14"/>
      <c r="H1210" s="14"/>
      <c r="I1210" s="17"/>
      <c r="J1210" s="16"/>
      <c r="K1210" s="17"/>
      <c r="L1210" s="16"/>
      <c r="N1210" s="28"/>
    </row>
    <row r="1211">
      <c r="A1211" s="16" t="str">
        <f t="shared" si="10"/>
        <v/>
      </c>
      <c r="B1211" s="48"/>
      <c r="C1211" s="14"/>
      <c r="D1211" s="52"/>
      <c r="E1211" s="16"/>
      <c r="F1211" s="14"/>
      <c r="G1211" s="14"/>
      <c r="H1211" s="14"/>
      <c r="I1211" s="17"/>
      <c r="J1211" s="16"/>
      <c r="K1211" s="17"/>
      <c r="L1211" s="16"/>
      <c r="N1211" s="28"/>
    </row>
    <row r="1212">
      <c r="A1212" s="16" t="str">
        <f t="shared" si="10"/>
        <v/>
      </c>
      <c r="B1212" s="48"/>
      <c r="C1212" s="14"/>
      <c r="D1212" s="52"/>
      <c r="E1212" s="16"/>
      <c r="F1212" s="14"/>
      <c r="G1212" s="14"/>
      <c r="H1212" s="14"/>
      <c r="I1212" s="17"/>
      <c r="J1212" s="16"/>
      <c r="K1212" s="17"/>
      <c r="L1212" s="16"/>
      <c r="N1212" s="28"/>
    </row>
    <row r="1213">
      <c r="A1213" s="16" t="str">
        <f t="shared" si="10"/>
        <v/>
      </c>
      <c r="B1213" s="48"/>
      <c r="C1213" s="14"/>
      <c r="D1213" s="52"/>
      <c r="E1213" s="16"/>
      <c r="F1213" s="14"/>
      <c r="G1213" s="14"/>
      <c r="H1213" s="14"/>
      <c r="I1213" s="17"/>
      <c r="J1213" s="16"/>
      <c r="K1213" s="17"/>
      <c r="L1213" s="16"/>
      <c r="N1213" s="28"/>
    </row>
    <row r="1214">
      <c r="A1214" s="16" t="str">
        <f t="shared" si="10"/>
        <v/>
      </c>
      <c r="B1214" s="48"/>
      <c r="C1214" s="14"/>
      <c r="D1214" s="52"/>
      <c r="E1214" s="16"/>
      <c r="F1214" s="14"/>
      <c r="G1214" s="14"/>
      <c r="H1214" s="14"/>
      <c r="I1214" s="17"/>
      <c r="J1214" s="16"/>
      <c r="K1214" s="17"/>
      <c r="L1214" s="16"/>
      <c r="N1214" s="28"/>
    </row>
    <row r="1215">
      <c r="A1215" s="16" t="str">
        <f t="shared" si="10"/>
        <v/>
      </c>
      <c r="B1215" s="48"/>
      <c r="C1215" s="14"/>
      <c r="D1215" s="52"/>
      <c r="E1215" s="16"/>
      <c r="F1215" s="14"/>
      <c r="G1215" s="14"/>
      <c r="H1215" s="14"/>
      <c r="I1215" s="17"/>
      <c r="J1215" s="16"/>
      <c r="K1215" s="17"/>
      <c r="L1215" s="16"/>
      <c r="N1215" s="28"/>
    </row>
    <row r="1216">
      <c r="A1216" s="16" t="str">
        <f t="shared" si="10"/>
        <v/>
      </c>
      <c r="B1216" s="48"/>
      <c r="C1216" s="14"/>
      <c r="D1216" s="52"/>
      <c r="E1216" s="16"/>
      <c r="F1216" s="14"/>
      <c r="G1216" s="14"/>
      <c r="H1216" s="14"/>
      <c r="I1216" s="17"/>
      <c r="J1216" s="16"/>
      <c r="K1216" s="17"/>
      <c r="L1216" s="16"/>
      <c r="N1216" s="28"/>
    </row>
    <row r="1217">
      <c r="A1217" s="16" t="str">
        <f t="shared" si="10"/>
        <v/>
      </c>
      <c r="B1217" s="48"/>
      <c r="C1217" s="14"/>
      <c r="D1217" s="52"/>
      <c r="E1217" s="16"/>
      <c r="F1217" s="14"/>
      <c r="G1217" s="14"/>
      <c r="H1217" s="14"/>
      <c r="I1217" s="17"/>
      <c r="J1217" s="16"/>
      <c r="K1217" s="17"/>
      <c r="L1217" s="16"/>
      <c r="N1217" s="28"/>
    </row>
    <row r="1218">
      <c r="A1218" s="16" t="str">
        <f t="shared" si="10"/>
        <v/>
      </c>
      <c r="B1218" s="48"/>
      <c r="C1218" s="14"/>
      <c r="D1218" s="52"/>
      <c r="E1218" s="16"/>
      <c r="F1218" s="14"/>
      <c r="G1218" s="14"/>
      <c r="H1218" s="14"/>
      <c r="I1218" s="17"/>
      <c r="J1218" s="16"/>
      <c r="K1218" s="17"/>
      <c r="L1218" s="16"/>
      <c r="N1218" s="28"/>
    </row>
    <row r="1219">
      <c r="A1219" s="16" t="str">
        <f t="shared" si="10"/>
        <v/>
      </c>
      <c r="B1219" s="48"/>
      <c r="C1219" s="14"/>
      <c r="D1219" s="52"/>
      <c r="E1219" s="16"/>
      <c r="F1219" s="14"/>
      <c r="G1219" s="14"/>
      <c r="H1219" s="14"/>
      <c r="I1219" s="17"/>
      <c r="J1219" s="16"/>
      <c r="K1219" s="17"/>
      <c r="L1219" s="16"/>
      <c r="N1219" s="28"/>
    </row>
    <row r="1220">
      <c r="A1220" s="16" t="str">
        <f t="shared" si="10"/>
        <v/>
      </c>
      <c r="B1220" s="48"/>
      <c r="C1220" s="14"/>
      <c r="D1220" s="52"/>
      <c r="E1220" s="16"/>
      <c r="F1220" s="14"/>
      <c r="G1220" s="14"/>
      <c r="H1220" s="14"/>
      <c r="I1220" s="17"/>
      <c r="J1220" s="16"/>
      <c r="K1220" s="17"/>
      <c r="L1220" s="16"/>
      <c r="N1220" s="28"/>
    </row>
    <row r="1221">
      <c r="A1221" s="16" t="str">
        <f t="shared" si="10"/>
        <v/>
      </c>
      <c r="B1221" s="48"/>
      <c r="C1221" s="14"/>
      <c r="D1221" s="52"/>
      <c r="E1221" s="16"/>
      <c r="F1221" s="14"/>
      <c r="G1221" s="14"/>
      <c r="H1221" s="14"/>
      <c r="I1221" s="17"/>
      <c r="J1221" s="16"/>
      <c r="K1221" s="17"/>
      <c r="L1221" s="16"/>
      <c r="N1221" s="28"/>
    </row>
    <row r="1222">
      <c r="A1222" s="16" t="str">
        <f t="shared" si="10"/>
        <v/>
      </c>
      <c r="B1222" s="48"/>
      <c r="C1222" s="14"/>
      <c r="D1222" s="52"/>
      <c r="E1222" s="16"/>
      <c r="F1222" s="14"/>
      <c r="G1222" s="14"/>
      <c r="H1222" s="14"/>
      <c r="I1222" s="17"/>
      <c r="J1222" s="16"/>
      <c r="K1222" s="17"/>
      <c r="L1222" s="16"/>
      <c r="N1222" s="28"/>
    </row>
    <row r="1223">
      <c r="A1223" s="16" t="str">
        <f t="shared" si="10"/>
        <v/>
      </c>
      <c r="B1223" s="48"/>
      <c r="C1223" s="14"/>
      <c r="D1223" s="52"/>
      <c r="E1223" s="16"/>
      <c r="F1223" s="14"/>
      <c r="G1223" s="14"/>
      <c r="H1223" s="17"/>
      <c r="I1223" s="17"/>
      <c r="J1223" s="16"/>
      <c r="K1223" s="17"/>
      <c r="L1223" s="16"/>
      <c r="N1223" s="28"/>
    </row>
    <row r="1224">
      <c r="A1224" s="16" t="str">
        <f t="shared" si="10"/>
        <v/>
      </c>
      <c r="B1224" s="48"/>
      <c r="C1224" s="14"/>
      <c r="D1224" s="52"/>
      <c r="E1224" s="16"/>
      <c r="F1224" s="14"/>
      <c r="G1224" s="14"/>
      <c r="H1224" s="17"/>
      <c r="I1224" s="17"/>
      <c r="J1224" s="16"/>
      <c r="K1224" s="17"/>
      <c r="L1224" s="16"/>
      <c r="N1224" s="28"/>
    </row>
    <row r="1225">
      <c r="A1225" s="16" t="str">
        <f t="shared" si="10"/>
        <v/>
      </c>
      <c r="B1225" s="48"/>
      <c r="C1225" s="14"/>
      <c r="D1225" s="52"/>
      <c r="E1225" s="16"/>
      <c r="F1225" s="14"/>
      <c r="G1225" s="14"/>
      <c r="H1225" s="14"/>
      <c r="I1225" s="17"/>
      <c r="J1225" s="16"/>
      <c r="K1225" s="17"/>
      <c r="L1225" s="16"/>
      <c r="N1225" s="28"/>
    </row>
    <row r="1226">
      <c r="A1226" s="16" t="str">
        <f t="shared" si="10"/>
        <v/>
      </c>
      <c r="B1226" s="48"/>
      <c r="C1226" s="14"/>
      <c r="D1226" s="52"/>
      <c r="E1226" s="16"/>
      <c r="F1226" s="14"/>
      <c r="G1226" s="14"/>
      <c r="H1226" s="17"/>
      <c r="I1226" s="17"/>
      <c r="J1226" s="16"/>
      <c r="K1226" s="17"/>
      <c r="L1226" s="16"/>
      <c r="N1226" s="28"/>
    </row>
    <row r="1227">
      <c r="A1227" s="16" t="str">
        <f t="shared" si="10"/>
        <v/>
      </c>
      <c r="B1227" s="48"/>
      <c r="C1227" s="14"/>
      <c r="D1227" s="52"/>
      <c r="E1227" s="16"/>
      <c r="F1227" s="14"/>
      <c r="G1227" s="14"/>
      <c r="H1227" s="17"/>
      <c r="I1227" s="17"/>
      <c r="J1227" s="16"/>
      <c r="K1227" s="17"/>
      <c r="L1227" s="16"/>
      <c r="N1227" s="28"/>
    </row>
    <row r="1228">
      <c r="A1228" s="16" t="str">
        <f t="shared" si="10"/>
        <v/>
      </c>
      <c r="B1228" s="48"/>
      <c r="C1228" s="14"/>
      <c r="D1228" s="52"/>
      <c r="E1228" s="16"/>
      <c r="F1228" s="14"/>
      <c r="G1228" s="14"/>
      <c r="H1228" s="14"/>
      <c r="I1228" s="17"/>
      <c r="J1228" s="16"/>
      <c r="K1228" s="17"/>
      <c r="L1228" s="16"/>
      <c r="N1228" s="28"/>
    </row>
    <row r="1229">
      <c r="A1229" s="16" t="str">
        <f t="shared" si="10"/>
        <v/>
      </c>
      <c r="B1229" s="48"/>
      <c r="C1229" s="14"/>
      <c r="D1229" s="52"/>
      <c r="E1229" s="16"/>
      <c r="F1229" s="14"/>
      <c r="G1229" s="14"/>
      <c r="H1229" s="14"/>
      <c r="I1229" s="17"/>
      <c r="J1229" s="16"/>
      <c r="K1229" s="17"/>
      <c r="L1229" s="16"/>
      <c r="N1229" s="28"/>
    </row>
    <row r="1230">
      <c r="A1230" s="16" t="str">
        <f t="shared" si="10"/>
        <v/>
      </c>
      <c r="B1230" s="48"/>
      <c r="C1230" s="14"/>
      <c r="D1230" s="52"/>
      <c r="E1230" s="16"/>
      <c r="F1230" s="14"/>
      <c r="G1230" s="14"/>
      <c r="H1230" s="14"/>
      <c r="I1230" s="17"/>
      <c r="J1230" s="16"/>
      <c r="K1230" s="17"/>
      <c r="L1230" s="16"/>
      <c r="N1230" s="28"/>
    </row>
    <row r="1231">
      <c r="A1231" s="16" t="str">
        <f t="shared" si="10"/>
        <v/>
      </c>
      <c r="B1231" s="48"/>
      <c r="C1231" s="14"/>
      <c r="D1231" s="52"/>
      <c r="E1231" s="16"/>
      <c r="F1231" s="14"/>
      <c r="G1231" s="14"/>
      <c r="H1231" s="14"/>
      <c r="I1231" s="17"/>
      <c r="J1231" s="16"/>
      <c r="K1231" s="17"/>
      <c r="L1231" s="16"/>
      <c r="N1231" s="28"/>
    </row>
    <row r="1232">
      <c r="A1232" s="16" t="str">
        <f t="shared" si="10"/>
        <v/>
      </c>
      <c r="B1232" s="48"/>
      <c r="C1232" s="14"/>
      <c r="D1232" s="52"/>
      <c r="E1232" s="16"/>
      <c r="F1232" s="14"/>
      <c r="G1232" s="14"/>
      <c r="H1232" s="14"/>
      <c r="I1232" s="17"/>
      <c r="J1232" s="16"/>
      <c r="K1232" s="17"/>
      <c r="L1232" s="16"/>
      <c r="N1232" s="28"/>
    </row>
    <row r="1233">
      <c r="A1233" s="16" t="str">
        <f t="shared" si="10"/>
        <v/>
      </c>
      <c r="B1233" s="48"/>
      <c r="C1233" s="14"/>
      <c r="D1233" s="52"/>
      <c r="E1233" s="16"/>
      <c r="F1233" s="14"/>
      <c r="G1233" s="14"/>
      <c r="H1233" s="14"/>
      <c r="I1233" s="17"/>
      <c r="J1233" s="16"/>
      <c r="K1233" s="17"/>
      <c r="L1233" s="16"/>
      <c r="N1233" s="28"/>
    </row>
    <row r="1234">
      <c r="A1234" s="16" t="str">
        <f t="shared" si="10"/>
        <v/>
      </c>
      <c r="B1234" s="48"/>
      <c r="C1234" s="14"/>
      <c r="D1234" s="52"/>
      <c r="E1234" s="16"/>
      <c r="F1234" s="14"/>
      <c r="G1234" s="14"/>
      <c r="H1234" s="14"/>
      <c r="I1234" s="17"/>
      <c r="J1234" s="16"/>
      <c r="K1234" s="17"/>
      <c r="L1234" s="16"/>
      <c r="N1234" s="28"/>
    </row>
    <row r="1235">
      <c r="A1235" s="16" t="str">
        <f t="shared" si="10"/>
        <v/>
      </c>
      <c r="B1235" s="48"/>
      <c r="C1235" s="14"/>
      <c r="D1235" s="52"/>
      <c r="E1235" s="16"/>
      <c r="F1235" s="14"/>
      <c r="G1235" s="14"/>
      <c r="H1235" s="14"/>
      <c r="I1235" s="17"/>
      <c r="J1235" s="16"/>
      <c r="K1235" s="17"/>
      <c r="L1235" s="16"/>
      <c r="N1235" s="28"/>
    </row>
    <row r="1236">
      <c r="A1236" s="16" t="str">
        <f t="shared" si="10"/>
        <v/>
      </c>
      <c r="B1236" s="48"/>
      <c r="C1236" s="14"/>
      <c r="D1236" s="52"/>
      <c r="E1236" s="16"/>
      <c r="F1236" s="14"/>
      <c r="G1236" s="14"/>
      <c r="H1236" s="17"/>
      <c r="I1236" s="17"/>
      <c r="J1236" s="16"/>
      <c r="K1236" s="17"/>
      <c r="L1236" s="16"/>
      <c r="N1236" s="28"/>
    </row>
    <row r="1237">
      <c r="A1237" s="16" t="str">
        <f t="shared" si="10"/>
        <v/>
      </c>
      <c r="B1237" s="48"/>
      <c r="C1237" s="14"/>
      <c r="D1237" s="52"/>
      <c r="E1237" s="16"/>
      <c r="F1237" s="14"/>
      <c r="G1237" s="14"/>
      <c r="H1237" s="14"/>
      <c r="I1237" s="17"/>
      <c r="J1237" s="16"/>
      <c r="K1237" s="17"/>
      <c r="L1237" s="16"/>
      <c r="N1237" s="28"/>
    </row>
    <row r="1238">
      <c r="A1238" s="16" t="str">
        <f t="shared" si="10"/>
        <v/>
      </c>
      <c r="B1238" s="48"/>
      <c r="C1238" s="14"/>
      <c r="D1238" s="52"/>
      <c r="E1238" s="16"/>
      <c r="F1238" s="14"/>
      <c r="G1238" s="14"/>
      <c r="H1238" s="14"/>
      <c r="I1238" s="17"/>
      <c r="J1238" s="16"/>
      <c r="K1238" s="17"/>
      <c r="L1238" s="16"/>
      <c r="N1238" s="28"/>
    </row>
    <row r="1239">
      <c r="A1239" s="16" t="str">
        <f t="shared" si="10"/>
        <v/>
      </c>
      <c r="B1239" s="48"/>
      <c r="C1239" s="14"/>
      <c r="D1239" s="52"/>
      <c r="E1239" s="16"/>
      <c r="F1239" s="14"/>
      <c r="G1239" s="14"/>
      <c r="H1239" s="14"/>
      <c r="I1239" s="17"/>
      <c r="J1239" s="16"/>
      <c r="K1239" s="17"/>
      <c r="L1239" s="16"/>
      <c r="N1239" s="28"/>
    </row>
    <row r="1240">
      <c r="A1240" s="16" t="str">
        <f t="shared" si="10"/>
        <v/>
      </c>
      <c r="B1240" s="48"/>
      <c r="C1240" s="14"/>
      <c r="D1240" s="52"/>
      <c r="E1240" s="16"/>
      <c r="F1240" s="14"/>
      <c r="G1240" s="14"/>
      <c r="H1240" s="14"/>
      <c r="I1240" s="17"/>
      <c r="J1240" s="16"/>
      <c r="K1240" s="17"/>
      <c r="L1240" s="16"/>
      <c r="N1240" s="28"/>
    </row>
    <row r="1241">
      <c r="A1241" s="16" t="str">
        <f t="shared" si="10"/>
        <v/>
      </c>
      <c r="B1241" s="48"/>
      <c r="C1241" s="14"/>
      <c r="D1241" s="52"/>
      <c r="E1241" s="16"/>
      <c r="F1241" s="14"/>
      <c r="G1241" s="14"/>
      <c r="H1241" s="14"/>
      <c r="I1241" s="17"/>
      <c r="J1241" s="16"/>
      <c r="K1241" s="17"/>
      <c r="L1241" s="16"/>
      <c r="N1241" s="28"/>
    </row>
    <row r="1242">
      <c r="A1242" s="16" t="str">
        <f t="shared" si="10"/>
        <v/>
      </c>
      <c r="B1242" s="48"/>
      <c r="C1242" s="14"/>
      <c r="D1242" s="52"/>
      <c r="E1242" s="16"/>
      <c r="F1242" s="14"/>
      <c r="G1242" s="14"/>
      <c r="H1242" s="14"/>
      <c r="I1242" s="17"/>
      <c r="J1242" s="16"/>
      <c r="K1242" s="17"/>
      <c r="L1242" s="16"/>
      <c r="N1242" s="28"/>
    </row>
    <row r="1243">
      <c r="A1243" s="16" t="str">
        <f t="shared" si="10"/>
        <v/>
      </c>
      <c r="B1243" s="48"/>
      <c r="C1243" s="14"/>
      <c r="D1243" s="52"/>
      <c r="E1243" s="16"/>
      <c r="F1243" s="14"/>
      <c r="G1243" s="14"/>
      <c r="H1243" s="14"/>
      <c r="I1243" s="17"/>
      <c r="J1243" s="16"/>
      <c r="K1243" s="17"/>
      <c r="L1243" s="16"/>
      <c r="N1243" s="28"/>
    </row>
    <row r="1244">
      <c r="A1244" s="16" t="str">
        <f t="shared" si="10"/>
        <v/>
      </c>
      <c r="B1244" s="48"/>
      <c r="C1244" s="14"/>
      <c r="D1244" s="52"/>
      <c r="E1244" s="16"/>
      <c r="F1244" s="14"/>
      <c r="G1244" s="14"/>
      <c r="H1244" s="14"/>
      <c r="I1244" s="17"/>
      <c r="J1244" s="16"/>
      <c r="K1244" s="17"/>
      <c r="L1244" s="16"/>
      <c r="N1244" s="28"/>
    </row>
    <row r="1245">
      <c r="A1245" s="16" t="str">
        <f t="shared" si="10"/>
        <v/>
      </c>
      <c r="B1245" s="48"/>
      <c r="C1245" s="14"/>
      <c r="D1245" s="52"/>
      <c r="E1245" s="16"/>
      <c r="F1245" s="14"/>
      <c r="G1245" s="14"/>
      <c r="H1245" s="14"/>
      <c r="I1245" s="17"/>
      <c r="J1245" s="16"/>
      <c r="K1245" s="17"/>
      <c r="L1245" s="16"/>
      <c r="N1245" s="28"/>
    </row>
    <row r="1246">
      <c r="A1246" s="16" t="str">
        <f t="shared" si="10"/>
        <v/>
      </c>
      <c r="B1246" s="48"/>
      <c r="C1246" s="14"/>
      <c r="D1246" s="52"/>
      <c r="E1246" s="16"/>
      <c r="F1246" s="14"/>
      <c r="G1246" s="14"/>
      <c r="H1246" s="14"/>
      <c r="I1246" s="17"/>
      <c r="J1246" s="16"/>
      <c r="K1246" s="17"/>
      <c r="L1246" s="16"/>
      <c r="N1246" s="28"/>
    </row>
    <row r="1247">
      <c r="A1247" s="16" t="str">
        <f t="shared" si="10"/>
        <v/>
      </c>
      <c r="B1247" s="48"/>
      <c r="C1247" s="14"/>
      <c r="D1247" s="52"/>
      <c r="E1247" s="16"/>
      <c r="F1247" s="14"/>
      <c r="G1247" s="14"/>
      <c r="H1247" s="14"/>
      <c r="I1247" s="17"/>
      <c r="J1247" s="16"/>
      <c r="K1247" s="17"/>
      <c r="L1247" s="16"/>
      <c r="N1247" s="28"/>
    </row>
    <row r="1248">
      <c r="A1248" s="16" t="str">
        <f t="shared" si="10"/>
        <v/>
      </c>
      <c r="B1248" s="48"/>
      <c r="C1248" s="14"/>
      <c r="D1248" s="52"/>
      <c r="E1248" s="16"/>
      <c r="F1248" s="14"/>
      <c r="G1248" s="14"/>
      <c r="H1248" s="14"/>
      <c r="I1248" s="17"/>
      <c r="J1248" s="16"/>
      <c r="K1248" s="17"/>
      <c r="L1248" s="16"/>
      <c r="N1248" s="28"/>
    </row>
    <row r="1249">
      <c r="A1249" s="16" t="str">
        <f t="shared" si="10"/>
        <v/>
      </c>
      <c r="B1249" s="48"/>
      <c r="C1249" s="14"/>
      <c r="D1249" s="52"/>
      <c r="E1249" s="16"/>
      <c r="F1249" s="14"/>
      <c r="G1249" s="14"/>
      <c r="H1249" s="14"/>
      <c r="I1249" s="17"/>
      <c r="J1249" s="16"/>
      <c r="K1249" s="17"/>
      <c r="L1249" s="16"/>
      <c r="N1249" s="28"/>
    </row>
    <row r="1250">
      <c r="A1250" s="16" t="str">
        <f t="shared" si="10"/>
        <v/>
      </c>
      <c r="B1250" s="48"/>
      <c r="C1250" s="14"/>
      <c r="D1250" s="52"/>
      <c r="E1250" s="16"/>
      <c r="F1250" s="14"/>
      <c r="G1250" s="14"/>
      <c r="H1250" s="14"/>
      <c r="I1250" s="17"/>
      <c r="J1250" s="16"/>
      <c r="K1250" s="17"/>
      <c r="L1250" s="16"/>
      <c r="N1250" s="28"/>
    </row>
    <row r="1251">
      <c r="A1251" s="16" t="str">
        <f t="shared" si="10"/>
        <v/>
      </c>
      <c r="B1251" s="48"/>
      <c r="C1251" s="14"/>
      <c r="D1251" s="52"/>
      <c r="E1251" s="16"/>
      <c r="F1251" s="14"/>
      <c r="G1251" s="14"/>
      <c r="H1251" s="14"/>
      <c r="I1251" s="17"/>
      <c r="J1251" s="16"/>
      <c r="K1251" s="17"/>
      <c r="L1251" s="16"/>
      <c r="N1251" s="28"/>
    </row>
    <row r="1252">
      <c r="A1252" s="16" t="str">
        <f t="shared" si="10"/>
        <v/>
      </c>
      <c r="B1252" s="48"/>
      <c r="C1252" s="14"/>
      <c r="D1252" s="52"/>
      <c r="E1252" s="16"/>
      <c r="F1252" s="14"/>
      <c r="G1252" s="14"/>
      <c r="H1252" s="14"/>
      <c r="I1252" s="17"/>
      <c r="J1252" s="16"/>
      <c r="K1252" s="17"/>
      <c r="L1252" s="16"/>
      <c r="N1252" s="28"/>
    </row>
    <row r="1253">
      <c r="A1253" s="16" t="str">
        <f t="shared" si="10"/>
        <v/>
      </c>
      <c r="B1253" s="48"/>
      <c r="C1253" s="14"/>
      <c r="D1253" s="52"/>
      <c r="E1253" s="16"/>
      <c r="F1253" s="14"/>
      <c r="G1253" s="14"/>
      <c r="H1253" s="17"/>
      <c r="I1253" s="17"/>
      <c r="J1253" s="16"/>
      <c r="K1253" s="17"/>
      <c r="L1253" s="16"/>
      <c r="N1253" s="28"/>
    </row>
    <row r="1254">
      <c r="A1254" s="16" t="str">
        <f t="shared" si="10"/>
        <v/>
      </c>
      <c r="B1254" s="48"/>
      <c r="C1254" s="14"/>
      <c r="D1254" s="52"/>
      <c r="E1254" s="16"/>
      <c r="F1254" s="14"/>
      <c r="G1254" s="14"/>
      <c r="H1254" s="17"/>
      <c r="I1254" s="17"/>
      <c r="J1254" s="16"/>
      <c r="K1254" s="17"/>
      <c r="L1254" s="16"/>
      <c r="N1254" s="28"/>
    </row>
    <row r="1255">
      <c r="A1255" s="16" t="str">
        <f t="shared" si="10"/>
        <v/>
      </c>
      <c r="B1255" s="48"/>
      <c r="C1255" s="14"/>
      <c r="D1255" s="52"/>
      <c r="E1255" s="16"/>
      <c r="F1255" s="14"/>
      <c r="G1255" s="14"/>
      <c r="H1255" s="14"/>
      <c r="I1255" s="17"/>
      <c r="J1255" s="16"/>
      <c r="K1255" s="17"/>
      <c r="L1255" s="16"/>
      <c r="N1255" s="28"/>
    </row>
    <row r="1256">
      <c r="A1256" s="16" t="str">
        <f t="shared" si="10"/>
        <v/>
      </c>
      <c r="B1256" s="48"/>
      <c r="C1256" s="14"/>
      <c r="D1256" s="52"/>
      <c r="E1256" s="16"/>
      <c r="F1256" s="14"/>
      <c r="G1256" s="14"/>
      <c r="H1256" s="14"/>
      <c r="I1256" s="17"/>
      <c r="J1256" s="16"/>
      <c r="K1256" s="17"/>
      <c r="L1256" s="16"/>
      <c r="N1256" s="28"/>
    </row>
    <row r="1257">
      <c r="A1257" s="16" t="str">
        <f t="shared" si="10"/>
        <v/>
      </c>
      <c r="B1257" s="48"/>
      <c r="C1257" s="14"/>
      <c r="D1257" s="52"/>
      <c r="E1257" s="16"/>
      <c r="F1257" s="14"/>
      <c r="G1257" s="14"/>
      <c r="H1257" s="14"/>
      <c r="I1257" s="17"/>
      <c r="J1257" s="16"/>
      <c r="K1257" s="17"/>
      <c r="L1257" s="16"/>
      <c r="N1257" s="28"/>
    </row>
    <row r="1258">
      <c r="A1258" s="16" t="str">
        <f t="shared" si="10"/>
        <v/>
      </c>
      <c r="B1258" s="48"/>
      <c r="C1258" s="14"/>
      <c r="D1258" s="52"/>
      <c r="E1258" s="16"/>
      <c r="F1258" s="14"/>
      <c r="G1258" s="14"/>
      <c r="H1258" s="17"/>
      <c r="I1258" s="17"/>
      <c r="J1258" s="16"/>
      <c r="K1258" s="17"/>
      <c r="L1258" s="16"/>
      <c r="N1258" s="28"/>
    </row>
    <row r="1259">
      <c r="A1259" s="16" t="str">
        <f t="shared" si="10"/>
        <v/>
      </c>
      <c r="B1259" s="48"/>
      <c r="C1259" s="14"/>
      <c r="D1259" s="52"/>
      <c r="E1259" s="16"/>
      <c r="F1259" s="14"/>
      <c r="G1259" s="14"/>
      <c r="H1259" s="17"/>
      <c r="I1259" s="17"/>
      <c r="J1259" s="16"/>
      <c r="K1259" s="17"/>
      <c r="L1259" s="16"/>
      <c r="N1259" s="28"/>
    </row>
    <row r="1260">
      <c r="A1260" s="16" t="str">
        <f t="shared" si="10"/>
        <v/>
      </c>
      <c r="B1260" s="48"/>
      <c r="C1260" s="14"/>
      <c r="D1260" s="52"/>
      <c r="E1260" s="16"/>
      <c r="F1260" s="14"/>
      <c r="G1260" s="14"/>
      <c r="H1260" s="14"/>
      <c r="I1260" s="17"/>
      <c r="J1260" s="16"/>
      <c r="K1260" s="17"/>
      <c r="L1260" s="16"/>
      <c r="N1260" s="28"/>
    </row>
    <row r="1261">
      <c r="A1261" s="16" t="str">
        <f t="shared" si="10"/>
        <v/>
      </c>
      <c r="B1261" s="48"/>
      <c r="C1261" s="14"/>
      <c r="D1261" s="52"/>
      <c r="E1261" s="16"/>
      <c r="F1261" s="14"/>
      <c r="G1261" s="14"/>
      <c r="H1261" s="14"/>
      <c r="I1261" s="17"/>
      <c r="J1261" s="16"/>
      <c r="K1261" s="17"/>
      <c r="L1261" s="16"/>
      <c r="N1261" s="28"/>
    </row>
    <row r="1262">
      <c r="A1262" s="16" t="str">
        <f t="shared" si="10"/>
        <v/>
      </c>
      <c r="B1262" s="48"/>
      <c r="C1262" s="14"/>
      <c r="D1262" s="52"/>
      <c r="E1262" s="16"/>
      <c r="F1262" s="14"/>
      <c r="G1262" s="14"/>
      <c r="H1262" s="17"/>
      <c r="I1262" s="17"/>
      <c r="J1262" s="16"/>
      <c r="K1262" s="17"/>
      <c r="L1262" s="16"/>
      <c r="N1262" s="28"/>
    </row>
    <row r="1263">
      <c r="A1263" s="16" t="str">
        <f t="shared" si="10"/>
        <v/>
      </c>
      <c r="B1263" s="48"/>
      <c r="C1263" s="14"/>
      <c r="D1263" s="52"/>
      <c r="E1263" s="16"/>
      <c r="F1263" s="14"/>
      <c r="G1263" s="14"/>
      <c r="H1263" s="17"/>
      <c r="I1263" s="17"/>
      <c r="J1263" s="16"/>
      <c r="K1263" s="17"/>
      <c r="L1263" s="16"/>
      <c r="N1263" s="28"/>
    </row>
    <row r="1264">
      <c r="A1264" s="16" t="str">
        <f t="shared" si="10"/>
        <v/>
      </c>
      <c r="B1264" s="48"/>
      <c r="C1264" s="14"/>
      <c r="D1264" s="52"/>
      <c r="E1264" s="16"/>
      <c r="F1264" s="14"/>
      <c r="G1264" s="14"/>
      <c r="H1264" s="14"/>
      <c r="I1264" s="17"/>
      <c r="J1264" s="16"/>
      <c r="K1264" s="17"/>
      <c r="L1264" s="16"/>
      <c r="N1264" s="28"/>
    </row>
    <row r="1265">
      <c r="A1265" s="16" t="str">
        <f t="shared" si="10"/>
        <v/>
      </c>
      <c r="B1265" s="48"/>
      <c r="C1265" s="14"/>
      <c r="D1265" s="52"/>
      <c r="E1265" s="16"/>
      <c r="F1265" s="14"/>
      <c r="G1265" s="14"/>
      <c r="H1265" s="14"/>
      <c r="I1265" s="17"/>
      <c r="J1265" s="16"/>
      <c r="K1265" s="17"/>
      <c r="L1265" s="16"/>
      <c r="N1265" s="28"/>
    </row>
    <row r="1266">
      <c r="A1266" s="16" t="str">
        <f t="shared" si="10"/>
        <v/>
      </c>
      <c r="B1266" s="48"/>
      <c r="C1266" s="14"/>
      <c r="D1266" s="52"/>
      <c r="E1266" s="16"/>
      <c r="F1266" s="14"/>
      <c r="G1266" s="14"/>
      <c r="H1266" s="17"/>
      <c r="I1266" s="17"/>
      <c r="J1266" s="16"/>
      <c r="K1266" s="17"/>
      <c r="L1266" s="16"/>
      <c r="N1266" s="28"/>
    </row>
    <row r="1267">
      <c r="A1267" s="16" t="str">
        <f t="shared" si="10"/>
        <v/>
      </c>
      <c r="B1267" s="48"/>
      <c r="C1267" s="14"/>
      <c r="D1267" s="52"/>
      <c r="E1267" s="16"/>
      <c r="F1267" s="14"/>
      <c r="G1267" s="14"/>
      <c r="H1267" s="14"/>
      <c r="I1267" s="17"/>
      <c r="J1267" s="16"/>
      <c r="K1267" s="17"/>
      <c r="L1267" s="16"/>
      <c r="N1267" s="28"/>
    </row>
    <row r="1268">
      <c r="A1268" s="16" t="str">
        <f t="shared" si="10"/>
        <v/>
      </c>
      <c r="B1268" s="48"/>
      <c r="C1268" s="14"/>
      <c r="D1268" s="52"/>
      <c r="E1268" s="16"/>
      <c r="F1268" s="14"/>
      <c r="G1268" s="14"/>
      <c r="H1268" s="14"/>
      <c r="I1268" s="17"/>
      <c r="J1268" s="16"/>
      <c r="K1268" s="17"/>
      <c r="L1268" s="16"/>
      <c r="N1268" s="28"/>
    </row>
    <row r="1269">
      <c r="A1269" s="16" t="str">
        <f t="shared" si="10"/>
        <v/>
      </c>
      <c r="B1269" s="48"/>
      <c r="C1269" s="14"/>
      <c r="D1269" s="52"/>
      <c r="E1269" s="16"/>
      <c r="F1269" s="14"/>
      <c r="G1269" s="14"/>
      <c r="H1269" s="14"/>
      <c r="I1269" s="17"/>
      <c r="J1269" s="16"/>
      <c r="K1269" s="17"/>
      <c r="L1269" s="16"/>
      <c r="N1269" s="28"/>
    </row>
    <row r="1270">
      <c r="A1270" s="16" t="str">
        <f t="shared" si="10"/>
        <v/>
      </c>
      <c r="B1270" s="48"/>
      <c r="C1270" s="14"/>
      <c r="D1270" s="52"/>
      <c r="E1270" s="16"/>
      <c r="F1270" s="14"/>
      <c r="G1270" s="14"/>
      <c r="H1270" s="14"/>
      <c r="I1270" s="17"/>
      <c r="J1270" s="16"/>
      <c r="K1270" s="17"/>
      <c r="L1270" s="16"/>
      <c r="N1270" s="28"/>
    </row>
    <row r="1271">
      <c r="A1271" s="16" t="str">
        <f t="shared" si="10"/>
        <v/>
      </c>
      <c r="B1271" s="48"/>
      <c r="C1271" s="14"/>
      <c r="D1271" s="52"/>
      <c r="E1271" s="16"/>
      <c r="F1271" s="14"/>
      <c r="G1271" s="14"/>
      <c r="H1271" s="17"/>
      <c r="I1271" s="17"/>
      <c r="J1271" s="16"/>
      <c r="K1271" s="17"/>
      <c r="L1271" s="16"/>
      <c r="N1271" s="28"/>
    </row>
    <row r="1272">
      <c r="A1272" s="16" t="str">
        <f t="shared" si="10"/>
        <v/>
      </c>
      <c r="B1272" s="48"/>
      <c r="C1272" s="14"/>
      <c r="D1272" s="52"/>
      <c r="E1272" s="16"/>
      <c r="F1272" s="14"/>
      <c r="G1272" s="14"/>
      <c r="H1272" s="14"/>
      <c r="I1272" s="17"/>
      <c r="J1272" s="16"/>
      <c r="K1272" s="17"/>
      <c r="L1272" s="16"/>
      <c r="N1272" s="28"/>
    </row>
    <row r="1273">
      <c r="A1273" s="16" t="str">
        <f t="shared" si="10"/>
        <v/>
      </c>
      <c r="B1273" s="48"/>
      <c r="C1273" s="14"/>
      <c r="D1273" s="52"/>
      <c r="E1273" s="16"/>
      <c r="F1273" s="14"/>
      <c r="G1273" s="14"/>
      <c r="H1273" s="14"/>
      <c r="I1273" s="17"/>
      <c r="J1273" s="16"/>
      <c r="K1273" s="17"/>
      <c r="L1273" s="16"/>
      <c r="N1273" s="28"/>
    </row>
    <row r="1274">
      <c r="A1274" s="16" t="str">
        <f t="shared" si="10"/>
        <v/>
      </c>
      <c r="B1274" s="48"/>
      <c r="C1274" s="14"/>
      <c r="D1274" s="52"/>
      <c r="E1274" s="16"/>
      <c r="F1274" s="14"/>
      <c r="G1274" s="14"/>
      <c r="H1274" s="14"/>
      <c r="I1274" s="17"/>
      <c r="J1274" s="16"/>
      <c r="K1274" s="17"/>
      <c r="L1274" s="16"/>
      <c r="N1274" s="28"/>
    </row>
    <row r="1275">
      <c r="A1275" s="16" t="str">
        <f t="shared" si="10"/>
        <v/>
      </c>
      <c r="B1275" s="48"/>
      <c r="C1275" s="14"/>
      <c r="D1275" s="52"/>
      <c r="E1275" s="16"/>
      <c r="F1275" s="14"/>
      <c r="G1275" s="14"/>
      <c r="H1275" s="14"/>
      <c r="I1275" s="17"/>
      <c r="J1275" s="16"/>
      <c r="K1275" s="17"/>
      <c r="L1275" s="16"/>
      <c r="N1275" s="28"/>
    </row>
    <row r="1276">
      <c r="A1276" s="16" t="str">
        <f t="shared" si="10"/>
        <v/>
      </c>
      <c r="B1276" s="48"/>
      <c r="C1276" s="14"/>
      <c r="D1276" s="52"/>
      <c r="E1276" s="16"/>
      <c r="F1276" s="14"/>
      <c r="G1276" s="14"/>
      <c r="H1276" s="14"/>
      <c r="I1276" s="17"/>
      <c r="J1276" s="16"/>
      <c r="K1276" s="17"/>
      <c r="L1276" s="16"/>
      <c r="N1276" s="28"/>
    </row>
    <row r="1277">
      <c r="A1277" s="16" t="str">
        <f t="shared" si="10"/>
        <v/>
      </c>
      <c r="B1277" s="48"/>
      <c r="C1277" s="14"/>
      <c r="D1277" s="52"/>
      <c r="E1277" s="16"/>
      <c r="F1277" s="14"/>
      <c r="G1277" s="14"/>
      <c r="H1277" s="14"/>
      <c r="I1277" s="17"/>
      <c r="J1277" s="16"/>
      <c r="K1277" s="17"/>
      <c r="L1277" s="16"/>
      <c r="N1277" s="28"/>
    </row>
    <row r="1278">
      <c r="A1278" s="16" t="str">
        <f t="shared" si="10"/>
        <v/>
      </c>
      <c r="B1278" s="48"/>
      <c r="C1278" s="14"/>
      <c r="D1278" s="52"/>
      <c r="E1278" s="16"/>
      <c r="F1278" s="14"/>
      <c r="G1278" s="14"/>
      <c r="H1278" s="14"/>
      <c r="I1278" s="17"/>
      <c r="J1278" s="16"/>
      <c r="K1278" s="17"/>
      <c r="L1278" s="16"/>
      <c r="N1278" s="28"/>
    </row>
    <row r="1279">
      <c r="A1279" s="16" t="str">
        <f t="shared" si="10"/>
        <v/>
      </c>
      <c r="B1279" s="48"/>
      <c r="C1279" s="14"/>
      <c r="D1279" s="52"/>
      <c r="E1279" s="16"/>
      <c r="F1279" s="14"/>
      <c r="G1279" s="14"/>
      <c r="H1279" s="14"/>
      <c r="I1279" s="17"/>
      <c r="J1279" s="16"/>
      <c r="K1279" s="17"/>
      <c r="L1279" s="16"/>
      <c r="N1279" s="28"/>
    </row>
    <row r="1280">
      <c r="A1280" s="16" t="str">
        <f t="shared" si="10"/>
        <v/>
      </c>
      <c r="B1280" s="48"/>
      <c r="C1280" s="14"/>
      <c r="D1280" s="52"/>
      <c r="E1280" s="16"/>
      <c r="F1280" s="14"/>
      <c r="G1280" s="14"/>
      <c r="H1280" s="14"/>
      <c r="I1280" s="17"/>
      <c r="J1280" s="16"/>
      <c r="K1280" s="17"/>
      <c r="L1280" s="16"/>
      <c r="N1280" s="28"/>
    </row>
    <row r="1281">
      <c r="A1281" s="16" t="str">
        <f t="shared" si="10"/>
        <v/>
      </c>
      <c r="B1281" s="48"/>
      <c r="C1281" s="14"/>
      <c r="D1281" s="52"/>
      <c r="E1281" s="16"/>
      <c r="F1281" s="14"/>
      <c r="G1281" s="14"/>
      <c r="H1281" s="14"/>
      <c r="I1281" s="17"/>
      <c r="J1281" s="16"/>
      <c r="K1281" s="17"/>
      <c r="L1281" s="16"/>
      <c r="N1281" s="28"/>
    </row>
    <row r="1282">
      <c r="A1282" s="16" t="str">
        <f t="shared" si="10"/>
        <v/>
      </c>
      <c r="B1282" s="48"/>
      <c r="C1282" s="14"/>
      <c r="D1282" s="52"/>
      <c r="E1282" s="16"/>
      <c r="F1282" s="14"/>
      <c r="G1282" s="14"/>
      <c r="H1282" s="14"/>
      <c r="I1282" s="17"/>
      <c r="J1282" s="16"/>
      <c r="K1282" s="17"/>
      <c r="L1282" s="16"/>
      <c r="N1282" s="28"/>
    </row>
    <row r="1283">
      <c r="A1283" s="16" t="str">
        <f t="shared" si="10"/>
        <v/>
      </c>
      <c r="B1283" s="48"/>
      <c r="C1283" s="14"/>
      <c r="D1283" s="52"/>
      <c r="E1283" s="16"/>
      <c r="F1283" s="14"/>
      <c r="G1283" s="14"/>
      <c r="H1283" s="14"/>
      <c r="I1283" s="17"/>
      <c r="J1283" s="16"/>
      <c r="K1283" s="17"/>
      <c r="L1283" s="16"/>
      <c r="N1283" s="28"/>
    </row>
    <row r="1284">
      <c r="A1284" s="16" t="str">
        <f t="shared" si="10"/>
        <v/>
      </c>
      <c r="B1284" s="48"/>
      <c r="C1284" s="14"/>
      <c r="D1284" s="52"/>
      <c r="E1284" s="16"/>
      <c r="F1284" s="14"/>
      <c r="G1284" s="14"/>
      <c r="H1284" s="14"/>
      <c r="I1284" s="17"/>
      <c r="J1284" s="16"/>
      <c r="K1284" s="17"/>
      <c r="L1284" s="16"/>
      <c r="N1284" s="28"/>
    </row>
    <row r="1285">
      <c r="A1285" s="16" t="str">
        <f t="shared" si="10"/>
        <v/>
      </c>
      <c r="B1285" s="48"/>
      <c r="C1285" s="14"/>
      <c r="D1285" s="52"/>
      <c r="E1285" s="16"/>
      <c r="F1285" s="14"/>
      <c r="G1285" s="14"/>
      <c r="H1285" s="14"/>
      <c r="I1285" s="17"/>
      <c r="J1285" s="16"/>
      <c r="K1285" s="17"/>
      <c r="L1285" s="16"/>
      <c r="N1285" s="28"/>
    </row>
    <row r="1286">
      <c r="A1286" s="16" t="str">
        <f t="shared" si="10"/>
        <v/>
      </c>
      <c r="B1286" s="48"/>
      <c r="C1286" s="14"/>
      <c r="D1286" s="52"/>
      <c r="E1286" s="16"/>
      <c r="F1286" s="14"/>
      <c r="G1286" s="14"/>
      <c r="H1286" s="14"/>
      <c r="I1286" s="17"/>
      <c r="J1286" s="16"/>
      <c r="K1286" s="17"/>
      <c r="L1286" s="16"/>
      <c r="N1286" s="28"/>
    </row>
    <row r="1287">
      <c r="A1287" s="16" t="str">
        <f t="shared" si="10"/>
        <v/>
      </c>
      <c r="B1287" s="48"/>
      <c r="C1287" s="14"/>
      <c r="D1287" s="52"/>
      <c r="E1287" s="16"/>
      <c r="F1287" s="14"/>
      <c r="G1287" s="14"/>
      <c r="H1287" s="14"/>
      <c r="I1287" s="17"/>
      <c r="J1287" s="16"/>
      <c r="K1287" s="17"/>
      <c r="L1287" s="16"/>
      <c r="N1287" s="28"/>
    </row>
    <row r="1288">
      <c r="A1288" s="16" t="str">
        <f t="shared" si="10"/>
        <v/>
      </c>
      <c r="B1288" s="48"/>
      <c r="C1288" s="14"/>
      <c r="D1288" s="52"/>
      <c r="E1288" s="16"/>
      <c r="F1288" s="14"/>
      <c r="G1288" s="14"/>
      <c r="H1288" s="14"/>
      <c r="I1288" s="17"/>
      <c r="J1288" s="16"/>
      <c r="K1288" s="17"/>
      <c r="L1288" s="16"/>
      <c r="N1288" s="28"/>
    </row>
    <row r="1289">
      <c r="A1289" s="16" t="str">
        <f t="shared" si="10"/>
        <v/>
      </c>
      <c r="B1289" s="48"/>
      <c r="C1289" s="14"/>
      <c r="D1289" s="52"/>
      <c r="E1289" s="16"/>
      <c r="F1289" s="14"/>
      <c r="G1289" s="14"/>
      <c r="H1289" s="17"/>
      <c r="I1289" s="17"/>
      <c r="J1289" s="16"/>
      <c r="K1289" s="17"/>
      <c r="L1289" s="16"/>
      <c r="N1289" s="28"/>
    </row>
    <row r="1290">
      <c r="A1290" s="16" t="str">
        <f t="shared" si="10"/>
        <v/>
      </c>
      <c r="B1290" s="48"/>
      <c r="C1290" s="14"/>
      <c r="D1290" s="52"/>
      <c r="E1290" s="16"/>
      <c r="F1290" s="14"/>
      <c r="G1290" s="14"/>
      <c r="H1290" s="17"/>
      <c r="I1290" s="17"/>
      <c r="J1290" s="16"/>
      <c r="K1290" s="17"/>
      <c r="L1290" s="16"/>
      <c r="N1290" s="28"/>
    </row>
    <row r="1291">
      <c r="A1291" s="16" t="str">
        <f t="shared" si="10"/>
        <v/>
      </c>
      <c r="B1291" s="48"/>
      <c r="C1291" s="14"/>
      <c r="D1291" s="52"/>
      <c r="E1291" s="16"/>
      <c r="F1291" s="14"/>
      <c r="G1291" s="14"/>
      <c r="H1291" s="14"/>
      <c r="I1291" s="17"/>
      <c r="J1291" s="16"/>
      <c r="K1291" s="17"/>
      <c r="L1291" s="16"/>
      <c r="N1291" s="28"/>
    </row>
    <row r="1292">
      <c r="A1292" s="16" t="str">
        <f t="shared" si="10"/>
        <v/>
      </c>
      <c r="B1292" s="48"/>
      <c r="C1292" s="14"/>
      <c r="D1292" s="52"/>
      <c r="E1292" s="16"/>
      <c r="F1292" s="14"/>
      <c r="G1292" s="14"/>
      <c r="H1292" s="14"/>
      <c r="I1292" s="17"/>
      <c r="J1292" s="16"/>
      <c r="K1292" s="17"/>
      <c r="L1292" s="16"/>
      <c r="N1292" s="28"/>
    </row>
    <row r="1293">
      <c r="A1293" s="16" t="str">
        <f t="shared" si="10"/>
        <v/>
      </c>
      <c r="B1293" s="48"/>
      <c r="C1293" s="14"/>
      <c r="D1293" s="52"/>
      <c r="E1293" s="16"/>
      <c r="F1293" s="14"/>
      <c r="G1293" s="14"/>
      <c r="H1293" s="14"/>
      <c r="I1293" s="17"/>
      <c r="J1293" s="16"/>
      <c r="K1293" s="17"/>
      <c r="L1293" s="16"/>
      <c r="N1293" s="28"/>
    </row>
    <row r="1294">
      <c r="A1294" s="16" t="str">
        <f t="shared" si="10"/>
        <v/>
      </c>
      <c r="B1294" s="48"/>
      <c r="C1294" s="14"/>
      <c r="D1294" s="52"/>
      <c r="E1294" s="16"/>
      <c r="F1294" s="14"/>
      <c r="G1294" s="14"/>
      <c r="H1294" s="14"/>
      <c r="I1294" s="17"/>
      <c r="J1294" s="16"/>
      <c r="K1294" s="17"/>
      <c r="L1294" s="16"/>
      <c r="N1294" s="28"/>
    </row>
    <row r="1295">
      <c r="A1295" s="16" t="str">
        <f t="shared" si="10"/>
        <v/>
      </c>
      <c r="B1295" s="48"/>
      <c r="C1295" s="14"/>
      <c r="D1295" s="52"/>
      <c r="E1295" s="16"/>
      <c r="F1295" s="14"/>
      <c r="G1295" s="14"/>
      <c r="H1295" s="14"/>
      <c r="I1295" s="17"/>
      <c r="J1295" s="16"/>
      <c r="K1295" s="17"/>
      <c r="L1295" s="16"/>
      <c r="N1295" s="28"/>
    </row>
    <row r="1296">
      <c r="A1296" s="16" t="str">
        <f t="shared" si="10"/>
        <v/>
      </c>
      <c r="B1296" s="48"/>
      <c r="C1296" s="14"/>
      <c r="D1296" s="52"/>
      <c r="E1296" s="16"/>
      <c r="F1296" s="14"/>
      <c r="G1296" s="14"/>
      <c r="H1296" s="14"/>
      <c r="I1296" s="17"/>
      <c r="J1296" s="16"/>
      <c r="K1296" s="17"/>
      <c r="L1296" s="16"/>
      <c r="N1296" s="28"/>
    </row>
    <row r="1297">
      <c r="A1297" s="16" t="str">
        <f t="shared" si="10"/>
        <v/>
      </c>
      <c r="B1297" s="48"/>
      <c r="C1297" s="14"/>
      <c r="D1297" s="52"/>
      <c r="E1297" s="16"/>
      <c r="F1297" s="14"/>
      <c r="G1297" s="14"/>
      <c r="H1297" s="14"/>
      <c r="I1297" s="17"/>
      <c r="J1297" s="16"/>
      <c r="K1297" s="17"/>
      <c r="L1297" s="16"/>
      <c r="N1297" s="28"/>
    </row>
    <row r="1298">
      <c r="A1298" s="16" t="str">
        <f t="shared" si="10"/>
        <v/>
      </c>
      <c r="B1298" s="48"/>
      <c r="C1298" s="14"/>
      <c r="D1298" s="52"/>
      <c r="E1298" s="16"/>
      <c r="F1298" s="14"/>
      <c r="G1298" s="14"/>
      <c r="H1298" s="14"/>
      <c r="I1298" s="17"/>
      <c r="J1298" s="16"/>
      <c r="K1298" s="17"/>
      <c r="L1298" s="16"/>
      <c r="N1298" s="28"/>
    </row>
    <row r="1299">
      <c r="A1299" s="16" t="str">
        <f t="shared" si="10"/>
        <v/>
      </c>
      <c r="B1299" s="48"/>
      <c r="C1299" s="14"/>
      <c r="D1299" s="52"/>
      <c r="E1299" s="16"/>
      <c r="F1299" s="14"/>
      <c r="G1299" s="14"/>
      <c r="H1299" s="14"/>
      <c r="I1299" s="17"/>
      <c r="J1299" s="16"/>
      <c r="K1299" s="17"/>
      <c r="L1299" s="16"/>
      <c r="N1299" s="28"/>
    </row>
    <row r="1300">
      <c r="A1300" s="16" t="str">
        <f t="shared" si="10"/>
        <v/>
      </c>
      <c r="B1300" s="48"/>
      <c r="C1300" s="14"/>
      <c r="D1300" s="52"/>
      <c r="E1300" s="16"/>
      <c r="F1300" s="14"/>
      <c r="G1300" s="14"/>
      <c r="H1300" s="17"/>
      <c r="I1300" s="17"/>
      <c r="J1300" s="16"/>
      <c r="K1300" s="17"/>
      <c r="L1300" s="16"/>
      <c r="N1300" s="28"/>
    </row>
    <row r="1301">
      <c r="A1301" s="16" t="str">
        <f t="shared" si="10"/>
        <v/>
      </c>
      <c r="B1301" s="48"/>
      <c r="C1301" s="14"/>
      <c r="D1301" s="52"/>
      <c r="E1301" s="16"/>
      <c r="F1301" s="14"/>
      <c r="G1301" s="14"/>
      <c r="H1301" s="14"/>
      <c r="I1301" s="17"/>
      <c r="J1301" s="16"/>
      <c r="K1301" s="17"/>
      <c r="L1301" s="16"/>
      <c r="N1301" s="28"/>
    </row>
    <row r="1302">
      <c r="A1302" s="16" t="str">
        <f t="shared" si="10"/>
        <v/>
      </c>
      <c r="B1302" s="48"/>
      <c r="C1302" s="14"/>
      <c r="D1302" s="52"/>
      <c r="E1302" s="16"/>
      <c r="F1302" s="14"/>
      <c r="G1302" s="14"/>
      <c r="H1302" s="14"/>
      <c r="I1302" s="17"/>
      <c r="J1302" s="16"/>
      <c r="K1302" s="17"/>
      <c r="L1302" s="16"/>
      <c r="N1302" s="28"/>
    </row>
    <row r="1303">
      <c r="A1303" s="16" t="str">
        <f t="shared" si="10"/>
        <v/>
      </c>
      <c r="B1303" s="48"/>
      <c r="C1303" s="14"/>
      <c r="D1303" s="52"/>
      <c r="E1303" s="16"/>
      <c r="F1303" s="14"/>
      <c r="G1303" s="14"/>
      <c r="H1303" s="17"/>
      <c r="I1303" s="17"/>
      <c r="J1303" s="16"/>
      <c r="K1303" s="17"/>
      <c r="L1303" s="16"/>
      <c r="N1303" s="28"/>
    </row>
    <row r="1304">
      <c r="A1304" s="16" t="str">
        <f t="shared" si="10"/>
        <v/>
      </c>
      <c r="B1304" s="48"/>
      <c r="C1304" s="14"/>
      <c r="D1304" s="52"/>
      <c r="E1304" s="16"/>
      <c r="F1304" s="14"/>
      <c r="G1304" s="14"/>
      <c r="H1304" s="17"/>
      <c r="I1304" s="17"/>
      <c r="J1304" s="16"/>
      <c r="K1304" s="17"/>
      <c r="L1304" s="16"/>
      <c r="N1304" s="28"/>
    </row>
    <row r="1305">
      <c r="A1305" s="16" t="str">
        <f t="shared" si="10"/>
        <v/>
      </c>
      <c r="B1305" s="48"/>
      <c r="C1305" s="14"/>
      <c r="D1305" s="52"/>
      <c r="E1305" s="16"/>
      <c r="F1305" s="14"/>
      <c r="G1305" s="14"/>
      <c r="H1305" s="14"/>
      <c r="I1305" s="17"/>
      <c r="J1305" s="16"/>
      <c r="K1305" s="17"/>
      <c r="L1305" s="16"/>
      <c r="N1305" s="28"/>
    </row>
    <row r="1306">
      <c r="A1306" s="16" t="str">
        <f t="shared" si="10"/>
        <v/>
      </c>
      <c r="B1306" s="48"/>
      <c r="C1306" s="14"/>
      <c r="D1306" s="52"/>
      <c r="E1306" s="16"/>
      <c r="F1306" s="14"/>
      <c r="G1306" s="14"/>
      <c r="H1306" s="14"/>
      <c r="I1306" s="17"/>
      <c r="J1306" s="16"/>
      <c r="K1306" s="17"/>
      <c r="L1306" s="16"/>
      <c r="N1306" s="28"/>
    </row>
    <row r="1307">
      <c r="A1307" s="16" t="str">
        <f t="shared" si="10"/>
        <v/>
      </c>
      <c r="B1307" s="48"/>
      <c r="C1307" s="14"/>
      <c r="D1307" s="52"/>
      <c r="E1307" s="16"/>
      <c r="F1307" s="14"/>
      <c r="G1307" s="14"/>
      <c r="H1307" s="17"/>
      <c r="I1307" s="17"/>
      <c r="J1307" s="16"/>
      <c r="K1307" s="17"/>
      <c r="L1307" s="16"/>
      <c r="N1307" s="28"/>
    </row>
    <row r="1308">
      <c r="A1308" s="16" t="str">
        <f t="shared" si="10"/>
        <v/>
      </c>
      <c r="B1308" s="48"/>
      <c r="C1308" s="14"/>
      <c r="D1308" s="52"/>
      <c r="E1308" s="16"/>
      <c r="F1308" s="14"/>
      <c r="G1308" s="14"/>
      <c r="H1308" s="14"/>
      <c r="I1308" s="17"/>
      <c r="J1308" s="16"/>
      <c r="K1308" s="17"/>
      <c r="L1308" s="16"/>
      <c r="N1308" s="28"/>
    </row>
    <row r="1309">
      <c r="A1309" s="16" t="str">
        <f t="shared" si="10"/>
        <v/>
      </c>
      <c r="B1309" s="48"/>
      <c r="C1309" s="14"/>
      <c r="D1309" s="52"/>
      <c r="E1309" s="16"/>
      <c r="F1309" s="14"/>
      <c r="G1309" s="14"/>
      <c r="H1309" s="14"/>
      <c r="I1309" s="17"/>
      <c r="J1309" s="16"/>
      <c r="K1309" s="17"/>
      <c r="L1309" s="16"/>
      <c r="N1309" s="28"/>
    </row>
    <row r="1310">
      <c r="A1310" s="16" t="str">
        <f t="shared" si="10"/>
        <v/>
      </c>
      <c r="B1310" s="48"/>
      <c r="C1310" s="14"/>
      <c r="D1310" s="52"/>
      <c r="E1310" s="16"/>
      <c r="F1310" s="14"/>
      <c r="G1310" s="14"/>
      <c r="H1310" s="14"/>
      <c r="I1310" s="17"/>
      <c r="J1310" s="16"/>
      <c r="K1310" s="17"/>
      <c r="L1310" s="16"/>
      <c r="N1310" s="28"/>
    </row>
    <row r="1311">
      <c r="A1311" s="16" t="str">
        <f t="shared" si="10"/>
        <v/>
      </c>
      <c r="B1311" s="48"/>
      <c r="C1311" s="14"/>
      <c r="D1311" s="52"/>
      <c r="E1311" s="16"/>
      <c r="F1311" s="14"/>
      <c r="G1311" s="14"/>
      <c r="H1311" s="14"/>
      <c r="I1311" s="17"/>
      <c r="J1311" s="16"/>
      <c r="K1311" s="17"/>
      <c r="L1311" s="16"/>
      <c r="N1311" s="28"/>
    </row>
    <row r="1312">
      <c r="A1312" s="16" t="str">
        <f t="shared" si="10"/>
        <v/>
      </c>
      <c r="B1312" s="48"/>
      <c r="C1312" s="14"/>
      <c r="D1312" s="52"/>
      <c r="E1312" s="16"/>
      <c r="F1312" s="14"/>
      <c r="G1312" s="14"/>
      <c r="H1312" s="14"/>
      <c r="I1312" s="17"/>
      <c r="J1312" s="16"/>
      <c r="K1312" s="17"/>
      <c r="L1312" s="16"/>
      <c r="N1312" s="28"/>
    </row>
    <row r="1313">
      <c r="A1313" s="16" t="str">
        <f t="shared" si="10"/>
        <v/>
      </c>
      <c r="B1313" s="48"/>
      <c r="C1313" s="14"/>
      <c r="D1313" s="52"/>
      <c r="E1313" s="16"/>
      <c r="F1313" s="14"/>
      <c r="G1313" s="14"/>
      <c r="H1313" s="14"/>
      <c r="I1313" s="17"/>
      <c r="J1313" s="16"/>
      <c r="K1313" s="17"/>
      <c r="L1313" s="16"/>
      <c r="N1313" s="28"/>
    </row>
    <row r="1314">
      <c r="A1314" s="16" t="str">
        <f t="shared" si="10"/>
        <v/>
      </c>
      <c r="B1314" s="48"/>
      <c r="C1314" s="14"/>
      <c r="D1314" s="52"/>
      <c r="E1314" s="16"/>
      <c r="F1314" s="14"/>
      <c r="G1314" s="14"/>
      <c r="H1314" s="17"/>
      <c r="I1314" s="17"/>
      <c r="J1314" s="16"/>
      <c r="K1314" s="17"/>
      <c r="L1314" s="16"/>
      <c r="N1314" s="28"/>
    </row>
    <row r="1315">
      <c r="A1315" s="16" t="str">
        <f t="shared" si="10"/>
        <v/>
      </c>
      <c r="B1315" s="48"/>
      <c r="C1315" s="14"/>
      <c r="D1315" s="52"/>
      <c r="E1315" s="16"/>
      <c r="F1315" s="14"/>
      <c r="G1315" s="14"/>
      <c r="H1315" s="14"/>
      <c r="I1315" s="17"/>
      <c r="J1315" s="16"/>
      <c r="K1315" s="17"/>
      <c r="L1315" s="16"/>
      <c r="N1315" s="28"/>
    </row>
    <row r="1316">
      <c r="A1316" s="16" t="str">
        <f t="shared" si="10"/>
        <v/>
      </c>
      <c r="B1316" s="48"/>
      <c r="C1316" s="14"/>
      <c r="D1316" s="52"/>
      <c r="E1316" s="16"/>
      <c r="F1316" s="14"/>
      <c r="G1316" s="14"/>
      <c r="H1316" s="14"/>
      <c r="I1316" s="17"/>
      <c r="J1316" s="16"/>
      <c r="K1316" s="17"/>
      <c r="L1316" s="16"/>
      <c r="N1316" s="28"/>
    </row>
    <row r="1317">
      <c r="A1317" s="16" t="str">
        <f t="shared" si="10"/>
        <v/>
      </c>
      <c r="B1317" s="48"/>
      <c r="C1317" s="14"/>
      <c r="D1317" s="52"/>
      <c r="E1317" s="16"/>
      <c r="F1317" s="14"/>
      <c r="G1317" s="14"/>
      <c r="H1317" s="14"/>
      <c r="I1317" s="17"/>
      <c r="J1317" s="16"/>
      <c r="K1317" s="17"/>
      <c r="L1317" s="16"/>
      <c r="N1317" s="28"/>
    </row>
    <row r="1318">
      <c r="A1318" s="16" t="str">
        <f t="shared" si="10"/>
        <v/>
      </c>
      <c r="B1318" s="48"/>
      <c r="C1318" s="14"/>
      <c r="D1318" s="52"/>
      <c r="E1318" s="16"/>
      <c r="F1318" s="14"/>
      <c r="G1318" s="14"/>
      <c r="H1318" s="14"/>
      <c r="I1318" s="17"/>
      <c r="J1318" s="16"/>
      <c r="K1318" s="17"/>
      <c r="L1318" s="16"/>
      <c r="N1318" s="28"/>
    </row>
    <row r="1319">
      <c r="A1319" s="16" t="str">
        <f t="shared" si="10"/>
        <v/>
      </c>
      <c r="B1319" s="48"/>
      <c r="C1319" s="14"/>
      <c r="D1319" s="52"/>
      <c r="E1319" s="16"/>
      <c r="F1319" s="14"/>
      <c r="G1319" s="14"/>
      <c r="H1319" s="17"/>
      <c r="I1319" s="17"/>
      <c r="J1319" s="16"/>
      <c r="K1319" s="17"/>
      <c r="L1319" s="16"/>
      <c r="N1319" s="28"/>
    </row>
    <row r="1320">
      <c r="A1320" s="16" t="str">
        <f t="shared" si="10"/>
        <v/>
      </c>
      <c r="B1320" s="48"/>
      <c r="C1320" s="14"/>
      <c r="D1320" s="52"/>
      <c r="E1320" s="16"/>
      <c r="F1320" s="14"/>
      <c r="G1320" s="14"/>
      <c r="H1320" s="14"/>
      <c r="I1320" s="17"/>
      <c r="J1320" s="16"/>
      <c r="K1320" s="17"/>
      <c r="L1320" s="16"/>
      <c r="N1320" s="28"/>
    </row>
    <row r="1321">
      <c r="A1321" s="16" t="str">
        <f t="shared" si="10"/>
        <v/>
      </c>
      <c r="B1321" s="48"/>
      <c r="C1321" s="14"/>
      <c r="D1321" s="52"/>
      <c r="E1321" s="16"/>
      <c r="F1321" s="14"/>
      <c r="G1321" s="14"/>
      <c r="H1321" s="14"/>
      <c r="I1321" s="17"/>
      <c r="J1321" s="16"/>
      <c r="K1321" s="17"/>
      <c r="L1321" s="16"/>
      <c r="N1321" s="28"/>
    </row>
    <row r="1322">
      <c r="A1322" s="16" t="str">
        <f t="shared" si="10"/>
        <v/>
      </c>
      <c r="B1322" s="48"/>
      <c r="C1322" s="14"/>
      <c r="D1322" s="52"/>
      <c r="E1322" s="16"/>
      <c r="F1322" s="14"/>
      <c r="G1322" s="14"/>
      <c r="H1322" s="14"/>
      <c r="I1322" s="17"/>
      <c r="J1322" s="16"/>
      <c r="K1322" s="17"/>
      <c r="L1322" s="16"/>
      <c r="N1322" s="28"/>
    </row>
    <row r="1323">
      <c r="A1323" s="16" t="str">
        <f t="shared" si="10"/>
        <v/>
      </c>
      <c r="B1323" s="48"/>
      <c r="C1323" s="14"/>
      <c r="D1323" s="52"/>
      <c r="E1323" s="16"/>
      <c r="F1323" s="14"/>
      <c r="G1323" s="14"/>
      <c r="H1323" s="14"/>
      <c r="I1323" s="17"/>
      <c r="J1323" s="16"/>
      <c r="K1323" s="17"/>
      <c r="L1323" s="16"/>
      <c r="N1323" s="28"/>
    </row>
    <row r="1324">
      <c r="A1324" s="16" t="str">
        <f t="shared" si="10"/>
        <v/>
      </c>
      <c r="B1324" s="48"/>
      <c r="C1324" s="14"/>
      <c r="D1324" s="52"/>
      <c r="E1324" s="16"/>
      <c r="F1324" s="14"/>
      <c r="G1324" s="14"/>
      <c r="H1324" s="14"/>
      <c r="I1324" s="17"/>
      <c r="J1324" s="16"/>
      <c r="K1324" s="17"/>
      <c r="L1324" s="16"/>
      <c r="N1324" s="28"/>
    </row>
    <row r="1325">
      <c r="A1325" s="16" t="str">
        <f t="shared" si="10"/>
        <v/>
      </c>
      <c r="B1325" s="48"/>
      <c r="C1325" s="14"/>
      <c r="D1325" s="52"/>
      <c r="E1325" s="16"/>
      <c r="F1325" s="14"/>
      <c r="G1325" s="14"/>
      <c r="H1325" s="17"/>
      <c r="I1325" s="17"/>
      <c r="J1325" s="16"/>
      <c r="K1325" s="17"/>
      <c r="L1325" s="16"/>
      <c r="N1325" s="28"/>
    </row>
    <row r="1326">
      <c r="A1326" s="16" t="str">
        <f t="shared" si="10"/>
        <v/>
      </c>
      <c r="B1326" s="48"/>
      <c r="C1326" s="14"/>
      <c r="D1326" s="52"/>
      <c r="E1326" s="16"/>
      <c r="F1326" s="14"/>
      <c r="G1326" s="14"/>
      <c r="H1326" s="14"/>
      <c r="I1326" s="17"/>
      <c r="J1326" s="16"/>
      <c r="K1326" s="17"/>
      <c r="L1326" s="16"/>
      <c r="N1326" s="28"/>
    </row>
    <row r="1327">
      <c r="A1327" s="16" t="str">
        <f t="shared" si="10"/>
        <v/>
      </c>
      <c r="B1327" s="48"/>
      <c r="C1327" s="14"/>
      <c r="D1327" s="52"/>
      <c r="E1327" s="16"/>
      <c r="F1327" s="14"/>
      <c r="G1327" s="14"/>
      <c r="H1327" s="14"/>
      <c r="I1327" s="17"/>
      <c r="J1327" s="16"/>
      <c r="K1327" s="17"/>
      <c r="L1327" s="16"/>
      <c r="N1327" s="28"/>
    </row>
    <row r="1328">
      <c r="A1328" s="16" t="str">
        <f t="shared" si="10"/>
        <v/>
      </c>
      <c r="B1328" s="48"/>
      <c r="C1328" s="14"/>
      <c r="D1328" s="52"/>
      <c r="E1328" s="16"/>
      <c r="F1328" s="14"/>
      <c r="G1328" s="14"/>
      <c r="H1328" s="14"/>
      <c r="I1328" s="17"/>
      <c r="J1328" s="16"/>
      <c r="K1328" s="17"/>
      <c r="L1328" s="16"/>
      <c r="N1328" s="28"/>
    </row>
    <row r="1329">
      <c r="A1329" s="16" t="str">
        <f t="shared" si="10"/>
        <v/>
      </c>
      <c r="B1329" s="48"/>
      <c r="C1329" s="14"/>
      <c r="D1329" s="52"/>
      <c r="E1329" s="16"/>
      <c r="F1329" s="14"/>
      <c r="G1329" s="14"/>
      <c r="H1329" s="14"/>
      <c r="I1329" s="17"/>
      <c r="J1329" s="16"/>
      <c r="K1329" s="17"/>
      <c r="L1329" s="16"/>
      <c r="N1329" s="28"/>
    </row>
    <row r="1330">
      <c r="A1330" s="16" t="str">
        <f t="shared" si="10"/>
        <v/>
      </c>
      <c r="B1330" s="48"/>
      <c r="C1330" s="14"/>
      <c r="D1330" s="52"/>
      <c r="E1330" s="16"/>
      <c r="F1330" s="14"/>
      <c r="G1330" s="14"/>
      <c r="H1330" s="17"/>
      <c r="I1330" s="17"/>
      <c r="J1330" s="16"/>
      <c r="K1330" s="17"/>
      <c r="L1330" s="16"/>
      <c r="N1330" s="28"/>
    </row>
    <row r="1331">
      <c r="A1331" s="16" t="str">
        <f t="shared" si="10"/>
        <v/>
      </c>
      <c r="B1331" s="48"/>
      <c r="C1331" s="14"/>
      <c r="D1331" s="52"/>
      <c r="E1331" s="16"/>
      <c r="F1331" s="14"/>
      <c r="G1331" s="14"/>
      <c r="H1331" s="14"/>
      <c r="I1331" s="17"/>
      <c r="J1331" s="16"/>
      <c r="K1331" s="17"/>
      <c r="L1331" s="16"/>
      <c r="N1331" s="28"/>
    </row>
    <row r="1332">
      <c r="A1332" s="16" t="str">
        <f t="shared" si="10"/>
        <v/>
      </c>
      <c r="B1332" s="48"/>
      <c r="C1332" s="14"/>
      <c r="D1332" s="52"/>
      <c r="E1332" s="16"/>
      <c r="F1332" s="14"/>
      <c r="G1332" s="14"/>
      <c r="H1332" s="17"/>
      <c r="I1332" s="17"/>
      <c r="J1332" s="16"/>
      <c r="K1332" s="17"/>
      <c r="L1332" s="16"/>
      <c r="N1332" s="28"/>
    </row>
    <row r="1333">
      <c r="A1333" s="16" t="str">
        <f t="shared" si="10"/>
        <v/>
      </c>
      <c r="B1333" s="48"/>
      <c r="C1333" s="14"/>
      <c r="D1333" s="52"/>
      <c r="E1333" s="16"/>
      <c r="F1333" s="14"/>
      <c r="G1333" s="14"/>
      <c r="H1333" s="14"/>
      <c r="I1333" s="17"/>
      <c r="J1333" s="16"/>
      <c r="K1333" s="17"/>
      <c r="L1333" s="16"/>
      <c r="N1333" s="28"/>
    </row>
    <row r="1334">
      <c r="A1334" s="16" t="str">
        <f t="shared" si="10"/>
        <v/>
      </c>
      <c r="B1334" s="48"/>
      <c r="C1334" s="14"/>
      <c r="D1334" s="52"/>
      <c r="E1334" s="16"/>
      <c r="F1334" s="14"/>
      <c r="G1334" s="14"/>
      <c r="H1334" s="14"/>
      <c r="I1334" s="17"/>
      <c r="J1334" s="16"/>
      <c r="K1334" s="17"/>
      <c r="L1334" s="16"/>
      <c r="N1334" s="28"/>
    </row>
    <row r="1335">
      <c r="A1335" s="16" t="str">
        <f t="shared" si="10"/>
        <v/>
      </c>
      <c r="B1335" s="48"/>
      <c r="C1335" s="14"/>
      <c r="D1335" s="52"/>
      <c r="E1335" s="16"/>
      <c r="F1335" s="14"/>
      <c r="G1335" s="14"/>
      <c r="H1335" s="17"/>
      <c r="I1335" s="17"/>
      <c r="J1335" s="16"/>
      <c r="K1335" s="17"/>
      <c r="L1335" s="16"/>
      <c r="N1335" s="28"/>
    </row>
    <row r="1336">
      <c r="A1336" s="16" t="str">
        <f t="shared" si="10"/>
        <v/>
      </c>
      <c r="B1336" s="48"/>
      <c r="C1336" s="14"/>
      <c r="D1336" s="52"/>
      <c r="E1336" s="16"/>
      <c r="F1336" s="14"/>
      <c r="G1336" s="14"/>
      <c r="H1336" s="14"/>
      <c r="I1336" s="17"/>
      <c r="J1336" s="16"/>
      <c r="K1336" s="17"/>
      <c r="L1336" s="16"/>
      <c r="N1336" s="28"/>
    </row>
    <row r="1337">
      <c r="A1337" s="16" t="str">
        <f t="shared" si="10"/>
        <v/>
      </c>
      <c r="B1337" s="48"/>
      <c r="C1337" s="14"/>
      <c r="D1337" s="52"/>
      <c r="E1337" s="16"/>
      <c r="F1337" s="14"/>
      <c r="G1337" s="14"/>
      <c r="H1337" s="14"/>
      <c r="I1337" s="17"/>
      <c r="J1337" s="16"/>
      <c r="K1337" s="17"/>
      <c r="L1337" s="16"/>
      <c r="N1337" s="28"/>
    </row>
    <row r="1338">
      <c r="A1338" s="16" t="str">
        <f t="shared" si="10"/>
        <v/>
      </c>
      <c r="B1338" s="48"/>
      <c r="C1338" s="14"/>
      <c r="D1338" s="52"/>
      <c r="E1338" s="16"/>
      <c r="F1338" s="14"/>
      <c r="G1338" s="14"/>
      <c r="H1338" s="14"/>
      <c r="I1338" s="17"/>
      <c r="J1338" s="16"/>
      <c r="K1338" s="17"/>
      <c r="L1338" s="16"/>
      <c r="N1338" s="28"/>
    </row>
    <row r="1339">
      <c r="A1339" s="16" t="str">
        <f t="shared" si="10"/>
        <v/>
      </c>
      <c r="B1339" s="48"/>
      <c r="C1339" s="14"/>
      <c r="D1339" s="52"/>
      <c r="E1339" s="16"/>
      <c r="F1339" s="14"/>
      <c r="G1339" s="14"/>
      <c r="H1339" s="14"/>
      <c r="I1339" s="17"/>
      <c r="J1339" s="16"/>
      <c r="K1339" s="17"/>
      <c r="L1339" s="16"/>
      <c r="N1339" s="28"/>
    </row>
    <row r="1340">
      <c r="A1340" s="16" t="str">
        <f t="shared" si="10"/>
        <v/>
      </c>
      <c r="B1340" s="48"/>
      <c r="C1340" s="14"/>
      <c r="D1340" s="52"/>
      <c r="E1340" s="16"/>
      <c r="F1340" s="14"/>
      <c r="G1340" s="14"/>
      <c r="H1340" s="14"/>
      <c r="I1340" s="17"/>
      <c r="J1340" s="16"/>
      <c r="K1340" s="17"/>
      <c r="L1340" s="16"/>
      <c r="N1340" s="28"/>
    </row>
    <row r="1341">
      <c r="A1341" s="16" t="str">
        <f t="shared" si="10"/>
        <v/>
      </c>
      <c r="B1341" s="48"/>
      <c r="C1341" s="14"/>
      <c r="D1341" s="52"/>
      <c r="E1341" s="16"/>
      <c r="F1341" s="14"/>
      <c r="G1341" s="14"/>
      <c r="H1341" s="14"/>
      <c r="I1341" s="17"/>
      <c r="J1341" s="16"/>
      <c r="K1341" s="17"/>
      <c r="L1341" s="16"/>
      <c r="N1341" s="28"/>
    </row>
    <row r="1342">
      <c r="A1342" s="16" t="str">
        <f t="shared" si="10"/>
        <v/>
      </c>
      <c r="B1342" s="48"/>
      <c r="C1342" s="14"/>
      <c r="D1342" s="52"/>
      <c r="E1342" s="16"/>
      <c r="F1342" s="14"/>
      <c r="G1342" s="14"/>
      <c r="H1342" s="14"/>
      <c r="I1342" s="17"/>
      <c r="J1342" s="16"/>
      <c r="K1342" s="17"/>
      <c r="L1342" s="16"/>
      <c r="N1342" s="28"/>
    </row>
    <row r="1343">
      <c r="A1343" s="16" t="str">
        <f t="shared" si="10"/>
        <v/>
      </c>
      <c r="B1343" s="48"/>
      <c r="C1343" s="14"/>
      <c r="D1343" s="52"/>
      <c r="E1343" s="16"/>
      <c r="F1343" s="14"/>
      <c r="G1343" s="14"/>
      <c r="H1343" s="14"/>
      <c r="I1343" s="17"/>
      <c r="J1343" s="16"/>
      <c r="K1343" s="17"/>
      <c r="L1343" s="16"/>
      <c r="N1343" s="28"/>
    </row>
    <row r="1344">
      <c r="A1344" s="16" t="str">
        <f t="shared" si="10"/>
        <v/>
      </c>
      <c r="B1344" s="48"/>
      <c r="C1344" s="14"/>
      <c r="D1344" s="52"/>
      <c r="E1344" s="16"/>
      <c r="F1344" s="14"/>
      <c r="G1344" s="14"/>
      <c r="H1344" s="14"/>
      <c r="I1344" s="17"/>
      <c r="J1344" s="16"/>
      <c r="K1344" s="17"/>
      <c r="L1344" s="16"/>
      <c r="N1344" s="28"/>
    </row>
    <row r="1345">
      <c r="A1345" s="16" t="str">
        <f t="shared" si="10"/>
        <v/>
      </c>
      <c r="B1345" s="48"/>
      <c r="C1345" s="14"/>
      <c r="D1345" s="52"/>
      <c r="E1345" s="16"/>
      <c r="F1345" s="14"/>
      <c r="G1345" s="14"/>
      <c r="H1345" s="14"/>
      <c r="I1345" s="17"/>
      <c r="J1345" s="16"/>
      <c r="K1345" s="17"/>
      <c r="L1345" s="16"/>
      <c r="N1345" s="28"/>
    </row>
    <row r="1346">
      <c r="A1346" s="16" t="str">
        <f t="shared" si="10"/>
        <v/>
      </c>
      <c r="B1346" s="48"/>
      <c r="C1346" s="14"/>
      <c r="D1346" s="52"/>
      <c r="E1346" s="16"/>
      <c r="F1346" s="14"/>
      <c r="G1346" s="14"/>
      <c r="H1346" s="17"/>
      <c r="I1346" s="17"/>
      <c r="J1346" s="16"/>
      <c r="K1346" s="14"/>
      <c r="L1346" s="16"/>
      <c r="N1346" s="28"/>
    </row>
    <row r="1347">
      <c r="A1347" s="16" t="str">
        <f t="shared" si="10"/>
        <v/>
      </c>
      <c r="B1347" s="48"/>
      <c r="C1347" s="14"/>
      <c r="D1347" s="52"/>
      <c r="E1347" s="16"/>
      <c r="F1347" s="14"/>
      <c r="G1347" s="14"/>
      <c r="H1347" s="14"/>
      <c r="I1347" s="17"/>
      <c r="J1347" s="16"/>
      <c r="K1347" s="17"/>
      <c r="L1347" s="16"/>
      <c r="N1347" s="28"/>
    </row>
    <row r="1348">
      <c r="A1348" s="16" t="str">
        <f t="shared" si="10"/>
        <v/>
      </c>
      <c r="B1348" s="48"/>
      <c r="C1348" s="14"/>
      <c r="D1348" s="52"/>
      <c r="E1348" s="16"/>
      <c r="F1348" s="14"/>
      <c r="G1348" s="14"/>
      <c r="H1348" s="14"/>
      <c r="I1348" s="17"/>
      <c r="J1348" s="16"/>
      <c r="K1348" s="17"/>
      <c r="L1348" s="16"/>
      <c r="N1348" s="28"/>
    </row>
    <row r="1349">
      <c r="A1349" s="16" t="str">
        <f t="shared" si="10"/>
        <v/>
      </c>
      <c r="B1349" s="48"/>
      <c r="C1349" s="14"/>
      <c r="D1349" s="52"/>
      <c r="E1349" s="16"/>
      <c r="F1349" s="14"/>
      <c r="G1349" s="14"/>
      <c r="H1349" s="14"/>
      <c r="I1349" s="17"/>
      <c r="J1349" s="16"/>
      <c r="K1349" s="17"/>
      <c r="L1349" s="16"/>
      <c r="N1349" s="28"/>
    </row>
    <row r="1350">
      <c r="A1350" s="16" t="str">
        <f t="shared" si="10"/>
        <v/>
      </c>
      <c r="B1350" s="48"/>
      <c r="C1350" s="14"/>
      <c r="D1350" s="52"/>
      <c r="E1350" s="16"/>
      <c r="F1350" s="14"/>
      <c r="G1350" s="14"/>
      <c r="H1350" s="14"/>
      <c r="I1350" s="17"/>
      <c r="J1350" s="16"/>
      <c r="K1350" s="17"/>
      <c r="L1350" s="16"/>
      <c r="N1350" s="28"/>
    </row>
    <row r="1351">
      <c r="A1351" s="16" t="str">
        <f t="shared" si="10"/>
        <v/>
      </c>
      <c r="B1351" s="48"/>
      <c r="C1351" s="14"/>
      <c r="D1351" s="52"/>
      <c r="E1351" s="16"/>
      <c r="F1351" s="14"/>
      <c r="G1351" s="14"/>
      <c r="H1351" s="14"/>
      <c r="I1351" s="17"/>
      <c r="J1351" s="16"/>
      <c r="K1351" s="17"/>
      <c r="L1351" s="16"/>
      <c r="N1351" s="28"/>
    </row>
    <row r="1352">
      <c r="A1352" s="16" t="str">
        <f t="shared" si="10"/>
        <v/>
      </c>
      <c r="B1352" s="48"/>
      <c r="C1352" s="14"/>
      <c r="D1352" s="52"/>
      <c r="E1352" s="16"/>
      <c r="F1352" s="14"/>
      <c r="G1352" s="14"/>
      <c r="H1352" s="14"/>
      <c r="I1352" s="17"/>
      <c r="J1352" s="16"/>
      <c r="K1352" s="17"/>
      <c r="L1352" s="16"/>
      <c r="N1352" s="28"/>
    </row>
    <row r="1353">
      <c r="A1353" s="16" t="str">
        <f t="shared" si="10"/>
        <v/>
      </c>
      <c r="B1353" s="48"/>
      <c r="C1353" s="14"/>
      <c r="D1353" s="52"/>
      <c r="E1353" s="16"/>
      <c r="F1353" s="14"/>
      <c r="G1353" s="14"/>
      <c r="H1353" s="14"/>
      <c r="I1353" s="17"/>
      <c r="J1353" s="16"/>
      <c r="K1353" s="17"/>
      <c r="L1353" s="16"/>
      <c r="N1353" s="28"/>
    </row>
    <row r="1354">
      <c r="A1354" s="16" t="str">
        <f t="shared" si="10"/>
        <v/>
      </c>
      <c r="B1354" s="48"/>
      <c r="C1354" s="14"/>
      <c r="D1354" s="52"/>
      <c r="E1354" s="16"/>
      <c r="F1354" s="14"/>
      <c r="G1354" s="14"/>
      <c r="H1354" s="14"/>
      <c r="I1354" s="17"/>
      <c r="J1354" s="16"/>
      <c r="K1354" s="17"/>
      <c r="L1354" s="16"/>
      <c r="N1354" s="28"/>
    </row>
    <row r="1355">
      <c r="A1355" s="16" t="str">
        <f t="shared" si="10"/>
        <v/>
      </c>
      <c r="B1355" s="48"/>
      <c r="C1355" s="14"/>
      <c r="D1355" s="52"/>
      <c r="E1355" s="16"/>
      <c r="F1355" s="14"/>
      <c r="G1355" s="14"/>
      <c r="H1355" s="14"/>
      <c r="I1355" s="17"/>
      <c r="J1355" s="16"/>
      <c r="K1355" s="17"/>
      <c r="L1355" s="16"/>
      <c r="N1355" s="28"/>
    </row>
    <row r="1356">
      <c r="A1356" s="16" t="str">
        <f t="shared" si="10"/>
        <v/>
      </c>
      <c r="B1356" s="48"/>
      <c r="C1356" s="14"/>
      <c r="D1356" s="52"/>
      <c r="E1356" s="16"/>
      <c r="F1356" s="14"/>
      <c r="G1356" s="14"/>
      <c r="H1356" s="14"/>
      <c r="I1356" s="17"/>
      <c r="J1356" s="16"/>
      <c r="K1356" s="17"/>
      <c r="L1356" s="16"/>
      <c r="N1356" s="28"/>
    </row>
    <row r="1357">
      <c r="A1357" s="16" t="str">
        <f t="shared" si="10"/>
        <v/>
      </c>
      <c r="B1357" s="48"/>
      <c r="C1357" s="14"/>
      <c r="D1357" s="52"/>
      <c r="E1357" s="16"/>
      <c r="F1357" s="14"/>
      <c r="G1357" s="14"/>
      <c r="H1357" s="17"/>
      <c r="I1357" s="17"/>
      <c r="J1357" s="16"/>
      <c r="K1357" s="17"/>
      <c r="L1357" s="16"/>
      <c r="N1357" s="28"/>
    </row>
    <row r="1358">
      <c r="A1358" s="16" t="str">
        <f t="shared" si="10"/>
        <v/>
      </c>
      <c r="B1358" s="48"/>
      <c r="C1358" s="14"/>
      <c r="D1358" s="52"/>
      <c r="E1358" s="16"/>
      <c r="F1358" s="14"/>
      <c r="G1358" s="14"/>
      <c r="H1358" s="14"/>
      <c r="I1358" s="17"/>
      <c r="J1358" s="16"/>
      <c r="K1358" s="17"/>
      <c r="L1358" s="16"/>
      <c r="N1358" s="28"/>
    </row>
    <row r="1359">
      <c r="A1359" s="16" t="str">
        <f t="shared" si="10"/>
        <v/>
      </c>
      <c r="B1359" s="48"/>
      <c r="C1359" s="14"/>
      <c r="D1359" s="52"/>
      <c r="E1359" s="16"/>
      <c r="F1359" s="14"/>
      <c r="G1359" s="14"/>
      <c r="H1359" s="14"/>
      <c r="I1359" s="17"/>
      <c r="J1359" s="16"/>
      <c r="K1359" s="17"/>
      <c r="L1359" s="16"/>
      <c r="N1359" s="28"/>
    </row>
    <row r="1360">
      <c r="A1360" s="16" t="str">
        <f t="shared" si="10"/>
        <v/>
      </c>
      <c r="B1360" s="48"/>
      <c r="C1360" s="14"/>
      <c r="D1360" s="52"/>
      <c r="E1360" s="16"/>
      <c r="F1360" s="14"/>
      <c r="G1360" s="14"/>
      <c r="H1360" s="14"/>
      <c r="I1360" s="17"/>
      <c r="J1360" s="16"/>
      <c r="K1360" s="17"/>
      <c r="L1360" s="16"/>
      <c r="N1360" s="28"/>
    </row>
    <row r="1361">
      <c r="A1361" s="16" t="str">
        <f t="shared" si="10"/>
        <v/>
      </c>
      <c r="B1361" s="48"/>
      <c r="C1361" s="14"/>
      <c r="D1361" s="52"/>
      <c r="E1361" s="16"/>
      <c r="F1361" s="14"/>
      <c r="G1361" s="14"/>
      <c r="H1361" s="14"/>
      <c r="I1361" s="17"/>
      <c r="J1361" s="16"/>
      <c r="K1361" s="17"/>
      <c r="L1361" s="16"/>
      <c r="N1361" s="28"/>
    </row>
    <row r="1362">
      <c r="A1362" s="16" t="str">
        <f t="shared" si="10"/>
        <v/>
      </c>
      <c r="B1362" s="48"/>
      <c r="C1362" s="14"/>
      <c r="D1362" s="52"/>
      <c r="E1362" s="16"/>
      <c r="F1362" s="14"/>
      <c r="G1362" s="14"/>
      <c r="H1362" s="14"/>
      <c r="I1362" s="17"/>
      <c r="J1362" s="16"/>
      <c r="K1362" s="17"/>
      <c r="L1362" s="16"/>
      <c r="N1362" s="28"/>
    </row>
    <row r="1363">
      <c r="A1363" s="16" t="str">
        <f t="shared" si="10"/>
        <v/>
      </c>
      <c r="B1363" s="48"/>
      <c r="C1363" s="14"/>
      <c r="D1363" s="52"/>
      <c r="E1363" s="16"/>
      <c r="F1363" s="14"/>
      <c r="G1363" s="14"/>
      <c r="H1363" s="14"/>
      <c r="I1363" s="17"/>
      <c r="J1363" s="16"/>
      <c r="K1363" s="17"/>
      <c r="L1363" s="16"/>
      <c r="N1363" s="28"/>
    </row>
    <row r="1364">
      <c r="A1364" s="16" t="str">
        <f t="shared" si="10"/>
        <v/>
      </c>
      <c r="B1364" s="48"/>
      <c r="C1364" s="14"/>
      <c r="D1364" s="52"/>
      <c r="E1364" s="16"/>
      <c r="F1364" s="14"/>
      <c r="G1364" s="14"/>
      <c r="H1364" s="14"/>
      <c r="I1364" s="17"/>
      <c r="J1364" s="16"/>
      <c r="K1364" s="17"/>
      <c r="L1364" s="16"/>
      <c r="N1364" s="28"/>
    </row>
    <row r="1365">
      <c r="A1365" s="16" t="str">
        <f t="shared" si="10"/>
        <v/>
      </c>
      <c r="B1365" s="48"/>
      <c r="C1365" s="14"/>
      <c r="D1365" s="52"/>
      <c r="E1365" s="16"/>
      <c r="F1365" s="14"/>
      <c r="G1365" s="14"/>
      <c r="H1365" s="14"/>
      <c r="I1365" s="17"/>
      <c r="J1365" s="16"/>
      <c r="K1365" s="17"/>
      <c r="L1365" s="16"/>
      <c r="N1365" s="28"/>
    </row>
    <row r="1366">
      <c r="A1366" s="16" t="str">
        <f t="shared" si="10"/>
        <v/>
      </c>
      <c r="B1366" s="48"/>
      <c r="C1366" s="14"/>
      <c r="D1366" s="52"/>
      <c r="E1366" s="16"/>
      <c r="F1366" s="14"/>
      <c r="G1366" s="14"/>
      <c r="H1366" s="14"/>
      <c r="I1366" s="17"/>
      <c r="J1366" s="16"/>
      <c r="K1366" s="17"/>
      <c r="L1366" s="16"/>
      <c r="N1366" s="28"/>
    </row>
    <row r="1367">
      <c r="A1367" s="16" t="str">
        <f t="shared" si="10"/>
        <v/>
      </c>
      <c r="B1367" s="48"/>
      <c r="C1367" s="14"/>
      <c r="D1367" s="52"/>
      <c r="E1367" s="16"/>
      <c r="F1367" s="14"/>
      <c r="G1367" s="14"/>
      <c r="H1367" s="14"/>
      <c r="I1367" s="17"/>
      <c r="J1367" s="16"/>
      <c r="K1367" s="17"/>
      <c r="L1367" s="16"/>
      <c r="N1367" s="28"/>
    </row>
    <row r="1368">
      <c r="A1368" s="16" t="str">
        <f t="shared" si="10"/>
        <v/>
      </c>
      <c r="B1368" s="48"/>
      <c r="C1368" s="14"/>
      <c r="D1368" s="52"/>
      <c r="E1368" s="16"/>
      <c r="F1368" s="14"/>
      <c r="G1368" s="14"/>
      <c r="H1368" s="14"/>
      <c r="I1368" s="17"/>
      <c r="J1368" s="16"/>
      <c r="K1368" s="17"/>
      <c r="L1368" s="16"/>
      <c r="N1368" s="28"/>
    </row>
    <row r="1369">
      <c r="A1369" s="16" t="str">
        <f t="shared" si="10"/>
        <v/>
      </c>
      <c r="B1369" s="48"/>
      <c r="C1369" s="14"/>
      <c r="D1369" s="52"/>
      <c r="E1369" s="16"/>
      <c r="F1369" s="14"/>
      <c r="G1369" s="14"/>
      <c r="H1369" s="14"/>
      <c r="I1369" s="17"/>
      <c r="J1369" s="16"/>
      <c r="K1369" s="17"/>
      <c r="L1369" s="16"/>
      <c r="N1369" s="28"/>
    </row>
    <row r="1370">
      <c r="A1370" s="16" t="str">
        <f t="shared" si="10"/>
        <v/>
      </c>
      <c r="B1370" s="48"/>
      <c r="C1370" s="14"/>
      <c r="D1370" s="52"/>
      <c r="E1370" s="16"/>
      <c r="F1370" s="14"/>
      <c r="G1370" s="14"/>
      <c r="H1370" s="14"/>
      <c r="I1370" s="17"/>
      <c r="J1370" s="16"/>
      <c r="K1370" s="17"/>
      <c r="L1370" s="16"/>
      <c r="N1370" s="28"/>
    </row>
    <row r="1371">
      <c r="A1371" s="16" t="str">
        <f t="shared" si="10"/>
        <v/>
      </c>
      <c r="B1371" s="48"/>
      <c r="C1371" s="14"/>
      <c r="D1371" s="52"/>
      <c r="E1371" s="16"/>
      <c r="F1371" s="14"/>
      <c r="G1371" s="14"/>
      <c r="H1371" s="14"/>
      <c r="I1371" s="17"/>
      <c r="J1371" s="16"/>
      <c r="K1371" s="17"/>
      <c r="L1371" s="16"/>
      <c r="N1371" s="28"/>
    </row>
    <row r="1372">
      <c r="A1372" s="16" t="str">
        <f t="shared" si="10"/>
        <v/>
      </c>
      <c r="B1372" s="48"/>
      <c r="C1372" s="14"/>
      <c r="D1372" s="52"/>
      <c r="E1372" s="16"/>
      <c r="F1372" s="14"/>
      <c r="G1372" s="14"/>
      <c r="H1372" s="14"/>
      <c r="I1372" s="17"/>
      <c r="J1372" s="16"/>
      <c r="K1372" s="17"/>
      <c r="L1372" s="16"/>
      <c r="N1372" s="28"/>
    </row>
    <row r="1373">
      <c r="A1373" s="16" t="str">
        <f t="shared" si="10"/>
        <v/>
      </c>
      <c r="B1373" s="48"/>
      <c r="C1373" s="14"/>
      <c r="D1373" s="52"/>
      <c r="E1373" s="16"/>
      <c r="F1373" s="14"/>
      <c r="G1373" s="14"/>
      <c r="H1373" s="14"/>
      <c r="I1373" s="17"/>
      <c r="J1373" s="16"/>
      <c r="K1373" s="17"/>
      <c r="L1373" s="16"/>
      <c r="N1373" s="28"/>
    </row>
    <row r="1374">
      <c r="A1374" s="16" t="str">
        <f t="shared" si="10"/>
        <v/>
      </c>
      <c r="B1374" s="48"/>
      <c r="C1374" s="14"/>
      <c r="D1374" s="52"/>
      <c r="E1374" s="16"/>
      <c r="F1374" s="14"/>
      <c r="G1374" s="14"/>
      <c r="H1374" s="17"/>
      <c r="I1374" s="17"/>
      <c r="J1374" s="16"/>
      <c r="K1374" s="17"/>
      <c r="L1374" s="16"/>
      <c r="N1374" s="28"/>
    </row>
    <row r="1375">
      <c r="A1375" s="16" t="str">
        <f t="shared" si="10"/>
        <v/>
      </c>
      <c r="B1375" s="48"/>
      <c r="C1375" s="14"/>
      <c r="D1375" s="52"/>
      <c r="E1375" s="16"/>
      <c r="F1375" s="14"/>
      <c r="G1375" s="14"/>
      <c r="H1375" s="14"/>
      <c r="I1375" s="17"/>
      <c r="J1375" s="16"/>
      <c r="K1375" s="17"/>
      <c r="L1375" s="16"/>
      <c r="N1375" s="28"/>
    </row>
    <row r="1376">
      <c r="A1376" s="16" t="str">
        <f t="shared" si="10"/>
        <v/>
      </c>
      <c r="B1376" s="48"/>
      <c r="C1376" s="14"/>
      <c r="D1376" s="52"/>
      <c r="E1376" s="16"/>
      <c r="F1376" s="14"/>
      <c r="G1376" s="14"/>
      <c r="H1376" s="14"/>
      <c r="I1376" s="17"/>
      <c r="J1376" s="16"/>
      <c r="K1376" s="17"/>
      <c r="L1376" s="16"/>
      <c r="N1376" s="28"/>
    </row>
    <row r="1377">
      <c r="A1377" s="16" t="str">
        <f t="shared" si="10"/>
        <v/>
      </c>
      <c r="B1377" s="48"/>
      <c r="C1377" s="14"/>
      <c r="D1377" s="52"/>
      <c r="E1377" s="16"/>
      <c r="F1377" s="14"/>
      <c r="G1377" s="14"/>
      <c r="H1377" s="17"/>
      <c r="I1377" s="17"/>
      <c r="J1377" s="16"/>
      <c r="K1377" s="17"/>
      <c r="L1377" s="16"/>
      <c r="N1377" s="28"/>
    </row>
    <row r="1378">
      <c r="A1378" s="16" t="str">
        <f t="shared" si="10"/>
        <v/>
      </c>
      <c r="B1378" s="48"/>
      <c r="C1378" s="14"/>
      <c r="D1378" s="52"/>
      <c r="E1378" s="16"/>
      <c r="F1378" s="14"/>
      <c r="G1378" s="14"/>
      <c r="H1378" s="17"/>
      <c r="I1378" s="17"/>
      <c r="J1378" s="16"/>
      <c r="K1378" s="17"/>
      <c r="L1378" s="16"/>
      <c r="N1378" s="28"/>
    </row>
    <row r="1379">
      <c r="A1379" s="16" t="str">
        <f t="shared" si="10"/>
        <v/>
      </c>
      <c r="B1379" s="48"/>
      <c r="C1379" s="14"/>
      <c r="D1379" s="52"/>
      <c r="E1379" s="16"/>
      <c r="F1379" s="14"/>
      <c r="G1379" s="14"/>
      <c r="H1379" s="14"/>
      <c r="I1379" s="17"/>
      <c r="J1379" s="16"/>
      <c r="K1379" s="17"/>
      <c r="L1379" s="16"/>
      <c r="N1379" s="28"/>
    </row>
    <row r="1380">
      <c r="A1380" s="16" t="str">
        <f t="shared" si="10"/>
        <v/>
      </c>
      <c r="B1380" s="48"/>
      <c r="C1380" s="14"/>
      <c r="D1380" s="52"/>
      <c r="E1380" s="16"/>
      <c r="F1380" s="14"/>
      <c r="G1380" s="14"/>
      <c r="H1380" s="14"/>
      <c r="I1380" s="17"/>
      <c r="J1380" s="16"/>
      <c r="K1380" s="17"/>
      <c r="L1380" s="16"/>
      <c r="N1380" s="28"/>
    </row>
    <row r="1381">
      <c r="A1381" s="16" t="str">
        <f t="shared" si="10"/>
        <v/>
      </c>
      <c r="B1381" s="48"/>
      <c r="C1381" s="14"/>
      <c r="D1381" s="52"/>
      <c r="E1381" s="16"/>
      <c r="F1381" s="14"/>
      <c r="G1381" s="14"/>
      <c r="H1381" s="14"/>
      <c r="I1381" s="17"/>
      <c r="J1381" s="16"/>
      <c r="K1381" s="17"/>
      <c r="L1381" s="16"/>
      <c r="N1381" s="28"/>
    </row>
    <row r="1382">
      <c r="A1382" s="16" t="str">
        <f t="shared" si="10"/>
        <v/>
      </c>
      <c r="B1382" s="48"/>
      <c r="C1382" s="14"/>
      <c r="D1382" s="52"/>
      <c r="E1382" s="16"/>
      <c r="F1382" s="14"/>
      <c r="G1382" s="14"/>
      <c r="H1382" s="14"/>
      <c r="I1382" s="17"/>
      <c r="J1382" s="16"/>
      <c r="K1382" s="17"/>
      <c r="L1382" s="16"/>
      <c r="N1382" s="28"/>
    </row>
    <row r="1383">
      <c r="A1383" s="16" t="str">
        <f t="shared" si="10"/>
        <v/>
      </c>
      <c r="B1383" s="48"/>
      <c r="C1383" s="14"/>
      <c r="D1383" s="52"/>
      <c r="E1383" s="16"/>
      <c r="F1383" s="14"/>
      <c r="G1383" s="14"/>
      <c r="H1383" s="17"/>
      <c r="I1383" s="17"/>
      <c r="J1383" s="16"/>
      <c r="K1383" s="17"/>
      <c r="L1383" s="16"/>
      <c r="N1383" s="28"/>
    </row>
    <row r="1384">
      <c r="A1384" s="16" t="str">
        <f t="shared" si="10"/>
        <v/>
      </c>
      <c r="B1384" s="48"/>
      <c r="C1384" s="14"/>
      <c r="D1384" s="52"/>
      <c r="E1384" s="16"/>
      <c r="F1384" s="14"/>
      <c r="G1384" s="14"/>
      <c r="H1384" s="17"/>
      <c r="I1384" s="17"/>
      <c r="J1384" s="16"/>
      <c r="K1384" s="17"/>
      <c r="L1384" s="16"/>
      <c r="N1384" s="28"/>
    </row>
    <row r="1385">
      <c r="A1385" s="16" t="str">
        <f t="shared" si="10"/>
        <v/>
      </c>
      <c r="B1385" s="48"/>
      <c r="C1385" s="14"/>
      <c r="D1385" s="52"/>
      <c r="E1385" s="16"/>
      <c r="F1385" s="14"/>
      <c r="G1385" s="14"/>
      <c r="H1385" s="17"/>
      <c r="I1385" s="17"/>
      <c r="J1385" s="16"/>
      <c r="K1385" s="17"/>
      <c r="L1385" s="16"/>
      <c r="N1385" s="28"/>
    </row>
    <row r="1386">
      <c r="A1386" s="16" t="str">
        <f t="shared" si="10"/>
        <v/>
      </c>
      <c r="B1386" s="48"/>
      <c r="C1386" s="14"/>
      <c r="D1386" s="52"/>
      <c r="E1386" s="16"/>
      <c r="F1386" s="14"/>
      <c r="G1386" s="14"/>
      <c r="H1386" s="17"/>
      <c r="I1386" s="17"/>
      <c r="J1386" s="16"/>
      <c r="K1386" s="17"/>
      <c r="L1386" s="16"/>
      <c r="N1386" s="28"/>
    </row>
    <row r="1387">
      <c r="A1387" s="16" t="str">
        <f t="shared" si="10"/>
        <v/>
      </c>
      <c r="B1387" s="48"/>
      <c r="C1387" s="14"/>
      <c r="D1387" s="52"/>
      <c r="E1387" s="16"/>
      <c r="F1387" s="14"/>
      <c r="G1387" s="14"/>
      <c r="H1387" s="14"/>
      <c r="I1387" s="17"/>
      <c r="J1387" s="16"/>
      <c r="K1387" s="17"/>
      <c r="L1387" s="16"/>
      <c r="N1387" s="28"/>
    </row>
    <row r="1388">
      <c r="A1388" s="16" t="str">
        <f t="shared" si="10"/>
        <v/>
      </c>
      <c r="B1388" s="48"/>
      <c r="C1388" s="14"/>
      <c r="D1388" s="52"/>
      <c r="E1388" s="16"/>
      <c r="F1388" s="14"/>
      <c r="G1388" s="14"/>
      <c r="H1388" s="14"/>
      <c r="I1388" s="17"/>
      <c r="J1388" s="16"/>
      <c r="K1388" s="17"/>
      <c r="L1388" s="16"/>
      <c r="N1388" s="28"/>
    </row>
    <row r="1389">
      <c r="A1389" s="16" t="str">
        <f t="shared" si="10"/>
        <v/>
      </c>
      <c r="B1389" s="48"/>
      <c r="C1389" s="14"/>
      <c r="D1389" s="52"/>
      <c r="E1389" s="16"/>
      <c r="F1389" s="14"/>
      <c r="G1389" s="14"/>
      <c r="H1389" s="14"/>
      <c r="I1389" s="17"/>
      <c r="J1389" s="16"/>
      <c r="K1389" s="17"/>
      <c r="L1389" s="16"/>
      <c r="N1389" s="28"/>
    </row>
    <row r="1390">
      <c r="A1390" s="16" t="str">
        <f t="shared" si="10"/>
        <v/>
      </c>
      <c r="B1390" s="48"/>
      <c r="C1390" s="14"/>
      <c r="D1390" s="52"/>
      <c r="E1390" s="16"/>
      <c r="F1390" s="14"/>
      <c r="G1390" s="14"/>
      <c r="H1390" s="14"/>
      <c r="I1390" s="17"/>
      <c r="J1390" s="16"/>
      <c r="K1390" s="17"/>
      <c r="L1390" s="16"/>
      <c r="N1390" s="28"/>
    </row>
    <row r="1391">
      <c r="A1391" s="16" t="str">
        <f t="shared" si="10"/>
        <v/>
      </c>
      <c r="B1391" s="48"/>
      <c r="C1391" s="14"/>
      <c r="D1391" s="52"/>
      <c r="E1391" s="16"/>
      <c r="F1391" s="14"/>
      <c r="G1391" s="14"/>
      <c r="H1391" s="14"/>
      <c r="I1391" s="17"/>
      <c r="J1391" s="16"/>
      <c r="K1391" s="17"/>
      <c r="L1391" s="16"/>
      <c r="N1391" s="28"/>
    </row>
    <row r="1392">
      <c r="A1392" s="16" t="str">
        <f t="shared" si="10"/>
        <v/>
      </c>
      <c r="B1392" s="48"/>
      <c r="C1392" s="14"/>
      <c r="D1392" s="52"/>
      <c r="E1392" s="16"/>
      <c r="F1392" s="14"/>
      <c r="G1392" s="14"/>
      <c r="H1392" s="14"/>
      <c r="I1392" s="17"/>
      <c r="J1392" s="16"/>
      <c r="K1392" s="17"/>
      <c r="L1392" s="16"/>
      <c r="N1392" s="28"/>
    </row>
    <row r="1393">
      <c r="A1393" s="16" t="str">
        <f t="shared" si="10"/>
        <v/>
      </c>
      <c r="B1393" s="48"/>
      <c r="C1393" s="14"/>
      <c r="D1393" s="52"/>
      <c r="E1393" s="16"/>
      <c r="F1393" s="14"/>
      <c r="G1393" s="14"/>
      <c r="H1393" s="17"/>
      <c r="I1393" s="17"/>
      <c r="J1393" s="16"/>
      <c r="K1393" s="17"/>
      <c r="L1393" s="16"/>
      <c r="N1393" s="28"/>
    </row>
    <row r="1394">
      <c r="A1394" s="16" t="str">
        <f t="shared" si="10"/>
        <v/>
      </c>
      <c r="B1394" s="48"/>
      <c r="C1394" s="14"/>
      <c r="D1394" s="52"/>
      <c r="E1394" s="16"/>
      <c r="F1394" s="14"/>
      <c r="G1394" s="14"/>
      <c r="H1394" s="14"/>
      <c r="I1394" s="17"/>
      <c r="J1394" s="16"/>
      <c r="K1394" s="17"/>
      <c r="L1394" s="16"/>
      <c r="N1394" s="28"/>
    </row>
    <row r="1395">
      <c r="A1395" s="16" t="str">
        <f t="shared" si="10"/>
        <v/>
      </c>
      <c r="B1395" s="48"/>
      <c r="C1395" s="14"/>
      <c r="D1395" s="52"/>
      <c r="E1395" s="16"/>
      <c r="F1395" s="14"/>
      <c r="G1395" s="14"/>
      <c r="H1395" s="14"/>
      <c r="I1395" s="17"/>
      <c r="J1395" s="16"/>
      <c r="K1395" s="17"/>
      <c r="L1395" s="16"/>
      <c r="N1395" s="28"/>
    </row>
    <row r="1396">
      <c r="A1396" s="16" t="str">
        <f t="shared" si="10"/>
        <v/>
      </c>
      <c r="B1396" s="48"/>
      <c r="C1396" s="14"/>
      <c r="D1396" s="52"/>
      <c r="E1396" s="16"/>
      <c r="F1396" s="14"/>
      <c r="G1396" s="14"/>
      <c r="H1396" s="14"/>
      <c r="I1396" s="17"/>
      <c r="J1396" s="16"/>
      <c r="K1396" s="17"/>
      <c r="L1396" s="16"/>
      <c r="N1396" s="28"/>
    </row>
    <row r="1397">
      <c r="A1397" s="16" t="str">
        <f t="shared" si="10"/>
        <v/>
      </c>
      <c r="B1397" s="48"/>
      <c r="C1397" s="14"/>
      <c r="D1397" s="52"/>
      <c r="E1397" s="16"/>
      <c r="F1397" s="14"/>
      <c r="G1397" s="14"/>
      <c r="H1397" s="14"/>
      <c r="I1397" s="17"/>
      <c r="J1397" s="16"/>
      <c r="K1397" s="17"/>
      <c r="L1397" s="16"/>
      <c r="N1397" s="28"/>
    </row>
    <row r="1398">
      <c r="A1398" s="16" t="str">
        <f t="shared" si="10"/>
        <v/>
      </c>
      <c r="B1398" s="48"/>
      <c r="C1398" s="14"/>
      <c r="D1398" s="52"/>
      <c r="E1398" s="16"/>
      <c r="F1398" s="14"/>
      <c r="G1398" s="14"/>
      <c r="H1398" s="14"/>
      <c r="I1398" s="17"/>
      <c r="J1398" s="16"/>
      <c r="K1398" s="17"/>
      <c r="L1398" s="16"/>
      <c r="N1398" s="28"/>
    </row>
    <row r="1399">
      <c r="A1399" s="16" t="str">
        <f t="shared" si="10"/>
        <v/>
      </c>
      <c r="B1399" s="48"/>
      <c r="C1399" s="14"/>
      <c r="D1399" s="52"/>
      <c r="E1399" s="16"/>
      <c r="F1399" s="14"/>
      <c r="G1399" s="14"/>
      <c r="H1399" s="14"/>
      <c r="I1399" s="17"/>
      <c r="J1399" s="16"/>
      <c r="K1399" s="17"/>
      <c r="L1399" s="16"/>
      <c r="N1399" s="28"/>
    </row>
    <row r="1400">
      <c r="A1400" s="16" t="str">
        <f t="shared" si="10"/>
        <v/>
      </c>
      <c r="B1400" s="48"/>
      <c r="C1400" s="14"/>
      <c r="D1400" s="52"/>
      <c r="E1400" s="16"/>
      <c r="F1400" s="14"/>
      <c r="G1400" s="14"/>
      <c r="H1400" s="14"/>
      <c r="I1400" s="17"/>
      <c r="J1400" s="16"/>
      <c r="K1400" s="17"/>
      <c r="L1400" s="16"/>
      <c r="N1400" s="28"/>
    </row>
    <row r="1401">
      <c r="A1401" s="16" t="str">
        <f t="shared" si="10"/>
        <v/>
      </c>
      <c r="B1401" s="48"/>
      <c r="C1401" s="14"/>
      <c r="D1401" s="52"/>
      <c r="E1401" s="16"/>
      <c r="F1401" s="14"/>
      <c r="G1401" s="14"/>
      <c r="H1401" s="17"/>
      <c r="I1401" s="17"/>
      <c r="J1401" s="16"/>
      <c r="K1401" s="17"/>
      <c r="L1401" s="16"/>
      <c r="N1401" s="28"/>
    </row>
    <row r="1402">
      <c r="A1402" s="16" t="str">
        <f t="shared" si="10"/>
        <v/>
      </c>
      <c r="B1402" s="48"/>
      <c r="C1402" s="14"/>
      <c r="D1402" s="52"/>
      <c r="E1402" s="16"/>
      <c r="F1402" s="14"/>
      <c r="G1402" s="14"/>
      <c r="H1402" s="14"/>
      <c r="I1402" s="17"/>
      <c r="J1402" s="16"/>
      <c r="K1402" s="17"/>
      <c r="L1402" s="16"/>
      <c r="N1402" s="28"/>
    </row>
    <row r="1403">
      <c r="A1403" s="16" t="str">
        <f t="shared" si="10"/>
        <v/>
      </c>
      <c r="B1403" s="48"/>
      <c r="C1403" s="14"/>
      <c r="D1403" s="52"/>
      <c r="E1403" s="16"/>
      <c r="F1403" s="14"/>
      <c r="G1403" s="14"/>
      <c r="H1403" s="14"/>
      <c r="I1403" s="17"/>
      <c r="J1403" s="16"/>
      <c r="K1403" s="17"/>
      <c r="L1403" s="16"/>
      <c r="N1403" s="28"/>
    </row>
    <row r="1404">
      <c r="A1404" s="16" t="str">
        <f t="shared" si="10"/>
        <v/>
      </c>
      <c r="B1404" s="48"/>
      <c r="C1404" s="14"/>
      <c r="D1404" s="52"/>
      <c r="E1404" s="16"/>
      <c r="F1404" s="14"/>
      <c r="G1404" s="14"/>
      <c r="H1404" s="14"/>
      <c r="I1404" s="17"/>
      <c r="J1404" s="16"/>
      <c r="K1404" s="17"/>
      <c r="L1404" s="16"/>
      <c r="N1404" s="28"/>
    </row>
    <row r="1405">
      <c r="A1405" s="16" t="str">
        <f t="shared" si="10"/>
        <v/>
      </c>
      <c r="B1405" s="48"/>
      <c r="C1405" s="14"/>
      <c r="D1405" s="52"/>
      <c r="E1405" s="16"/>
      <c r="F1405" s="14"/>
      <c r="G1405" s="14"/>
      <c r="H1405" s="17"/>
      <c r="I1405" s="17"/>
      <c r="J1405" s="16"/>
      <c r="K1405" s="17"/>
      <c r="L1405" s="16"/>
      <c r="N1405" s="28"/>
    </row>
    <row r="1406">
      <c r="A1406" s="16" t="str">
        <f t="shared" si="10"/>
        <v/>
      </c>
      <c r="B1406" s="48"/>
      <c r="C1406" s="14"/>
      <c r="D1406" s="52"/>
      <c r="E1406" s="16"/>
      <c r="F1406" s="14"/>
      <c r="G1406" s="14"/>
      <c r="H1406" s="14"/>
      <c r="I1406" s="17"/>
      <c r="J1406" s="16"/>
      <c r="K1406" s="17"/>
      <c r="L1406" s="16"/>
      <c r="N1406" s="28"/>
    </row>
    <row r="1407">
      <c r="A1407" s="16" t="str">
        <f t="shared" si="10"/>
        <v/>
      </c>
      <c r="B1407" s="48"/>
      <c r="C1407" s="14"/>
      <c r="D1407" s="52"/>
      <c r="E1407" s="16"/>
      <c r="F1407" s="14"/>
      <c r="G1407" s="14"/>
      <c r="H1407" s="17"/>
      <c r="I1407" s="17"/>
      <c r="J1407" s="16"/>
      <c r="K1407" s="17"/>
      <c r="L1407" s="16"/>
      <c r="N1407" s="28"/>
    </row>
    <row r="1408">
      <c r="A1408" s="16" t="str">
        <f t="shared" si="10"/>
        <v/>
      </c>
      <c r="B1408" s="48"/>
      <c r="C1408" s="14"/>
      <c r="D1408" s="52"/>
      <c r="E1408" s="16"/>
      <c r="F1408" s="14"/>
      <c r="G1408" s="14"/>
      <c r="H1408" s="14"/>
      <c r="I1408" s="17"/>
      <c r="J1408" s="16"/>
      <c r="K1408" s="17"/>
      <c r="L1408" s="16"/>
      <c r="N1408" s="28"/>
    </row>
    <row r="1409">
      <c r="A1409" s="16" t="str">
        <f t="shared" si="10"/>
        <v/>
      </c>
      <c r="B1409" s="48"/>
      <c r="C1409" s="14"/>
      <c r="D1409" s="52"/>
      <c r="E1409" s="16"/>
      <c r="F1409" s="14"/>
      <c r="G1409" s="14"/>
      <c r="H1409" s="17"/>
      <c r="I1409" s="17"/>
      <c r="J1409" s="16"/>
      <c r="K1409" s="17"/>
      <c r="L1409" s="16"/>
      <c r="N1409" s="28"/>
    </row>
    <row r="1410">
      <c r="A1410" s="16" t="str">
        <f t="shared" si="10"/>
        <v/>
      </c>
      <c r="B1410" s="48"/>
      <c r="C1410" s="14"/>
      <c r="D1410" s="52"/>
      <c r="E1410" s="16"/>
      <c r="F1410" s="14"/>
      <c r="G1410" s="14"/>
      <c r="H1410" s="14"/>
      <c r="I1410" s="17"/>
      <c r="J1410" s="16"/>
      <c r="K1410" s="17"/>
      <c r="L1410" s="16"/>
      <c r="N1410" s="28"/>
    </row>
    <row r="1411">
      <c r="A1411" s="16" t="str">
        <f t="shared" si="10"/>
        <v/>
      </c>
      <c r="B1411" s="48"/>
      <c r="C1411" s="14"/>
      <c r="D1411" s="52"/>
      <c r="E1411" s="16"/>
      <c r="F1411" s="14"/>
      <c r="G1411" s="14"/>
      <c r="H1411" s="14"/>
      <c r="I1411" s="17"/>
      <c r="J1411" s="16"/>
      <c r="K1411" s="17"/>
      <c r="L1411" s="16"/>
      <c r="N1411" s="28"/>
    </row>
    <row r="1412">
      <c r="A1412" s="16" t="str">
        <f t="shared" si="10"/>
        <v/>
      </c>
      <c r="B1412" s="48"/>
      <c r="C1412" s="14"/>
      <c r="D1412" s="56"/>
      <c r="E1412" s="16"/>
      <c r="F1412" s="14"/>
      <c r="G1412" s="14"/>
      <c r="H1412" s="17"/>
      <c r="I1412" s="17"/>
      <c r="J1412" s="16"/>
      <c r="K1412" s="17"/>
      <c r="L1412" s="16"/>
      <c r="N1412" s="28"/>
    </row>
    <row r="1413">
      <c r="A1413" s="16" t="str">
        <f t="shared" si="10"/>
        <v/>
      </c>
      <c r="B1413" s="48"/>
      <c r="C1413" s="14"/>
      <c r="D1413" s="56"/>
      <c r="E1413" s="16"/>
      <c r="F1413" s="14"/>
      <c r="G1413" s="14"/>
      <c r="H1413" s="17"/>
      <c r="I1413" s="17"/>
      <c r="J1413" s="16"/>
      <c r="K1413" s="17"/>
      <c r="L1413" s="16"/>
      <c r="N1413" s="28"/>
    </row>
    <row r="1414">
      <c r="A1414" s="16" t="str">
        <f t="shared" si="10"/>
        <v/>
      </c>
      <c r="B1414" s="48"/>
      <c r="C1414" s="14"/>
      <c r="D1414" s="56"/>
      <c r="E1414" s="16"/>
      <c r="F1414" s="14"/>
      <c r="G1414" s="14"/>
      <c r="H1414" s="14"/>
      <c r="I1414" s="17"/>
      <c r="J1414" s="16"/>
      <c r="K1414" s="17"/>
      <c r="L1414" s="16"/>
      <c r="N1414" s="28"/>
    </row>
    <row r="1415">
      <c r="A1415" s="16" t="str">
        <f t="shared" si="10"/>
        <v/>
      </c>
      <c r="B1415" s="48"/>
      <c r="C1415" s="14"/>
      <c r="D1415" s="56"/>
      <c r="E1415" s="16"/>
      <c r="F1415" s="14"/>
      <c r="G1415" s="14"/>
      <c r="H1415" s="14"/>
      <c r="I1415" s="17"/>
      <c r="J1415" s="16"/>
      <c r="K1415" s="17"/>
      <c r="L1415" s="16"/>
      <c r="N1415" s="28"/>
    </row>
    <row r="1416">
      <c r="A1416" s="16" t="str">
        <f t="shared" si="10"/>
        <v/>
      </c>
      <c r="B1416" s="48"/>
      <c r="C1416" s="14"/>
      <c r="D1416" s="56"/>
      <c r="E1416" s="16"/>
      <c r="F1416" s="14"/>
      <c r="G1416" s="14"/>
      <c r="H1416" s="14"/>
      <c r="I1416" s="17"/>
      <c r="J1416" s="16"/>
      <c r="K1416" s="17"/>
      <c r="L1416" s="16"/>
      <c r="N1416" s="28"/>
    </row>
    <row r="1417">
      <c r="A1417" s="16" t="str">
        <f t="shared" si="10"/>
        <v/>
      </c>
      <c r="B1417" s="48"/>
      <c r="C1417" s="14"/>
      <c r="D1417" s="56"/>
      <c r="E1417" s="16"/>
      <c r="F1417" s="14"/>
      <c r="G1417" s="14"/>
      <c r="H1417" s="14"/>
      <c r="I1417" s="17"/>
      <c r="J1417" s="16"/>
      <c r="K1417" s="17"/>
      <c r="L1417" s="16"/>
      <c r="N1417" s="28"/>
    </row>
    <row r="1418">
      <c r="A1418" s="16" t="str">
        <f t="shared" si="10"/>
        <v/>
      </c>
      <c r="B1418" s="48"/>
      <c r="C1418" s="14"/>
      <c r="D1418" s="56"/>
      <c r="E1418" s="16"/>
      <c r="F1418" s="14"/>
      <c r="G1418" s="14"/>
      <c r="H1418" s="14"/>
      <c r="I1418" s="17"/>
      <c r="J1418" s="16"/>
      <c r="K1418" s="17"/>
      <c r="L1418" s="16"/>
      <c r="N1418" s="28"/>
    </row>
    <row r="1419">
      <c r="A1419" s="16" t="str">
        <f t="shared" si="10"/>
        <v/>
      </c>
      <c r="B1419" s="48"/>
      <c r="C1419" s="14"/>
      <c r="D1419" s="56"/>
      <c r="E1419" s="16"/>
      <c r="F1419" s="14"/>
      <c r="G1419" s="14"/>
      <c r="H1419" s="14"/>
      <c r="I1419" s="17"/>
      <c r="J1419" s="16"/>
      <c r="K1419" s="17"/>
      <c r="L1419" s="16"/>
      <c r="N1419" s="28"/>
    </row>
    <row r="1420">
      <c r="A1420" s="16" t="str">
        <f t="shared" si="10"/>
        <v/>
      </c>
      <c r="B1420" s="48"/>
      <c r="C1420" s="14"/>
      <c r="D1420" s="56"/>
      <c r="E1420" s="16"/>
      <c r="F1420" s="14"/>
      <c r="G1420" s="14"/>
      <c r="H1420" s="14"/>
      <c r="I1420" s="17"/>
      <c r="J1420" s="16"/>
      <c r="K1420" s="17"/>
      <c r="L1420" s="16"/>
      <c r="N1420" s="28"/>
    </row>
    <row r="1421">
      <c r="A1421" s="16" t="str">
        <f t="shared" si="10"/>
        <v/>
      </c>
      <c r="B1421" s="48"/>
      <c r="C1421" s="14"/>
      <c r="D1421" s="56"/>
      <c r="E1421" s="16"/>
      <c r="F1421" s="14"/>
      <c r="G1421" s="14"/>
      <c r="H1421" s="17"/>
      <c r="I1421" s="17"/>
      <c r="J1421" s="16"/>
      <c r="K1421" s="17"/>
      <c r="L1421" s="16"/>
      <c r="N1421" s="28"/>
    </row>
    <row r="1422">
      <c r="A1422" s="16" t="str">
        <f t="shared" si="10"/>
        <v/>
      </c>
      <c r="B1422" s="48"/>
      <c r="C1422" s="14"/>
      <c r="D1422" s="56"/>
      <c r="E1422" s="16"/>
      <c r="F1422" s="14"/>
      <c r="G1422" s="14"/>
      <c r="H1422" s="14"/>
      <c r="I1422" s="17"/>
      <c r="J1422" s="16"/>
      <c r="K1422" s="17"/>
      <c r="L1422" s="16"/>
      <c r="N1422" s="28"/>
    </row>
    <row r="1423">
      <c r="A1423" s="16" t="str">
        <f t="shared" si="10"/>
        <v/>
      </c>
      <c r="B1423" s="48"/>
      <c r="C1423" s="14"/>
      <c r="D1423" s="56"/>
      <c r="E1423" s="16"/>
      <c r="F1423" s="14"/>
      <c r="G1423" s="14"/>
      <c r="H1423" s="14"/>
      <c r="I1423" s="17"/>
      <c r="J1423" s="16"/>
      <c r="K1423" s="17"/>
      <c r="L1423" s="16"/>
      <c r="N1423" s="28"/>
    </row>
    <row r="1424">
      <c r="A1424" s="16" t="str">
        <f t="shared" si="10"/>
        <v/>
      </c>
      <c r="B1424" s="48"/>
      <c r="C1424" s="14"/>
      <c r="D1424" s="56"/>
      <c r="E1424" s="16"/>
      <c r="F1424" s="14"/>
      <c r="G1424" s="14"/>
      <c r="H1424" s="14"/>
      <c r="I1424" s="17"/>
      <c r="J1424" s="16"/>
      <c r="K1424" s="17"/>
      <c r="L1424" s="16"/>
      <c r="N1424" s="28"/>
    </row>
    <row r="1425">
      <c r="A1425" s="16" t="str">
        <f t="shared" si="10"/>
        <v/>
      </c>
      <c r="B1425" s="48"/>
      <c r="C1425" s="14"/>
      <c r="D1425" s="56"/>
      <c r="E1425" s="16"/>
      <c r="F1425" s="14"/>
      <c r="G1425" s="14"/>
      <c r="H1425" s="14"/>
      <c r="I1425" s="17"/>
      <c r="J1425" s="16"/>
      <c r="K1425" s="17"/>
      <c r="L1425" s="16"/>
      <c r="N1425" s="28"/>
    </row>
    <row r="1426">
      <c r="A1426" s="16" t="str">
        <f t="shared" si="10"/>
        <v/>
      </c>
      <c r="B1426" s="48"/>
      <c r="C1426" s="14"/>
      <c r="D1426" s="56"/>
      <c r="E1426" s="16"/>
      <c r="F1426" s="14"/>
      <c r="G1426" s="14"/>
      <c r="H1426" s="14"/>
      <c r="I1426" s="17"/>
      <c r="J1426" s="16"/>
      <c r="K1426" s="17"/>
      <c r="L1426" s="16"/>
      <c r="N1426" s="28"/>
    </row>
    <row r="1427">
      <c r="A1427" s="16" t="str">
        <f t="shared" si="10"/>
        <v/>
      </c>
      <c r="B1427" s="48"/>
      <c r="C1427" s="14"/>
      <c r="D1427" s="56"/>
      <c r="E1427" s="16"/>
      <c r="F1427" s="14"/>
      <c r="G1427" s="14"/>
      <c r="H1427" s="14"/>
      <c r="I1427" s="17"/>
      <c r="J1427" s="16"/>
      <c r="K1427" s="17"/>
      <c r="L1427" s="16"/>
      <c r="N1427" s="28"/>
    </row>
    <row r="1428">
      <c r="A1428" s="16" t="str">
        <f t="shared" si="10"/>
        <v/>
      </c>
      <c r="B1428" s="48"/>
      <c r="C1428" s="14"/>
      <c r="D1428" s="56"/>
      <c r="E1428" s="16"/>
      <c r="F1428" s="14"/>
      <c r="G1428" s="14"/>
      <c r="H1428" s="14"/>
      <c r="I1428" s="17"/>
      <c r="J1428" s="16"/>
      <c r="K1428" s="17"/>
      <c r="L1428" s="16"/>
      <c r="N1428" s="28"/>
    </row>
    <row r="1429">
      <c r="A1429" s="16" t="str">
        <f t="shared" si="10"/>
        <v/>
      </c>
      <c r="B1429" s="48"/>
      <c r="C1429" s="14"/>
      <c r="D1429" s="56"/>
      <c r="E1429" s="16"/>
      <c r="F1429" s="14"/>
      <c r="G1429" s="14"/>
      <c r="H1429" s="14"/>
      <c r="I1429" s="17"/>
      <c r="J1429" s="16"/>
      <c r="K1429" s="17"/>
      <c r="L1429" s="16"/>
      <c r="N1429" s="28"/>
    </row>
    <row r="1430">
      <c r="A1430" s="16" t="str">
        <f t="shared" si="10"/>
        <v/>
      </c>
      <c r="B1430" s="48"/>
      <c r="C1430" s="14"/>
      <c r="D1430" s="56"/>
      <c r="E1430" s="16"/>
      <c r="F1430" s="14"/>
      <c r="G1430" s="14"/>
      <c r="H1430" s="14"/>
      <c r="I1430" s="17"/>
      <c r="J1430" s="16"/>
      <c r="K1430" s="17"/>
      <c r="L1430" s="16"/>
      <c r="N1430" s="28"/>
    </row>
    <row r="1431">
      <c r="A1431" s="16" t="str">
        <f t="shared" si="10"/>
        <v/>
      </c>
      <c r="B1431" s="48"/>
      <c r="C1431" s="14"/>
      <c r="D1431" s="56"/>
      <c r="E1431" s="16"/>
      <c r="F1431" s="14"/>
      <c r="G1431" s="14"/>
      <c r="H1431" s="14"/>
      <c r="I1431" s="17"/>
      <c r="J1431" s="16"/>
      <c r="K1431" s="17"/>
      <c r="L1431" s="16"/>
      <c r="N1431" s="28"/>
    </row>
    <row r="1432">
      <c r="A1432" s="16" t="str">
        <f t="shared" si="10"/>
        <v/>
      </c>
      <c r="B1432" s="48"/>
      <c r="C1432" s="14"/>
      <c r="D1432" s="56"/>
      <c r="E1432" s="16"/>
      <c r="F1432" s="14"/>
      <c r="G1432" s="14"/>
      <c r="H1432" s="14"/>
      <c r="I1432" s="17"/>
      <c r="J1432" s="16"/>
      <c r="K1432" s="17"/>
      <c r="L1432" s="16"/>
      <c r="N1432" s="28"/>
    </row>
    <row r="1433">
      <c r="A1433" s="16" t="str">
        <f t="shared" si="10"/>
        <v/>
      </c>
      <c r="B1433" s="48"/>
      <c r="C1433" s="14"/>
      <c r="D1433" s="56"/>
      <c r="E1433" s="16"/>
      <c r="F1433" s="14"/>
      <c r="G1433" s="14"/>
      <c r="H1433" s="14"/>
      <c r="I1433" s="17"/>
      <c r="J1433" s="16"/>
      <c r="K1433" s="17"/>
      <c r="L1433" s="16"/>
      <c r="N1433" s="28"/>
    </row>
    <row r="1434">
      <c r="A1434" s="16" t="str">
        <f t="shared" si="10"/>
        <v/>
      </c>
      <c r="B1434" s="48"/>
      <c r="C1434" s="14"/>
      <c r="D1434" s="56"/>
      <c r="E1434" s="16"/>
      <c r="F1434" s="14"/>
      <c r="G1434" s="14"/>
      <c r="H1434" s="14"/>
      <c r="I1434" s="17"/>
      <c r="J1434" s="16"/>
      <c r="K1434" s="17"/>
      <c r="L1434" s="16"/>
      <c r="N1434" s="28"/>
    </row>
    <row r="1435">
      <c r="A1435" s="16" t="str">
        <f t="shared" si="10"/>
        <v/>
      </c>
      <c r="B1435" s="48"/>
      <c r="C1435" s="14"/>
      <c r="D1435" s="56"/>
      <c r="E1435" s="16"/>
      <c r="F1435" s="14"/>
      <c r="G1435" s="14"/>
      <c r="H1435" s="14"/>
      <c r="I1435" s="17"/>
      <c r="J1435" s="16"/>
      <c r="K1435" s="17"/>
      <c r="L1435" s="16"/>
      <c r="N1435" s="28"/>
    </row>
    <row r="1436">
      <c r="A1436" s="16" t="str">
        <f t="shared" si="10"/>
        <v/>
      </c>
      <c r="B1436" s="48"/>
      <c r="C1436" s="14"/>
      <c r="D1436" s="56"/>
      <c r="E1436" s="16"/>
      <c r="F1436" s="14"/>
      <c r="G1436" s="14"/>
      <c r="H1436" s="14"/>
      <c r="I1436" s="17"/>
      <c r="J1436" s="16"/>
      <c r="K1436" s="17"/>
      <c r="L1436" s="16"/>
      <c r="N1436" s="28"/>
    </row>
    <row r="1437">
      <c r="A1437" s="16" t="str">
        <f t="shared" si="10"/>
        <v/>
      </c>
      <c r="B1437" s="48"/>
      <c r="C1437" s="14"/>
      <c r="D1437" s="56"/>
      <c r="E1437" s="16"/>
      <c r="F1437" s="14"/>
      <c r="G1437" s="14"/>
      <c r="H1437" s="14"/>
      <c r="I1437" s="17"/>
      <c r="J1437" s="16"/>
      <c r="K1437" s="17"/>
      <c r="L1437" s="16"/>
      <c r="N1437" s="28"/>
    </row>
    <row r="1438">
      <c r="A1438" s="16" t="str">
        <f t="shared" si="10"/>
        <v/>
      </c>
      <c r="B1438" s="48"/>
      <c r="C1438" s="14"/>
      <c r="D1438" s="56"/>
      <c r="E1438" s="16"/>
      <c r="F1438" s="14"/>
      <c r="G1438" s="14"/>
      <c r="H1438" s="14"/>
      <c r="I1438" s="17"/>
      <c r="J1438" s="16"/>
      <c r="K1438" s="17"/>
      <c r="L1438" s="16"/>
      <c r="N1438" s="28"/>
    </row>
    <row r="1439">
      <c r="A1439" s="16" t="str">
        <f t="shared" si="10"/>
        <v/>
      </c>
      <c r="B1439" s="48"/>
      <c r="C1439" s="14"/>
      <c r="D1439" s="56"/>
      <c r="E1439" s="16"/>
      <c r="F1439" s="14"/>
      <c r="G1439" s="14"/>
      <c r="H1439" s="14"/>
      <c r="I1439" s="17"/>
      <c r="J1439" s="16"/>
      <c r="K1439" s="17"/>
      <c r="L1439" s="16"/>
      <c r="N1439" s="28"/>
    </row>
    <row r="1440">
      <c r="A1440" s="16" t="str">
        <f t="shared" si="10"/>
        <v/>
      </c>
      <c r="B1440" s="48"/>
      <c r="C1440" s="14"/>
      <c r="D1440" s="56"/>
      <c r="E1440" s="16"/>
      <c r="F1440" s="14"/>
      <c r="G1440" s="14"/>
      <c r="H1440" s="14"/>
      <c r="I1440" s="17"/>
      <c r="J1440" s="16"/>
      <c r="K1440" s="17"/>
      <c r="L1440" s="16"/>
      <c r="N1440" s="28"/>
    </row>
    <row r="1441">
      <c r="A1441" s="16" t="str">
        <f t="shared" si="10"/>
        <v/>
      </c>
      <c r="B1441" s="48"/>
      <c r="C1441" s="14"/>
      <c r="D1441" s="56"/>
      <c r="E1441" s="16"/>
      <c r="F1441" s="14"/>
      <c r="G1441" s="14"/>
      <c r="H1441" s="14"/>
      <c r="I1441" s="17"/>
      <c r="J1441" s="16"/>
      <c r="K1441" s="17"/>
      <c r="L1441" s="16"/>
      <c r="N1441" s="28"/>
    </row>
    <row r="1442">
      <c r="A1442" s="16" t="str">
        <f t="shared" si="10"/>
        <v/>
      </c>
      <c r="B1442" s="48"/>
      <c r="C1442" s="14"/>
      <c r="D1442" s="56"/>
      <c r="E1442" s="16"/>
      <c r="F1442" s="14"/>
      <c r="G1442" s="14"/>
      <c r="H1442" s="14"/>
      <c r="I1442" s="17"/>
      <c r="J1442" s="16"/>
      <c r="K1442" s="17"/>
      <c r="L1442" s="16"/>
      <c r="N1442" s="28"/>
    </row>
    <row r="1443">
      <c r="A1443" s="16" t="str">
        <f t="shared" si="10"/>
        <v/>
      </c>
      <c r="B1443" s="48"/>
      <c r="C1443" s="14"/>
      <c r="D1443" s="56"/>
      <c r="E1443" s="16"/>
      <c r="F1443" s="14"/>
      <c r="G1443" s="14"/>
      <c r="H1443" s="14"/>
      <c r="I1443" s="17"/>
      <c r="J1443" s="16"/>
      <c r="K1443" s="17"/>
      <c r="L1443" s="16"/>
      <c r="N1443" s="28"/>
    </row>
    <row r="1444">
      <c r="A1444" s="16" t="str">
        <f t="shared" si="10"/>
        <v/>
      </c>
      <c r="B1444" s="48"/>
      <c r="C1444" s="14"/>
      <c r="D1444" s="56"/>
      <c r="E1444" s="16"/>
      <c r="F1444" s="14"/>
      <c r="G1444" s="14"/>
      <c r="H1444" s="14"/>
      <c r="I1444" s="17"/>
      <c r="J1444" s="16"/>
      <c r="K1444" s="17"/>
      <c r="L1444" s="16"/>
      <c r="N1444" s="28"/>
    </row>
    <row r="1445">
      <c r="A1445" s="16" t="str">
        <f t="shared" si="10"/>
        <v/>
      </c>
      <c r="B1445" s="48"/>
      <c r="C1445" s="14"/>
      <c r="D1445" s="56"/>
      <c r="E1445" s="16"/>
      <c r="F1445" s="14"/>
      <c r="G1445" s="14"/>
      <c r="H1445" s="14"/>
      <c r="I1445" s="17"/>
      <c r="J1445" s="16"/>
      <c r="K1445" s="17"/>
      <c r="L1445" s="16"/>
      <c r="N1445" s="28"/>
    </row>
    <row r="1446">
      <c r="A1446" s="16" t="str">
        <f t="shared" si="10"/>
        <v/>
      </c>
      <c r="B1446" s="48"/>
      <c r="C1446" s="14"/>
      <c r="D1446" s="56"/>
      <c r="E1446" s="16"/>
      <c r="F1446" s="14"/>
      <c r="G1446" s="14"/>
      <c r="H1446" s="14"/>
      <c r="I1446" s="17"/>
      <c r="J1446" s="16"/>
      <c r="K1446" s="17"/>
      <c r="L1446" s="16"/>
      <c r="N1446" s="28"/>
    </row>
    <row r="1447">
      <c r="A1447" s="16" t="str">
        <f t="shared" si="10"/>
        <v/>
      </c>
      <c r="B1447" s="48"/>
      <c r="C1447" s="14"/>
      <c r="D1447" s="56"/>
      <c r="E1447" s="16"/>
      <c r="F1447" s="14"/>
      <c r="G1447" s="14"/>
      <c r="H1447" s="17"/>
      <c r="I1447" s="17"/>
      <c r="J1447" s="16"/>
      <c r="K1447" s="17"/>
      <c r="L1447" s="16"/>
      <c r="N1447" s="28"/>
    </row>
    <row r="1448">
      <c r="A1448" s="16" t="str">
        <f t="shared" si="10"/>
        <v/>
      </c>
      <c r="B1448" s="48"/>
      <c r="C1448" s="14"/>
      <c r="D1448" s="56"/>
      <c r="E1448" s="16"/>
      <c r="F1448" s="14"/>
      <c r="G1448" s="14"/>
      <c r="H1448" s="14"/>
      <c r="I1448" s="17"/>
      <c r="J1448" s="16"/>
      <c r="K1448" s="17"/>
      <c r="L1448" s="16"/>
      <c r="N1448" s="28"/>
    </row>
    <row r="1449">
      <c r="A1449" s="16" t="str">
        <f t="shared" si="10"/>
        <v/>
      </c>
      <c r="B1449" s="48"/>
      <c r="C1449" s="14"/>
      <c r="D1449" s="56"/>
      <c r="E1449" s="16"/>
      <c r="F1449" s="14"/>
      <c r="G1449" s="14"/>
      <c r="H1449" s="14"/>
      <c r="I1449" s="17"/>
      <c r="J1449" s="16"/>
      <c r="K1449" s="17"/>
      <c r="L1449" s="16"/>
      <c r="N1449" s="28"/>
    </row>
    <row r="1450">
      <c r="A1450" s="16" t="str">
        <f t="shared" si="10"/>
        <v/>
      </c>
      <c r="B1450" s="48"/>
      <c r="C1450" s="14"/>
      <c r="D1450" s="56"/>
      <c r="E1450" s="16"/>
      <c r="F1450" s="14"/>
      <c r="G1450" s="14"/>
      <c r="H1450" s="14"/>
      <c r="I1450" s="17"/>
      <c r="J1450" s="16"/>
      <c r="K1450" s="17"/>
      <c r="L1450" s="16"/>
      <c r="N1450" s="28"/>
    </row>
    <row r="1451">
      <c r="A1451" s="16" t="str">
        <f t="shared" si="10"/>
        <v/>
      </c>
      <c r="B1451" s="48"/>
      <c r="C1451" s="14"/>
      <c r="D1451" s="56"/>
      <c r="E1451" s="16"/>
      <c r="F1451" s="14"/>
      <c r="G1451" s="14"/>
      <c r="H1451" s="14"/>
      <c r="I1451" s="17"/>
      <c r="J1451" s="16"/>
      <c r="K1451" s="17"/>
      <c r="L1451" s="16"/>
      <c r="N1451" s="28"/>
    </row>
    <row r="1452">
      <c r="A1452" s="16" t="str">
        <f t="shared" si="10"/>
        <v/>
      </c>
      <c r="B1452" s="48"/>
      <c r="C1452" s="14"/>
      <c r="D1452" s="56"/>
      <c r="E1452" s="16"/>
      <c r="F1452" s="14"/>
      <c r="G1452" s="14"/>
      <c r="H1452" s="14"/>
      <c r="I1452" s="17"/>
      <c r="J1452" s="16"/>
      <c r="K1452" s="17"/>
      <c r="L1452" s="16"/>
      <c r="N1452" s="28"/>
    </row>
    <row r="1453">
      <c r="A1453" s="16" t="str">
        <f t="shared" si="10"/>
        <v/>
      </c>
      <c r="B1453" s="48"/>
      <c r="C1453" s="14"/>
      <c r="D1453" s="56"/>
      <c r="E1453" s="16"/>
      <c r="F1453" s="14"/>
      <c r="G1453" s="14"/>
      <c r="H1453" s="14"/>
      <c r="I1453" s="17"/>
      <c r="J1453" s="16"/>
      <c r="K1453" s="17"/>
      <c r="L1453" s="16"/>
      <c r="N1453" s="28"/>
    </row>
    <row r="1454">
      <c r="A1454" s="16" t="str">
        <f t="shared" si="10"/>
        <v/>
      </c>
      <c r="B1454" s="48"/>
      <c r="C1454" s="14"/>
      <c r="D1454" s="56"/>
      <c r="E1454" s="16"/>
      <c r="F1454" s="14"/>
      <c r="G1454" s="14"/>
      <c r="H1454" s="14"/>
      <c r="I1454" s="17"/>
      <c r="J1454" s="16"/>
      <c r="K1454" s="17"/>
      <c r="L1454" s="16"/>
      <c r="N1454" s="28"/>
    </row>
    <row r="1455">
      <c r="A1455" s="16" t="str">
        <f t="shared" si="10"/>
        <v/>
      </c>
      <c r="B1455" s="48"/>
      <c r="C1455" s="14"/>
      <c r="D1455" s="56"/>
      <c r="E1455" s="16"/>
      <c r="F1455" s="14"/>
      <c r="G1455" s="14"/>
      <c r="H1455" s="14"/>
      <c r="I1455" s="17"/>
      <c r="J1455" s="16"/>
      <c r="K1455" s="17"/>
      <c r="L1455" s="16"/>
      <c r="N1455" s="28"/>
    </row>
    <row r="1456">
      <c r="A1456" s="16" t="str">
        <f t="shared" si="10"/>
        <v/>
      </c>
      <c r="B1456" s="48"/>
      <c r="C1456" s="14"/>
      <c r="D1456" s="56"/>
      <c r="E1456" s="16"/>
      <c r="F1456" s="14"/>
      <c r="G1456" s="14"/>
      <c r="H1456" s="14"/>
      <c r="I1456" s="17"/>
      <c r="J1456" s="16"/>
      <c r="K1456" s="17"/>
      <c r="L1456" s="16"/>
      <c r="N1456" s="28"/>
    </row>
    <row r="1457">
      <c r="A1457" s="16" t="str">
        <f t="shared" si="10"/>
        <v/>
      </c>
      <c r="B1457" s="48"/>
      <c r="C1457" s="14"/>
      <c r="D1457" s="56"/>
      <c r="E1457" s="16"/>
      <c r="F1457" s="14"/>
      <c r="G1457" s="14"/>
      <c r="H1457" s="14"/>
      <c r="I1457" s="17"/>
      <c r="J1457" s="16"/>
      <c r="K1457" s="17"/>
      <c r="L1457" s="16"/>
      <c r="N1457" s="28"/>
    </row>
    <row r="1458">
      <c r="A1458" s="16" t="str">
        <f t="shared" si="10"/>
        <v/>
      </c>
      <c r="B1458" s="48"/>
      <c r="C1458" s="14"/>
      <c r="D1458" s="56"/>
      <c r="E1458" s="16"/>
      <c r="F1458" s="14"/>
      <c r="G1458" s="14"/>
      <c r="H1458" s="14"/>
      <c r="I1458" s="17"/>
      <c r="J1458" s="16"/>
      <c r="K1458" s="17"/>
      <c r="L1458" s="16"/>
      <c r="N1458" s="28"/>
    </row>
    <row r="1459">
      <c r="A1459" s="16" t="str">
        <f t="shared" si="10"/>
        <v/>
      </c>
      <c r="B1459" s="48"/>
      <c r="C1459" s="14"/>
      <c r="D1459" s="56"/>
      <c r="E1459" s="16"/>
      <c r="F1459" s="14"/>
      <c r="G1459" s="14"/>
      <c r="H1459" s="14"/>
      <c r="I1459" s="17"/>
      <c r="J1459" s="16"/>
      <c r="K1459" s="17"/>
      <c r="L1459" s="16"/>
      <c r="N1459" s="28"/>
    </row>
    <row r="1460">
      <c r="A1460" s="16" t="str">
        <f t="shared" si="10"/>
        <v/>
      </c>
      <c r="B1460" s="48"/>
      <c r="C1460" s="14"/>
      <c r="D1460" s="56"/>
      <c r="E1460" s="16"/>
      <c r="F1460" s="14"/>
      <c r="G1460" s="14"/>
      <c r="H1460" s="14"/>
      <c r="I1460" s="17"/>
      <c r="J1460" s="16"/>
      <c r="K1460" s="17"/>
      <c r="L1460" s="16"/>
      <c r="N1460" s="28"/>
    </row>
    <row r="1461">
      <c r="A1461" s="16" t="str">
        <f t="shared" si="10"/>
        <v/>
      </c>
      <c r="B1461" s="48"/>
      <c r="C1461" s="14"/>
      <c r="D1461" s="56"/>
      <c r="E1461" s="16"/>
      <c r="F1461" s="14"/>
      <c r="G1461" s="14"/>
      <c r="H1461" s="14"/>
      <c r="I1461" s="17"/>
      <c r="J1461" s="16"/>
      <c r="K1461" s="17"/>
      <c r="L1461" s="16"/>
      <c r="N1461" s="28"/>
    </row>
    <row r="1462">
      <c r="A1462" s="16" t="str">
        <f t="shared" si="10"/>
        <v/>
      </c>
      <c r="B1462" s="48"/>
      <c r="C1462" s="14"/>
      <c r="D1462" s="56"/>
      <c r="E1462" s="16"/>
      <c r="F1462" s="14"/>
      <c r="G1462" s="14"/>
      <c r="H1462" s="14"/>
      <c r="I1462" s="17"/>
      <c r="J1462" s="16"/>
      <c r="K1462" s="17"/>
      <c r="L1462" s="16"/>
      <c r="N1462" s="28"/>
    </row>
    <row r="1463">
      <c r="A1463" s="16" t="str">
        <f t="shared" si="10"/>
        <v/>
      </c>
      <c r="B1463" s="48"/>
      <c r="C1463" s="14"/>
      <c r="D1463" s="56"/>
      <c r="E1463" s="16"/>
      <c r="F1463" s="14"/>
      <c r="G1463" s="14"/>
      <c r="H1463" s="14"/>
      <c r="I1463" s="17"/>
      <c r="J1463" s="16"/>
      <c r="K1463" s="17"/>
      <c r="L1463" s="16"/>
      <c r="N1463" s="28"/>
    </row>
    <row r="1464">
      <c r="A1464" s="16" t="str">
        <f t="shared" si="10"/>
        <v/>
      </c>
      <c r="B1464" s="48"/>
      <c r="C1464" s="14"/>
      <c r="D1464" s="56"/>
      <c r="E1464" s="16"/>
      <c r="F1464" s="14"/>
      <c r="G1464" s="14"/>
      <c r="H1464" s="14"/>
      <c r="I1464" s="17"/>
      <c r="J1464" s="16"/>
      <c r="K1464" s="17"/>
      <c r="L1464" s="16"/>
      <c r="N1464" s="28"/>
    </row>
    <row r="1465">
      <c r="A1465" s="16" t="str">
        <f t="shared" si="10"/>
        <v/>
      </c>
      <c r="B1465" s="48"/>
      <c r="C1465" s="14"/>
      <c r="D1465" s="56"/>
      <c r="E1465" s="16"/>
      <c r="F1465" s="14"/>
      <c r="G1465" s="14"/>
      <c r="H1465" s="14"/>
      <c r="I1465" s="17"/>
      <c r="J1465" s="16"/>
      <c r="K1465" s="17"/>
      <c r="L1465" s="16"/>
      <c r="N1465" s="28"/>
    </row>
    <row r="1466">
      <c r="A1466" s="16" t="str">
        <f t="shared" si="10"/>
        <v/>
      </c>
      <c r="B1466" s="48"/>
      <c r="C1466" s="14"/>
      <c r="D1466" s="56"/>
      <c r="E1466" s="16"/>
      <c r="F1466" s="14"/>
      <c r="G1466" s="14"/>
      <c r="H1466" s="14"/>
      <c r="I1466" s="17"/>
      <c r="J1466" s="16"/>
      <c r="K1466" s="17"/>
      <c r="L1466" s="16"/>
      <c r="N1466" s="28"/>
    </row>
    <row r="1467">
      <c r="A1467" s="16" t="str">
        <f t="shared" si="10"/>
        <v/>
      </c>
      <c r="B1467" s="48"/>
      <c r="C1467" s="14"/>
      <c r="D1467" s="56"/>
      <c r="E1467" s="16"/>
      <c r="F1467" s="14"/>
      <c r="G1467" s="14"/>
      <c r="H1467" s="14"/>
      <c r="I1467" s="17"/>
      <c r="J1467" s="16"/>
      <c r="K1467" s="17"/>
      <c r="L1467" s="16"/>
      <c r="N1467" s="28"/>
    </row>
    <row r="1468">
      <c r="A1468" s="16" t="str">
        <f t="shared" si="10"/>
        <v/>
      </c>
      <c r="B1468" s="48"/>
      <c r="C1468" s="14"/>
      <c r="D1468" s="56"/>
      <c r="E1468" s="16"/>
      <c r="F1468" s="14"/>
      <c r="G1468" s="14"/>
      <c r="H1468" s="14"/>
      <c r="I1468" s="17"/>
      <c r="J1468" s="16"/>
      <c r="K1468" s="17"/>
      <c r="L1468" s="16"/>
      <c r="N1468" s="28"/>
    </row>
    <row r="1469">
      <c r="A1469" s="16" t="str">
        <f t="shared" si="10"/>
        <v/>
      </c>
      <c r="B1469" s="48"/>
      <c r="C1469" s="14"/>
      <c r="D1469" s="56"/>
      <c r="E1469" s="16"/>
      <c r="F1469" s="14"/>
      <c r="G1469" s="14"/>
      <c r="H1469" s="14"/>
      <c r="I1469" s="17"/>
      <c r="J1469" s="16"/>
      <c r="K1469" s="17"/>
      <c r="L1469" s="16"/>
      <c r="N1469" s="28"/>
    </row>
    <row r="1470">
      <c r="A1470" s="16" t="str">
        <f t="shared" si="10"/>
        <v/>
      </c>
      <c r="B1470" s="48"/>
      <c r="C1470" s="14"/>
      <c r="D1470" s="56"/>
      <c r="E1470" s="16"/>
      <c r="F1470" s="14"/>
      <c r="G1470" s="14"/>
      <c r="H1470" s="14"/>
      <c r="I1470" s="17"/>
      <c r="J1470" s="16"/>
      <c r="K1470" s="17"/>
      <c r="L1470" s="16"/>
      <c r="N1470" s="28"/>
    </row>
    <row r="1471">
      <c r="A1471" s="16" t="str">
        <f t="shared" si="10"/>
        <v/>
      </c>
      <c r="B1471" s="48"/>
      <c r="C1471" s="14"/>
      <c r="D1471" s="56"/>
      <c r="E1471" s="16"/>
      <c r="F1471" s="14"/>
      <c r="G1471" s="14"/>
      <c r="H1471" s="14"/>
      <c r="I1471" s="17"/>
      <c r="J1471" s="16"/>
      <c r="K1471" s="17"/>
      <c r="L1471" s="16"/>
      <c r="N1471" s="28"/>
    </row>
    <row r="1472">
      <c r="A1472" s="16" t="str">
        <f t="shared" si="10"/>
        <v/>
      </c>
      <c r="B1472" s="48"/>
      <c r="C1472" s="14"/>
      <c r="D1472" s="56"/>
      <c r="E1472" s="16"/>
      <c r="F1472" s="14"/>
      <c r="G1472" s="14"/>
      <c r="H1472" s="14"/>
      <c r="I1472" s="17"/>
      <c r="J1472" s="16"/>
      <c r="K1472" s="17"/>
      <c r="L1472" s="16"/>
      <c r="N1472" s="28"/>
    </row>
    <row r="1473">
      <c r="A1473" s="16" t="str">
        <f t="shared" si="10"/>
        <v/>
      </c>
      <c r="B1473" s="48"/>
      <c r="C1473" s="14"/>
      <c r="D1473" s="56"/>
      <c r="E1473" s="16"/>
      <c r="F1473" s="14"/>
      <c r="G1473" s="14"/>
      <c r="H1473" s="14"/>
      <c r="I1473" s="17"/>
      <c r="J1473" s="16"/>
      <c r="K1473" s="17"/>
      <c r="L1473" s="16"/>
      <c r="N1473" s="28"/>
    </row>
    <row r="1474">
      <c r="A1474" s="16" t="str">
        <f t="shared" si="10"/>
        <v/>
      </c>
      <c r="B1474" s="48"/>
      <c r="C1474" s="14"/>
      <c r="D1474" s="56"/>
      <c r="E1474" s="16"/>
      <c r="F1474" s="14"/>
      <c r="G1474" s="14"/>
      <c r="H1474" s="14"/>
      <c r="I1474" s="17"/>
      <c r="J1474" s="16"/>
      <c r="K1474" s="17"/>
      <c r="L1474" s="16"/>
      <c r="N1474" s="28"/>
    </row>
    <row r="1475">
      <c r="A1475" s="16" t="str">
        <f t="shared" si="10"/>
        <v/>
      </c>
      <c r="B1475" s="48"/>
      <c r="C1475" s="14"/>
      <c r="D1475" s="56"/>
      <c r="E1475" s="16"/>
      <c r="F1475" s="14"/>
      <c r="G1475" s="14"/>
      <c r="H1475" s="14"/>
      <c r="I1475" s="17"/>
      <c r="J1475" s="16"/>
      <c r="K1475" s="17"/>
      <c r="L1475" s="16"/>
      <c r="N1475" s="28"/>
    </row>
    <row r="1476">
      <c r="A1476" s="16" t="str">
        <f t="shared" si="10"/>
        <v/>
      </c>
      <c r="B1476" s="48"/>
      <c r="C1476" s="14"/>
      <c r="D1476" s="56"/>
      <c r="E1476" s="16"/>
      <c r="F1476" s="14"/>
      <c r="G1476" s="14"/>
      <c r="H1476" s="14"/>
      <c r="I1476" s="17"/>
      <c r="J1476" s="16"/>
      <c r="K1476" s="17"/>
      <c r="L1476" s="16"/>
      <c r="N1476" s="28"/>
    </row>
    <row r="1477">
      <c r="A1477" s="16" t="str">
        <f t="shared" si="10"/>
        <v/>
      </c>
      <c r="B1477" s="48"/>
      <c r="C1477" s="14"/>
      <c r="D1477" s="56"/>
      <c r="E1477" s="16"/>
      <c r="F1477" s="14"/>
      <c r="G1477" s="14"/>
      <c r="H1477" s="14"/>
      <c r="I1477" s="17"/>
      <c r="J1477" s="16"/>
      <c r="K1477" s="17"/>
      <c r="L1477" s="16"/>
      <c r="N1477" s="28"/>
    </row>
    <row r="1478">
      <c r="A1478" s="16" t="str">
        <f t="shared" si="10"/>
        <v/>
      </c>
      <c r="B1478" s="48"/>
      <c r="C1478" s="14"/>
      <c r="D1478" s="56"/>
      <c r="E1478" s="16"/>
      <c r="F1478" s="14"/>
      <c r="G1478" s="14"/>
      <c r="H1478" s="14"/>
      <c r="I1478" s="17"/>
      <c r="J1478" s="16"/>
      <c r="K1478" s="17"/>
      <c r="L1478" s="16"/>
      <c r="N1478" s="28"/>
    </row>
    <row r="1479">
      <c r="A1479" s="16" t="str">
        <f t="shared" si="10"/>
        <v/>
      </c>
      <c r="B1479" s="48"/>
      <c r="C1479" s="14"/>
      <c r="D1479" s="56"/>
      <c r="E1479" s="16"/>
      <c r="F1479" s="14"/>
      <c r="G1479" s="14"/>
      <c r="H1479" s="14"/>
      <c r="I1479" s="17"/>
      <c r="J1479" s="16"/>
      <c r="K1479" s="17"/>
      <c r="L1479" s="16"/>
      <c r="N1479" s="28"/>
    </row>
    <row r="1480">
      <c r="A1480" s="16" t="str">
        <f t="shared" si="10"/>
        <v/>
      </c>
      <c r="B1480" s="48"/>
      <c r="C1480" s="14"/>
      <c r="D1480" s="56"/>
      <c r="E1480" s="16"/>
      <c r="F1480" s="14"/>
      <c r="G1480" s="14"/>
      <c r="H1480" s="14"/>
      <c r="I1480" s="17"/>
      <c r="J1480" s="16"/>
      <c r="K1480" s="17"/>
      <c r="L1480" s="16"/>
      <c r="N1480" s="28"/>
    </row>
    <row r="1481">
      <c r="A1481" s="16" t="str">
        <f t="shared" si="10"/>
        <v/>
      </c>
      <c r="B1481" s="48"/>
      <c r="C1481" s="14"/>
      <c r="D1481" s="56"/>
      <c r="E1481" s="16"/>
      <c r="F1481" s="14"/>
      <c r="G1481" s="14"/>
      <c r="H1481" s="14"/>
      <c r="I1481" s="17"/>
      <c r="J1481" s="16"/>
      <c r="K1481" s="17"/>
      <c r="L1481" s="16"/>
      <c r="N1481" s="28"/>
    </row>
    <row r="1482">
      <c r="A1482" s="16" t="str">
        <f t="shared" si="10"/>
        <v/>
      </c>
      <c r="B1482" s="48"/>
      <c r="C1482" s="14"/>
      <c r="D1482" s="56"/>
      <c r="E1482" s="16"/>
      <c r="F1482" s="14"/>
      <c r="G1482" s="14"/>
      <c r="H1482" s="14"/>
      <c r="I1482" s="17"/>
      <c r="J1482" s="16"/>
      <c r="K1482" s="17"/>
      <c r="L1482" s="16"/>
      <c r="N1482" s="28"/>
    </row>
    <row r="1483">
      <c r="A1483" s="16" t="str">
        <f t="shared" si="10"/>
        <v/>
      </c>
      <c r="B1483" s="48"/>
      <c r="C1483" s="14"/>
      <c r="D1483" s="56"/>
      <c r="E1483" s="16"/>
      <c r="F1483" s="14"/>
      <c r="G1483" s="14"/>
      <c r="H1483" s="14"/>
      <c r="I1483" s="17"/>
      <c r="J1483" s="16"/>
      <c r="K1483" s="17"/>
      <c r="L1483" s="16"/>
      <c r="N1483" s="28"/>
    </row>
    <row r="1484">
      <c r="A1484" s="16" t="str">
        <f t="shared" si="10"/>
        <v/>
      </c>
      <c r="B1484" s="48"/>
      <c r="C1484" s="14"/>
      <c r="D1484" s="56"/>
      <c r="E1484" s="16"/>
      <c r="F1484" s="14"/>
      <c r="G1484" s="14"/>
      <c r="H1484" s="14"/>
      <c r="I1484" s="17"/>
      <c r="J1484" s="16"/>
      <c r="K1484" s="17"/>
      <c r="L1484" s="16"/>
      <c r="N1484" s="28"/>
    </row>
    <row r="1485">
      <c r="A1485" s="16" t="str">
        <f t="shared" si="10"/>
        <v/>
      </c>
      <c r="B1485" s="48"/>
      <c r="C1485" s="14"/>
      <c r="D1485" s="56"/>
      <c r="E1485" s="16"/>
      <c r="F1485" s="14"/>
      <c r="G1485" s="14"/>
      <c r="H1485" s="14"/>
      <c r="I1485" s="17"/>
      <c r="J1485" s="16"/>
      <c r="K1485" s="17"/>
      <c r="L1485" s="16"/>
      <c r="N1485" s="28"/>
    </row>
    <row r="1486">
      <c r="A1486" s="16" t="str">
        <f t="shared" si="10"/>
        <v/>
      </c>
      <c r="B1486" s="48"/>
      <c r="C1486" s="14"/>
      <c r="D1486" s="56"/>
      <c r="E1486" s="16"/>
      <c r="F1486" s="14"/>
      <c r="G1486" s="14"/>
      <c r="H1486" s="14"/>
      <c r="I1486" s="17"/>
      <c r="J1486" s="16"/>
      <c r="K1486" s="17"/>
      <c r="L1486" s="16"/>
      <c r="N1486" s="28"/>
    </row>
    <row r="1487">
      <c r="A1487" s="16" t="str">
        <f t="shared" si="10"/>
        <v/>
      </c>
      <c r="B1487" s="48"/>
      <c r="C1487" s="14"/>
      <c r="D1487" s="56"/>
      <c r="E1487" s="16"/>
      <c r="F1487" s="14"/>
      <c r="G1487" s="14"/>
      <c r="H1487" s="14"/>
      <c r="I1487" s="17"/>
      <c r="J1487" s="16"/>
      <c r="K1487" s="17"/>
      <c r="L1487" s="16"/>
      <c r="N1487" s="28"/>
    </row>
    <row r="1488">
      <c r="A1488" s="16" t="str">
        <f t="shared" si="10"/>
        <v/>
      </c>
      <c r="B1488" s="48"/>
      <c r="C1488" s="14"/>
      <c r="D1488" s="56"/>
      <c r="E1488" s="16"/>
      <c r="F1488" s="14"/>
      <c r="G1488" s="14"/>
      <c r="H1488" s="14"/>
      <c r="I1488" s="17"/>
      <c r="J1488" s="16"/>
      <c r="K1488" s="17"/>
      <c r="L1488" s="16"/>
      <c r="N1488" s="28"/>
    </row>
    <row r="1489">
      <c r="A1489" s="16" t="str">
        <f t="shared" si="10"/>
        <v/>
      </c>
      <c r="B1489" s="48"/>
      <c r="C1489" s="14"/>
      <c r="D1489" s="56"/>
      <c r="E1489" s="16"/>
      <c r="F1489" s="14"/>
      <c r="G1489" s="14"/>
      <c r="H1489" s="14"/>
      <c r="I1489" s="17"/>
      <c r="J1489" s="16"/>
      <c r="K1489" s="17"/>
      <c r="L1489" s="16"/>
      <c r="N1489" s="28"/>
    </row>
    <row r="1490">
      <c r="A1490" s="16" t="str">
        <f t="shared" si="10"/>
        <v/>
      </c>
      <c r="B1490" s="48"/>
      <c r="C1490" s="14"/>
      <c r="D1490" s="56"/>
      <c r="E1490" s="16"/>
      <c r="F1490" s="14"/>
      <c r="G1490" s="14"/>
      <c r="H1490" s="14"/>
      <c r="I1490" s="17"/>
      <c r="J1490" s="16"/>
      <c r="K1490" s="17"/>
      <c r="L1490" s="16"/>
      <c r="N1490" s="28"/>
    </row>
    <row r="1491">
      <c r="A1491" s="16" t="str">
        <f t="shared" si="10"/>
        <v/>
      </c>
      <c r="B1491" s="48"/>
      <c r="C1491" s="14"/>
      <c r="D1491" s="56"/>
      <c r="E1491" s="16"/>
      <c r="F1491" s="14"/>
      <c r="G1491" s="14"/>
      <c r="H1491" s="14"/>
      <c r="I1491" s="17"/>
      <c r="J1491" s="16"/>
      <c r="K1491" s="17"/>
      <c r="L1491" s="16"/>
      <c r="N1491" s="28"/>
    </row>
    <row r="1492">
      <c r="A1492" s="16" t="str">
        <f t="shared" si="10"/>
        <v/>
      </c>
      <c r="B1492" s="48"/>
      <c r="C1492" s="14"/>
      <c r="D1492" s="56"/>
      <c r="E1492" s="16"/>
      <c r="F1492" s="14"/>
      <c r="G1492" s="14"/>
      <c r="H1492" s="14"/>
      <c r="I1492" s="17"/>
      <c r="J1492" s="16"/>
      <c r="K1492" s="17"/>
      <c r="L1492" s="16"/>
      <c r="N1492" s="28"/>
    </row>
    <row r="1493">
      <c r="A1493" s="16" t="str">
        <f t="shared" si="10"/>
        <v/>
      </c>
      <c r="B1493" s="48"/>
      <c r="C1493" s="14"/>
      <c r="D1493" s="56"/>
      <c r="E1493" s="16"/>
      <c r="F1493" s="14"/>
      <c r="G1493" s="14"/>
      <c r="H1493" s="14"/>
      <c r="I1493" s="17"/>
      <c r="J1493" s="16"/>
      <c r="K1493" s="17"/>
      <c r="L1493" s="16"/>
      <c r="N1493" s="28"/>
    </row>
    <row r="1494">
      <c r="A1494" s="16" t="str">
        <f t="shared" si="10"/>
        <v/>
      </c>
      <c r="B1494" s="48"/>
      <c r="C1494" s="14"/>
      <c r="D1494" s="56"/>
      <c r="E1494" s="16"/>
      <c r="F1494" s="14"/>
      <c r="G1494" s="14"/>
      <c r="H1494" s="14"/>
      <c r="I1494" s="17"/>
      <c r="J1494" s="16"/>
      <c r="K1494" s="17"/>
      <c r="L1494" s="16"/>
      <c r="N1494" s="28"/>
    </row>
    <row r="1495">
      <c r="A1495" s="16" t="str">
        <f t="shared" si="10"/>
        <v/>
      </c>
      <c r="B1495" s="48"/>
      <c r="C1495" s="14"/>
      <c r="D1495" s="56"/>
      <c r="E1495" s="16"/>
      <c r="F1495" s="14"/>
      <c r="G1495" s="14"/>
      <c r="H1495" s="14"/>
      <c r="I1495" s="17"/>
      <c r="J1495" s="16"/>
      <c r="K1495" s="17"/>
      <c r="L1495" s="16"/>
      <c r="N1495" s="28"/>
    </row>
    <row r="1496">
      <c r="A1496" s="16" t="str">
        <f t="shared" si="10"/>
        <v/>
      </c>
      <c r="B1496" s="48"/>
      <c r="C1496" s="14"/>
      <c r="D1496" s="56"/>
      <c r="E1496" s="16"/>
      <c r="F1496" s="14"/>
      <c r="G1496" s="14"/>
      <c r="H1496" s="14"/>
      <c r="I1496" s="17"/>
      <c r="J1496" s="16"/>
      <c r="K1496" s="17"/>
      <c r="L1496" s="16"/>
      <c r="N1496" s="28"/>
    </row>
    <row r="1497">
      <c r="A1497" s="16" t="str">
        <f t="shared" si="10"/>
        <v/>
      </c>
      <c r="B1497" s="48"/>
      <c r="C1497" s="14"/>
      <c r="D1497" s="56"/>
      <c r="E1497" s="16"/>
      <c r="F1497" s="14"/>
      <c r="G1497" s="14"/>
      <c r="H1497" s="14"/>
      <c r="I1497" s="17"/>
      <c r="J1497" s="16"/>
      <c r="K1497" s="17"/>
      <c r="L1497" s="16"/>
      <c r="N1497" s="28"/>
    </row>
    <row r="1498">
      <c r="A1498" s="16" t="str">
        <f t="shared" si="10"/>
        <v/>
      </c>
      <c r="B1498" s="48"/>
      <c r="C1498" s="14"/>
      <c r="D1498" s="56"/>
      <c r="E1498" s="16"/>
      <c r="F1498" s="14"/>
      <c r="G1498" s="14"/>
      <c r="H1498" s="14"/>
      <c r="I1498" s="17"/>
      <c r="J1498" s="16"/>
      <c r="K1498" s="17"/>
      <c r="L1498" s="16"/>
      <c r="N1498" s="28"/>
    </row>
    <row r="1499">
      <c r="A1499" s="16" t="str">
        <f t="shared" si="10"/>
        <v/>
      </c>
      <c r="B1499" s="48"/>
      <c r="C1499" s="14"/>
      <c r="D1499" s="56"/>
      <c r="E1499" s="16"/>
      <c r="F1499" s="14"/>
      <c r="G1499" s="14"/>
      <c r="H1499" s="14"/>
      <c r="I1499" s="17"/>
      <c r="J1499" s="16"/>
      <c r="K1499" s="17"/>
      <c r="L1499" s="16"/>
      <c r="N1499" s="28"/>
    </row>
    <row r="1500">
      <c r="A1500" s="16" t="str">
        <f t="shared" si="10"/>
        <v/>
      </c>
      <c r="B1500" s="48"/>
      <c r="C1500" s="14"/>
      <c r="D1500" s="56"/>
      <c r="E1500" s="16"/>
      <c r="F1500" s="14"/>
      <c r="G1500" s="14"/>
      <c r="H1500" s="14"/>
      <c r="I1500" s="17"/>
      <c r="J1500" s="16"/>
      <c r="K1500" s="17"/>
      <c r="L1500" s="16"/>
      <c r="N1500" s="28"/>
    </row>
    <row r="1501">
      <c r="A1501" s="16" t="str">
        <f t="shared" si="10"/>
        <v/>
      </c>
      <c r="B1501" s="48"/>
      <c r="C1501" s="14"/>
      <c r="D1501" s="56"/>
      <c r="E1501" s="16"/>
      <c r="F1501" s="14"/>
      <c r="G1501" s="14"/>
      <c r="H1501" s="14"/>
      <c r="I1501" s="17"/>
      <c r="J1501" s="16"/>
      <c r="K1501" s="17"/>
      <c r="L1501" s="16"/>
      <c r="N1501" s="28"/>
    </row>
    <row r="1502">
      <c r="A1502" s="16" t="str">
        <f t="shared" si="10"/>
        <v/>
      </c>
      <c r="B1502" s="48"/>
      <c r="C1502" s="14"/>
      <c r="D1502" s="56"/>
      <c r="E1502" s="16"/>
      <c r="F1502" s="14"/>
      <c r="G1502" s="14"/>
      <c r="H1502" s="14"/>
      <c r="I1502" s="17"/>
      <c r="J1502" s="16"/>
      <c r="K1502" s="17"/>
      <c r="L1502" s="16"/>
      <c r="N1502" s="28"/>
    </row>
    <row r="1503">
      <c r="A1503" s="16" t="str">
        <f t="shared" si="10"/>
        <v/>
      </c>
      <c r="B1503" s="48"/>
      <c r="C1503" s="14"/>
      <c r="D1503" s="56"/>
      <c r="E1503" s="16"/>
      <c r="F1503" s="14"/>
      <c r="G1503" s="14"/>
      <c r="H1503" s="14"/>
      <c r="I1503" s="17"/>
      <c r="J1503" s="16"/>
      <c r="K1503" s="17"/>
      <c r="L1503" s="16"/>
      <c r="N1503" s="28"/>
    </row>
    <row r="1504">
      <c r="A1504" s="16" t="str">
        <f t="shared" si="10"/>
        <v/>
      </c>
      <c r="B1504" s="48"/>
      <c r="C1504" s="14"/>
      <c r="D1504" s="56"/>
      <c r="E1504" s="16"/>
      <c r="F1504" s="14"/>
      <c r="G1504" s="14"/>
      <c r="H1504" s="14"/>
      <c r="I1504" s="17"/>
      <c r="J1504" s="16"/>
      <c r="K1504" s="17"/>
      <c r="L1504" s="16"/>
      <c r="N1504" s="28"/>
    </row>
    <row r="1505">
      <c r="A1505" s="16" t="str">
        <f t="shared" si="10"/>
        <v/>
      </c>
      <c r="B1505" s="48"/>
      <c r="C1505" s="14"/>
      <c r="D1505" s="56"/>
      <c r="E1505" s="16"/>
      <c r="F1505" s="14"/>
      <c r="G1505" s="14"/>
      <c r="H1505" s="14"/>
      <c r="I1505" s="17"/>
      <c r="J1505" s="16"/>
      <c r="K1505" s="17"/>
      <c r="L1505" s="16"/>
      <c r="N1505" s="28"/>
    </row>
    <row r="1506">
      <c r="A1506" s="16" t="str">
        <f t="shared" si="10"/>
        <v/>
      </c>
      <c r="B1506" s="48"/>
      <c r="C1506" s="14"/>
      <c r="D1506" s="56"/>
      <c r="E1506" s="16"/>
      <c r="F1506" s="14"/>
      <c r="G1506" s="14"/>
      <c r="H1506" s="14"/>
      <c r="I1506" s="17"/>
      <c r="J1506" s="16"/>
      <c r="K1506" s="17"/>
      <c r="L1506" s="16"/>
      <c r="N1506" s="28"/>
    </row>
    <row r="1507">
      <c r="A1507" s="16" t="str">
        <f t="shared" si="10"/>
        <v/>
      </c>
      <c r="B1507" s="48"/>
      <c r="C1507" s="14"/>
      <c r="D1507" s="56"/>
      <c r="E1507" s="16"/>
      <c r="F1507" s="14"/>
      <c r="G1507" s="14"/>
      <c r="H1507" s="14"/>
      <c r="I1507" s="17"/>
      <c r="J1507" s="16"/>
      <c r="K1507" s="17"/>
      <c r="L1507" s="16"/>
      <c r="N1507" s="28"/>
    </row>
    <row r="1508">
      <c r="A1508" s="16" t="str">
        <f t="shared" si="10"/>
        <v/>
      </c>
      <c r="B1508" s="48"/>
      <c r="C1508" s="14"/>
      <c r="D1508" s="56"/>
      <c r="E1508" s="16"/>
      <c r="F1508" s="14"/>
      <c r="G1508" s="14"/>
      <c r="H1508" s="14"/>
      <c r="I1508" s="17"/>
      <c r="J1508" s="16"/>
      <c r="K1508" s="17"/>
      <c r="L1508" s="16"/>
      <c r="N1508" s="28"/>
    </row>
    <row r="1509">
      <c r="A1509" s="16" t="str">
        <f t="shared" si="10"/>
        <v/>
      </c>
      <c r="B1509" s="48"/>
      <c r="C1509" s="14"/>
      <c r="D1509" s="56"/>
      <c r="E1509" s="16"/>
      <c r="F1509" s="14"/>
      <c r="G1509" s="14"/>
      <c r="H1509" s="14"/>
      <c r="I1509" s="17"/>
      <c r="J1509" s="16"/>
      <c r="K1509" s="17"/>
      <c r="L1509" s="16"/>
      <c r="N1509" s="28"/>
    </row>
    <row r="1510">
      <c r="A1510" s="16" t="str">
        <f t="shared" si="10"/>
        <v/>
      </c>
      <c r="B1510" s="48"/>
      <c r="C1510" s="14"/>
      <c r="D1510" s="56"/>
      <c r="E1510" s="16"/>
      <c r="F1510" s="14"/>
      <c r="G1510" s="14"/>
      <c r="H1510" s="14"/>
      <c r="I1510" s="17"/>
      <c r="J1510" s="16"/>
      <c r="K1510" s="17"/>
      <c r="L1510" s="16"/>
      <c r="N1510" s="28"/>
    </row>
    <row r="1511">
      <c r="A1511" s="16" t="str">
        <f t="shared" si="10"/>
        <v/>
      </c>
      <c r="B1511" s="48"/>
      <c r="C1511" s="14"/>
      <c r="D1511" s="56"/>
      <c r="E1511" s="16"/>
      <c r="F1511" s="14"/>
      <c r="G1511" s="14"/>
      <c r="H1511" s="14"/>
      <c r="I1511" s="17"/>
      <c r="J1511" s="16"/>
      <c r="K1511" s="17"/>
      <c r="L1511" s="16"/>
      <c r="N1511" s="28"/>
    </row>
    <row r="1512">
      <c r="A1512" s="16" t="str">
        <f t="shared" si="10"/>
        <v/>
      </c>
      <c r="B1512" s="48"/>
      <c r="C1512" s="14"/>
      <c r="D1512" s="56"/>
      <c r="E1512" s="16"/>
      <c r="F1512" s="14"/>
      <c r="G1512" s="14"/>
      <c r="H1512" s="14"/>
      <c r="I1512" s="17"/>
      <c r="J1512" s="16"/>
      <c r="K1512" s="17"/>
      <c r="L1512" s="16"/>
      <c r="N1512" s="28"/>
    </row>
    <row r="1513">
      <c r="A1513" s="16" t="str">
        <f t="shared" si="10"/>
        <v/>
      </c>
      <c r="B1513" s="48"/>
      <c r="C1513" s="14"/>
      <c r="D1513" s="56"/>
      <c r="E1513" s="16"/>
      <c r="F1513" s="14"/>
      <c r="G1513" s="14"/>
      <c r="H1513" s="14"/>
      <c r="I1513" s="17"/>
      <c r="J1513" s="16"/>
      <c r="K1513" s="17"/>
      <c r="L1513" s="16"/>
      <c r="N1513" s="28"/>
    </row>
    <row r="1514">
      <c r="A1514" s="16" t="str">
        <f t="shared" si="10"/>
        <v/>
      </c>
      <c r="B1514" s="48"/>
      <c r="C1514" s="14"/>
      <c r="D1514" s="56"/>
      <c r="E1514" s="16"/>
      <c r="F1514" s="14"/>
      <c r="G1514" s="14"/>
      <c r="H1514" s="14"/>
      <c r="I1514" s="17"/>
      <c r="J1514" s="16"/>
      <c r="K1514" s="17"/>
      <c r="L1514" s="16"/>
      <c r="N1514" s="28"/>
    </row>
    <row r="1515">
      <c r="A1515" s="16" t="str">
        <f t="shared" si="10"/>
        <v/>
      </c>
      <c r="B1515" s="48"/>
      <c r="C1515" s="14"/>
      <c r="D1515" s="56"/>
      <c r="E1515" s="16"/>
      <c r="F1515" s="14"/>
      <c r="G1515" s="14"/>
      <c r="H1515" s="14"/>
      <c r="I1515" s="17"/>
      <c r="J1515" s="16"/>
      <c r="K1515" s="17"/>
      <c r="L1515" s="16"/>
      <c r="N1515" s="28"/>
    </row>
    <row r="1516">
      <c r="A1516" s="16" t="str">
        <f t="shared" si="10"/>
        <v/>
      </c>
      <c r="B1516" s="48"/>
      <c r="C1516" s="14"/>
      <c r="D1516" s="56"/>
      <c r="E1516" s="16"/>
      <c r="F1516" s="14"/>
      <c r="G1516" s="14"/>
      <c r="H1516" s="14"/>
      <c r="I1516" s="17"/>
      <c r="J1516" s="16"/>
      <c r="K1516" s="17"/>
      <c r="L1516" s="16"/>
      <c r="N1516" s="28"/>
    </row>
    <row r="1517">
      <c r="A1517" s="16" t="str">
        <f t="shared" si="10"/>
        <v/>
      </c>
      <c r="B1517" s="48"/>
      <c r="C1517" s="14"/>
      <c r="D1517" s="56"/>
      <c r="E1517" s="16"/>
      <c r="F1517" s="14"/>
      <c r="G1517" s="14"/>
      <c r="H1517" s="14"/>
      <c r="I1517" s="17"/>
      <c r="J1517" s="16"/>
      <c r="K1517" s="17"/>
      <c r="L1517" s="16"/>
      <c r="N1517" s="28"/>
    </row>
    <row r="1518">
      <c r="A1518" s="16" t="str">
        <f t="shared" si="10"/>
        <v/>
      </c>
      <c r="B1518" s="48"/>
      <c r="C1518" s="14"/>
      <c r="D1518" s="56"/>
      <c r="E1518" s="16"/>
      <c r="F1518" s="14"/>
      <c r="G1518" s="14"/>
      <c r="H1518" s="14"/>
      <c r="I1518" s="17"/>
      <c r="J1518" s="16"/>
      <c r="K1518" s="17"/>
      <c r="L1518" s="16"/>
      <c r="N1518" s="28"/>
    </row>
    <row r="1519">
      <c r="A1519" s="16" t="str">
        <f t="shared" si="10"/>
        <v/>
      </c>
      <c r="B1519" s="48"/>
      <c r="C1519" s="14"/>
      <c r="D1519" s="56"/>
      <c r="E1519" s="16"/>
      <c r="F1519" s="14"/>
      <c r="G1519" s="14"/>
      <c r="H1519" s="14"/>
      <c r="I1519" s="17"/>
      <c r="J1519" s="16"/>
      <c r="K1519" s="17"/>
      <c r="L1519" s="16"/>
      <c r="N1519" s="28"/>
    </row>
    <row r="1520">
      <c r="A1520" s="16" t="str">
        <f t="shared" si="10"/>
        <v/>
      </c>
      <c r="B1520" s="48"/>
      <c r="C1520" s="14"/>
      <c r="D1520" s="56"/>
      <c r="E1520" s="16"/>
      <c r="F1520" s="14"/>
      <c r="G1520" s="14"/>
      <c r="H1520" s="14"/>
      <c r="I1520" s="17"/>
      <c r="J1520" s="16"/>
      <c r="K1520" s="17"/>
      <c r="L1520" s="16"/>
      <c r="N1520" s="28"/>
    </row>
    <row r="1521">
      <c r="A1521" s="16" t="str">
        <f t="shared" si="10"/>
        <v/>
      </c>
      <c r="B1521" s="48"/>
      <c r="C1521" s="14"/>
      <c r="D1521" s="56"/>
      <c r="E1521" s="16"/>
      <c r="F1521" s="14"/>
      <c r="G1521" s="14"/>
      <c r="H1521" s="14"/>
      <c r="I1521" s="17"/>
      <c r="J1521" s="16"/>
      <c r="K1521" s="17"/>
      <c r="L1521" s="16"/>
      <c r="N1521" s="28"/>
    </row>
    <row r="1522">
      <c r="A1522" s="16" t="str">
        <f t="shared" si="10"/>
        <v/>
      </c>
      <c r="B1522" s="48"/>
      <c r="C1522" s="14"/>
      <c r="D1522" s="56"/>
      <c r="E1522" s="16"/>
      <c r="F1522" s="14"/>
      <c r="G1522" s="14"/>
      <c r="H1522" s="14"/>
      <c r="I1522" s="17"/>
      <c r="J1522" s="16"/>
      <c r="K1522" s="17"/>
      <c r="L1522" s="16"/>
      <c r="N1522" s="28"/>
    </row>
    <row r="1523">
      <c r="A1523" s="16" t="str">
        <f t="shared" si="10"/>
        <v/>
      </c>
      <c r="B1523" s="48"/>
      <c r="C1523" s="14"/>
      <c r="D1523" s="56"/>
      <c r="E1523" s="16"/>
      <c r="F1523" s="14"/>
      <c r="G1523" s="14"/>
      <c r="H1523" s="14"/>
      <c r="I1523" s="17"/>
      <c r="J1523" s="16"/>
      <c r="K1523" s="17"/>
      <c r="L1523" s="16"/>
      <c r="N1523" s="28"/>
    </row>
    <row r="1524">
      <c r="A1524" s="16" t="str">
        <f t="shared" si="10"/>
        <v/>
      </c>
      <c r="B1524" s="48"/>
      <c r="C1524" s="14"/>
      <c r="D1524" s="56"/>
      <c r="E1524" s="16"/>
      <c r="F1524" s="14"/>
      <c r="G1524" s="14"/>
      <c r="H1524" s="14"/>
      <c r="I1524" s="17"/>
      <c r="J1524" s="16"/>
      <c r="K1524" s="17"/>
      <c r="L1524" s="16"/>
      <c r="N1524" s="28"/>
    </row>
    <row r="1525">
      <c r="A1525" s="16" t="str">
        <f t="shared" si="10"/>
        <v/>
      </c>
      <c r="B1525" s="48"/>
      <c r="C1525" s="14"/>
      <c r="D1525" s="56"/>
      <c r="E1525" s="16"/>
      <c r="F1525" s="14"/>
      <c r="G1525" s="14"/>
      <c r="H1525" s="14"/>
      <c r="I1525" s="17"/>
      <c r="J1525" s="16"/>
      <c r="K1525" s="17"/>
      <c r="L1525" s="16"/>
      <c r="N1525" s="28"/>
    </row>
    <row r="1526">
      <c r="A1526" s="16" t="str">
        <f t="shared" si="10"/>
        <v/>
      </c>
      <c r="B1526" s="48"/>
      <c r="C1526" s="14"/>
      <c r="D1526" s="56"/>
      <c r="E1526" s="16"/>
      <c r="F1526" s="14"/>
      <c r="G1526" s="14"/>
      <c r="H1526" s="14"/>
      <c r="I1526" s="17"/>
      <c r="J1526" s="16"/>
      <c r="K1526" s="17"/>
      <c r="L1526" s="16"/>
      <c r="N1526" s="28"/>
    </row>
    <row r="1527">
      <c r="A1527" s="16" t="str">
        <f t="shared" si="10"/>
        <v/>
      </c>
      <c r="B1527" s="48"/>
      <c r="C1527" s="14"/>
      <c r="D1527" s="56"/>
      <c r="E1527" s="16"/>
      <c r="F1527" s="14"/>
      <c r="G1527" s="14"/>
      <c r="H1527" s="14"/>
      <c r="I1527" s="17"/>
      <c r="J1527" s="16"/>
      <c r="K1527" s="17"/>
      <c r="L1527" s="16"/>
      <c r="N1527" s="28"/>
    </row>
    <row r="1528">
      <c r="A1528" s="16" t="str">
        <f t="shared" si="10"/>
        <v/>
      </c>
      <c r="B1528" s="48"/>
      <c r="C1528" s="14"/>
      <c r="D1528" s="56"/>
      <c r="E1528" s="16"/>
      <c r="F1528" s="14"/>
      <c r="G1528" s="14"/>
      <c r="H1528" s="14"/>
      <c r="I1528" s="17"/>
      <c r="J1528" s="16"/>
      <c r="K1528" s="17"/>
      <c r="L1528" s="16"/>
      <c r="N1528" s="28"/>
    </row>
    <row r="1529">
      <c r="A1529" s="16" t="str">
        <f t="shared" si="10"/>
        <v/>
      </c>
      <c r="B1529" s="48"/>
      <c r="C1529" s="14"/>
      <c r="D1529" s="56"/>
      <c r="E1529" s="16"/>
      <c r="F1529" s="14"/>
      <c r="G1529" s="14"/>
      <c r="H1529" s="14"/>
      <c r="I1529" s="17"/>
      <c r="J1529" s="16"/>
      <c r="K1529" s="17"/>
      <c r="L1529" s="16"/>
      <c r="N1529" s="28"/>
    </row>
    <row r="1530">
      <c r="A1530" s="16" t="str">
        <f t="shared" si="10"/>
        <v/>
      </c>
      <c r="B1530" s="48"/>
      <c r="C1530" s="14"/>
      <c r="D1530" s="56"/>
      <c r="E1530" s="16"/>
      <c r="F1530" s="14"/>
      <c r="G1530" s="14"/>
      <c r="H1530" s="14"/>
      <c r="I1530" s="17"/>
      <c r="J1530" s="16"/>
      <c r="K1530" s="17"/>
      <c r="L1530" s="16"/>
      <c r="N1530" s="28"/>
    </row>
    <row r="1531">
      <c r="A1531" s="16" t="str">
        <f t="shared" si="10"/>
        <v/>
      </c>
      <c r="B1531" s="48"/>
      <c r="C1531" s="14"/>
      <c r="D1531" s="56"/>
      <c r="E1531" s="16"/>
      <c r="F1531" s="14"/>
      <c r="G1531" s="14"/>
      <c r="H1531" s="14"/>
      <c r="I1531" s="17"/>
      <c r="J1531" s="16"/>
      <c r="K1531" s="17"/>
      <c r="L1531" s="16"/>
      <c r="N1531" s="28"/>
    </row>
    <row r="1532">
      <c r="A1532" s="16" t="str">
        <f t="shared" si="10"/>
        <v/>
      </c>
      <c r="B1532" s="48"/>
      <c r="C1532" s="14"/>
      <c r="D1532" s="56"/>
      <c r="E1532" s="16"/>
      <c r="F1532" s="14"/>
      <c r="G1532" s="14"/>
      <c r="H1532" s="14"/>
      <c r="I1532" s="17"/>
      <c r="J1532" s="16"/>
      <c r="K1532" s="17"/>
      <c r="L1532" s="16"/>
      <c r="N1532" s="28"/>
    </row>
    <row r="1533">
      <c r="A1533" s="16" t="str">
        <f t="shared" si="10"/>
        <v/>
      </c>
      <c r="B1533" s="48"/>
      <c r="C1533" s="14"/>
      <c r="D1533" s="56"/>
      <c r="E1533" s="16"/>
      <c r="F1533" s="14"/>
      <c r="G1533" s="14"/>
      <c r="H1533" s="14"/>
      <c r="I1533" s="17"/>
      <c r="J1533" s="16"/>
      <c r="K1533" s="17"/>
      <c r="L1533" s="16"/>
      <c r="N1533" s="28"/>
    </row>
    <row r="1534">
      <c r="A1534" s="16" t="str">
        <f t="shared" si="10"/>
        <v/>
      </c>
      <c r="B1534" s="48"/>
      <c r="C1534" s="14"/>
      <c r="D1534" s="56"/>
      <c r="E1534" s="16"/>
      <c r="F1534" s="14"/>
      <c r="G1534" s="14"/>
      <c r="H1534" s="14"/>
      <c r="I1534" s="17"/>
      <c r="J1534" s="16"/>
      <c r="K1534" s="17"/>
      <c r="L1534" s="16"/>
      <c r="N1534" s="28"/>
    </row>
    <row r="1535">
      <c r="A1535" s="16" t="str">
        <f t="shared" si="10"/>
        <v/>
      </c>
      <c r="B1535" s="48"/>
      <c r="C1535" s="14"/>
      <c r="D1535" s="56"/>
      <c r="E1535" s="16"/>
      <c r="F1535" s="14"/>
      <c r="G1535" s="14"/>
      <c r="H1535" s="14"/>
      <c r="I1535" s="17"/>
      <c r="J1535" s="16"/>
      <c r="K1535" s="17"/>
      <c r="L1535" s="16"/>
      <c r="N1535" s="28"/>
    </row>
    <row r="1536">
      <c r="A1536" s="16" t="str">
        <f t="shared" si="10"/>
        <v/>
      </c>
      <c r="B1536" s="48"/>
      <c r="C1536" s="14"/>
      <c r="D1536" s="56"/>
      <c r="E1536" s="16"/>
      <c r="F1536" s="14"/>
      <c r="G1536" s="14"/>
      <c r="H1536" s="14"/>
      <c r="I1536" s="17"/>
      <c r="J1536" s="16"/>
      <c r="K1536" s="17"/>
      <c r="L1536" s="16"/>
      <c r="N1536" s="28"/>
    </row>
    <row r="1537">
      <c r="A1537" s="16" t="str">
        <f t="shared" si="10"/>
        <v/>
      </c>
      <c r="B1537" s="48"/>
      <c r="C1537" s="14"/>
      <c r="D1537" s="56"/>
      <c r="E1537" s="16"/>
      <c r="F1537" s="14"/>
      <c r="G1537" s="14"/>
      <c r="H1537" s="14"/>
      <c r="I1537" s="17"/>
      <c r="J1537" s="16"/>
      <c r="K1537" s="17"/>
      <c r="L1537" s="16"/>
      <c r="N1537" s="28"/>
    </row>
    <row r="1538">
      <c r="A1538" s="16" t="str">
        <f t="shared" si="10"/>
        <v/>
      </c>
      <c r="B1538" s="48"/>
      <c r="C1538" s="14"/>
      <c r="D1538" s="56"/>
      <c r="E1538" s="16"/>
      <c r="F1538" s="14"/>
      <c r="G1538" s="14"/>
      <c r="H1538" s="14"/>
      <c r="I1538" s="17"/>
      <c r="J1538" s="16"/>
      <c r="K1538" s="17"/>
      <c r="L1538" s="16"/>
      <c r="N1538" s="28"/>
    </row>
    <row r="1539">
      <c r="A1539" s="16" t="str">
        <f t="shared" si="10"/>
        <v/>
      </c>
      <c r="B1539" s="48"/>
      <c r="C1539" s="14"/>
      <c r="D1539" s="56"/>
      <c r="E1539" s="16"/>
      <c r="F1539" s="14"/>
      <c r="G1539" s="14"/>
      <c r="H1539" s="14"/>
      <c r="I1539" s="17"/>
      <c r="J1539" s="16"/>
      <c r="K1539" s="17"/>
      <c r="L1539" s="16"/>
      <c r="N1539" s="28"/>
    </row>
    <row r="1540">
      <c r="A1540" s="16" t="str">
        <f t="shared" si="10"/>
        <v/>
      </c>
      <c r="B1540" s="48"/>
      <c r="C1540" s="14"/>
      <c r="D1540" s="56"/>
      <c r="E1540" s="16"/>
      <c r="F1540" s="14"/>
      <c r="G1540" s="14"/>
      <c r="H1540" s="14"/>
      <c r="I1540" s="17"/>
      <c r="J1540" s="16"/>
      <c r="K1540" s="17"/>
      <c r="L1540" s="16"/>
      <c r="N1540" s="28"/>
    </row>
    <row r="1541">
      <c r="A1541" s="16" t="str">
        <f t="shared" si="10"/>
        <v/>
      </c>
      <c r="B1541" s="48"/>
      <c r="C1541" s="14"/>
      <c r="D1541" s="56"/>
      <c r="E1541" s="16"/>
      <c r="F1541" s="14"/>
      <c r="G1541" s="14"/>
      <c r="H1541" s="14"/>
      <c r="I1541" s="17"/>
      <c r="J1541" s="16"/>
      <c r="K1541" s="17"/>
      <c r="L1541" s="16"/>
      <c r="N1541" s="28"/>
    </row>
    <row r="1542">
      <c r="A1542" s="16" t="str">
        <f t="shared" si="10"/>
        <v/>
      </c>
      <c r="B1542" s="48"/>
      <c r="C1542" s="14"/>
      <c r="D1542" s="56"/>
      <c r="E1542" s="16"/>
      <c r="F1542" s="14"/>
      <c r="G1542" s="14"/>
      <c r="H1542" s="14"/>
      <c r="I1542" s="17"/>
      <c r="J1542" s="16"/>
      <c r="K1542" s="17"/>
      <c r="L1542" s="16"/>
      <c r="N1542" s="28"/>
    </row>
    <row r="1543">
      <c r="A1543" s="16" t="str">
        <f t="shared" si="10"/>
        <v/>
      </c>
      <c r="B1543" s="48"/>
      <c r="C1543" s="14"/>
      <c r="D1543" s="56"/>
      <c r="E1543" s="16"/>
      <c r="F1543" s="14"/>
      <c r="G1543" s="14"/>
      <c r="H1543" s="14"/>
      <c r="I1543" s="17"/>
      <c r="J1543" s="16"/>
      <c r="K1543" s="17"/>
      <c r="L1543" s="16"/>
      <c r="N1543" s="28"/>
    </row>
    <row r="1544">
      <c r="A1544" s="16" t="str">
        <f t="shared" si="10"/>
        <v/>
      </c>
      <c r="B1544" s="48"/>
      <c r="C1544" s="14"/>
      <c r="D1544" s="56"/>
      <c r="E1544" s="16"/>
      <c r="F1544" s="14"/>
      <c r="G1544" s="14"/>
      <c r="H1544" s="14"/>
      <c r="I1544" s="17"/>
      <c r="J1544" s="16"/>
      <c r="K1544" s="17"/>
      <c r="L1544" s="16"/>
      <c r="N1544" s="28"/>
    </row>
    <row r="1545">
      <c r="A1545" s="16" t="str">
        <f t="shared" si="10"/>
        <v/>
      </c>
      <c r="B1545" s="48"/>
      <c r="C1545" s="14"/>
      <c r="D1545" s="56"/>
      <c r="E1545" s="16"/>
      <c r="F1545" s="14"/>
      <c r="G1545" s="14"/>
      <c r="H1545" s="14"/>
      <c r="I1545" s="17"/>
      <c r="J1545" s="16"/>
      <c r="K1545" s="17"/>
      <c r="L1545" s="16"/>
      <c r="N1545" s="28"/>
    </row>
    <row r="1546">
      <c r="A1546" s="16" t="str">
        <f t="shared" si="10"/>
        <v/>
      </c>
      <c r="B1546" s="48"/>
      <c r="C1546" s="14"/>
      <c r="D1546" s="56"/>
      <c r="E1546" s="16"/>
      <c r="F1546" s="14"/>
      <c r="G1546" s="14"/>
      <c r="H1546" s="14"/>
      <c r="I1546" s="17"/>
      <c r="J1546" s="16"/>
      <c r="K1546" s="17"/>
      <c r="L1546" s="16"/>
      <c r="N1546" s="28"/>
    </row>
    <row r="1547">
      <c r="A1547" s="16" t="str">
        <f t="shared" si="10"/>
        <v/>
      </c>
      <c r="B1547" s="48"/>
      <c r="C1547" s="14"/>
      <c r="D1547" s="56"/>
      <c r="E1547" s="16"/>
      <c r="F1547" s="14"/>
      <c r="G1547" s="14"/>
      <c r="H1547" s="14"/>
      <c r="I1547" s="17"/>
      <c r="J1547" s="16"/>
      <c r="K1547" s="17"/>
      <c r="L1547" s="16"/>
      <c r="N1547" s="28"/>
    </row>
    <row r="1548">
      <c r="A1548" s="16" t="str">
        <f t="shared" si="10"/>
        <v/>
      </c>
      <c r="B1548" s="48"/>
      <c r="C1548" s="14"/>
      <c r="D1548" s="56"/>
      <c r="E1548" s="16"/>
      <c r="F1548" s="14"/>
      <c r="G1548" s="14"/>
      <c r="H1548" s="14"/>
      <c r="I1548" s="17"/>
      <c r="J1548" s="16"/>
      <c r="K1548" s="17"/>
      <c r="L1548" s="16"/>
      <c r="N1548" s="28"/>
    </row>
    <row r="1549">
      <c r="A1549" s="16" t="str">
        <f t="shared" si="10"/>
        <v/>
      </c>
      <c r="B1549" s="48"/>
      <c r="C1549" s="14"/>
      <c r="D1549" s="56"/>
      <c r="E1549" s="16"/>
      <c r="F1549" s="14"/>
      <c r="G1549" s="14"/>
      <c r="H1549" s="14"/>
      <c r="I1549" s="17"/>
      <c r="J1549" s="16"/>
      <c r="K1549" s="17"/>
      <c r="L1549" s="16"/>
      <c r="N1549" s="28"/>
    </row>
    <row r="1550">
      <c r="A1550" s="16" t="str">
        <f t="shared" si="10"/>
        <v/>
      </c>
      <c r="B1550" s="48"/>
      <c r="C1550" s="14"/>
      <c r="D1550" s="56"/>
      <c r="E1550" s="16"/>
      <c r="F1550" s="14"/>
      <c r="G1550" s="14"/>
      <c r="H1550" s="14"/>
      <c r="I1550" s="17"/>
      <c r="J1550" s="16"/>
      <c r="K1550" s="17"/>
      <c r="L1550" s="16"/>
      <c r="N1550" s="28"/>
    </row>
    <row r="1551">
      <c r="A1551" s="16" t="str">
        <f t="shared" si="10"/>
        <v/>
      </c>
      <c r="B1551" s="48"/>
      <c r="C1551" s="14"/>
      <c r="D1551" s="56"/>
      <c r="E1551" s="16"/>
      <c r="F1551" s="14"/>
      <c r="G1551" s="14"/>
      <c r="H1551" s="14"/>
      <c r="I1551" s="17"/>
      <c r="J1551" s="16"/>
      <c r="K1551" s="17"/>
      <c r="L1551" s="16"/>
      <c r="N1551" s="28"/>
    </row>
    <row r="1552">
      <c r="A1552" s="16" t="str">
        <f t="shared" si="10"/>
        <v/>
      </c>
      <c r="B1552" s="48"/>
      <c r="C1552" s="14"/>
      <c r="D1552" s="56"/>
      <c r="E1552" s="16"/>
      <c r="F1552" s="14"/>
      <c r="G1552" s="14"/>
      <c r="H1552" s="14"/>
      <c r="I1552" s="17"/>
      <c r="J1552" s="16"/>
      <c r="K1552" s="17"/>
      <c r="L1552" s="16"/>
      <c r="N1552" s="28"/>
    </row>
    <row r="1553">
      <c r="A1553" s="16" t="str">
        <f t="shared" si="10"/>
        <v/>
      </c>
      <c r="B1553" s="48"/>
      <c r="C1553" s="14"/>
      <c r="D1553" s="56"/>
      <c r="E1553" s="16"/>
      <c r="F1553" s="14"/>
      <c r="G1553" s="14"/>
      <c r="H1553" s="14"/>
      <c r="I1553" s="17"/>
      <c r="J1553" s="16"/>
      <c r="K1553" s="17"/>
      <c r="L1553" s="16"/>
      <c r="N1553" s="28"/>
    </row>
    <row r="1554">
      <c r="A1554" s="16" t="str">
        <f t="shared" si="10"/>
        <v/>
      </c>
      <c r="B1554" s="48"/>
      <c r="C1554" s="14"/>
      <c r="D1554" s="56"/>
      <c r="E1554" s="16"/>
      <c r="F1554" s="14"/>
      <c r="G1554" s="14"/>
      <c r="H1554" s="14"/>
      <c r="I1554" s="17"/>
      <c r="J1554" s="16"/>
      <c r="K1554" s="17"/>
      <c r="L1554" s="16"/>
      <c r="N1554" s="28"/>
    </row>
    <row r="1555">
      <c r="A1555" s="16" t="str">
        <f t="shared" si="10"/>
        <v/>
      </c>
      <c r="B1555" s="48"/>
      <c r="C1555" s="14"/>
      <c r="D1555" s="56"/>
      <c r="E1555" s="16"/>
      <c r="F1555" s="14"/>
      <c r="G1555" s="14"/>
      <c r="H1555" s="14"/>
      <c r="I1555" s="17"/>
      <c r="J1555" s="16"/>
      <c r="K1555" s="17"/>
      <c r="L1555" s="16"/>
      <c r="N1555" s="28"/>
    </row>
    <row r="1556">
      <c r="A1556" s="16" t="str">
        <f t="shared" si="10"/>
        <v/>
      </c>
      <c r="B1556" s="48"/>
      <c r="C1556" s="14"/>
      <c r="D1556" s="56"/>
      <c r="E1556" s="16"/>
      <c r="F1556" s="14"/>
      <c r="G1556" s="14"/>
      <c r="H1556" s="14"/>
      <c r="I1556" s="17"/>
      <c r="J1556" s="16"/>
      <c r="K1556" s="17"/>
      <c r="L1556" s="16"/>
      <c r="N1556" s="28"/>
    </row>
    <row r="1557">
      <c r="A1557" s="16" t="str">
        <f t="shared" si="10"/>
        <v/>
      </c>
      <c r="B1557" s="48"/>
      <c r="C1557" s="14"/>
      <c r="D1557" s="56"/>
      <c r="E1557" s="16"/>
      <c r="F1557" s="14"/>
      <c r="G1557" s="14"/>
      <c r="H1557" s="14"/>
      <c r="I1557" s="17"/>
      <c r="J1557" s="16"/>
      <c r="K1557" s="17"/>
      <c r="L1557" s="16"/>
      <c r="N1557" s="28"/>
    </row>
    <row r="1558">
      <c r="A1558" s="16" t="str">
        <f t="shared" si="10"/>
        <v/>
      </c>
      <c r="B1558" s="48"/>
      <c r="C1558" s="14"/>
      <c r="D1558" s="56"/>
      <c r="E1558" s="16"/>
      <c r="F1558" s="14"/>
      <c r="G1558" s="14"/>
      <c r="H1558" s="14"/>
      <c r="I1558" s="17"/>
      <c r="J1558" s="16"/>
      <c r="K1558" s="17"/>
      <c r="L1558" s="16"/>
      <c r="N1558" s="28"/>
    </row>
    <row r="1559">
      <c r="A1559" s="16" t="str">
        <f t="shared" si="10"/>
        <v/>
      </c>
      <c r="B1559" s="48"/>
      <c r="C1559" s="14"/>
      <c r="D1559" s="56"/>
      <c r="E1559" s="16"/>
      <c r="F1559" s="14"/>
      <c r="G1559" s="14"/>
      <c r="H1559" s="14"/>
      <c r="I1559" s="17"/>
      <c r="J1559" s="16"/>
      <c r="K1559" s="17"/>
      <c r="L1559" s="16"/>
      <c r="N1559" s="28"/>
    </row>
    <row r="1560">
      <c r="A1560" s="16" t="str">
        <f t="shared" si="10"/>
        <v/>
      </c>
      <c r="B1560" s="48"/>
      <c r="C1560" s="14"/>
      <c r="D1560" s="56"/>
      <c r="E1560" s="16"/>
      <c r="F1560" s="14"/>
      <c r="G1560" s="14"/>
      <c r="H1560" s="14"/>
      <c r="I1560" s="17"/>
      <c r="J1560" s="16"/>
      <c r="K1560" s="17"/>
      <c r="L1560" s="16"/>
      <c r="N1560" s="28"/>
    </row>
    <row r="1561">
      <c r="A1561" s="16" t="str">
        <f t="shared" si="10"/>
        <v/>
      </c>
      <c r="B1561" s="48"/>
      <c r="C1561" s="14"/>
      <c r="D1561" s="56"/>
      <c r="E1561" s="16"/>
      <c r="F1561" s="14"/>
      <c r="G1561" s="14"/>
      <c r="H1561" s="14"/>
      <c r="I1561" s="17"/>
      <c r="J1561" s="16"/>
      <c r="K1561" s="17"/>
      <c r="L1561" s="16"/>
      <c r="N1561" s="28"/>
    </row>
    <row r="1562">
      <c r="A1562" s="16" t="str">
        <f t="shared" si="10"/>
        <v/>
      </c>
      <c r="B1562" s="48"/>
      <c r="C1562" s="14"/>
      <c r="D1562" s="56"/>
      <c r="E1562" s="16"/>
      <c r="F1562" s="14"/>
      <c r="G1562" s="14"/>
      <c r="H1562" s="14"/>
      <c r="I1562" s="17"/>
      <c r="J1562" s="16"/>
      <c r="K1562" s="17"/>
      <c r="L1562" s="16"/>
      <c r="N1562" s="28"/>
    </row>
    <row r="1563">
      <c r="A1563" s="16" t="str">
        <f t="shared" si="10"/>
        <v/>
      </c>
      <c r="B1563" s="48"/>
      <c r="C1563" s="14"/>
      <c r="D1563" s="56"/>
      <c r="E1563" s="16"/>
      <c r="F1563" s="14"/>
      <c r="G1563" s="14"/>
      <c r="H1563" s="14"/>
      <c r="I1563" s="17"/>
      <c r="J1563" s="16"/>
      <c r="K1563" s="17"/>
      <c r="L1563" s="16"/>
      <c r="N1563" s="28"/>
    </row>
    <row r="1564">
      <c r="A1564" s="16" t="str">
        <f t="shared" si="10"/>
        <v/>
      </c>
      <c r="B1564" s="48"/>
      <c r="C1564" s="14"/>
      <c r="D1564" s="56"/>
      <c r="E1564" s="16"/>
      <c r="F1564" s="14"/>
      <c r="G1564" s="14"/>
      <c r="H1564" s="14"/>
      <c r="I1564" s="17"/>
      <c r="J1564" s="16"/>
      <c r="K1564" s="17"/>
      <c r="L1564" s="16"/>
      <c r="N1564" s="28"/>
    </row>
    <row r="1565">
      <c r="A1565" s="16" t="str">
        <f t="shared" si="10"/>
        <v/>
      </c>
      <c r="B1565" s="48"/>
      <c r="C1565" s="14"/>
      <c r="D1565" s="56"/>
      <c r="E1565" s="16"/>
      <c r="F1565" s="14"/>
      <c r="G1565" s="14"/>
      <c r="H1565" s="14"/>
      <c r="I1565" s="17"/>
      <c r="J1565" s="16"/>
      <c r="K1565" s="17"/>
      <c r="L1565" s="16"/>
      <c r="N1565" s="28"/>
    </row>
    <row r="1566">
      <c r="A1566" s="16" t="str">
        <f t="shared" si="10"/>
        <v/>
      </c>
      <c r="B1566" s="48"/>
      <c r="C1566" s="14"/>
      <c r="D1566" s="56"/>
      <c r="E1566" s="16"/>
      <c r="F1566" s="14"/>
      <c r="G1566" s="14"/>
      <c r="H1566" s="14"/>
      <c r="I1566" s="17"/>
      <c r="J1566" s="16"/>
      <c r="K1566" s="17"/>
      <c r="L1566" s="16"/>
      <c r="N1566" s="28"/>
    </row>
    <row r="1567">
      <c r="A1567" s="16" t="str">
        <f t="shared" si="10"/>
        <v/>
      </c>
      <c r="B1567" s="48"/>
      <c r="C1567" s="14"/>
      <c r="D1567" s="56"/>
      <c r="E1567" s="16"/>
      <c r="F1567" s="14"/>
      <c r="G1567" s="14"/>
      <c r="H1567" s="14"/>
      <c r="I1567" s="17"/>
      <c r="J1567" s="16"/>
      <c r="K1567" s="17"/>
      <c r="L1567" s="16"/>
      <c r="N1567" s="28"/>
    </row>
    <row r="1568">
      <c r="A1568" s="16" t="str">
        <f t="shared" si="10"/>
        <v/>
      </c>
      <c r="B1568" s="48"/>
      <c r="C1568" s="14"/>
      <c r="D1568" s="56"/>
      <c r="E1568" s="16"/>
      <c r="F1568" s="14"/>
      <c r="G1568" s="14"/>
      <c r="H1568" s="14"/>
      <c r="I1568" s="17"/>
      <c r="J1568" s="16"/>
      <c r="K1568" s="17"/>
      <c r="L1568" s="16"/>
      <c r="N1568" s="28"/>
    </row>
    <row r="1569">
      <c r="A1569" s="16" t="str">
        <f t="shared" si="10"/>
        <v/>
      </c>
      <c r="B1569" s="48"/>
      <c r="C1569" s="14"/>
      <c r="D1569" s="56"/>
      <c r="E1569" s="16"/>
      <c r="F1569" s="14"/>
      <c r="G1569" s="14"/>
      <c r="H1569" s="14"/>
      <c r="I1569" s="17"/>
      <c r="J1569" s="16"/>
      <c r="K1569" s="17"/>
      <c r="L1569" s="16"/>
      <c r="N1569" s="28"/>
    </row>
    <row r="1570">
      <c r="A1570" s="16" t="str">
        <f t="shared" si="10"/>
        <v/>
      </c>
      <c r="B1570" s="48"/>
      <c r="C1570" s="14"/>
      <c r="D1570" s="56"/>
      <c r="E1570" s="16"/>
      <c r="F1570" s="14"/>
      <c r="G1570" s="14"/>
      <c r="H1570" s="14"/>
      <c r="I1570" s="17"/>
      <c r="J1570" s="16"/>
      <c r="K1570" s="17"/>
      <c r="L1570" s="16"/>
      <c r="N1570" s="28"/>
    </row>
    <row r="1571">
      <c r="A1571" s="16" t="str">
        <f t="shared" si="10"/>
        <v/>
      </c>
      <c r="B1571" s="48"/>
      <c r="C1571" s="14"/>
      <c r="D1571" s="56"/>
      <c r="E1571" s="16"/>
      <c r="F1571" s="14"/>
      <c r="G1571" s="14"/>
      <c r="H1571" s="14"/>
      <c r="I1571" s="17"/>
      <c r="J1571" s="16"/>
      <c r="K1571" s="17"/>
      <c r="L1571" s="16"/>
      <c r="N1571" s="28"/>
    </row>
    <row r="1572">
      <c r="A1572" s="16" t="str">
        <f t="shared" si="10"/>
        <v/>
      </c>
      <c r="B1572" s="48"/>
      <c r="C1572" s="14"/>
      <c r="D1572" s="56"/>
      <c r="E1572" s="16"/>
      <c r="F1572" s="14"/>
      <c r="G1572" s="14"/>
      <c r="H1572" s="14"/>
      <c r="I1572" s="17"/>
      <c r="J1572" s="16"/>
      <c r="K1572" s="17"/>
      <c r="L1572" s="16"/>
      <c r="N1572" s="28"/>
    </row>
    <row r="1573">
      <c r="A1573" s="16" t="str">
        <f t="shared" si="10"/>
        <v/>
      </c>
      <c r="B1573" s="48"/>
      <c r="C1573" s="14"/>
      <c r="D1573" s="56"/>
      <c r="E1573" s="16"/>
      <c r="F1573" s="14"/>
      <c r="G1573" s="14"/>
      <c r="H1573" s="14"/>
      <c r="I1573" s="17"/>
      <c r="J1573" s="16"/>
      <c r="K1573" s="17"/>
      <c r="L1573" s="16"/>
      <c r="N1573" s="28"/>
    </row>
    <row r="1574">
      <c r="A1574" s="16" t="str">
        <f t="shared" si="10"/>
        <v/>
      </c>
      <c r="B1574" s="48"/>
      <c r="C1574" s="14"/>
      <c r="D1574" s="56"/>
      <c r="E1574" s="16"/>
      <c r="F1574" s="14"/>
      <c r="G1574" s="14"/>
      <c r="H1574" s="14"/>
      <c r="I1574" s="17"/>
      <c r="J1574" s="16"/>
      <c r="K1574" s="17"/>
      <c r="L1574" s="16"/>
      <c r="N1574" s="28"/>
    </row>
    <row r="1575">
      <c r="A1575" s="16" t="str">
        <f t="shared" si="10"/>
        <v/>
      </c>
      <c r="B1575" s="48"/>
      <c r="C1575" s="14"/>
      <c r="D1575" s="56"/>
      <c r="E1575" s="16"/>
      <c r="F1575" s="14"/>
      <c r="G1575" s="14"/>
      <c r="H1575" s="14"/>
      <c r="I1575" s="17"/>
      <c r="J1575" s="16"/>
      <c r="K1575" s="17"/>
      <c r="L1575" s="16"/>
      <c r="N1575" s="28"/>
    </row>
    <row r="1576">
      <c r="A1576" s="16" t="str">
        <f t="shared" si="10"/>
        <v/>
      </c>
      <c r="B1576" s="48"/>
      <c r="C1576" s="14"/>
      <c r="D1576" s="56"/>
      <c r="E1576" s="16"/>
      <c r="F1576" s="14"/>
      <c r="G1576" s="14"/>
      <c r="H1576" s="14"/>
      <c r="I1576" s="17"/>
      <c r="J1576" s="16"/>
      <c r="K1576" s="17"/>
      <c r="L1576" s="16"/>
      <c r="N1576" s="28"/>
    </row>
    <row r="1577">
      <c r="A1577" s="16" t="str">
        <f t="shared" si="10"/>
        <v/>
      </c>
      <c r="B1577" s="48"/>
      <c r="C1577" s="14"/>
      <c r="D1577" s="56"/>
      <c r="E1577" s="16"/>
      <c r="F1577" s="14"/>
      <c r="G1577" s="14"/>
      <c r="H1577" s="14"/>
      <c r="I1577" s="17"/>
      <c r="J1577" s="16"/>
      <c r="K1577" s="17"/>
      <c r="L1577" s="16"/>
      <c r="N1577" s="28"/>
    </row>
    <row r="1578">
      <c r="A1578" s="16" t="str">
        <f t="shared" si="10"/>
        <v/>
      </c>
      <c r="B1578" s="48"/>
      <c r="C1578" s="14"/>
      <c r="D1578" s="56"/>
      <c r="E1578" s="16"/>
      <c r="F1578" s="14"/>
      <c r="G1578" s="14"/>
      <c r="H1578" s="14"/>
      <c r="I1578" s="17"/>
      <c r="J1578" s="16"/>
      <c r="K1578" s="17"/>
      <c r="L1578" s="16"/>
      <c r="N1578" s="28"/>
    </row>
    <row r="1579">
      <c r="A1579" s="16" t="str">
        <f t="shared" si="10"/>
        <v/>
      </c>
      <c r="B1579" s="48"/>
      <c r="C1579" s="14"/>
      <c r="D1579" s="56"/>
      <c r="E1579" s="16"/>
      <c r="F1579" s="14"/>
      <c r="G1579" s="14"/>
      <c r="H1579" s="14"/>
      <c r="I1579" s="17"/>
      <c r="J1579" s="16"/>
      <c r="K1579" s="17"/>
      <c r="L1579" s="16"/>
      <c r="N1579" s="28"/>
    </row>
    <row r="1580">
      <c r="A1580" s="16" t="str">
        <f t="shared" si="10"/>
        <v/>
      </c>
      <c r="B1580" s="48"/>
      <c r="C1580" s="14"/>
      <c r="D1580" s="56"/>
      <c r="E1580" s="16"/>
      <c r="F1580" s="14"/>
      <c r="G1580" s="14"/>
      <c r="H1580" s="14"/>
      <c r="I1580" s="17"/>
      <c r="J1580" s="16"/>
      <c r="K1580" s="17"/>
      <c r="L1580" s="16"/>
      <c r="N1580" s="28"/>
    </row>
    <row r="1581">
      <c r="A1581" s="16" t="str">
        <f t="shared" si="10"/>
        <v/>
      </c>
      <c r="B1581" s="48"/>
      <c r="C1581" s="14"/>
      <c r="D1581" s="56"/>
      <c r="E1581" s="16"/>
      <c r="F1581" s="14"/>
      <c r="G1581" s="14"/>
      <c r="H1581" s="14"/>
      <c r="I1581" s="17"/>
      <c r="J1581" s="16"/>
      <c r="K1581" s="17"/>
      <c r="L1581" s="16"/>
      <c r="N1581" s="28"/>
    </row>
    <row r="1582">
      <c r="A1582" s="16" t="str">
        <f t="shared" si="10"/>
        <v/>
      </c>
      <c r="B1582" s="48"/>
      <c r="C1582" s="14"/>
      <c r="D1582" s="56"/>
      <c r="E1582" s="16"/>
      <c r="F1582" s="14"/>
      <c r="G1582" s="14"/>
      <c r="H1582" s="14"/>
      <c r="I1582" s="17"/>
      <c r="J1582" s="16"/>
      <c r="K1582" s="17"/>
      <c r="L1582" s="16"/>
      <c r="N1582" s="28"/>
    </row>
    <row r="1583">
      <c r="A1583" s="16" t="str">
        <f t="shared" si="10"/>
        <v/>
      </c>
      <c r="B1583" s="48"/>
      <c r="C1583" s="14"/>
      <c r="D1583" s="56"/>
      <c r="E1583" s="16"/>
      <c r="F1583" s="14"/>
      <c r="G1583" s="14"/>
      <c r="H1583" s="14"/>
      <c r="I1583" s="17"/>
      <c r="J1583" s="16"/>
      <c r="K1583" s="17"/>
      <c r="L1583" s="16"/>
      <c r="N1583" s="28"/>
    </row>
    <row r="1584">
      <c r="A1584" s="16" t="str">
        <f t="shared" si="10"/>
        <v/>
      </c>
      <c r="B1584" s="48"/>
      <c r="C1584" s="14"/>
      <c r="D1584" s="56"/>
      <c r="E1584" s="16"/>
      <c r="F1584" s="14"/>
      <c r="G1584" s="14"/>
      <c r="H1584" s="14"/>
      <c r="I1584" s="17"/>
      <c r="J1584" s="16"/>
      <c r="K1584" s="17"/>
      <c r="L1584" s="16"/>
      <c r="N1584" s="28"/>
    </row>
    <row r="1585">
      <c r="A1585" s="16" t="str">
        <f t="shared" si="10"/>
        <v/>
      </c>
      <c r="B1585" s="48"/>
      <c r="C1585" s="14"/>
      <c r="D1585" s="56"/>
      <c r="E1585" s="16"/>
      <c r="F1585" s="14"/>
      <c r="G1585" s="14"/>
      <c r="H1585" s="14"/>
      <c r="I1585" s="17"/>
      <c r="J1585" s="16"/>
      <c r="K1585" s="17"/>
      <c r="L1585" s="16"/>
      <c r="N1585" s="28"/>
    </row>
    <row r="1586">
      <c r="A1586" s="16" t="str">
        <f t="shared" si="10"/>
        <v/>
      </c>
      <c r="B1586" s="48"/>
      <c r="C1586" s="14"/>
      <c r="D1586" s="56"/>
      <c r="E1586" s="16"/>
      <c r="F1586" s="14"/>
      <c r="G1586" s="14"/>
      <c r="H1586" s="14"/>
      <c r="I1586" s="17"/>
      <c r="J1586" s="16"/>
      <c r="K1586" s="17"/>
      <c r="L1586" s="16"/>
      <c r="N1586" s="28"/>
    </row>
    <row r="1587">
      <c r="A1587" s="16" t="str">
        <f t="shared" si="10"/>
        <v/>
      </c>
      <c r="B1587" s="48"/>
      <c r="C1587" s="14"/>
      <c r="D1587" s="56"/>
      <c r="E1587" s="16"/>
      <c r="F1587" s="14"/>
      <c r="G1587" s="14"/>
      <c r="H1587" s="14"/>
      <c r="I1587" s="17"/>
      <c r="J1587" s="16"/>
      <c r="K1587" s="17"/>
      <c r="L1587" s="16"/>
      <c r="N1587" s="28"/>
    </row>
    <row r="1588">
      <c r="A1588" s="16" t="str">
        <f t="shared" si="10"/>
        <v/>
      </c>
      <c r="B1588" s="48"/>
      <c r="C1588" s="14"/>
      <c r="D1588" s="56"/>
      <c r="E1588" s="16"/>
      <c r="F1588" s="14"/>
      <c r="G1588" s="14"/>
      <c r="H1588" s="14"/>
      <c r="I1588" s="17"/>
      <c r="J1588" s="16"/>
      <c r="K1588" s="17"/>
      <c r="L1588" s="16"/>
      <c r="N1588" s="28"/>
    </row>
    <row r="1589">
      <c r="A1589" s="16" t="str">
        <f t="shared" si="10"/>
        <v/>
      </c>
      <c r="B1589" s="48"/>
      <c r="C1589" s="14"/>
      <c r="D1589" s="56"/>
      <c r="E1589" s="16"/>
      <c r="F1589" s="14"/>
      <c r="G1589" s="14"/>
      <c r="H1589" s="14"/>
      <c r="I1589" s="17"/>
      <c r="J1589" s="16"/>
      <c r="K1589" s="17"/>
      <c r="L1589" s="16"/>
      <c r="N1589" s="28"/>
    </row>
    <row r="1590">
      <c r="A1590" s="16" t="str">
        <f t="shared" si="10"/>
        <v/>
      </c>
      <c r="B1590" s="48"/>
      <c r="C1590" s="14"/>
      <c r="D1590" s="56"/>
      <c r="E1590" s="16"/>
      <c r="F1590" s="14"/>
      <c r="G1590" s="14"/>
      <c r="H1590" s="14"/>
      <c r="I1590" s="17"/>
      <c r="J1590" s="16"/>
      <c r="K1590" s="17"/>
      <c r="L1590" s="16"/>
      <c r="N1590" s="28"/>
    </row>
    <row r="1591">
      <c r="A1591" s="16" t="str">
        <f t="shared" si="10"/>
        <v/>
      </c>
      <c r="B1591" s="48"/>
      <c r="C1591" s="14"/>
      <c r="D1591" s="56"/>
      <c r="E1591" s="16"/>
      <c r="F1591" s="14"/>
      <c r="G1591" s="14"/>
      <c r="H1591" s="14"/>
      <c r="I1591" s="17"/>
      <c r="J1591" s="16"/>
      <c r="K1591" s="17"/>
      <c r="L1591" s="16"/>
      <c r="N1591" s="28"/>
    </row>
    <row r="1592">
      <c r="A1592" s="16" t="str">
        <f t="shared" si="10"/>
        <v/>
      </c>
      <c r="B1592" s="48"/>
      <c r="C1592" s="14"/>
      <c r="D1592" s="56"/>
      <c r="E1592" s="16"/>
      <c r="F1592" s="14"/>
      <c r="G1592" s="14"/>
      <c r="H1592" s="14"/>
      <c r="I1592" s="17"/>
      <c r="J1592" s="16"/>
      <c r="K1592" s="17"/>
      <c r="L1592" s="16"/>
      <c r="N1592" s="28"/>
    </row>
    <row r="1593">
      <c r="A1593" s="16" t="str">
        <f t="shared" si="10"/>
        <v/>
      </c>
      <c r="B1593" s="48"/>
      <c r="C1593" s="14"/>
      <c r="D1593" s="56"/>
      <c r="E1593" s="16"/>
      <c r="F1593" s="14"/>
      <c r="G1593" s="14"/>
      <c r="H1593" s="14"/>
      <c r="I1593" s="17"/>
      <c r="J1593" s="16"/>
      <c r="K1593" s="17"/>
      <c r="L1593" s="16"/>
      <c r="N1593" s="28"/>
    </row>
    <row r="1594">
      <c r="A1594" s="16" t="str">
        <f t="shared" si="10"/>
        <v/>
      </c>
      <c r="B1594" s="48"/>
      <c r="C1594" s="14"/>
      <c r="D1594" s="56"/>
      <c r="E1594" s="16"/>
      <c r="F1594" s="14"/>
      <c r="G1594" s="14"/>
      <c r="H1594" s="14"/>
      <c r="I1594" s="17"/>
      <c r="J1594" s="16"/>
      <c r="K1594" s="17"/>
      <c r="L1594" s="16"/>
      <c r="N1594" s="28"/>
    </row>
    <row r="1595">
      <c r="A1595" s="16" t="str">
        <f t="shared" si="10"/>
        <v/>
      </c>
      <c r="B1595" s="48"/>
      <c r="C1595" s="14"/>
      <c r="D1595" s="56"/>
      <c r="E1595" s="16"/>
      <c r="F1595" s="14"/>
      <c r="G1595" s="14"/>
      <c r="H1595" s="14"/>
      <c r="I1595" s="17"/>
      <c r="J1595" s="16"/>
      <c r="K1595" s="17"/>
      <c r="L1595" s="16"/>
      <c r="N1595" s="28"/>
    </row>
    <row r="1596">
      <c r="A1596" s="16" t="str">
        <f t="shared" si="10"/>
        <v/>
      </c>
      <c r="B1596" s="48"/>
      <c r="C1596" s="14"/>
      <c r="D1596" s="56"/>
      <c r="E1596" s="16"/>
      <c r="F1596" s="14"/>
      <c r="G1596" s="14"/>
      <c r="H1596" s="14"/>
      <c r="I1596" s="17"/>
      <c r="J1596" s="16"/>
      <c r="K1596" s="17"/>
      <c r="L1596" s="16"/>
      <c r="N1596" s="28"/>
    </row>
    <row r="1597">
      <c r="A1597" s="16" t="str">
        <f t="shared" si="10"/>
        <v/>
      </c>
      <c r="B1597" s="48"/>
      <c r="C1597" s="14"/>
      <c r="D1597" s="56"/>
      <c r="E1597" s="16"/>
      <c r="F1597" s="14"/>
      <c r="G1597" s="14"/>
      <c r="H1597" s="14"/>
      <c r="I1597" s="17"/>
      <c r="J1597" s="16"/>
      <c r="K1597" s="17"/>
      <c r="L1597" s="16"/>
      <c r="N1597" s="28"/>
    </row>
    <row r="1598">
      <c r="A1598" s="16" t="str">
        <f t="shared" si="10"/>
        <v/>
      </c>
      <c r="B1598" s="48"/>
      <c r="C1598" s="14"/>
      <c r="D1598" s="56"/>
      <c r="E1598" s="16"/>
      <c r="F1598" s="14"/>
      <c r="G1598" s="14"/>
      <c r="H1598" s="14"/>
      <c r="I1598" s="17"/>
      <c r="J1598" s="16"/>
      <c r="K1598" s="17"/>
      <c r="L1598" s="16"/>
      <c r="N1598" s="28"/>
    </row>
    <row r="1599">
      <c r="A1599" s="16" t="str">
        <f t="shared" si="10"/>
        <v/>
      </c>
      <c r="B1599" s="48"/>
      <c r="C1599" s="14"/>
      <c r="D1599" s="56"/>
      <c r="E1599" s="16"/>
      <c r="F1599" s="14"/>
      <c r="G1599" s="14"/>
      <c r="H1599" s="14"/>
      <c r="I1599" s="17"/>
      <c r="J1599" s="16"/>
      <c r="K1599" s="17"/>
      <c r="L1599" s="16"/>
      <c r="N1599" s="28"/>
    </row>
    <row r="1600">
      <c r="A1600" s="16" t="str">
        <f t="shared" si="10"/>
        <v/>
      </c>
      <c r="B1600" s="48"/>
      <c r="C1600" s="14"/>
      <c r="D1600" s="56"/>
      <c r="E1600" s="16"/>
      <c r="F1600" s="14"/>
      <c r="G1600" s="14"/>
      <c r="H1600" s="14"/>
      <c r="I1600" s="17"/>
      <c r="J1600" s="16"/>
      <c r="K1600" s="17"/>
      <c r="L1600" s="16"/>
      <c r="N1600" s="28"/>
    </row>
    <row r="1601">
      <c r="A1601" s="16" t="str">
        <f t="shared" si="10"/>
        <v/>
      </c>
      <c r="B1601" s="48"/>
      <c r="C1601" s="14"/>
      <c r="D1601" s="56"/>
      <c r="E1601" s="16"/>
      <c r="F1601" s="14"/>
      <c r="G1601" s="14"/>
      <c r="H1601" s="14"/>
      <c r="I1601" s="17"/>
      <c r="J1601" s="16"/>
      <c r="K1601" s="17"/>
      <c r="L1601" s="16"/>
      <c r="N1601" s="28"/>
    </row>
    <row r="1602">
      <c r="A1602" s="16" t="str">
        <f t="shared" si="10"/>
        <v/>
      </c>
      <c r="B1602" s="48"/>
      <c r="C1602" s="14"/>
      <c r="D1602" s="56"/>
      <c r="E1602" s="16"/>
      <c r="F1602" s="14"/>
      <c r="G1602" s="14"/>
      <c r="H1602" s="14"/>
      <c r="I1602" s="17"/>
      <c r="J1602" s="16"/>
      <c r="K1602" s="17"/>
      <c r="L1602" s="16"/>
      <c r="N1602" s="28"/>
    </row>
    <row r="1603">
      <c r="A1603" s="16" t="str">
        <f t="shared" si="10"/>
        <v/>
      </c>
      <c r="B1603" s="48"/>
      <c r="C1603" s="14"/>
      <c r="D1603" s="56"/>
      <c r="E1603" s="16"/>
      <c r="F1603" s="14"/>
      <c r="G1603" s="14"/>
      <c r="H1603" s="14"/>
      <c r="I1603" s="17"/>
      <c r="J1603" s="16"/>
      <c r="K1603" s="17"/>
      <c r="L1603" s="16"/>
      <c r="N1603" s="28"/>
    </row>
    <row r="1604">
      <c r="A1604" s="16" t="str">
        <f t="shared" si="10"/>
        <v/>
      </c>
      <c r="B1604" s="48"/>
      <c r="C1604" s="14"/>
      <c r="D1604" s="56"/>
      <c r="E1604" s="16"/>
      <c r="F1604" s="14"/>
      <c r="G1604" s="14"/>
      <c r="H1604" s="14"/>
      <c r="I1604" s="17"/>
      <c r="J1604" s="16"/>
      <c r="K1604" s="17"/>
      <c r="L1604" s="16"/>
      <c r="N1604" s="28"/>
    </row>
    <row r="1605">
      <c r="A1605" s="16" t="str">
        <f t="shared" si="10"/>
        <v/>
      </c>
      <c r="B1605" s="48"/>
      <c r="C1605" s="14"/>
      <c r="D1605" s="56"/>
      <c r="E1605" s="16"/>
      <c r="F1605" s="14"/>
      <c r="G1605" s="14"/>
      <c r="H1605" s="14"/>
      <c r="I1605" s="17"/>
      <c r="J1605" s="16"/>
      <c r="K1605" s="17"/>
      <c r="L1605" s="16"/>
      <c r="N1605" s="28"/>
    </row>
    <row r="1606">
      <c r="A1606" s="16" t="str">
        <f t="shared" si="10"/>
        <v/>
      </c>
      <c r="B1606" s="48"/>
      <c r="C1606" s="14"/>
      <c r="D1606" s="56"/>
      <c r="E1606" s="16"/>
      <c r="F1606" s="14"/>
      <c r="G1606" s="14"/>
      <c r="H1606" s="14"/>
      <c r="I1606" s="17"/>
      <c r="J1606" s="16"/>
      <c r="K1606" s="17"/>
      <c r="L1606" s="16"/>
      <c r="N1606" s="28"/>
    </row>
    <row r="1607">
      <c r="A1607" s="16" t="str">
        <f t="shared" si="10"/>
        <v/>
      </c>
      <c r="B1607" s="48"/>
      <c r="C1607" s="14"/>
      <c r="D1607" s="56"/>
      <c r="E1607" s="16"/>
      <c r="F1607" s="14"/>
      <c r="G1607" s="14"/>
      <c r="H1607" s="14"/>
      <c r="I1607" s="17"/>
      <c r="J1607" s="16"/>
      <c r="K1607" s="17"/>
      <c r="L1607" s="16"/>
      <c r="N1607" s="28"/>
    </row>
    <row r="1608">
      <c r="A1608" s="16" t="str">
        <f t="shared" si="10"/>
        <v/>
      </c>
      <c r="B1608" s="48"/>
      <c r="C1608" s="14"/>
      <c r="D1608" s="56"/>
      <c r="E1608" s="16"/>
      <c r="F1608" s="14"/>
      <c r="G1608" s="14"/>
      <c r="H1608" s="14"/>
      <c r="I1608" s="17"/>
      <c r="J1608" s="16"/>
      <c r="K1608" s="17"/>
      <c r="L1608" s="16"/>
      <c r="N1608" s="28"/>
    </row>
    <row r="1609">
      <c r="A1609" s="16" t="str">
        <f t="shared" si="10"/>
        <v/>
      </c>
      <c r="B1609" s="48"/>
      <c r="C1609" s="14"/>
      <c r="D1609" s="56"/>
      <c r="E1609" s="16"/>
      <c r="F1609" s="14"/>
      <c r="G1609" s="14"/>
      <c r="H1609" s="14"/>
      <c r="I1609" s="17"/>
      <c r="J1609" s="16"/>
      <c r="K1609" s="17"/>
      <c r="L1609" s="16"/>
      <c r="N1609" s="28"/>
    </row>
    <row r="1610">
      <c r="A1610" s="16" t="str">
        <f t="shared" si="10"/>
        <v/>
      </c>
      <c r="B1610" s="48"/>
      <c r="C1610" s="14"/>
      <c r="D1610" s="56"/>
      <c r="E1610" s="16"/>
      <c r="F1610" s="14"/>
      <c r="G1610" s="14"/>
      <c r="H1610" s="14"/>
      <c r="I1610" s="17"/>
      <c r="J1610" s="16"/>
      <c r="K1610" s="17"/>
      <c r="L1610" s="16"/>
      <c r="N1610" s="28"/>
    </row>
    <row r="1611">
      <c r="A1611" s="16" t="str">
        <f t="shared" si="10"/>
        <v/>
      </c>
      <c r="B1611" s="48"/>
      <c r="C1611" s="14"/>
      <c r="D1611" s="56"/>
      <c r="E1611" s="16"/>
      <c r="F1611" s="14"/>
      <c r="G1611" s="14"/>
      <c r="H1611" s="14"/>
      <c r="I1611" s="17"/>
      <c r="J1611" s="16"/>
      <c r="K1611" s="17"/>
      <c r="L1611" s="16"/>
      <c r="N1611" s="28"/>
    </row>
    <row r="1612">
      <c r="A1612" s="16" t="str">
        <f t="shared" si="10"/>
        <v/>
      </c>
      <c r="B1612" s="48"/>
      <c r="C1612" s="14"/>
      <c r="D1612" s="56"/>
      <c r="E1612" s="16"/>
      <c r="F1612" s="14"/>
      <c r="G1612" s="14"/>
      <c r="H1612" s="14"/>
      <c r="I1612" s="17"/>
      <c r="J1612" s="16"/>
      <c r="K1612" s="17"/>
      <c r="L1612" s="16"/>
      <c r="N1612" s="28"/>
    </row>
    <row r="1613">
      <c r="A1613" s="16" t="str">
        <f t="shared" si="10"/>
        <v/>
      </c>
      <c r="B1613" s="48"/>
      <c r="C1613" s="14"/>
      <c r="D1613" s="56"/>
      <c r="E1613" s="16"/>
      <c r="F1613" s="14"/>
      <c r="G1613" s="14"/>
      <c r="H1613" s="14"/>
      <c r="I1613" s="17"/>
      <c r="J1613" s="16"/>
      <c r="K1613" s="17"/>
      <c r="L1613" s="16"/>
      <c r="N1613" s="28"/>
    </row>
    <row r="1614">
      <c r="A1614" s="16" t="str">
        <f t="shared" si="10"/>
        <v/>
      </c>
      <c r="B1614" s="48"/>
      <c r="C1614" s="14"/>
      <c r="D1614" s="56"/>
      <c r="E1614" s="16"/>
      <c r="F1614" s="14"/>
      <c r="G1614" s="14"/>
      <c r="H1614" s="14"/>
      <c r="I1614" s="17"/>
      <c r="J1614" s="16"/>
      <c r="K1614" s="17"/>
      <c r="L1614" s="16"/>
      <c r="N1614" s="28"/>
    </row>
    <row r="1615">
      <c r="A1615" s="16" t="str">
        <f t="shared" si="10"/>
        <v/>
      </c>
      <c r="B1615" s="48"/>
      <c r="C1615" s="14"/>
      <c r="D1615" s="56"/>
      <c r="E1615" s="16"/>
      <c r="F1615" s="14"/>
      <c r="G1615" s="14"/>
      <c r="H1615" s="14"/>
      <c r="I1615" s="17"/>
      <c r="J1615" s="16"/>
      <c r="K1615" s="17"/>
      <c r="L1615" s="16"/>
      <c r="N1615" s="28"/>
    </row>
    <row r="1616">
      <c r="A1616" s="16" t="str">
        <f t="shared" si="10"/>
        <v/>
      </c>
      <c r="B1616" s="48"/>
      <c r="C1616" s="14"/>
      <c r="D1616" s="56"/>
      <c r="E1616" s="16"/>
      <c r="F1616" s="14"/>
      <c r="G1616" s="14"/>
      <c r="H1616" s="14"/>
      <c r="I1616" s="17"/>
      <c r="J1616" s="16"/>
      <c r="K1616" s="17"/>
      <c r="L1616" s="16"/>
      <c r="N1616" s="28"/>
    </row>
    <row r="1617">
      <c r="A1617" s="16" t="str">
        <f t="shared" si="10"/>
        <v/>
      </c>
      <c r="B1617" s="48"/>
      <c r="C1617" s="14"/>
      <c r="D1617" s="56"/>
      <c r="E1617" s="16"/>
      <c r="F1617" s="14"/>
      <c r="G1617" s="14"/>
      <c r="H1617" s="14"/>
      <c r="I1617" s="17"/>
      <c r="J1617" s="16"/>
      <c r="K1617" s="17"/>
      <c r="L1617" s="16"/>
      <c r="N1617" s="28"/>
    </row>
    <row r="1618">
      <c r="A1618" s="16" t="str">
        <f t="shared" si="10"/>
        <v/>
      </c>
      <c r="B1618" s="48"/>
      <c r="C1618" s="14"/>
      <c r="D1618" s="56"/>
      <c r="E1618" s="16"/>
      <c r="F1618" s="14"/>
      <c r="G1618" s="14"/>
      <c r="H1618" s="14"/>
      <c r="I1618" s="17"/>
      <c r="J1618" s="16"/>
      <c r="K1618" s="17"/>
      <c r="L1618" s="16"/>
      <c r="N1618" s="28"/>
    </row>
    <row r="1619">
      <c r="A1619" s="16" t="str">
        <f t="shared" si="10"/>
        <v/>
      </c>
      <c r="B1619" s="48"/>
      <c r="C1619" s="14"/>
      <c r="D1619" s="56"/>
      <c r="E1619" s="16"/>
      <c r="F1619" s="14"/>
      <c r="G1619" s="14"/>
      <c r="H1619" s="14"/>
      <c r="I1619" s="17"/>
      <c r="J1619" s="16"/>
      <c r="K1619" s="17"/>
      <c r="L1619" s="16"/>
      <c r="N1619" s="28"/>
    </row>
    <row r="1620">
      <c r="A1620" s="16" t="str">
        <f t="shared" si="10"/>
        <v/>
      </c>
      <c r="B1620" s="48"/>
      <c r="C1620" s="14"/>
      <c r="D1620" s="56"/>
      <c r="E1620" s="16"/>
      <c r="F1620" s="14"/>
      <c r="G1620" s="14"/>
      <c r="H1620" s="14"/>
      <c r="I1620" s="17"/>
      <c r="J1620" s="16"/>
      <c r="K1620" s="17"/>
      <c r="L1620" s="16"/>
      <c r="N1620" s="28"/>
    </row>
    <row r="1621">
      <c r="A1621" s="16" t="str">
        <f t="shared" si="10"/>
        <v/>
      </c>
      <c r="B1621" s="48"/>
      <c r="C1621" s="14"/>
      <c r="D1621" s="56"/>
      <c r="E1621" s="16"/>
      <c r="F1621" s="14"/>
      <c r="G1621" s="14"/>
      <c r="H1621" s="14"/>
      <c r="I1621" s="17"/>
      <c r="J1621" s="16"/>
      <c r="K1621" s="17"/>
      <c r="L1621" s="16"/>
      <c r="N1621" s="28"/>
    </row>
    <row r="1622">
      <c r="A1622" s="16" t="str">
        <f t="shared" si="10"/>
        <v/>
      </c>
      <c r="B1622" s="48"/>
      <c r="C1622" s="14"/>
      <c r="D1622" s="56"/>
      <c r="E1622" s="16"/>
      <c r="F1622" s="14"/>
      <c r="G1622" s="14"/>
      <c r="H1622" s="14"/>
      <c r="I1622" s="17"/>
      <c r="J1622" s="16"/>
      <c r="K1622" s="17"/>
      <c r="L1622" s="16"/>
      <c r="N1622" s="28"/>
    </row>
    <row r="1623">
      <c r="A1623" s="16" t="str">
        <f t="shared" si="10"/>
        <v/>
      </c>
      <c r="B1623" s="48"/>
      <c r="C1623" s="14"/>
      <c r="D1623" s="56"/>
      <c r="E1623" s="16"/>
      <c r="F1623" s="14"/>
      <c r="G1623" s="14"/>
      <c r="H1623" s="14"/>
      <c r="I1623" s="17"/>
      <c r="J1623" s="16"/>
      <c r="K1623" s="17"/>
      <c r="L1623" s="16"/>
      <c r="N1623" s="28"/>
    </row>
    <row r="1624">
      <c r="A1624" s="16" t="str">
        <f t="shared" si="10"/>
        <v/>
      </c>
      <c r="B1624" s="48"/>
      <c r="C1624" s="14"/>
      <c r="D1624" s="56"/>
      <c r="E1624" s="16"/>
      <c r="F1624" s="14"/>
      <c r="G1624" s="14"/>
      <c r="H1624" s="14"/>
      <c r="I1624" s="17"/>
      <c r="J1624" s="16"/>
      <c r="K1624" s="17"/>
      <c r="L1624" s="16"/>
      <c r="N1624" s="28"/>
    </row>
    <row r="1625">
      <c r="A1625" s="16" t="str">
        <f t="shared" si="10"/>
        <v/>
      </c>
      <c r="B1625" s="48"/>
      <c r="C1625" s="14"/>
      <c r="D1625" s="56"/>
      <c r="E1625" s="16"/>
      <c r="F1625" s="14"/>
      <c r="G1625" s="14"/>
      <c r="H1625" s="14"/>
      <c r="I1625" s="17"/>
      <c r="J1625" s="16"/>
      <c r="K1625" s="17"/>
      <c r="L1625" s="16"/>
      <c r="N1625" s="28"/>
    </row>
    <row r="1626">
      <c r="A1626" s="16" t="str">
        <f t="shared" si="10"/>
        <v/>
      </c>
      <c r="B1626" s="48"/>
      <c r="C1626" s="14"/>
      <c r="D1626" s="56"/>
      <c r="E1626" s="16"/>
      <c r="F1626" s="14"/>
      <c r="G1626" s="14"/>
      <c r="H1626" s="14"/>
      <c r="I1626" s="17"/>
      <c r="J1626" s="16"/>
      <c r="K1626" s="17"/>
      <c r="L1626" s="16"/>
      <c r="N1626" s="28"/>
    </row>
    <row r="1627">
      <c r="A1627" s="16" t="str">
        <f t="shared" si="10"/>
        <v/>
      </c>
      <c r="B1627" s="48"/>
      <c r="C1627" s="14"/>
      <c r="D1627" s="56"/>
      <c r="E1627" s="16"/>
      <c r="F1627" s="14"/>
      <c r="G1627" s="14"/>
      <c r="H1627" s="14"/>
      <c r="I1627" s="17"/>
      <c r="J1627" s="16"/>
      <c r="K1627" s="17"/>
      <c r="L1627" s="16"/>
      <c r="N1627" s="28"/>
    </row>
    <row r="1628">
      <c r="A1628" s="16" t="str">
        <f t="shared" si="10"/>
        <v/>
      </c>
      <c r="B1628" s="48"/>
      <c r="C1628" s="14"/>
      <c r="D1628" s="56"/>
      <c r="E1628" s="16"/>
      <c r="F1628" s="14"/>
      <c r="G1628" s="14"/>
      <c r="H1628" s="14"/>
      <c r="I1628" s="17"/>
      <c r="J1628" s="16"/>
      <c r="K1628" s="17"/>
      <c r="L1628" s="16"/>
      <c r="N1628" s="28"/>
    </row>
    <row r="1629">
      <c r="A1629" s="16" t="str">
        <f t="shared" si="10"/>
        <v/>
      </c>
      <c r="B1629" s="48"/>
      <c r="C1629" s="14"/>
      <c r="D1629" s="56"/>
      <c r="E1629" s="16"/>
      <c r="F1629" s="14"/>
      <c r="G1629" s="14"/>
      <c r="H1629" s="14"/>
      <c r="I1629" s="17"/>
      <c r="J1629" s="16"/>
      <c r="K1629" s="17"/>
      <c r="L1629" s="16"/>
      <c r="N1629" s="28"/>
    </row>
    <row r="1630">
      <c r="A1630" s="16" t="str">
        <f t="shared" si="10"/>
        <v/>
      </c>
      <c r="B1630" s="48"/>
      <c r="C1630" s="14"/>
      <c r="D1630" s="56"/>
      <c r="E1630" s="16"/>
      <c r="F1630" s="14"/>
      <c r="G1630" s="14"/>
      <c r="H1630" s="14"/>
      <c r="I1630" s="17"/>
      <c r="J1630" s="16"/>
      <c r="K1630" s="17"/>
      <c r="L1630" s="16"/>
      <c r="N1630" s="28"/>
    </row>
    <row r="1631">
      <c r="A1631" s="16" t="str">
        <f t="shared" si="10"/>
        <v/>
      </c>
      <c r="B1631" s="48"/>
      <c r="C1631" s="14"/>
      <c r="D1631" s="56"/>
      <c r="E1631" s="16"/>
      <c r="F1631" s="14"/>
      <c r="G1631" s="14"/>
      <c r="H1631" s="14"/>
      <c r="I1631" s="17"/>
      <c r="J1631" s="16"/>
      <c r="K1631" s="17"/>
      <c r="L1631" s="16"/>
      <c r="N1631" s="28"/>
    </row>
    <row r="1632">
      <c r="A1632" s="16" t="str">
        <f t="shared" si="10"/>
        <v/>
      </c>
      <c r="B1632" s="48"/>
      <c r="C1632" s="14"/>
      <c r="D1632" s="56"/>
      <c r="E1632" s="16"/>
      <c r="F1632" s="14"/>
      <c r="G1632" s="14"/>
      <c r="H1632" s="14"/>
      <c r="I1632" s="17"/>
      <c r="J1632" s="16"/>
      <c r="K1632" s="17"/>
      <c r="L1632" s="16"/>
      <c r="N1632" s="28"/>
    </row>
    <row r="1633">
      <c r="A1633" s="16" t="str">
        <f t="shared" si="10"/>
        <v/>
      </c>
      <c r="B1633" s="48"/>
      <c r="C1633" s="14"/>
      <c r="D1633" s="56"/>
      <c r="E1633" s="16"/>
      <c r="F1633" s="14"/>
      <c r="G1633" s="14"/>
      <c r="H1633" s="14"/>
      <c r="I1633" s="17"/>
      <c r="J1633" s="16"/>
      <c r="K1633" s="17"/>
      <c r="L1633" s="16"/>
      <c r="N1633" s="28"/>
    </row>
    <row r="1634">
      <c r="A1634" s="16" t="str">
        <f t="shared" si="10"/>
        <v/>
      </c>
      <c r="B1634" s="48"/>
      <c r="C1634" s="14"/>
      <c r="D1634" s="56"/>
      <c r="E1634" s="16"/>
      <c r="F1634" s="14"/>
      <c r="G1634" s="14"/>
      <c r="H1634" s="14"/>
      <c r="I1634" s="17"/>
      <c r="J1634" s="16"/>
      <c r="K1634" s="17"/>
      <c r="L1634" s="16"/>
      <c r="N1634" s="28"/>
    </row>
    <row r="1635">
      <c r="A1635" s="16" t="str">
        <f t="shared" si="10"/>
        <v/>
      </c>
      <c r="B1635" s="48"/>
      <c r="C1635" s="14"/>
      <c r="D1635" s="56"/>
      <c r="E1635" s="16"/>
      <c r="F1635" s="14"/>
      <c r="G1635" s="14"/>
      <c r="H1635" s="14"/>
      <c r="I1635" s="17"/>
      <c r="J1635" s="16"/>
      <c r="K1635" s="17"/>
      <c r="L1635" s="16"/>
      <c r="N1635" s="28"/>
    </row>
    <row r="1636">
      <c r="A1636" s="16" t="str">
        <f t="shared" si="10"/>
        <v/>
      </c>
      <c r="B1636" s="48"/>
      <c r="C1636" s="14"/>
      <c r="D1636" s="56"/>
      <c r="E1636" s="16"/>
      <c r="F1636" s="14"/>
      <c r="G1636" s="14"/>
      <c r="H1636" s="14"/>
      <c r="I1636" s="17"/>
      <c r="J1636" s="16"/>
      <c r="K1636" s="17"/>
      <c r="L1636" s="16"/>
      <c r="N1636" s="28"/>
    </row>
    <row r="1637">
      <c r="A1637" s="16" t="str">
        <f t="shared" si="10"/>
        <v/>
      </c>
      <c r="B1637" s="48"/>
      <c r="C1637" s="14"/>
      <c r="D1637" s="56"/>
      <c r="E1637" s="16"/>
      <c r="F1637" s="14"/>
      <c r="G1637" s="14"/>
      <c r="H1637" s="14"/>
      <c r="I1637" s="17"/>
      <c r="J1637" s="16"/>
      <c r="K1637" s="17"/>
      <c r="L1637" s="16"/>
      <c r="N1637" s="28"/>
    </row>
    <row r="1638">
      <c r="A1638" s="16" t="str">
        <f t="shared" si="10"/>
        <v/>
      </c>
      <c r="B1638" s="48"/>
      <c r="C1638" s="14"/>
      <c r="D1638" s="56"/>
      <c r="E1638" s="16"/>
      <c r="F1638" s="14"/>
      <c r="G1638" s="14"/>
      <c r="H1638" s="14"/>
      <c r="I1638" s="17"/>
      <c r="J1638" s="16"/>
      <c r="K1638" s="17"/>
      <c r="L1638" s="16"/>
      <c r="N1638" s="28"/>
    </row>
    <row r="1639">
      <c r="A1639" s="16" t="str">
        <f t="shared" si="10"/>
        <v/>
      </c>
      <c r="B1639" s="48"/>
      <c r="C1639" s="14"/>
      <c r="D1639" s="56"/>
      <c r="E1639" s="16"/>
      <c r="F1639" s="14"/>
      <c r="G1639" s="14"/>
      <c r="H1639" s="14"/>
      <c r="I1639" s="17"/>
      <c r="J1639" s="16"/>
      <c r="K1639" s="17"/>
      <c r="L1639" s="16"/>
      <c r="N1639" s="28"/>
    </row>
    <row r="1640">
      <c r="A1640" s="16" t="str">
        <f t="shared" si="10"/>
        <v/>
      </c>
      <c r="B1640" s="48"/>
      <c r="C1640" s="14"/>
      <c r="D1640" s="56"/>
      <c r="E1640" s="16"/>
      <c r="F1640" s="14"/>
      <c r="G1640" s="14"/>
      <c r="H1640" s="14"/>
      <c r="I1640" s="17"/>
      <c r="J1640" s="16"/>
      <c r="K1640" s="17"/>
      <c r="L1640" s="16"/>
      <c r="N1640" s="28"/>
    </row>
    <row r="1641">
      <c r="A1641" s="16" t="str">
        <f t="shared" si="10"/>
        <v/>
      </c>
      <c r="B1641" s="48"/>
      <c r="C1641" s="14"/>
      <c r="D1641" s="56"/>
      <c r="E1641" s="16"/>
      <c r="F1641" s="14"/>
      <c r="G1641" s="14"/>
      <c r="H1641" s="14"/>
      <c r="I1641" s="17"/>
      <c r="J1641" s="16"/>
      <c r="K1641" s="17"/>
      <c r="L1641" s="16"/>
      <c r="N1641" s="28"/>
    </row>
    <row r="1642">
      <c r="A1642" s="16" t="str">
        <f t="shared" si="10"/>
        <v/>
      </c>
      <c r="B1642" s="48"/>
      <c r="C1642" s="14"/>
      <c r="D1642" s="56"/>
      <c r="E1642" s="16"/>
      <c r="F1642" s="14"/>
      <c r="G1642" s="14"/>
      <c r="H1642" s="14"/>
      <c r="I1642" s="17"/>
      <c r="J1642" s="16"/>
      <c r="K1642" s="17"/>
      <c r="L1642" s="16"/>
      <c r="N1642" s="28"/>
    </row>
    <row r="1643">
      <c r="A1643" s="16" t="str">
        <f t="shared" si="10"/>
        <v/>
      </c>
      <c r="B1643" s="48"/>
      <c r="C1643" s="14"/>
      <c r="D1643" s="56"/>
      <c r="E1643" s="16"/>
      <c r="F1643" s="14"/>
      <c r="G1643" s="14"/>
      <c r="H1643" s="14"/>
      <c r="I1643" s="17"/>
      <c r="J1643" s="16"/>
      <c r="K1643" s="17"/>
      <c r="L1643" s="16"/>
      <c r="N1643" s="28"/>
    </row>
    <row r="1644">
      <c r="A1644" s="16" t="str">
        <f t="shared" si="10"/>
        <v/>
      </c>
      <c r="B1644" s="48"/>
      <c r="C1644" s="14"/>
      <c r="D1644" s="56"/>
      <c r="E1644" s="16"/>
      <c r="F1644" s="14"/>
      <c r="G1644" s="14"/>
      <c r="H1644" s="14"/>
      <c r="I1644" s="17"/>
      <c r="J1644" s="16"/>
      <c r="K1644" s="17"/>
      <c r="L1644" s="16"/>
      <c r="N1644" s="28"/>
    </row>
    <row r="1645">
      <c r="A1645" s="16" t="str">
        <f t="shared" si="10"/>
        <v/>
      </c>
      <c r="B1645" s="48"/>
      <c r="C1645" s="14"/>
      <c r="D1645" s="56"/>
      <c r="E1645" s="16"/>
      <c r="F1645" s="14"/>
      <c r="G1645" s="14"/>
      <c r="H1645" s="14"/>
      <c r="I1645" s="17"/>
      <c r="J1645" s="16"/>
      <c r="K1645" s="17"/>
      <c r="L1645" s="16"/>
      <c r="N1645" s="28"/>
    </row>
    <row r="1646">
      <c r="A1646" s="16" t="str">
        <f t="shared" si="10"/>
        <v/>
      </c>
      <c r="B1646" s="48"/>
      <c r="C1646" s="14"/>
      <c r="D1646" s="56"/>
      <c r="E1646" s="16"/>
      <c r="F1646" s="14"/>
      <c r="G1646" s="14"/>
      <c r="H1646" s="14"/>
      <c r="I1646" s="17"/>
      <c r="J1646" s="16"/>
      <c r="K1646" s="17"/>
      <c r="L1646" s="16"/>
      <c r="N1646" s="28"/>
    </row>
    <row r="1647">
      <c r="A1647" s="16" t="str">
        <f t="shared" si="10"/>
        <v/>
      </c>
      <c r="B1647" s="48"/>
      <c r="C1647" s="14"/>
      <c r="D1647" s="56"/>
      <c r="E1647" s="16"/>
      <c r="F1647" s="14"/>
      <c r="G1647" s="14"/>
      <c r="H1647" s="14"/>
      <c r="I1647" s="17"/>
      <c r="J1647" s="16"/>
      <c r="K1647" s="17"/>
      <c r="L1647" s="16"/>
      <c r="N1647" s="28"/>
    </row>
    <row r="1648">
      <c r="A1648" s="16" t="str">
        <f t="shared" si="10"/>
        <v/>
      </c>
      <c r="B1648" s="48"/>
      <c r="C1648" s="14"/>
      <c r="D1648" s="56"/>
      <c r="E1648" s="16"/>
      <c r="F1648" s="14"/>
      <c r="G1648" s="14"/>
      <c r="H1648" s="14"/>
      <c r="I1648" s="17"/>
      <c r="J1648" s="16"/>
      <c r="K1648" s="17"/>
      <c r="L1648" s="16"/>
      <c r="N1648" s="28"/>
    </row>
    <row r="1649">
      <c r="A1649" s="16" t="str">
        <f t="shared" si="10"/>
        <v/>
      </c>
      <c r="B1649" s="48"/>
      <c r="C1649" s="14"/>
      <c r="D1649" s="56"/>
      <c r="E1649" s="16"/>
      <c r="F1649" s="14"/>
      <c r="G1649" s="14"/>
      <c r="H1649" s="14"/>
      <c r="I1649" s="17"/>
      <c r="J1649" s="16"/>
      <c r="K1649" s="17"/>
      <c r="L1649" s="16"/>
      <c r="N1649" s="28"/>
    </row>
    <row r="1650">
      <c r="A1650" s="16" t="str">
        <f t="shared" si="10"/>
        <v/>
      </c>
      <c r="B1650" s="48"/>
      <c r="C1650" s="14"/>
      <c r="D1650" s="56"/>
      <c r="E1650" s="16"/>
      <c r="F1650" s="14"/>
      <c r="G1650" s="14"/>
      <c r="H1650" s="14"/>
      <c r="I1650" s="17"/>
      <c r="J1650" s="16"/>
      <c r="K1650" s="17"/>
      <c r="L1650" s="16"/>
      <c r="N1650" s="28"/>
    </row>
    <row r="1651">
      <c r="A1651" s="16" t="str">
        <f t="shared" si="10"/>
        <v/>
      </c>
      <c r="B1651" s="48"/>
      <c r="C1651" s="14"/>
      <c r="D1651" s="56"/>
      <c r="E1651" s="16"/>
      <c r="F1651" s="14"/>
      <c r="G1651" s="14"/>
      <c r="H1651" s="14"/>
      <c r="I1651" s="17"/>
      <c r="J1651" s="16"/>
      <c r="K1651" s="17"/>
      <c r="L1651" s="16"/>
      <c r="N1651" s="28"/>
    </row>
    <row r="1652">
      <c r="A1652" s="16" t="str">
        <f t="shared" si="10"/>
        <v/>
      </c>
      <c r="B1652" s="48"/>
      <c r="C1652" s="14"/>
      <c r="D1652" s="56"/>
      <c r="E1652" s="16"/>
      <c r="F1652" s="14"/>
      <c r="G1652" s="14"/>
      <c r="H1652" s="14"/>
      <c r="I1652" s="17"/>
      <c r="J1652" s="16"/>
      <c r="K1652" s="17"/>
      <c r="L1652" s="16"/>
      <c r="N1652" s="28"/>
    </row>
    <row r="1653">
      <c r="A1653" s="16" t="str">
        <f t="shared" si="10"/>
        <v/>
      </c>
      <c r="B1653" s="48"/>
      <c r="C1653" s="14"/>
      <c r="D1653" s="56"/>
      <c r="E1653" s="16"/>
      <c r="F1653" s="14"/>
      <c r="G1653" s="14"/>
      <c r="H1653" s="14"/>
      <c r="I1653" s="17"/>
      <c r="J1653" s="16"/>
      <c r="K1653" s="17"/>
      <c r="L1653" s="16"/>
      <c r="N1653" s="28"/>
    </row>
    <row r="1654">
      <c r="A1654" s="16" t="str">
        <f t="shared" si="10"/>
        <v/>
      </c>
      <c r="B1654" s="48"/>
      <c r="C1654" s="14"/>
      <c r="D1654" s="56"/>
      <c r="E1654" s="16"/>
      <c r="F1654" s="14"/>
      <c r="G1654" s="14"/>
      <c r="H1654" s="14"/>
      <c r="I1654" s="17"/>
      <c r="J1654" s="16"/>
      <c r="K1654" s="17"/>
      <c r="L1654" s="16"/>
      <c r="N1654" s="28"/>
    </row>
    <row r="1655">
      <c r="A1655" s="16" t="str">
        <f t="shared" si="10"/>
        <v/>
      </c>
      <c r="B1655" s="48"/>
      <c r="C1655" s="14"/>
      <c r="D1655" s="56"/>
      <c r="E1655" s="16"/>
      <c r="F1655" s="14"/>
      <c r="G1655" s="14"/>
      <c r="H1655" s="14"/>
      <c r="I1655" s="17"/>
      <c r="J1655" s="16"/>
      <c r="K1655" s="17"/>
      <c r="L1655" s="16"/>
      <c r="N1655" s="28"/>
    </row>
    <row r="1656">
      <c r="A1656" s="16" t="str">
        <f t="shared" si="10"/>
        <v/>
      </c>
      <c r="B1656" s="48"/>
      <c r="C1656" s="14"/>
      <c r="D1656" s="56"/>
      <c r="E1656" s="16"/>
      <c r="F1656" s="14"/>
      <c r="G1656" s="14"/>
      <c r="H1656" s="14"/>
      <c r="I1656" s="17"/>
      <c r="J1656" s="16"/>
      <c r="K1656" s="17"/>
      <c r="L1656" s="16"/>
      <c r="N1656" s="28"/>
    </row>
    <row r="1657">
      <c r="A1657" s="16" t="str">
        <f t="shared" si="10"/>
        <v/>
      </c>
      <c r="B1657" s="48"/>
      <c r="C1657" s="14"/>
      <c r="D1657" s="56"/>
      <c r="E1657" s="16"/>
      <c r="F1657" s="14"/>
      <c r="G1657" s="14"/>
      <c r="H1657" s="14"/>
      <c r="I1657" s="17"/>
      <c r="J1657" s="16"/>
      <c r="K1657" s="17"/>
      <c r="L1657" s="16"/>
      <c r="N1657" s="28"/>
    </row>
    <row r="1658">
      <c r="A1658" s="16" t="str">
        <f t="shared" si="10"/>
        <v/>
      </c>
      <c r="B1658" s="48"/>
      <c r="C1658" s="14"/>
      <c r="D1658" s="56"/>
      <c r="E1658" s="16"/>
      <c r="F1658" s="14"/>
      <c r="G1658" s="14"/>
      <c r="H1658" s="14"/>
      <c r="I1658" s="17"/>
      <c r="J1658" s="16"/>
      <c r="K1658" s="17"/>
      <c r="L1658" s="16"/>
      <c r="N1658" s="28"/>
    </row>
    <row r="1659">
      <c r="A1659" s="16" t="str">
        <f t="shared" si="10"/>
        <v/>
      </c>
      <c r="B1659" s="48"/>
      <c r="C1659" s="14"/>
      <c r="D1659" s="56"/>
      <c r="E1659" s="16"/>
      <c r="F1659" s="14"/>
      <c r="G1659" s="14"/>
      <c r="H1659" s="14"/>
      <c r="I1659" s="17"/>
      <c r="J1659" s="16"/>
      <c r="K1659" s="17"/>
      <c r="L1659" s="16"/>
      <c r="N1659" s="28"/>
    </row>
    <row r="1660">
      <c r="A1660" s="16" t="str">
        <f t="shared" si="10"/>
        <v/>
      </c>
      <c r="B1660" s="48"/>
      <c r="C1660" s="14"/>
      <c r="D1660" s="56"/>
      <c r="E1660" s="16"/>
      <c r="F1660" s="14"/>
      <c r="G1660" s="14"/>
      <c r="H1660" s="14"/>
      <c r="I1660" s="17"/>
      <c r="J1660" s="16"/>
      <c r="K1660" s="17"/>
      <c r="L1660" s="16"/>
      <c r="N1660" s="28"/>
    </row>
    <row r="1661">
      <c r="A1661" s="16" t="str">
        <f t="shared" si="10"/>
        <v/>
      </c>
      <c r="B1661" s="48"/>
      <c r="C1661" s="14"/>
      <c r="D1661" s="56"/>
      <c r="E1661" s="16"/>
      <c r="F1661" s="14"/>
      <c r="G1661" s="14"/>
      <c r="H1661" s="14"/>
      <c r="I1661" s="17"/>
      <c r="J1661" s="16"/>
      <c r="K1661" s="17"/>
      <c r="L1661" s="16"/>
      <c r="N1661" s="28"/>
    </row>
    <row r="1662">
      <c r="A1662" s="16" t="str">
        <f t="shared" si="10"/>
        <v/>
      </c>
      <c r="B1662" s="48"/>
      <c r="C1662" s="14"/>
      <c r="D1662" s="56"/>
      <c r="E1662" s="16"/>
      <c r="F1662" s="14"/>
      <c r="G1662" s="14"/>
      <c r="H1662" s="14"/>
      <c r="I1662" s="17"/>
      <c r="J1662" s="16"/>
      <c r="K1662" s="17"/>
      <c r="L1662" s="16"/>
      <c r="N1662" s="28"/>
    </row>
    <row r="1663">
      <c r="A1663" s="16" t="str">
        <f t="shared" si="10"/>
        <v/>
      </c>
      <c r="B1663" s="48"/>
      <c r="C1663" s="14"/>
      <c r="D1663" s="56"/>
      <c r="E1663" s="16"/>
      <c r="F1663" s="14"/>
      <c r="G1663" s="14"/>
      <c r="H1663" s="14"/>
      <c r="I1663" s="17"/>
      <c r="J1663" s="16"/>
      <c r="K1663" s="17"/>
      <c r="L1663" s="16"/>
      <c r="N1663" s="28"/>
    </row>
    <row r="1664">
      <c r="A1664" s="16" t="str">
        <f t="shared" si="10"/>
        <v/>
      </c>
      <c r="B1664" s="48"/>
      <c r="C1664" s="14"/>
      <c r="D1664" s="56"/>
      <c r="E1664" s="16"/>
      <c r="F1664" s="14"/>
      <c r="G1664" s="14"/>
      <c r="H1664" s="14"/>
      <c r="I1664" s="17"/>
      <c r="J1664" s="16"/>
      <c r="K1664" s="17"/>
      <c r="L1664" s="16"/>
      <c r="N1664" s="28"/>
    </row>
    <row r="1665">
      <c r="A1665" s="16" t="str">
        <f t="shared" si="10"/>
        <v/>
      </c>
      <c r="B1665" s="48"/>
      <c r="C1665" s="14"/>
      <c r="D1665" s="56"/>
      <c r="E1665" s="16"/>
      <c r="F1665" s="14"/>
      <c r="G1665" s="14"/>
      <c r="H1665" s="14"/>
      <c r="I1665" s="17"/>
      <c r="J1665" s="16"/>
      <c r="K1665" s="17"/>
      <c r="L1665" s="16"/>
      <c r="N1665" s="28"/>
    </row>
    <row r="1666">
      <c r="A1666" s="16" t="str">
        <f t="shared" si="10"/>
        <v/>
      </c>
      <c r="B1666" s="48"/>
      <c r="C1666" s="14"/>
      <c r="D1666" s="56"/>
      <c r="E1666" s="16"/>
      <c r="F1666" s="14"/>
      <c r="G1666" s="14"/>
      <c r="H1666" s="14"/>
      <c r="I1666" s="17"/>
      <c r="J1666" s="16"/>
      <c r="K1666" s="17"/>
      <c r="L1666" s="16"/>
      <c r="N1666" s="28"/>
    </row>
    <row r="1667">
      <c r="A1667" s="16" t="str">
        <f t="shared" si="10"/>
        <v/>
      </c>
      <c r="B1667" s="48"/>
      <c r="C1667" s="14"/>
      <c r="D1667" s="56"/>
      <c r="E1667" s="16"/>
      <c r="F1667" s="14"/>
      <c r="G1667" s="14"/>
      <c r="H1667" s="14"/>
      <c r="I1667" s="17"/>
      <c r="J1667" s="16"/>
      <c r="K1667" s="17"/>
      <c r="L1667" s="16"/>
      <c r="N1667" s="28"/>
    </row>
    <row r="1668">
      <c r="A1668" s="16" t="str">
        <f t="shared" si="10"/>
        <v/>
      </c>
      <c r="B1668" s="48"/>
      <c r="C1668" s="14"/>
      <c r="D1668" s="56"/>
      <c r="E1668" s="16"/>
      <c r="F1668" s="14"/>
      <c r="G1668" s="14"/>
      <c r="H1668" s="14"/>
      <c r="I1668" s="17"/>
      <c r="J1668" s="16"/>
      <c r="K1668" s="17"/>
      <c r="L1668" s="16"/>
      <c r="N1668" s="28"/>
    </row>
    <row r="1669">
      <c r="A1669" s="16" t="str">
        <f t="shared" si="10"/>
        <v/>
      </c>
      <c r="B1669" s="48"/>
      <c r="C1669" s="14"/>
      <c r="D1669" s="56"/>
      <c r="E1669" s="16"/>
      <c r="F1669" s="14"/>
      <c r="G1669" s="14"/>
      <c r="H1669" s="14"/>
      <c r="I1669" s="17"/>
      <c r="J1669" s="16"/>
      <c r="K1669" s="17"/>
      <c r="L1669" s="16"/>
      <c r="N1669" s="28"/>
    </row>
    <row r="1670">
      <c r="A1670" s="16" t="str">
        <f t="shared" si="10"/>
        <v/>
      </c>
      <c r="B1670" s="48"/>
      <c r="C1670" s="14"/>
      <c r="D1670" s="56"/>
      <c r="E1670" s="16"/>
      <c r="F1670" s="14"/>
      <c r="G1670" s="14"/>
      <c r="H1670" s="14"/>
      <c r="I1670" s="17"/>
      <c r="J1670" s="16"/>
      <c r="K1670" s="17"/>
      <c r="L1670" s="16"/>
      <c r="N1670" s="28"/>
    </row>
    <row r="1671">
      <c r="A1671" s="16" t="str">
        <f t="shared" si="10"/>
        <v/>
      </c>
      <c r="B1671" s="48"/>
      <c r="C1671" s="14"/>
      <c r="D1671" s="56"/>
      <c r="E1671" s="16"/>
      <c r="F1671" s="14"/>
      <c r="G1671" s="14"/>
      <c r="H1671" s="14"/>
      <c r="I1671" s="17"/>
      <c r="J1671" s="16"/>
      <c r="K1671" s="17"/>
      <c r="L1671" s="16"/>
      <c r="N1671" s="28"/>
    </row>
    <row r="1672">
      <c r="A1672" s="16" t="str">
        <f t="shared" si="10"/>
        <v/>
      </c>
      <c r="B1672" s="48"/>
      <c r="C1672" s="14"/>
      <c r="D1672" s="56"/>
      <c r="E1672" s="16"/>
      <c r="F1672" s="14"/>
      <c r="G1672" s="14"/>
      <c r="H1672" s="14"/>
      <c r="I1672" s="17"/>
      <c r="J1672" s="16"/>
      <c r="K1672" s="17"/>
      <c r="L1672" s="16"/>
      <c r="N1672" s="28"/>
    </row>
    <row r="1673">
      <c r="A1673" s="16" t="str">
        <f t="shared" si="10"/>
        <v/>
      </c>
      <c r="B1673" s="48"/>
      <c r="C1673" s="14"/>
      <c r="D1673" s="56"/>
      <c r="E1673" s="16"/>
      <c r="F1673" s="14"/>
      <c r="G1673" s="14"/>
      <c r="H1673" s="14"/>
      <c r="I1673" s="17"/>
      <c r="J1673" s="16"/>
      <c r="K1673" s="17"/>
      <c r="L1673" s="16"/>
      <c r="N1673" s="28"/>
    </row>
    <row r="1674">
      <c r="A1674" s="16" t="str">
        <f t="shared" si="10"/>
        <v/>
      </c>
      <c r="B1674" s="48"/>
      <c r="C1674" s="14"/>
      <c r="D1674" s="56"/>
      <c r="E1674" s="16"/>
      <c r="F1674" s="14"/>
      <c r="G1674" s="14"/>
      <c r="H1674" s="14"/>
      <c r="I1674" s="17"/>
      <c r="J1674" s="16"/>
      <c r="K1674" s="17"/>
      <c r="L1674" s="16"/>
      <c r="N1674" s="28"/>
    </row>
    <row r="1675">
      <c r="A1675" s="16" t="str">
        <f t="shared" si="10"/>
        <v/>
      </c>
      <c r="B1675" s="48"/>
      <c r="C1675" s="14"/>
      <c r="D1675" s="56"/>
      <c r="E1675" s="16"/>
      <c r="F1675" s="14"/>
      <c r="G1675" s="14"/>
      <c r="H1675" s="14"/>
      <c r="I1675" s="17"/>
      <c r="J1675" s="16"/>
      <c r="K1675" s="17"/>
      <c r="L1675" s="16"/>
      <c r="N1675" s="28"/>
    </row>
    <row r="1676">
      <c r="A1676" s="16" t="str">
        <f t="shared" si="10"/>
        <v/>
      </c>
      <c r="B1676" s="48"/>
      <c r="C1676" s="14"/>
      <c r="D1676" s="56"/>
      <c r="E1676" s="16"/>
      <c r="F1676" s="14"/>
      <c r="G1676" s="14"/>
      <c r="H1676" s="14"/>
      <c r="I1676" s="17"/>
      <c r="J1676" s="16"/>
      <c r="K1676" s="17"/>
      <c r="L1676" s="16"/>
      <c r="N1676" s="28"/>
    </row>
    <row r="1677">
      <c r="A1677" s="16" t="str">
        <f t="shared" si="10"/>
        <v/>
      </c>
      <c r="B1677" s="48"/>
      <c r="C1677" s="14"/>
      <c r="D1677" s="56"/>
      <c r="E1677" s="16"/>
      <c r="F1677" s="14"/>
      <c r="G1677" s="14"/>
      <c r="H1677" s="14"/>
      <c r="I1677" s="17"/>
      <c r="J1677" s="16"/>
      <c r="K1677" s="17"/>
      <c r="L1677" s="16"/>
      <c r="N1677" s="28"/>
    </row>
    <row r="1678">
      <c r="A1678" s="16" t="str">
        <f t="shared" si="10"/>
        <v/>
      </c>
      <c r="B1678" s="48"/>
      <c r="C1678" s="14"/>
      <c r="D1678" s="56"/>
      <c r="E1678" s="16"/>
      <c r="F1678" s="14"/>
      <c r="G1678" s="14"/>
      <c r="H1678" s="14"/>
      <c r="I1678" s="17"/>
      <c r="J1678" s="16"/>
      <c r="K1678" s="17"/>
      <c r="L1678" s="16"/>
      <c r="N1678" s="28"/>
    </row>
    <row r="1679">
      <c r="A1679" s="16" t="str">
        <f t="shared" si="10"/>
        <v/>
      </c>
      <c r="B1679" s="48"/>
      <c r="C1679" s="14"/>
      <c r="D1679" s="56"/>
      <c r="E1679" s="16"/>
      <c r="F1679" s="14"/>
      <c r="G1679" s="14"/>
      <c r="H1679" s="14"/>
      <c r="I1679" s="17"/>
      <c r="J1679" s="16"/>
      <c r="K1679" s="17"/>
      <c r="L1679" s="16"/>
      <c r="N1679" s="28"/>
    </row>
    <row r="1680">
      <c r="A1680" s="16" t="str">
        <f t="shared" si="10"/>
        <v/>
      </c>
      <c r="B1680" s="48"/>
      <c r="C1680" s="14"/>
      <c r="D1680" s="56"/>
      <c r="E1680" s="16"/>
      <c r="F1680" s="14"/>
      <c r="G1680" s="14"/>
      <c r="H1680" s="14"/>
      <c r="I1680" s="17"/>
      <c r="J1680" s="16"/>
      <c r="K1680" s="17"/>
      <c r="L1680" s="16"/>
      <c r="N1680" s="28"/>
    </row>
    <row r="1681">
      <c r="A1681" s="16" t="str">
        <f t="shared" si="10"/>
        <v/>
      </c>
      <c r="B1681" s="48"/>
      <c r="C1681" s="14"/>
      <c r="D1681" s="56"/>
      <c r="E1681" s="16"/>
      <c r="F1681" s="14"/>
      <c r="G1681" s="14"/>
      <c r="H1681" s="14"/>
      <c r="I1681" s="17"/>
      <c r="J1681" s="16"/>
      <c r="K1681" s="17"/>
      <c r="L1681" s="16"/>
      <c r="N1681" s="28"/>
    </row>
    <row r="1682">
      <c r="A1682" s="16" t="str">
        <f t="shared" si="10"/>
        <v/>
      </c>
      <c r="B1682" s="48"/>
      <c r="C1682" s="14"/>
      <c r="D1682" s="56"/>
      <c r="E1682" s="16"/>
      <c r="F1682" s="14"/>
      <c r="G1682" s="14"/>
      <c r="H1682" s="14"/>
      <c r="I1682" s="17"/>
      <c r="J1682" s="16"/>
      <c r="K1682" s="17"/>
      <c r="L1682" s="16"/>
      <c r="N1682" s="28"/>
    </row>
    <row r="1683">
      <c r="A1683" s="16" t="str">
        <f t="shared" si="10"/>
        <v/>
      </c>
      <c r="B1683" s="48"/>
      <c r="C1683" s="14"/>
      <c r="D1683" s="56"/>
      <c r="E1683" s="16"/>
      <c r="F1683" s="14"/>
      <c r="G1683" s="14"/>
      <c r="H1683" s="14"/>
      <c r="I1683" s="17"/>
      <c r="J1683" s="16"/>
      <c r="K1683" s="17"/>
      <c r="L1683" s="16"/>
      <c r="N1683" s="28"/>
    </row>
    <row r="1684">
      <c r="A1684" s="16" t="str">
        <f t="shared" si="10"/>
        <v/>
      </c>
      <c r="B1684" s="48"/>
      <c r="C1684" s="14"/>
      <c r="D1684" s="56"/>
      <c r="E1684" s="16"/>
      <c r="F1684" s="14"/>
      <c r="G1684" s="14"/>
      <c r="H1684" s="14"/>
      <c r="I1684" s="17"/>
      <c r="J1684" s="16"/>
      <c r="K1684" s="17"/>
      <c r="L1684" s="16"/>
      <c r="N1684" s="28"/>
    </row>
    <row r="1685">
      <c r="A1685" s="16" t="str">
        <f t="shared" si="10"/>
        <v/>
      </c>
      <c r="B1685" s="48"/>
      <c r="C1685" s="14"/>
      <c r="D1685" s="56"/>
      <c r="E1685" s="16"/>
      <c r="F1685" s="14"/>
      <c r="G1685" s="14"/>
      <c r="H1685" s="14"/>
      <c r="I1685" s="17"/>
      <c r="J1685" s="16"/>
      <c r="K1685" s="17"/>
      <c r="L1685" s="16"/>
      <c r="N1685" s="28"/>
    </row>
    <row r="1686">
      <c r="A1686" s="16" t="str">
        <f t="shared" si="10"/>
        <v/>
      </c>
      <c r="B1686" s="48"/>
      <c r="C1686" s="14"/>
      <c r="D1686" s="56"/>
      <c r="E1686" s="16"/>
      <c r="F1686" s="14"/>
      <c r="G1686" s="14"/>
      <c r="H1686" s="14"/>
      <c r="I1686" s="17"/>
      <c r="J1686" s="16"/>
      <c r="K1686" s="17"/>
      <c r="L1686" s="16"/>
      <c r="N1686" s="28"/>
    </row>
    <row r="1687">
      <c r="A1687" s="16" t="str">
        <f t="shared" si="10"/>
        <v/>
      </c>
      <c r="B1687" s="48"/>
      <c r="C1687" s="14"/>
      <c r="D1687" s="56"/>
      <c r="E1687" s="16"/>
      <c r="F1687" s="14"/>
      <c r="G1687" s="14"/>
      <c r="H1687" s="14"/>
      <c r="I1687" s="17"/>
      <c r="J1687" s="16"/>
      <c r="K1687" s="17"/>
      <c r="L1687" s="16"/>
      <c r="N1687" s="28"/>
    </row>
    <row r="1688">
      <c r="A1688" s="16" t="str">
        <f t="shared" si="10"/>
        <v/>
      </c>
      <c r="B1688" s="48"/>
      <c r="C1688" s="14"/>
      <c r="D1688" s="56"/>
      <c r="E1688" s="16"/>
      <c r="F1688" s="14"/>
      <c r="G1688" s="14"/>
      <c r="H1688" s="14"/>
      <c r="I1688" s="17"/>
      <c r="J1688" s="16"/>
      <c r="K1688" s="17"/>
      <c r="L1688" s="16"/>
      <c r="N1688" s="28"/>
    </row>
    <row r="1689">
      <c r="A1689" s="16" t="str">
        <f t="shared" si="10"/>
        <v/>
      </c>
      <c r="B1689" s="48"/>
      <c r="C1689" s="14"/>
      <c r="D1689" s="56"/>
      <c r="E1689" s="16"/>
      <c r="F1689" s="14"/>
      <c r="G1689" s="14"/>
      <c r="H1689" s="14"/>
      <c r="I1689" s="17"/>
      <c r="J1689" s="16"/>
      <c r="K1689" s="17"/>
      <c r="L1689" s="16"/>
      <c r="N1689" s="28"/>
    </row>
    <row r="1690">
      <c r="A1690" s="16" t="str">
        <f t="shared" si="10"/>
        <v/>
      </c>
      <c r="B1690" s="48"/>
      <c r="C1690" s="14"/>
      <c r="D1690" s="56"/>
      <c r="E1690" s="16"/>
      <c r="F1690" s="14"/>
      <c r="G1690" s="14"/>
      <c r="H1690" s="14"/>
      <c r="I1690" s="17"/>
      <c r="J1690" s="16"/>
      <c r="K1690" s="17"/>
      <c r="L1690" s="16"/>
      <c r="N1690" s="28"/>
    </row>
    <row r="1691">
      <c r="A1691" s="16" t="str">
        <f t="shared" si="10"/>
        <v/>
      </c>
      <c r="B1691" s="48"/>
      <c r="C1691" s="14"/>
      <c r="D1691" s="56"/>
      <c r="E1691" s="16"/>
      <c r="F1691" s="14"/>
      <c r="G1691" s="14"/>
      <c r="H1691" s="14"/>
      <c r="I1691" s="17"/>
      <c r="J1691" s="16"/>
      <c r="K1691" s="17"/>
      <c r="L1691" s="16"/>
      <c r="N1691" s="28"/>
    </row>
    <row r="1692">
      <c r="A1692" s="16" t="str">
        <f t="shared" si="10"/>
        <v/>
      </c>
      <c r="B1692" s="48"/>
      <c r="C1692" s="14"/>
      <c r="D1692" s="56"/>
      <c r="E1692" s="16"/>
      <c r="F1692" s="14"/>
      <c r="G1692" s="14"/>
      <c r="H1692" s="14"/>
      <c r="I1692" s="17"/>
      <c r="J1692" s="16"/>
      <c r="K1692" s="17"/>
      <c r="L1692" s="16"/>
      <c r="N1692" s="28"/>
    </row>
    <row r="1693">
      <c r="A1693" s="16" t="str">
        <f t="shared" si="10"/>
        <v/>
      </c>
      <c r="B1693" s="48"/>
      <c r="C1693" s="14"/>
      <c r="D1693" s="56"/>
      <c r="E1693" s="16"/>
      <c r="F1693" s="14"/>
      <c r="G1693" s="14"/>
      <c r="H1693" s="14"/>
      <c r="I1693" s="17"/>
      <c r="J1693" s="16"/>
      <c r="K1693" s="17"/>
      <c r="L1693" s="16"/>
      <c r="N1693" s="28"/>
    </row>
    <row r="1694">
      <c r="A1694" s="16" t="str">
        <f t="shared" si="10"/>
        <v/>
      </c>
      <c r="B1694" s="48"/>
      <c r="C1694" s="14"/>
      <c r="D1694" s="56"/>
      <c r="E1694" s="16"/>
      <c r="F1694" s="14"/>
      <c r="G1694" s="14"/>
      <c r="H1694" s="14"/>
      <c r="I1694" s="17"/>
      <c r="J1694" s="16"/>
      <c r="K1694" s="17"/>
      <c r="L1694" s="16"/>
      <c r="N1694" s="28"/>
    </row>
    <row r="1695">
      <c r="A1695" s="16" t="str">
        <f t="shared" si="10"/>
        <v/>
      </c>
      <c r="B1695" s="48"/>
      <c r="C1695" s="14"/>
      <c r="D1695" s="56"/>
      <c r="E1695" s="16"/>
      <c r="F1695" s="14"/>
      <c r="G1695" s="14"/>
      <c r="H1695" s="14"/>
      <c r="I1695" s="17"/>
      <c r="J1695" s="16"/>
      <c r="K1695" s="17"/>
      <c r="L1695" s="16"/>
      <c r="N1695" s="28"/>
    </row>
    <row r="1696">
      <c r="A1696" s="16" t="str">
        <f t="shared" si="10"/>
        <v/>
      </c>
      <c r="B1696" s="48"/>
      <c r="C1696" s="14"/>
      <c r="D1696" s="56"/>
      <c r="E1696" s="16"/>
      <c r="F1696" s="14"/>
      <c r="G1696" s="14"/>
      <c r="H1696" s="14"/>
      <c r="I1696" s="17"/>
      <c r="J1696" s="16"/>
      <c r="K1696" s="17"/>
      <c r="L1696" s="16"/>
      <c r="N1696" s="28"/>
    </row>
    <row r="1697">
      <c r="A1697" s="16" t="str">
        <f t="shared" si="10"/>
        <v/>
      </c>
      <c r="B1697" s="48"/>
      <c r="C1697" s="14"/>
      <c r="D1697" s="56"/>
      <c r="E1697" s="16"/>
      <c r="F1697" s="14"/>
      <c r="G1697" s="14"/>
      <c r="H1697" s="14"/>
      <c r="I1697" s="17"/>
      <c r="J1697" s="16"/>
      <c r="K1697" s="17"/>
      <c r="L1697" s="16"/>
      <c r="N1697" s="28"/>
    </row>
    <row r="1698">
      <c r="A1698" s="16" t="str">
        <f t="shared" si="10"/>
        <v/>
      </c>
      <c r="B1698" s="48"/>
      <c r="C1698" s="14"/>
      <c r="D1698" s="56"/>
      <c r="E1698" s="16"/>
      <c r="F1698" s="14"/>
      <c r="G1698" s="14"/>
      <c r="H1698" s="14"/>
      <c r="I1698" s="17"/>
      <c r="J1698" s="16"/>
      <c r="K1698" s="17"/>
      <c r="L1698" s="16"/>
      <c r="N1698" s="28"/>
    </row>
    <row r="1699">
      <c r="A1699" s="16" t="str">
        <f t="shared" si="10"/>
        <v/>
      </c>
      <c r="B1699" s="48"/>
      <c r="C1699" s="14"/>
      <c r="D1699" s="56"/>
      <c r="E1699" s="16"/>
      <c r="F1699" s="14"/>
      <c r="G1699" s="14"/>
      <c r="H1699" s="14"/>
      <c r="I1699" s="17"/>
      <c r="J1699" s="16"/>
      <c r="K1699" s="17"/>
      <c r="L1699" s="16"/>
      <c r="N1699" s="28"/>
    </row>
    <row r="1700">
      <c r="A1700" s="16" t="str">
        <f t="shared" si="10"/>
        <v/>
      </c>
      <c r="B1700" s="48"/>
      <c r="C1700" s="14"/>
      <c r="D1700" s="56"/>
      <c r="E1700" s="16"/>
      <c r="F1700" s="14"/>
      <c r="G1700" s="14"/>
      <c r="H1700" s="14"/>
      <c r="I1700" s="17"/>
      <c r="J1700" s="16"/>
      <c r="K1700" s="17"/>
      <c r="L1700" s="16"/>
      <c r="N1700" s="28"/>
    </row>
    <row r="1701">
      <c r="A1701" s="16" t="str">
        <f t="shared" si="10"/>
        <v/>
      </c>
      <c r="B1701" s="48"/>
      <c r="C1701" s="14"/>
      <c r="D1701" s="56"/>
      <c r="E1701" s="16"/>
      <c r="F1701" s="14"/>
      <c r="G1701" s="14"/>
      <c r="H1701" s="14"/>
      <c r="I1701" s="17"/>
      <c r="J1701" s="16"/>
      <c r="K1701" s="17"/>
      <c r="L1701" s="16"/>
      <c r="N1701" s="28"/>
    </row>
    <row r="1702">
      <c r="A1702" s="16" t="str">
        <f t="shared" si="10"/>
        <v/>
      </c>
      <c r="B1702" s="48"/>
      <c r="C1702" s="14"/>
      <c r="D1702" s="56"/>
      <c r="E1702" s="16"/>
      <c r="F1702" s="14"/>
      <c r="G1702" s="14"/>
      <c r="H1702" s="14"/>
      <c r="I1702" s="17"/>
      <c r="J1702" s="16"/>
      <c r="K1702" s="17"/>
      <c r="L1702" s="16"/>
      <c r="N1702" s="28"/>
    </row>
    <row r="1703">
      <c r="A1703" s="16" t="str">
        <f t="shared" si="10"/>
        <v/>
      </c>
      <c r="B1703" s="48"/>
      <c r="C1703" s="14"/>
      <c r="D1703" s="56"/>
      <c r="E1703" s="16"/>
      <c r="F1703" s="14"/>
      <c r="G1703" s="14"/>
      <c r="H1703" s="14"/>
      <c r="I1703" s="17"/>
      <c r="J1703" s="16"/>
      <c r="K1703" s="17"/>
      <c r="L1703" s="16"/>
      <c r="N1703" s="28"/>
    </row>
    <row r="1704">
      <c r="A1704" s="16" t="str">
        <f t="shared" si="10"/>
        <v/>
      </c>
      <c r="B1704" s="48"/>
      <c r="C1704" s="14"/>
      <c r="D1704" s="56"/>
      <c r="E1704" s="16"/>
      <c r="F1704" s="14"/>
      <c r="G1704" s="14"/>
      <c r="H1704" s="14"/>
      <c r="I1704" s="17"/>
      <c r="J1704" s="16"/>
      <c r="K1704" s="17"/>
      <c r="L1704" s="16"/>
      <c r="N1704" s="28"/>
    </row>
    <row r="1705">
      <c r="A1705" s="16" t="str">
        <f t="shared" si="10"/>
        <v/>
      </c>
      <c r="B1705" s="48"/>
      <c r="C1705" s="14"/>
      <c r="D1705" s="56"/>
      <c r="E1705" s="16"/>
      <c r="F1705" s="14"/>
      <c r="G1705" s="14"/>
      <c r="H1705" s="14"/>
      <c r="I1705" s="17"/>
      <c r="J1705" s="16"/>
      <c r="K1705" s="17"/>
      <c r="L1705" s="16"/>
      <c r="N1705" s="28"/>
    </row>
    <row r="1706">
      <c r="A1706" s="16" t="str">
        <f t="shared" si="10"/>
        <v/>
      </c>
      <c r="B1706" s="48"/>
      <c r="C1706" s="14"/>
      <c r="D1706" s="56"/>
      <c r="E1706" s="16"/>
      <c r="F1706" s="14"/>
      <c r="G1706" s="14"/>
      <c r="H1706" s="14"/>
      <c r="I1706" s="17"/>
      <c r="J1706" s="16"/>
      <c r="K1706" s="17"/>
      <c r="L1706" s="16"/>
      <c r="N1706" s="28"/>
    </row>
    <row r="1707">
      <c r="A1707" s="16" t="str">
        <f t="shared" si="10"/>
        <v/>
      </c>
      <c r="B1707" s="48"/>
      <c r="C1707" s="14"/>
      <c r="D1707" s="56"/>
      <c r="E1707" s="16"/>
      <c r="F1707" s="14"/>
      <c r="G1707" s="14"/>
      <c r="H1707" s="14"/>
      <c r="I1707" s="17"/>
      <c r="J1707" s="16"/>
      <c r="K1707" s="17"/>
      <c r="L1707" s="16"/>
      <c r="N1707" s="28"/>
    </row>
    <row r="1708">
      <c r="A1708" s="16" t="str">
        <f t="shared" si="10"/>
        <v/>
      </c>
      <c r="B1708" s="48"/>
      <c r="C1708" s="14"/>
      <c r="D1708" s="56"/>
      <c r="E1708" s="16"/>
      <c r="F1708" s="14"/>
      <c r="G1708" s="14"/>
      <c r="H1708" s="14"/>
      <c r="I1708" s="17"/>
      <c r="J1708" s="16"/>
      <c r="K1708" s="17"/>
      <c r="L1708" s="16"/>
      <c r="N1708" s="28"/>
    </row>
    <row r="1709">
      <c r="A1709" s="16" t="str">
        <f t="shared" si="10"/>
        <v/>
      </c>
      <c r="B1709" s="48"/>
      <c r="C1709" s="14"/>
      <c r="D1709" s="56"/>
      <c r="E1709" s="16"/>
      <c r="F1709" s="14"/>
      <c r="G1709" s="14"/>
      <c r="H1709" s="14"/>
      <c r="I1709" s="17"/>
      <c r="J1709" s="16"/>
      <c r="K1709" s="17"/>
      <c r="L1709" s="16"/>
      <c r="N1709" s="28"/>
    </row>
    <row r="1710">
      <c r="A1710" s="16" t="str">
        <f t="shared" si="10"/>
        <v/>
      </c>
      <c r="B1710" s="48"/>
      <c r="C1710" s="14"/>
      <c r="D1710" s="56"/>
      <c r="E1710" s="16"/>
      <c r="F1710" s="14"/>
      <c r="G1710" s="14"/>
      <c r="H1710" s="14"/>
      <c r="I1710" s="17"/>
      <c r="J1710" s="16"/>
      <c r="K1710" s="17"/>
      <c r="L1710" s="16"/>
      <c r="N1710" s="28"/>
    </row>
    <row r="1711">
      <c r="A1711" s="16" t="str">
        <f t="shared" si="10"/>
        <v/>
      </c>
      <c r="B1711" s="48"/>
      <c r="C1711" s="14"/>
      <c r="D1711" s="56"/>
      <c r="E1711" s="16"/>
      <c r="F1711" s="14"/>
      <c r="G1711" s="14"/>
      <c r="H1711" s="14"/>
      <c r="I1711" s="17"/>
      <c r="J1711" s="16"/>
      <c r="K1711" s="17"/>
      <c r="L1711" s="16"/>
      <c r="N1711" s="28"/>
    </row>
    <row r="1712">
      <c r="A1712" s="16" t="str">
        <f t="shared" si="10"/>
        <v/>
      </c>
      <c r="B1712" s="48"/>
      <c r="C1712" s="14"/>
      <c r="D1712" s="56"/>
      <c r="E1712" s="16"/>
      <c r="F1712" s="14"/>
      <c r="G1712" s="14"/>
      <c r="H1712" s="14"/>
      <c r="I1712" s="17"/>
      <c r="J1712" s="16"/>
      <c r="K1712" s="17"/>
      <c r="L1712" s="16"/>
      <c r="N1712" s="28"/>
    </row>
    <row r="1713">
      <c r="A1713" s="16" t="str">
        <f t="shared" si="10"/>
        <v/>
      </c>
      <c r="B1713" s="48"/>
      <c r="C1713" s="14"/>
      <c r="D1713" s="56"/>
      <c r="E1713" s="16"/>
      <c r="F1713" s="14"/>
      <c r="G1713" s="14"/>
      <c r="H1713" s="14"/>
      <c r="I1713" s="17"/>
      <c r="J1713" s="16"/>
      <c r="K1713" s="17"/>
      <c r="L1713" s="16"/>
      <c r="N1713" s="28"/>
    </row>
    <row r="1714">
      <c r="A1714" s="16" t="str">
        <f t="shared" si="10"/>
        <v/>
      </c>
      <c r="B1714" s="48"/>
      <c r="C1714" s="14"/>
      <c r="D1714" s="56"/>
      <c r="E1714" s="16"/>
      <c r="F1714" s="14"/>
      <c r="G1714" s="14"/>
      <c r="H1714" s="14"/>
      <c r="I1714" s="17"/>
      <c r="J1714" s="16"/>
      <c r="K1714" s="17"/>
      <c r="L1714" s="16"/>
      <c r="N1714" s="28"/>
    </row>
    <row r="1715">
      <c r="A1715" s="16" t="str">
        <f t="shared" si="10"/>
        <v/>
      </c>
      <c r="B1715" s="48"/>
      <c r="C1715" s="14"/>
      <c r="D1715" s="56"/>
      <c r="E1715" s="16"/>
      <c r="F1715" s="14"/>
      <c r="G1715" s="14"/>
      <c r="H1715" s="14"/>
      <c r="I1715" s="17"/>
      <c r="J1715" s="16"/>
      <c r="K1715" s="17"/>
      <c r="L1715" s="16"/>
      <c r="N1715" s="28"/>
    </row>
    <row r="1716">
      <c r="A1716" s="16" t="str">
        <f t="shared" si="10"/>
        <v/>
      </c>
      <c r="B1716" s="48"/>
      <c r="C1716" s="14"/>
      <c r="D1716" s="56"/>
      <c r="E1716" s="16"/>
      <c r="F1716" s="14"/>
      <c r="G1716" s="14"/>
      <c r="H1716" s="14"/>
      <c r="I1716" s="17"/>
      <c r="J1716" s="16"/>
      <c r="K1716" s="17"/>
      <c r="L1716" s="16"/>
      <c r="N1716" s="28"/>
    </row>
    <row r="1717">
      <c r="A1717" s="16" t="str">
        <f t="shared" si="10"/>
        <v/>
      </c>
      <c r="B1717" s="48"/>
      <c r="C1717" s="14"/>
      <c r="D1717" s="56"/>
      <c r="E1717" s="16"/>
      <c r="F1717" s="14"/>
      <c r="G1717" s="14"/>
      <c r="H1717" s="14"/>
      <c r="I1717" s="17"/>
      <c r="J1717" s="16"/>
      <c r="K1717" s="17"/>
      <c r="L1717" s="16"/>
      <c r="N1717" s="28"/>
    </row>
    <row r="1718">
      <c r="A1718" s="16" t="str">
        <f t="shared" si="10"/>
        <v/>
      </c>
      <c r="B1718" s="48"/>
      <c r="C1718" s="14"/>
      <c r="D1718" s="56"/>
      <c r="E1718" s="16"/>
      <c r="F1718" s="14"/>
      <c r="G1718" s="14"/>
      <c r="H1718" s="14"/>
      <c r="I1718" s="17"/>
      <c r="J1718" s="16"/>
      <c r="K1718" s="17"/>
      <c r="L1718" s="16"/>
      <c r="N1718" s="28"/>
    </row>
    <row r="1719">
      <c r="A1719" s="16" t="str">
        <f t="shared" si="10"/>
        <v/>
      </c>
      <c r="B1719" s="48"/>
      <c r="C1719" s="14"/>
      <c r="D1719" s="56"/>
      <c r="E1719" s="16"/>
      <c r="F1719" s="14"/>
      <c r="G1719" s="14"/>
      <c r="H1719" s="14"/>
      <c r="I1719" s="17"/>
      <c r="J1719" s="16"/>
      <c r="K1719" s="17"/>
      <c r="L1719" s="16"/>
      <c r="N1719" s="28"/>
    </row>
    <row r="1720">
      <c r="A1720" s="16" t="str">
        <f t="shared" si="10"/>
        <v/>
      </c>
      <c r="B1720" s="48"/>
      <c r="C1720" s="14"/>
      <c r="D1720" s="56"/>
      <c r="E1720" s="16"/>
      <c r="F1720" s="14"/>
      <c r="G1720" s="14"/>
      <c r="H1720" s="14"/>
      <c r="I1720" s="17"/>
      <c r="J1720" s="16"/>
      <c r="K1720" s="17"/>
      <c r="L1720" s="16"/>
      <c r="N1720" s="28"/>
    </row>
    <row r="1721">
      <c r="A1721" s="16" t="str">
        <f t="shared" si="10"/>
        <v/>
      </c>
      <c r="B1721" s="48"/>
      <c r="C1721" s="14"/>
      <c r="D1721" s="56"/>
      <c r="E1721" s="16"/>
      <c r="F1721" s="14"/>
      <c r="G1721" s="14"/>
      <c r="H1721" s="14"/>
      <c r="I1721" s="17"/>
      <c r="J1721" s="16"/>
      <c r="K1721" s="17"/>
      <c r="L1721" s="16"/>
      <c r="N1721" s="28"/>
    </row>
    <row r="1722">
      <c r="A1722" s="16" t="str">
        <f t="shared" si="10"/>
        <v/>
      </c>
      <c r="B1722" s="48"/>
      <c r="C1722" s="14"/>
      <c r="D1722" s="56"/>
      <c r="E1722" s="16"/>
      <c r="F1722" s="14"/>
      <c r="G1722" s="14"/>
      <c r="H1722" s="14"/>
      <c r="I1722" s="17"/>
      <c r="J1722" s="16"/>
      <c r="K1722" s="17"/>
      <c r="L1722" s="16"/>
      <c r="N1722" s="28"/>
    </row>
    <row r="1723">
      <c r="A1723" s="16" t="str">
        <f t="shared" si="10"/>
        <v/>
      </c>
      <c r="B1723" s="48"/>
      <c r="C1723" s="14"/>
      <c r="D1723" s="56"/>
      <c r="E1723" s="16"/>
      <c r="F1723" s="14"/>
      <c r="G1723" s="14"/>
      <c r="H1723" s="14"/>
      <c r="I1723" s="17"/>
      <c r="J1723" s="16"/>
      <c r="K1723" s="17"/>
      <c r="L1723" s="16"/>
      <c r="N1723" s="28"/>
    </row>
    <row r="1724">
      <c r="A1724" s="16" t="str">
        <f t="shared" si="10"/>
        <v/>
      </c>
      <c r="B1724" s="48"/>
      <c r="C1724" s="14"/>
      <c r="D1724" s="56"/>
      <c r="E1724" s="16"/>
      <c r="F1724" s="14"/>
      <c r="G1724" s="14"/>
      <c r="H1724" s="14"/>
      <c r="I1724" s="17"/>
      <c r="J1724" s="16"/>
      <c r="K1724" s="17"/>
      <c r="L1724" s="16"/>
      <c r="N1724" s="28"/>
    </row>
    <row r="1725">
      <c r="A1725" s="16" t="str">
        <f t="shared" si="10"/>
        <v/>
      </c>
      <c r="B1725" s="48"/>
      <c r="C1725" s="14"/>
      <c r="D1725" s="56"/>
      <c r="E1725" s="16"/>
      <c r="F1725" s="14"/>
      <c r="G1725" s="14"/>
      <c r="H1725" s="14"/>
      <c r="I1725" s="17"/>
      <c r="J1725" s="16"/>
      <c r="K1725" s="17"/>
      <c r="L1725" s="16"/>
      <c r="N1725" s="28"/>
    </row>
    <row r="1726">
      <c r="A1726" s="16" t="str">
        <f t="shared" si="10"/>
        <v/>
      </c>
      <c r="B1726" s="48"/>
      <c r="C1726" s="14"/>
      <c r="D1726" s="56"/>
      <c r="E1726" s="16"/>
      <c r="F1726" s="14"/>
      <c r="G1726" s="14"/>
      <c r="H1726" s="14"/>
      <c r="I1726" s="17"/>
      <c r="J1726" s="16"/>
      <c r="K1726" s="17"/>
      <c r="L1726" s="16"/>
      <c r="N1726" s="28"/>
    </row>
    <row r="1727">
      <c r="A1727" s="16" t="str">
        <f t="shared" si="10"/>
        <v/>
      </c>
      <c r="B1727" s="48"/>
      <c r="C1727" s="14"/>
      <c r="D1727" s="56"/>
      <c r="E1727" s="16"/>
      <c r="F1727" s="14"/>
      <c r="G1727" s="14"/>
      <c r="H1727" s="14"/>
      <c r="I1727" s="17"/>
      <c r="J1727" s="16"/>
      <c r="K1727" s="17"/>
      <c r="L1727" s="16"/>
      <c r="N1727" s="28"/>
    </row>
    <row r="1728">
      <c r="A1728" s="16" t="str">
        <f t="shared" si="10"/>
        <v/>
      </c>
      <c r="B1728" s="48"/>
      <c r="C1728" s="14"/>
      <c r="D1728" s="56"/>
      <c r="E1728" s="16"/>
      <c r="F1728" s="14"/>
      <c r="G1728" s="14"/>
      <c r="H1728" s="14"/>
      <c r="I1728" s="17"/>
      <c r="J1728" s="16"/>
      <c r="K1728" s="17"/>
      <c r="L1728" s="16"/>
      <c r="N1728" s="28"/>
    </row>
    <row r="1729">
      <c r="A1729" s="16" t="str">
        <f t="shared" si="10"/>
        <v/>
      </c>
      <c r="B1729" s="48"/>
      <c r="C1729" s="14"/>
      <c r="D1729" s="56"/>
      <c r="E1729" s="16"/>
      <c r="F1729" s="14"/>
      <c r="G1729" s="14"/>
      <c r="H1729" s="14"/>
      <c r="I1729" s="17"/>
      <c r="J1729" s="16"/>
      <c r="K1729" s="17"/>
      <c r="L1729" s="16"/>
      <c r="N1729" s="28"/>
    </row>
    <row r="1730">
      <c r="A1730" s="16" t="str">
        <f t="shared" si="10"/>
        <v/>
      </c>
      <c r="B1730" s="48"/>
      <c r="C1730" s="14"/>
      <c r="D1730" s="56"/>
      <c r="E1730" s="16"/>
      <c r="F1730" s="14"/>
      <c r="G1730" s="14"/>
      <c r="H1730" s="14"/>
      <c r="I1730" s="17"/>
      <c r="J1730" s="16"/>
      <c r="K1730" s="17"/>
      <c r="L1730" s="16"/>
      <c r="N1730" s="28"/>
    </row>
    <row r="1731">
      <c r="A1731" s="16" t="str">
        <f t="shared" si="10"/>
        <v/>
      </c>
      <c r="B1731" s="48"/>
      <c r="C1731" s="14"/>
      <c r="D1731" s="56"/>
      <c r="E1731" s="16"/>
      <c r="F1731" s="14"/>
      <c r="G1731" s="14"/>
      <c r="H1731" s="14"/>
      <c r="I1731" s="17"/>
      <c r="J1731" s="16"/>
      <c r="K1731" s="17"/>
      <c r="L1731" s="16"/>
      <c r="N1731" s="28"/>
    </row>
    <row r="1732">
      <c r="A1732" s="16" t="str">
        <f t="shared" si="10"/>
        <v/>
      </c>
      <c r="B1732" s="48"/>
      <c r="C1732" s="14"/>
      <c r="D1732" s="56"/>
      <c r="E1732" s="16"/>
      <c r="F1732" s="14"/>
      <c r="G1732" s="14"/>
      <c r="H1732" s="14"/>
      <c r="I1732" s="17"/>
      <c r="J1732" s="16"/>
      <c r="K1732" s="17"/>
      <c r="L1732" s="16"/>
      <c r="N1732" s="28"/>
    </row>
    <row r="1733">
      <c r="A1733" s="16" t="str">
        <f t="shared" si="10"/>
        <v/>
      </c>
      <c r="B1733" s="48"/>
      <c r="C1733" s="14"/>
      <c r="D1733" s="56"/>
      <c r="E1733" s="16"/>
      <c r="F1733" s="14"/>
      <c r="G1733" s="14"/>
      <c r="H1733" s="14"/>
      <c r="I1733" s="17"/>
      <c r="J1733" s="16"/>
      <c r="K1733" s="17"/>
      <c r="L1733" s="16"/>
      <c r="N1733" s="28"/>
    </row>
    <row r="1734">
      <c r="A1734" s="16" t="str">
        <f t="shared" si="10"/>
        <v/>
      </c>
      <c r="B1734" s="48"/>
      <c r="C1734" s="14"/>
      <c r="D1734" s="56"/>
      <c r="E1734" s="16"/>
      <c r="F1734" s="14"/>
      <c r="G1734" s="14"/>
      <c r="H1734" s="14"/>
      <c r="I1734" s="17"/>
      <c r="J1734" s="16"/>
      <c r="K1734" s="17"/>
      <c r="L1734" s="16"/>
      <c r="N1734" s="28"/>
    </row>
    <row r="1735">
      <c r="A1735" s="16" t="str">
        <f t="shared" si="10"/>
        <v/>
      </c>
      <c r="B1735" s="48"/>
      <c r="C1735" s="14"/>
      <c r="D1735" s="56"/>
      <c r="E1735" s="16"/>
      <c r="F1735" s="14"/>
      <c r="G1735" s="14"/>
      <c r="H1735" s="14"/>
      <c r="I1735" s="17"/>
      <c r="J1735" s="16"/>
      <c r="K1735" s="17"/>
      <c r="L1735" s="16"/>
      <c r="N1735" s="28"/>
    </row>
    <row r="1736">
      <c r="A1736" s="16" t="str">
        <f t="shared" si="10"/>
        <v/>
      </c>
      <c r="B1736" s="48"/>
      <c r="C1736" s="14"/>
      <c r="D1736" s="56"/>
      <c r="E1736" s="16"/>
      <c r="F1736" s="14"/>
      <c r="G1736" s="14"/>
      <c r="H1736" s="14"/>
      <c r="I1736" s="17"/>
      <c r="J1736" s="16"/>
      <c r="K1736" s="17"/>
      <c r="L1736" s="16"/>
      <c r="N1736" s="28"/>
    </row>
    <row r="1737">
      <c r="A1737" s="16" t="str">
        <f t="shared" si="10"/>
        <v/>
      </c>
      <c r="B1737" s="48"/>
      <c r="C1737" s="14"/>
      <c r="D1737" s="56"/>
      <c r="E1737" s="16"/>
      <c r="F1737" s="14"/>
      <c r="G1737" s="14"/>
      <c r="H1737" s="14"/>
      <c r="I1737" s="17"/>
      <c r="J1737" s="16"/>
      <c r="K1737" s="17"/>
      <c r="L1737" s="16"/>
      <c r="N1737" s="28"/>
    </row>
    <row r="1738">
      <c r="A1738" s="16" t="str">
        <f t="shared" si="10"/>
        <v/>
      </c>
      <c r="B1738" s="48"/>
      <c r="C1738" s="14"/>
      <c r="D1738" s="56"/>
      <c r="E1738" s="16"/>
      <c r="F1738" s="14"/>
      <c r="G1738" s="14"/>
      <c r="H1738" s="14"/>
      <c r="I1738" s="17"/>
      <c r="J1738" s="16"/>
      <c r="K1738" s="17"/>
      <c r="L1738" s="16"/>
      <c r="N1738" s="28"/>
    </row>
    <row r="1739">
      <c r="A1739" s="16" t="str">
        <f t="shared" si="10"/>
        <v/>
      </c>
      <c r="B1739" s="48"/>
      <c r="C1739" s="14"/>
      <c r="D1739" s="56"/>
      <c r="E1739" s="16"/>
      <c r="F1739" s="14"/>
      <c r="G1739" s="14"/>
      <c r="H1739" s="14"/>
      <c r="I1739" s="17"/>
      <c r="J1739" s="16"/>
      <c r="K1739" s="17"/>
      <c r="L1739" s="16"/>
      <c r="N1739" s="28"/>
    </row>
    <row r="1740">
      <c r="A1740" s="16" t="str">
        <f t="shared" si="10"/>
        <v/>
      </c>
      <c r="B1740" s="48"/>
      <c r="C1740" s="14"/>
      <c r="D1740" s="56"/>
      <c r="E1740" s="16"/>
      <c r="F1740" s="14"/>
      <c r="G1740" s="14"/>
      <c r="H1740" s="14"/>
      <c r="I1740" s="17"/>
      <c r="J1740" s="16"/>
      <c r="K1740" s="17"/>
      <c r="L1740" s="16"/>
      <c r="N1740" s="28"/>
    </row>
    <row r="1741">
      <c r="A1741" s="16" t="str">
        <f t="shared" si="10"/>
        <v/>
      </c>
      <c r="B1741" s="48"/>
      <c r="C1741" s="14"/>
      <c r="D1741" s="56"/>
      <c r="E1741" s="16"/>
      <c r="F1741" s="14"/>
      <c r="G1741" s="14"/>
      <c r="H1741" s="14"/>
      <c r="I1741" s="17"/>
      <c r="J1741" s="16"/>
      <c r="K1741" s="17"/>
      <c r="L1741" s="16"/>
      <c r="N1741" s="28"/>
    </row>
    <row r="1742">
      <c r="A1742" s="16" t="str">
        <f t="shared" si="10"/>
        <v/>
      </c>
      <c r="B1742" s="48"/>
      <c r="C1742" s="14"/>
      <c r="D1742" s="56"/>
      <c r="E1742" s="16"/>
      <c r="F1742" s="14"/>
      <c r="G1742" s="14"/>
      <c r="H1742" s="14"/>
      <c r="I1742" s="17"/>
      <c r="J1742" s="16"/>
      <c r="K1742" s="17"/>
      <c r="L1742" s="16"/>
      <c r="N1742" s="28"/>
    </row>
    <row r="1743">
      <c r="A1743" s="16" t="str">
        <f t="shared" si="10"/>
        <v/>
      </c>
      <c r="B1743" s="48"/>
      <c r="C1743" s="14"/>
      <c r="D1743" s="56"/>
      <c r="E1743" s="16"/>
      <c r="F1743" s="14"/>
      <c r="G1743" s="14"/>
      <c r="H1743" s="14"/>
      <c r="I1743" s="17"/>
      <c r="J1743" s="16"/>
      <c r="K1743" s="17"/>
      <c r="L1743" s="16"/>
      <c r="N1743" s="28"/>
    </row>
    <row r="1744">
      <c r="A1744" s="16" t="str">
        <f t="shared" si="10"/>
        <v/>
      </c>
      <c r="B1744" s="48"/>
      <c r="C1744" s="14"/>
      <c r="D1744" s="56"/>
      <c r="E1744" s="16"/>
      <c r="F1744" s="14"/>
      <c r="G1744" s="14"/>
      <c r="H1744" s="14"/>
      <c r="I1744" s="17"/>
      <c r="J1744" s="16"/>
      <c r="K1744" s="17"/>
      <c r="L1744" s="16"/>
      <c r="N1744" s="28"/>
    </row>
    <row r="1745">
      <c r="A1745" s="16" t="str">
        <f t="shared" si="10"/>
        <v/>
      </c>
      <c r="B1745" s="48"/>
      <c r="C1745" s="14"/>
      <c r="D1745" s="56"/>
      <c r="E1745" s="16"/>
      <c r="F1745" s="14"/>
      <c r="G1745" s="14"/>
      <c r="H1745" s="14"/>
      <c r="I1745" s="17"/>
      <c r="J1745" s="16"/>
      <c r="K1745" s="17"/>
      <c r="L1745" s="16"/>
      <c r="N1745" s="28"/>
    </row>
    <row r="1746">
      <c r="A1746" s="16" t="str">
        <f t="shared" si="10"/>
        <v/>
      </c>
      <c r="B1746" s="48"/>
      <c r="C1746" s="14"/>
      <c r="D1746" s="56"/>
      <c r="E1746" s="16"/>
      <c r="F1746" s="14"/>
      <c r="G1746" s="14"/>
      <c r="H1746" s="14"/>
      <c r="I1746" s="17"/>
      <c r="J1746" s="16"/>
      <c r="K1746" s="17"/>
      <c r="L1746" s="16"/>
      <c r="N1746" s="28"/>
    </row>
    <row r="1747">
      <c r="A1747" s="16" t="str">
        <f t="shared" si="10"/>
        <v/>
      </c>
      <c r="B1747" s="48"/>
      <c r="C1747" s="14"/>
      <c r="D1747" s="56"/>
      <c r="E1747" s="16"/>
      <c r="F1747" s="14"/>
      <c r="G1747" s="14"/>
      <c r="H1747" s="14"/>
      <c r="I1747" s="17"/>
      <c r="J1747" s="16"/>
      <c r="K1747" s="17"/>
      <c r="L1747" s="16"/>
      <c r="N1747" s="28"/>
    </row>
    <row r="1748">
      <c r="A1748" s="16" t="str">
        <f t="shared" si="10"/>
        <v/>
      </c>
      <c r="B1748" s="48"/>
      <c r="C1748" s="14"/>
      <c r="D1748" s="56"/>
      <c r="E1748" s="16"/>
      <c r="F1748" s="14"/>
      <c r="G1748" s="14"/>
      <c r="H1748" s="14"/>
      <c r="I1748" s="17"/>
      <c r="J1748" s="16"/>
      <c r="K1748" s="17"/>
      <c r="L1748" s="16"/>
      <c r="N1748" s="28"/>
    </row>
    <row r="1749">
      <c r="A1749" s="16" t="str">
        <f t="shared" si="10"/>
        <v/>
      </c>
      <c r="B1749" s="48"/>
      <c r="C1749" s="14"/>
      <c r="D1749" s="56"/>
      <c r="E1749" s="16"/>
      <c r="F1749" s="14"/>
      <c r="G1749" s="14"/>
      <c r="H1749" s="14"/>
      <c r="I1749" s="17"/>
      <c r="J1749" s="16"/>
      <c r="K1749" s="17"/>
      <c r="L1749" s="16"/>
      <c r="N1749" s="28"/>
    </row>
    <row r="1750">
      <c r="A1750" s="16" t="str">
        <f t="shared" si="10"/>
        <v/>
      </c>
      <c r="B1750" s="48"/>
      <c r="C1750" s="14"/>
      <c r="D1750" s="56"/>
      <c r="E1750" s="16"/>
      <c r="F1750" s="14"/>
      <c r="G1750" s="14"/>
      <c r="H1750" s="14"/>
      <c r="I1750" s="17"/>
      <c r="J1750" s="16"/>
      <c r="K1750" s="17"/>
      <c r="L1750" s="16"/>
      <c r="N1750" s="28"/>
    </row>
    <row r="1751">
      <c r="A1751" s="16" t="str">
        <f t="shared" si="10"/>
        <v/>
      </c>
      <c r="B1751" s="48"/>
      <c r="C1751" s="14"/>
      <c r="D1751" s="56"/>
      <c r="E1751" s="16"/>
      <c r="F1751" s="14"/>
      <c r="G1751" s="14"/>
      <c r="H1751" s="14"/>
      <c r="I1751" s="17"/>
      <c r="J1751" s="16"/>
      <c r="K1751" s="17"/>
      <c r="L1751" s="16"/>
      <c r="N1751" s="28"/>
    </row>
    <row r="1752">
      <c r="A1752" s="16" t="str">
        <f t="shared" si="10"/>
        <v/>
      </c>
      <c r="B1752" s="48"/>
      <c r="C1752" s="14"/>
      <c r="D1752" s="56"/>
      <c r="E1752" s="16"/>
      <c r="F1752" s="14"/>
      <c r="G1752" s="14"/>
      <c r="H1752" s="14"/>
      <c r="I1752" s="17"/>
      <c r="J1752" s="16"/>
      <c r="K1752" s="17"/>
      <c r="L1752" s="16"/>
      <c r="N1752" s="28"/>
    </row>
    <row r="1753">
      <c r="A1753" s="16" t="str">
        <f t="shared" si="10"/>
        <v/>
      </c>
      <c r="B1753" s="48"/>
      <c r="C1753" s="14"/>
      <c r="D1753" s="56"/>
      <c r="E1753" s="16"/>
      <c r="F1753" s="14"/>
      <c r="G1753" s="14"/>
      <c r="H1753" s="14"/>
      <c r="I1753" s="17"/>
      <c r="J1753" s="16"/>
      <c r="K1753" s="17"/>
      <c r="L1753" s="16"/>
      <c r="N1753" s="28"/>
    </row>
    <row r="1754">
      <c r="A1754" s="16" t="str">
        <f t="shared" si="10"/>
        <v/>
      </c>
      <c r="B1754" s="48"/>
      <c r="C1754" s="14"/>
      <c r="D1754" s="56"/>
      <c r="E1754" s="16"/>
      <c r="F1754" s="14"/>
      <c r="G1754" s="14"/>
      <c r="H1754" s="14"/>
      <c r="I1754" s="17"/>
      <c r="J1754" s="16"/>
      <c r="K1754" s="17"/>
      <c r="L1754" s="16"/>
      <c r="N1754" s="28"/>
    </row>
    <row r="1755">
      <c r="A1755" s="16" t="str">
        <f t="shared" si="10"/>
        <v/>
      </c>
      <c r="B1755" s="48"/>
      <c r="C1755" s="14"/>
      <c r="D1755" s="56"/>
      <c r="E1755" s="16"/>
      <c r="F1755" s="14"/>
      <c r="G1755" s="14"/>
      <c r="H1755" s="14"/>
      <c r="I1755" s="17"/>
      <c r="J1755" s="16"/>
      <c r="K1755" s="17"/>
      <c r="L1755" s="16"/>
      <c r="N1755" s="28"/>
    </row>
    <row r="1756">
      <c r="A1756" s="16" t="str">
        <f t="shared" si="10"/>
        <v/>
      </c>
      <c r="B1756" s="48"/>
      <c r="C1756" s="14"/>
      <c r="D1756" s="56"/>
      <c r="E1756" s="16"/>
      <c r="F1756" s="14"/>
      <c r="G1756" s="14"/>
      <c r="H1756" s="14"/>
      <c r="I1756" s="17"/>
      <c r="J1756" s="16"/>
      <c r="K1756" s="17"/>
      <c r="L1756" s="16"/>
      <c r="N1756" s="28"/>
    </row>
    <row r="1757">
      <c r="A1757" s="16" t="str">
        <f t="shared" si="10"/>
        <v/>
      </c>
      <c r="B1757" s="48"/>
      <c r="C1757" s="14"/>
      <c r="D1757" s="56"/>
      <c r="E1757" s="16"/>
      <c r="F1757" s="14"/>
      <c r="G1757" s="14"/>
      <c r="H1757" s="14"/>
      <c r="I1757" s="17"/>
      <c r="J1757" s="16"/>
      <c r="K1757" s="17"/>
      <c r="L1757" s="16"/>
      <c r="N1757" s="28"/>
    </row>
    <row r="1758">
      <c r="A1758" s="16" t="str">
        <f t="shared" si="10"/>
        <v/>
      </c>
      <c r="B1758" s="48"/>
      <c r="C1758" s="14"/>
      <c r="D1758" s="56"/>
      <c r="E1758" s="16"/>
      <c r="F1758" s="14"/>
      <c r="G1758" s="14"/>
      <c r="H1758" s="14"/>
      <c r="I1758" s="17"/>
      <c r="J1758" s="16"/>
      <c r="K1758" s="17"/>
      <c r="L1758" s="16"/>
      <c r="N1758" s="28"/>
    </row>
    <row r="1759">
      <c r="A1759" s="16" t="str">
        <f t="shared" si="10"/>
        <v/>
      </c>
      <c r="B1759" s="48"/>
      <c r="C1759" s="14"/>
      <c r="D1759" s="56"/>
      <c r="E1759" s="16"/>
      <c r="F1759" s="14"/>
      <c r="G1759" s="14"/>
      <c r="H1759" s="14"/>
      <c r="I1759" s="17"/>
      <c r="J1759" s="16"/>
      <c r="K1759" s="17"/>
      <c r="L1759" s="16"/>
      <c r="N1759" s="28"/>
    </row>
    <row r="1760">
      <c r="A1760" s="16" t="str">
        <f t="shared" si="10"/>
        <v/>
      </c>
      <c r="B1760" s="48"/>
      <c r="C1760" s="14"/>
      <c r="D1760" s="56"/>
      <c r="E1760" s="16"/>
      <c r="F1760" s="14"/>
      <c r="G1760" s="14"/>
      <c r="H1760" s="14"/>
      <c r="I1760" s="17"/>
      <c r="J1760" s="16"/>
      <c r="K1760" s="17"/>
      <c r="L1760" s="16"/>
      <c r="N1760" s="28"/>
    </row>
    <row r="1761">
      <c r="A1761" s="16" t="str">
        <f t="shared" si="10"/>
        <v/>
      </c>
      <c r="B1761" s="48"/>
      <c r="C1761" s="14"/>
      <c r="D1761" s="56"/>
      <c r="E1761" s="16"/>
      <c r="F1761" s="14"/>
      <c r="G1761" s="14"/>
      <c r="H1761" s="14"/>
      <c r="I1761" s="17"/>
      <c r="J1761" s="16"/>
      <c r="K1761" s="17"/>
      <c r="L1761" s="16"/>
      <c r="N1761" s="28"/>
    </row>
    <row r="1762">
      <c r="A1762" s="16" t="str">
        <f t="shared" si="10"/>
        <v/>
      </c>
      <c r="B1762" s="48"/>
      <c r="C1762" s="14"/>
      <c r="D1762" s="56"/>
      <c r="E1762" s="16"/>
      <c r="F1762" s="14"/>
      <c r="G1762" s="14"/>
      <c r="H1762" s="14"/>
      <c r="I1762" s="17"/>
      <c r="J1762" s="16"/>
      <c r="K1762" s="17"/>
      <c r="L1762" s="16"/>
      <c r="N1762" s="28"/>
    </row>
    <row r="1763">
      <c r="A1763" s="16" t="str">
        <f t="shared" si="10"/>
        <v/>
      </c>
      <c r="B1763" s="48"/>
      <c r="C1763" s="14"/>
      <c r="D1763" s="56"/>
      <c r="E1763" s="16"/>
      <c r="F1763" s="14"/>
      <c r="G1763" s="14"/>
      <c r="H1763" s="14"/>
      <c r="I1763" s="17"/>
      <c r="J1763" s="16"/>
      <c r="K1763" s="17"/>
      <c r="L1763" s="16"/>
      <c r="N1763" s="28"/>
    </row>
    <row r="1764">
      <c r="A1764" s="16" t="str">
        <f t="shared" si="10"/>
        <v/>
      </c>
      <c r="B1764" s="48"/>
      <c r="C1764" s="14"/>
      <c r="D1764" s="56"/>
      <c r="E1764" s="16"/>
      <c r="F1764" s="14"/>
      <c r="G1764" s="14"/>
      <c r="H1764" s="14"/>
      <c r="I1764" s="17"/>
      <c r="J1764" s="16"/>
      <c r="K1764" s="17"/>
      <c r="L1764" s="16"/>
      <c r="N1764" s="28"/>
    </row>
    <row r="1765">
      <c r="A1765" s="16" t="str">
        <f t="shared" si="10"/>
        <v/>
      </c>
      <c r="B1765" s="48"/>
      <c r="C1765" s="14"/>
      <c r="D1765" s="56"/>
      <c r="E1765" s="16"/>
      <c r="F1765" s="14"/>
      <c r="G1765" s="14"/>
      <c r="H1765" s="14"/>
      <c r="I1765" s="17"/>
      <c r="J1765" s="16"/>
      <c r="K1765" s="17"/>
      <c r="L1765" s="16"/>
      <c r="N1765" s="28"/>
    </row>
    <row r="1766">
      <c r="A1766" s="16" t="str">
        <f t="shared" si="10"/>
        <v/>
      </c>
      <c r="B1766" s="48"/>
      <c r="C1766" s="14"/>
      <c r="D1766" s="56"/>
      <c r="E1766" s="16"/>
      <c r="F1766" s="14"/>
      <c r="G1766" s="14"/>
      <c r="H1766" s="14"/>
      <c r="I1766" s="17"/>
      <c r="J1766" s="16"/>
      <c r="K1766" s="17"/>
      <c r="L1766" s="16"/>
      <c r="N1766" s="28"/>
    </row>
    <row r="1767">
      <c r="A1767" s="16" t="str">
        <f t="shared" si="10"/>
        <v/>
      </c>
      <c r="B1767" s="48"/>
      <c r="C1767" s="14"/>
      <c r="D1767" s="56"/>
      <c r="E1767" s="16"/>
      <c r="F1767" s="14"/>
      <c r="G1767" s="14"/>
      <c r="H1767" s="14"/>
      <c r="I1767" s="17"/>
      <c r="J1767" s="16"/>
      <c r="K1767" s="17"/>
      <c r="L1767" s="16"/>
      <c r="N1767" s="28"/>
    </row>
    <row r="1768">
      <c r="A1768" s="16" t="str">
        <f t="shared" si="10"/>
        <v/>
      </c>
      <c r="B1768" s="48"/>
      <c r="C1768" s="14"/>
      <c r="D1768" s="56"/>
      <c r="E1768" s="16"/>
      <c r="F1768" s="14"/>
      <c r="G1768" s="14"/>
      <c r="H1768" s="14"/>
      <c r="I1768" s="17"/>
      <c r="J1768" s="16"/>
      <c r="K1768" s="17"/>
      <c r="L1768" s="16"/>
      <c r="N1768" s="28"/>
    </row>
    <row r="1769">
      <c r="A1769" s="16" t="str">
        <f t="shared" si="10"/>
        <v/>
      </c>
      <c r="B1769" s="48"/>
      <c r="C1769" s="14"/>
      <c r="D1769" s="56"/>
      <c r="E1769" s="16"/>
      <c r="F1769" s="14"/>
      <c r="G1769" s="14"/>
      <c r="H1769" s="14"/>
      <c r="I1769" s="17"/>
      <c r="J1769" s="16"/>
      <c r="K1769" s="17"/>
      <c r="L1769" s="16"/>
      <c r="N1769" s="28"/>
    </row>
    <row r="1770">
      <c r="A1770" s="16" t="str">
        <f t="shared" si="10"/>
        <v/>
      </c>
      <c r="B1770" s="48"/>
      <c r="C1770" s="14"/>
      <c r="D1770" s="56"/>
      <c r="E1770" s="16"/>
      <c r="F1770" s="14"/>
      <c r="G1770" s="14"/>
      <c r="H1770" s="14"/>
      <c r="I1770" s="17"/>
      <c r="J1770" s="16"/>
      <c r="K1770" s="17"/>
      <c r="L1770" s="16"/>
      <c r="N1770" s="28"/>
    </row>
    <row r="1771">
      <c r="A1771" s="16" t="str">
        <f t="shared" si="10"/>
        <v/>
      </c>
      <c r="B1771" s="48"/>
      <c r="C1771" s="14"/>
      <c r="D1771" s="56"/>
      <c r="E1771" s="16"/>
      <c r="F1771" s="14"/>
      <c r="G1771" s="14"/>
      <c r="H1771" s="14"/>
      <c r="I1771" s="17"/>
      <c r="J1771" s="16"/>
      <c r="K1771" s="17"/>
      <c r="L1771" s="16"/>
      <c r="N1771" s="28"/>
    </row>
    <row r="1772">
      <c r="A1772" s="16" t="str">
        <f t="shared" si="10"/>
        <v/>
      </c>
      <c r="B1772" s="48"/>
      <c r="C1772" s="14"/>
      <c r="D1772" s="56"/>
      <c r="E1772" s="16"/>
      <c r="F1772" s="14"/>
      <c r="G1772" s="14"/>
      <c r="H1772" s="14"/>
      <c r="I1772" s="17"/>
      <c r="J1772" s="16"/>
      <c r="K1772" s="17"/>
      <c r="L1772" s="16"/>
      <c r="N1772" s="28"/>
    </row>
    <row r="1773">
      <c r="A1773" s="16" t="str">
        <f t="shared" si="10"/>
        <v/>
      </c>
      <c r="B1773" s="48"/>
      <c r="C1773" s="14"/>
      <c r="D1773" s="56"/>
      <c r="E1773" s="16"/>
      <c r="F1773" s="14"/>
      <c r="G1773" s="14"/>
      <c r="H1773" s="14"/>
      <c r="I1773" s="17"/>
      <c r="J1773" s="16"/>
      <c r="K1773" s="17"/>
      <c r="L1773" s="16"/>
      <c r="N1773" s="28"/>
    </row>
    <row r="1774">
      <c r="A1774" s="16" t="str">
        <f t="shared" si="10"/>
        <v/>
      </c>
      <c r="B1774" s="48"/>
      <c r="C1774" s="14"/>
      <c r="D1774" s="56"/>
      <c r="E1774" s="16"/>
      <c r="F1774" s="14"/>
      <c r="G1774" s="14"/>
      <c r="H1774" s="14"/>
      <c r="I1774" s="17"/>
      <c r="J1774" s="16"/>
      <c r="K1774" s="17"/>
      <c r="L1774" s="16"/>
      <c r="N1774" s="28"/>
    </row>
    <row r="1775">
      <c r="A1775" s="16" t="str">
        <f t="shared" si="10"/>
        <v/>
      </c>
      <c r="B1775" s="48"/>
      <c r="C1775" s="14"/>
      <c r="D1775" s="56"/>
      <c r="E1775" s="16"/>
      <c r="F1775" s="14"/>
      <c r="G1775" s="14"/>
      <c r="H1775" s="14"/>
      <c r="I1775" s="17"/>
      <c r="J1775" s="16"/>
      <c r="K1775" s="17"/>
      <c r="L1775" s="16"/>
      <c r="N1775" s="28"/>
    </row>
    <row r="1776">
      <c r="A1776" s="16" t="str">
        <f t="shared" si="10"/>
        <v/>
      </c>
      <c r="B1776" s="48"/>
      <c r="C1776" s="14"/>
      <c r="D1776" s="56"/>
      <c r="E1776" s="16"/>
      <c r="F1776" s="14"/>
      <c r="G1776" s="14"/>
      <c r="H1776" s="14"/>
      <c r="I1776" s="17"/>
      <c r="J1776" s="16"/>
      <c r="K1776" s="17"/>
      <c r="L1776" s="16"/>
      <c r="N1776" s="28"/>
    </row>
    <row r="1777">
      <c r="A1777" s="16" t="str">
        <f t="shared" si="10"/>
        <v/>
      </c>
      <c r="B1777" s="48"/>
      <c r="C1777" s="14"/>
      <c r="D1777" s="56"/>
      <c r="E1777" s="16"/>
      <c r="F1777" s="14"/>
      <c r="G1777" s="14"/>
      <c r="H1777" s="14"/>
      <c r="I1777" s="17"/>
      <c r="J1777" s="16"/>
      <c r="K1777" s="17"/>
      <c r="L1777" s="16"/>
      <c r="N1777" s="28"/>
    </row>
    <row r="1778">
      <c r="A1778" s="16" t="str">
        <f t="shared" si="10"/>
        <v/>
      </c>
      <c r="B1778" s="48"/>
      <c r="C1778" s="14"/>
      <c r="D1778" s="56"/>
      <c r="E1778" s="16"/>
      <c r="F1778" s="14"/>
      <c r="G1778" s="14"/>
      <c r="H1778" s="14"/>
      <c r="I1778" s="17"/>
      <c r="J1778" s="16"/>
      <c r="K1778" s="17"/>
      <c r="L1778" s="16"/>
      <c r="N1778" s="28"/>
    </row>
    <row r="1779">
      <c r="A1779" s="16" t="str">
        <f t="shared" si="10"/>
        <v/>
      </c>
      <c r="B1779" s="48"/>
      <c r="C1779" s="14"/>
      <c r="D1779" s="56"/>
      <c r="E1779" s="16"/>
      <c r="F1779" s="14"/>
      <c r="G1779" s="14"/>
      <c r="H1779" s="14"/>
      <c r="I1779" s="17"/>
      <c r="J1779" s="16"/>
      <c r="K1779" s="17"/>
      <c r="L1779" s="16"/>
      <c r="N1779" s="28"/>
    </row>
    <row r="1780">
      <c r="A1780" s="16" t="str">
        <f t="shared" si="10"/>
        <v/>
      </c>
      <c r="B1780" s="48"/>
      <c r="C1780" s="14"/>
      <c r="D1780" s="56"/>
      <c r="E1780" s="16"/>
      <c r="F1780" s="14"/>
      <c r="G1780" s="14"/>
      <c r="H1780" s="14"/>
      <c r="I1780" s="17"/>
      <c r="J1780" s="16"/>
      <c r="K1780" s="17"/>
      <c r="L1780" s="16"/>
      <c r="N1780" s="28"/>
    </row>
    <row r="1781">
      <c r="A1781" s="16" t="str">
        <f t="shared" si="10"/>
        <v/>
      </c>
      <c r="B1781" s="48"/>
      <c r="C1781" s="14"/>
      <c r="D1781" s="56"/>
      <c r="E1781" s="16"/>
      <c r="F1781" s="14"/>
      <c r="G1781" s="14"/>
      <c r="H1781" s="14"/>
      <c r="I1781" s="17"/>
      <c r="J1781" s="16"/>
      <c r="K1781" s="17"/>
      <c r="L1781" s="16"/>
      <c r="N1781" s="28"/>
    </row>
    <row r="1782">
      <c r="A1782" s="16" t="str">
        <f t="shared" si="10"/>
        <v/>
      </c>
      <c r="B1782" s="48"/>
      <c r="C1782" s="14"/>
      <c r="D1782" s="56"/>
      <c r="E1782" s="16"/>
      <c r="F1782" s="14"/>
      <c r="G1782" s="14"/>
      <c r="H1782" s="14"/>
      <c r="I1782" s="17"/>
      <c r="J1782" s="16"/>
      <c r="K1782" s="17"/>
      <c r="L1782" s="16"/>
      <c r="N1782" s="28"/>
    </row>
    <row r="1783">
      <c r="A1783" s="16" t="str">
        <f t="shared" si="10"/>
        <v/>
      </c>
      <c r="B1783" s="48"/>
      <c r="C1783" s="14"/>
      <c r="D1783" s="56"/>
      <c r="E1783" s="16"/>
      <c r="F1783" s="14"/>
      <c r="G1783" s="14"/>
      <c r="H1783" s="14"/>
      <c r="I1783" s="17"/>
      <c r="J1783" s="16"/>
      <c r="K1783" s="17"/>
      <c r="L1783" s="16"/>
      <c r="N1783" s="28"/>
    </row>
    <row r="1784">
      <c r="A1784" s="16" t="str">
        <f t="shared" si="10"/>
        <v/>
      </c>
      <c r="B1784" s="48"/>
      <c r="C1784" s="14"/>
      <c r="D1784" s="56"/>
      <c r="E1784" s="16"/>
      <c r="F1784" s="14"/>
      <c r="G1784" s="14"/>
      <c r="H1784" s="14"/>
      <c r="I1784" s="17"/>
      <c r="J1784" s="16"/>
      <c r="K1784" s="17"/>
      <c r="L1784" s="16"/>
      <c r="N1784" s="28"/>
    </row>
    <row r="1785">
      <c r="A1785" s="16" t="str">
        <f t="shared" si="10"/>
        <v/>
      </c>
      <c r="B1785" s="48"/>
      <c r="C1785" s="14"/>
      <c r="D1785" s="56"/>
      <c r="E1785" s="16"/>
      <c r="F1785" s="14"/>
      <c r="G1785" s="14"/>
      <c r="H1785" s="14"/>
      <c r="I1785" s="17"/>
      <c r="J1785" s="16"/>
      <c r="K1785" s="17"/>
      <c r="L1785" s="16"/>
      <c r="N1785" s="28"/>
    </row>
    <row r="1786">
      <c r="A1786" s="16" t="str">
        <f t="shared" si="10"/>
        <v/>
      </c>
      <c r="B1786" s="48"/>
      <c r="C1786" s="14"/>
      <c r="D1786" s="56"/>
      <c r="E1786" s="16"/>
      <c r="F1786" s="14"/>
      <c r="G1786" s="14"/>
      <c r="H1786" s="14"/>
      <c r="I1786" s="17"/>
      <c r="J1786" s="16"/>
      <c r="K1786" s="17"/>
      <c r="L1786" s="16"/>
      <c r="N1786" s="28"/>
    </row>
    <row r="1787">
      <c r="A1787" s="16" t="str">
        <f t="shared" si="10"/>
        <v/>
      </c>
      <c r="B1787" s="48"/>
      <c r="C1787" s="14"/>
      <c r="D1787" s="56"/>
      <c r="E1787" s="16"/>
      <c r="F1787" s="14"/>
      <c r="G1787" s="14"/>
      <c r="H1787" s="14"/>
      <c r="I1787" s="17"/>
      <c r="J1787" s="16"/>
      <c r="K1787" s="17"/>
      <c r="L1787" s="16"/>
      <c r="N1787" s="28"/>
    </row>
    <row r="1788">
      <c r="A1788" s="16" t="str">
        <f t="shared" si="10"/>
        <v/>
      </c>
      <c r="B1788" s="48"/>
      <c r="C1788" s="14"/>
      <c r="D1788" s="56"/>
      <c r="E1788" s="16"/>
      <c r="F1788" s="14"/>
      <c r="G1788" s="14"/>
      <c r="H1788" s="14"/>
      <c r="I1788" s="17"/>
      <c r="J1788" s="16"/>
      <c r="K1788" s="17"/>
      <c r="L1788" s="16"/>
      <c r="N1788" s="28"/>
    </row>
    <row r="1789">
      <c r="A1789" s="16" t="str">
        <f t="shared" si="10"/>
        <v/>
      </c>
      <c r="B1789" s="48"/>
      <c r="C1789" s="14"/>
      <c r="D1789" s="56"/>
      <c r="E1789" s="16"/>
      <c r="F1789" s="14"/>
      <c r="G1789" s="14"/>
      <c r="H1789" s="14"/>
      <c r="I1789" s="17"/>
      <c r="J1789" s="16"/>
      <c r="K1789" s="17"/>
      <c r="L1789" s="16"/>
      <c r="N1789" s="28"/>
    </row>
    <row r="1790">
      <c r="A1790" s="16" t="str">
        <f t="shared" si="10"/>
        <v/>
      </c>
      <c r="B1790" s="48"/>
      <c r="C1790" s="14"/>
      <c r="D1790" s="56"/>
      <c r="E1790" s="16"/>
      <c r="F1790" s="14"/>
      <c r="G1790" s="14"/>
      <c r="H1790" s="14"/>
      <c r="I1790" s="17"/>
      <c r="J1790" s="16"/>
      <c r="K1790" s="17"/>
      <c r="L1790" s="16"/>
      <c r="N1790" s="28"/>
    </row>
    <row r="1791">
      <c r="A1791" s="16" t="str">
        <f t="shared" si="10"/>
        <v/>
      </c>
      <c r="B1791" s="48"/>
      <c r="C1791" s="14"/>
      <c r="D1791" s="56"/>
      <c r="E1791" s="16"/>
      <c r="F1791" s="14"/>
      <c r="G1791" s="14"/>
      <c r="H1791" s="14"/>
      <c r="I1791" s="17"/>
      <c r="J1791" s="16"/>
      <c r="K1791" s="17"/>
      <c r="L1791" s="16"/>
      <c r="N1791" s="28"/>
    </row>
    <row r="1792">
      <c r="A1792" s="16" t="str">
        <f t="shared" si="10"/>
        <v/>
      </c>
      <c r="B1792" s="48"/>
      <c r="C1792" s="14"/>
      <c r="D1792" s="56"/>
      <c r="E1792" s="16"/>
      <c r="F1792" s="14"/>
      <c r="G1792" s="14"/>
      <c r="H1792" s="14"/>
      <c r="I1792" s="17"/>
      <c r="J1792" s="16"/>
      <c r="K1792" s="17"/>
      <c r="L1792" s="16"/>
      <c r="N1792" s="28"/>
    </row>
    <row r="1793">
      <c r="A1793" s="16" t="str">
        <f t="shared" si="10"/>
        <v/>
      </c>
      <c r="B1793" s="48"/>
      <c r="C1793" s="14"/>
      <c r="D1793" s="56"/>
      <c r="E1793" s="16"/>
      <c r="F1793" s="14"/>
      <c r="G1793" s="14"/>
      <c r="H1793" s="14"/>
      <c r="I1793" s="17"/>
      <c r="J1793" s="16"/>
      <c r="K1793" s="17"/>
      <c r="L1793" s="16"/>
      <c r="N1793" s="28"/>
    </row>
    <row r="1794">
      <c r="A1794" s="16" t="str">
        <f t="shared" si="10"/>
        <v/>
      </c>
      <c r="B1794" s="48"/>
      <c r="C1794" s="14"/>
      <c r="D1794" s="56"/>
      <c r="E1794" s="16"/>
      <c r="F1794" s="14"/>
      <c r="G1794" s="14"/>
      <c r="H1794" s="14"/>
      <c r="I1794" s="17"/>
      <c r="J1794" s="16"/>
      <c r="K1794" s="17"/>
      <c r="L1794" s="16"/>
      <c r="N1794" s="28"/>
    </row>
    <row r="1795">
      <c r="A1795" s="16" t="str">
        <f t="shared" si="10"/>
        <v/>
      </c>
      <c r="B1795" s="48"/>
      <c r="C1795" s="14"/>
      <c r="D1795" s="56"/>
      <c r="E1795" s="16"/>
      <c r="F1795" s="14"/>
      <c r="G1795" s="14"/>
      <c r="H1795" s="14"/>
      <c r="I1795" s="17"/>
      <c r="J1795" s="16"/>
      <c r="K1795" s="17"/>
      <c r="L1795" s="16"/>
      <c r="N1795" s="28"/>
    </row>
    <row r="1796">
      <c r="A1796" s="16" t="str">
        <f t="shared" si="10"/>
        <v/>
      </c>
      <c r="B1796" s="48"/>
      <c r="C1796" s="14"/>
      <c r="D1796" s="56"/>
      <c r="E1796" s="16"/>
      <c r="F1796" s="14"/>
      <c r="G1796" s="14"/>
      <c r="H1796" s="14"/>
      <c r="I1796" s="17"/>
      <c r="J1796" s="16"/>
      <c r="K1796" s="17"/>
      <c r="L1796" s="16"/>
      <c r="N1796" s="28"/>
    </row>
    <row r="1797">
      <c r="A1797" s="16" t="str">
        <f t="shared" si="10"/>
        <v/>
      </c>
      <c r="B1797" s="48"/>
      <c r="C1797" s="14"/>
      <c r="D1797" s="56"/>
      <c r="E1797" s="16"/>
      <c r="F1797" s="14"/>
      <c r="G1797" s="14"/>
      <c r="H1797" s="14"/>
      <c r="I1797" s="17"/>
      <c r="J1797" s="16"/>
      <c r="K1797" s="17"/>
      <c r="L1797" s="16"/>
      <c r="N1797" s="28"/>
    </row>
    <row r="1798">
      <c r="A1798" s="16" t="str">
        <f t="shared" si="10"/>
        <v/>
      </c>
      <c r="B1798" s="48"/>
      <c r="C1798" s="14"/>
      <c r="D1798" s="56"/>
      <c r="E1798" s="16"/>
      <c r="F1798" s="14"/>
      <c r="G1798" s="14"/>
      <c r="H1798" s="14"/>
      <c r="I1798" s="17"/>
      <c r="J1798" s="16"/>
      <c r="K1798" s="17"/>
      <c r="L1798" s="16"/>
      <c r="N1798" s="28"/>
    </row>
    <row r="1799">
      <c r="A1799" s="16" t="str">
        <f t="shared" si="10"/>
        <v/>
      </c>
      <c r="B1799" s="48"/>
      <c r="C1799" s="14"/>
      <c r="D1799" s="56"/>
      <c r="E1799" s="16"/>
      <c r="F1799" s="14"/>
      <c r="G1799" s="14"/>
      <c r="H1799" s="14"/>
      <c r="I1799" s="17"/>
      <c r="J1799" s="16"/>
      <c r="K1799" s="17"/>
      <c r="L1799" s="16"/>
      <c r="N1799" s="28"/>
    </row>
    <row r="1800">
      <c r="A1800" s="16" t="str">
        <f t="shared" si="10"/>
        <v/>
      </c>
      <c r="B1800" s="48"/>
      <c r="C1800" s="14"/>
      <c r="D1800" s="56"/>
      <c r="E1800" s="16"/>
      <c r="F1800" s="14"/>
      <c r="G1800" s="14"/>
      <c r="H1800" s="14"/>
      <c r="I1800" s="17"/>
      <c r="J1800" s="16"/>
      <c r="K1800" s="17"/>
      <c r="L1800" s="16"/>
      <c r="N1800" s="28"/>
    </row>
    <row r="1801">
      <c r="A1801" s="16" t="str">
        <f t="shared" si="10"/>
        <v/>
      </c>
      <c r="B1801" s="48"/>
      <c r="C1801" s="14"/>
      <c r="D1801" s="56"/>
      <c r="E1801" s="16"/>
      <c r="F1801" s="14"/>
      <c r="G1801" s="14"/>
      <c r="H1801" s="14"/>
      <c r="I1801" s="17"/>
      <c r="J1801" s="16"/>
      <c r="K1801" s="17"/>
      <c r="L1801" s="16"/>
      <c r="N1801" s="28"/>
    </row>
    <row r="1802">
      <c r="A1802" s="16" t="str">
        <f t="shared" si="10"/>
        <v/>
      </c>
      <c r="B1802" s="48"/>
      <c r="C1802" s="14"/>
      <c r="D1802" s="56"/>
      <c r="E1802" s="16"/>
      <c r="F1802" s="14"/>
      <c r="G1802" s="14"/>
      <c r="H1802" s="14"/>
      <c r="I1802" s="17"/>
      <c r="J1802" s="16"/>
      <c r="K1802" s="17"/>
      <c r="L1802" s="16"/>
      <c r="N1802" s="28"/>
    </row>
    <row r="1803">
      <c r="A1803" s="16" t="str">
        <f t="shared" si="10"/>
        <v/>
      </c>
      <c r="B1803" s="48"/>
      <c r="C1803" s="14"/>
      <c r="D1803" s="56"/>
      <c r="E1803" s="16"/>
      <c r="F1803" s="14"/>
      <c r="G1803" s="14"/>
      <c r="H1803" s="14"/>
      <c r="I1803" s="17"/>
      <c r="J1803" s="16"/>
      <c r="K1803" s="17"/>
      <c r="L1803" s="16"/>
      <c r="N1803" s="28"/>
    </row>
    <row r="1804">
      <c r="A1804" s="16" t="str">
        <f t="shared" si="10"/>
        <v/>
      </c>
      <c r="B1804" s="48"/>
      <c r="C1804" s="14"/>
      <c r="D1804" s="56"/>
      <c r="E1804" s="16"/>
      <c r="F1804" s="14"/>
      <c r="G1804" s="14"/>
      <c r="H1804" s="14"/>
      <c r="I1804" s="17"/>
      <c r="J1804" s="16"/>
      <c r="K1804" s="17"/>
      <c r="L1804" s="16"/>
      <c r="N1804" s="28"/>
    </row>
    <row r="1805">
      <c r="A1805" s="16" t="str">
        <f t="shared" si="10"/>
        <v/>
      </c>
      <c r="B1805" s="48"/>
      <c r="C1805" s="14"/>
      <c r="D1805" s="56"/>
      <c r="E1805" s="16"/>
      <c r="F1805" s="14"/>
      <c r="G1805" s="14"/>
      <c r="H1805" s="14"/>
      <c r="I1805" s="17"/>
      <c r="J1805" s="16"/>
      <c r="K1805" s="17"/>
      <c r="L1805" s="16"/>
      <c r="N1805" s="28"/>
    </row>
    <row r="1806">
      <c r="A1806" s="16" t="str">
        <f t="shared" si="10"/>
        <v/>
      </c>
      <c r="B1806" s="48"/>
      <c r="C1806" s="14"/>
      <c r="D1806" s="56"/>
      <c r="E1806" s="16"/>
      <c r="F1806" s="14"/>
      <c r="G1806" s="14"/>
      <c r="H1806" s="14"/>
      <c r="I1806" s="17"/>
      <c r="J1806" s="16"/>
      <c r="K1806" s="17"/>
      <c r="L1806" s="16"/>
      <c r="N1806" s="28"/>
    </row>
    <row r="1807">
      <c r="A1807" s="16" t="str">
        <f t="shared" si="10"/>
        <v/>
      </c>
      <c r="B1807" s="48"/>
      <c r="C1807" s="14"/>
      <c r="D1807" s="56"/>
      <c r="E1807" s="16"/>
      <c r="F1807" s="14"/>
      <c r="G1807" s="14"/>
      <c r="H1807" s="14"/>
      <c r="I1807" s="17"/>
      <c r="J1807" s="16"/>
      <c r="K1807" s="17"/>
      <c r="L1807" s="16"/>
      <c r="N1807" s="28"/>
    </row>
    <row r="1808">
      <c r="A1808" s="16" t="str">
        <f t="shared" si="10"/>
        <v/>
      </c>
      <c r="B1808" s="48"/>
      <c r="C1808" s="14"/>
      <c r="D1808" s="56"/>
      <c r="E1808" s="16"/>
      <c r="F1808" s="14"/>
      <c r="G1808" s="14"/>
      <c r="H1808" s="14"/>
      <c r="I1808" s="17"/>
      <c r="J1808" s="16"/>
      <c r="K1808" s="17"/>
      <c r="L1808" s="16"/>
      <c r="N1808" s="28"/>
    </row>
    <row r="1809">
      <c r="A1809" s="16" t="str">
        <f t="shared" si="10"/>
        <v/>
      </c>
      <c r="B1809" s="48"/>
      <c r="C1809" s="14"/>
      <c r="D1809" s="56"/>
      <c r="E1809" s="16"/>
      <c r="F1809" s="14"/>
      <c r="G1809" s="14"/>
      <c r="H1809" s="14"/>
      <c r="I1809" s="17"/>
      <c r="J1809" s="16"/>
      <c r="K1809" s="17"/>
      <c r="L1809" s="16"/>
      <c r="N1809" s="28"/>
    </row>
    <row r="1810">
      <c r="A1810" s="16" t="str">
        <f t="shared" si="10"/>
        <v/>
      </c>
      <c r="B1810" s="48"/>
      <c r="C1810" s="14"/>
      <c r="D1810" s="56"/>
      <c r="E1810" s="16"/>
      <c r="F1810" s="14"/>
      <c r="G1810" s="14"/>
      <c r="H1810" s="14"/>
      <c r="I1810" s="17"/>
      <c r="J1810" s="16"/>
      <c r="K1810" s="17"/>
      <c r="L1810" s="16"/>
      <c r="N1810" s="28"/>
    </row>
    <row r="1811">
      <c r="A1811" s="16" t="str">
        <f t="shared" si="10"/>
        <v/>
      </c>
      <c r="B1811" s="48"/>
      <c r="C1811" s="14"/>
      <c r="D1811" s="56"/>
      <c r="E1811" s="16"/>
      <c r="F1811" s="14"/>
      <c r="G1811" s="14"/>
      <c r="H1811" s="14"/>
      <c r="I1811" s="17"/>
      <c r="J1811" s="16"/>
      <c r="K1811" s="17"/>
      <c r="L1811" s="16"/>
      <c r="N1811" s="28"/>
    </row>
    <row r="1812">
      <c r="A1812" s="16" t="str">
        <f t="shared" si="10"/>
        <v/>
      </c>
      <c r="B1812" s="48"/>
      <c r="C1812" s="14"/>
      <c r="D1812" s="56"/>
      <c r="E1812" s="16"/>
      <c r="F1812" s="14"/>
      <c r="G1812" s="14"/>
      <c r="H1812" s="14"/>
      <c r="I1812" s="17"/>
      <c r="J1812" s="16"/>
      <c r="K1812" s="17"/>
      <c r="L1812" s="16"/>
      <c r="N1812" s="28"/>
    </row>
    <row r="1813">
      <c r="A1813" s="16" t="str">
        <f t="shared" si="10"/>
        <v/>
      </c>
      <c r="B1813" s="48"/>
      <c r="C1813" s="14"/>
      <c r="D1813" s="56"/>
      <c r="E1813" s="16"/>
      <c r="F1813" s="14"/>
      <c r="G1813" s="14"/>
      <c r="H1813" s="14"/>
      <c r="I1813" s="17"/>
      <c r="J1813" s="16"/>
      <c r="K1813" s="17"/>
      <c r="L1813" s="16"/>
      <c r="N1813" s="28"/>
    </row>
    <row r="1814">
      <c r="A1814" s="16" t="str">
        <f t="shared" si="10"/>
        <v/>
      </c>
      <c r="B1814" s="48"/>
      <c r="C1814" s="14"/>
      <c r="D1814" s="56"/>
      <c r="E1814" s="16"/>
      <c r="F1814" s="14"/>
      <c r="G1814" s="14"/>
      <c r="H1814" s="14"/>
      <c r="I1814" s="17"/>
      <c r="J1814" s="16"/>
      <c r="K1814" s="17"/>
      <c r="L1814" s="16"/>
      <c r="N1814" s="28"/>
    </row>
    <row r="1815">
      <c r="A1815" s="16" t="str">
        <f t="shared" si="10"/>
        <v/>
      </c>
      <c r="B1815" s="48"/>
      <c r="C1815" s="14"/>
      <c r="D1815" s="56"/>
      <c r="E1815" s="16"/>
      <c r="F1815" s="14"/>
      <c r="G1815" s="14"/>
      <c r="H1815" s="14"/>
      <c r="I1815" s="17"/>
      <c r="J1815" s="16"/>
      <c r="K1815" s="17"/>
      <c r="L1815" s="16"/>
      <c r="N1815" s="28"/>
    </row>
    <row r="1816">
      <c r="A1816" s="16" t="str">
        <f t="shared" si="10"/>
        <v/>
      </c>
      <c r="B1816" s="48"/>
      <c r="C1816" s="14"/>
      <c r="D1816" s="56"/>
      <c r="E1816" s="16"/>
      <c r="F1816" s="14"/>
      <c r="G1816" s="14"/>
      <c r="H1816" s="14"/>
      <c r="I1816" s="17"/>
      <c r="J1816" s="16"/>
      <c r="K1816" s="17"/>
      <c r="L1816" s="16"/>
      <c r="N1816" s="28"/>
    </row>
    <row r="1817">
      <c r="A1817" s="16" t="str">
        <f t="shared" si="10"/>
        <v/>
      </c>
      <c r="B1817" s="48"/>
      <c r="C1817" s="14"/>
      <c r="D1817" s="56"/>
      <c r="E1817" s="16"/>
      <c r="F1817" s="14"/>
      <c r="G1817" s="14"/>
      <c r="H1817" s="14"/>
      <c r="I1817" s="17"/>
      <c r="J1817" s="16"/>
      <c r="K1817" s="17"/>
      <c r="L1817" s="16"/>
      <c r="N1817" s="28"/>
    </row>
    <row r="1818">
      <c r="A1818" s="16" t="str">
        <f t="shared" si="10"/>
        <v/>
      </c>
      <c r="B1818" s="48"/>
      <c r="C1818" s="14"/>
      <c r="D1818" s="56"/>
      <c r="E1818" s="16"/>
      <c r="F1818" s="14"/>
      <c r="G1818" s="14"/>
      <c r="H1818" s="14"/>
      <c r="I1818" s="17"/>
      <c r="J1818" s="16"/>
      <c r="K1818" s="17"/>
      <c r="L1818" s="16"/>
      <c r="N1818" s="28"/>
    </row>
    <row r="1819">
      <c r="A1819" s="16" t="str">
        <f t="shared" si="10"/>
        <v/>
      </c>
      <c r="B1819" s="48"/>
      <c r="C1819" s="14"/>
      <c r="D1819" s="56"/>
      <c r="E1819" s="16"/>
      <c r="F1819" s="14"/>
      <c r="G1819" s="14"/>
      <c r="H1819" s="14"/>
      <c r="I1819" s="17"/>
      <c r="J1819" s="16"/>
      <c r="K1819" s="17"/>
      <c r="L1819" s="16"/>
      <c r="N1819" s="28"/>
    </row>
    <row r="1820">
      <c r="A1820" s="16" t="str">
        <f t="shared" si="10"/>
        <v/>
      </c>
      <c r="B1820" s="48"/>
      <c r="C1820" s="14"/>
      <c r="D1820" s="56"/>
      <c r="E1820" s="16"/>
      <c r="F1820" s="14"/>
      <c r="G1820" s="14"/>
      <c r="H1820" s="14"/>
      <c r="I1820" s="17"/>
      <c r="J1820" s="16"/>
      <c r="K1820" s="17"/>
      <c r="L1820" s="16"/>
      <c r="N1820" s="28"/>
    </row>
    <row r="1821">
      <c r="A1821" s="16" t="str">
        <f t="shared" si="10"/>
        <v/>
      </c>
      <c r="B1821" s="48"/>
      <c r="C1821" s="14"/>
      <c r="D1821" s="56"/>
      <c r="E1821" s="16"/>
      <c r="F1821" s="14"/>
      <c r="G1821" s="14"/>
      <c r="H1821" s="14"/>
      <c r="I1821" s="17"/>
      <c r="J1821" s="16"/>
      <c r="K1821" s="17"/>
      <c r="L1821" s="16"/>
      <c r="N1821" s="28"/>
    </row>
    <row r="1822">
      <c r="A1822" s="16" t="str">
        <f t="shared" si="10"/>
        <v/>
      </c>
      <c r="B1822" s="48"/>
      <c r="C1822" s="14"/>
      <c r="D1822" s="56"/>
      <c r="E1822" s="16"/>
      <c r="F1822" s="14"/>
      <c r="G1822" s="14"/>
      <c r="H1822" s="14"/>
      <c r="I1822" s="17"/>
      <c r="J1822" s="16"/>
      <c r="K1822" s="17"/>
      <c r="L1822" s="16"/>
      <c r="N1822" s="28"/>
    </row>
    <row r="1823">
      <c r="A1823" s="16" t="str">
        <f t="shared" si="10"/>
        <v/>
      </c>
      <c r="B1823" s="48"/>
      <c r="C1823" s="14"/>
      <c r="D1823" s="56"/>
      <c r="E1823" s="16"/>
      <c r="F1823" s="14"/>
      <c r="G1823" s="14"/>
      <c r="H1823" s="14"/>
      <c r="I1823" s="17"/>
      <c r="J1823" s="16"/>
      <c r="K1823" s="17"/>
      <c r="L1823" s="16"/>
      <c r="N1823" s="28"/>
    </row>
    <row r="1824">
      <c r="A1824" s="16" t="str">
        <f t="shared" si="10"/>
        <v/>
      </c>
      <c r="B1824" s="48"/>
      <c r="C1824" s="14"/>
      <c r="D1824" s="56"/>
      <c r="E1824" s="16"/>
      <c r="F1824" s="14"/>
      <c r="G1824" s="14"/>
      <c r="H1824" s="14"/>
      <c r="I1824" s="17"/>
      <c r="J1824" s="16"/>
      <c r="K1824" s="17"/>
      <c r="L1824" s="16"/>
      <c r="N1824" s="28"/>
    </row>
    <row r="1825">
      <c r="A1825" s="16" t="str">
        <f t="shared" si="10"/>
        <v/>
      </c>
      <c r="B1825" s="48"/>
      <c r="C1825" s="14"/>
      <c r="D1825" s="56"/>
      <c r="E1825" s="16"/>
      <c r="F1825" s="14"/>
      <c r="G1825" s="14"/>
      <c r="H1825" s="14"/>
      <c r="I1825" s="17"/>
      <c r="J1825" s="16"/>
      <c r="K1825" s="17"/>
      <c r="L1825" s="16"/>
      <c r="N1825" s="28"/>
    </row>
    <row r="1826">
      <c r="A1826" s="16" t="str">
        <f t="shared" si="10"/>
        <v/>
      </c>
      <c r="B1826" s="48"/>
      <c r="C1826" s="14"/>
      <c r="D1826" s="56"/>
      <c r="E1826" s="16"/>
      <c r="F1826" s="14"/>
      <c r="G1826" s="14"/>
      <c r="H1826" s="14"/>
      <c r="I1826" s="17"/>
      <c r="J1826" s="16"/>
      <c r="K1826" s="17"/>
      <c r="L1826" s="16"/>
      <c r="N1826" s="28"/>
    </row>
    <row r="1827">
      <c r="A1827" s="16" t="str">
        <f t="shared" si="10"/>
        <v/>
      </c>
      <c r="B1827" s="48"/>
      <c r="C1827" s="14"/>
      <c r="D1827" s="56"/>
      <c r="E1827" s="16"/>
      <c r="F1827" s="14"/>
      <c r="G1827" s="14"/>
      <c r="H1827" s="14"/>
      <c r="I1827" s="17"/>
      <c r="J1827" s="16"/>
      <c r="K1827" s="17"/>
      <c r="L1827" s="16"/>
      <c r="N1827" s="28"/>
    </row>
    <row r="1828">
      <c r="A1828" s="16" t="str">
        <f t="shared" si="10"/>
        <v/>
      </c>
      <c r="B1828" s="48"/>
      <c r="C1828" s="14"/>
      <c r="D1828" s="56"/>
      <c r="E1828" s="16"/>
      <c r="F1828" s="14"/>
      <c r="G1828" s="14"/>
      <c r="H1828" s="14"/>
      <c r="I1828" s="17"/>
      <c r="J1828" s="16"/>
      <c r="K1828" s="17"/>
      <c r="L1828" s="16"/>
      <c r="N1828" s="28"/>
    </row>
    <row r="1829">
      <c r="A1829" s="16" t="str">
        <f t="shared" si="10"/>
        <v/>
      </c>
      <c r="B1829" s="48"/>
      <c r="C1829" s="14"/>
      <c r="D1829" s="56"/>
      <c r="E1829" s="16"/>
      <c r="F1829" s="14"/>
      <c r="G1829" s="14"/>
      <c r="H1829" s="14"/>
      <c r="I1829" s="17"/>
      <c r="J1829" s="16"/>
      <c r="K1829" s="17"/>
      <c r="L1829" s="16"/>
      <c r="N1829" s="28"/>
    </row>
    <row r="1830">
      <c r="A1830" s="16" t="str">
        <f t="shared" si="10"/>
        <v/>
      </c>
      <c r="B1830" s="48"/>
      <c r="C1830" s="14"/>
      <c r="D1830" s="56"/>
      <c r="E1830" s="16"/>
      <c r="F1830" s="14"/>
      <c r="G1830" s="14"/>
      <c r="H1830" s="14"/>
      <c r="I1830" s="17"/>
      <c r="J1830" s="16"/>
      <c r="K1830" s="17"/>
      <c r="L1830" s="16"/>
      <c r="N1830" s="28"/>
    </row>
    <row r="1831">
      <c r="A1831" s="16" t="str">
        <f t="shared" si="10"/>
        <v/>
      </c>
      <c r="B1831" s="48"/>
      <c r="C1831" s="14"/>
      <c r="D1831" s="56"/>
      <c r="E1831" s="16"/>
      <c r="F1831" s="14"/>
      <c r="G1831" s="14"/>
      <c r="H1831" s="14"/>
      <c r="I1831" s="17"/>
      <c r="J1831" s="16"/>
      <c r="K1831" s="17"/>
      <c r="L1831" s="16"/>
      <c r="N1831" s="28"/>
    </row>
    <row r="1832">
      <c r="A1832" s="16" t="str">
        <f t="shared" si="10"/>
        <v/>
      </c>
      <c r="B1832" s="48"/>
      <c r="C1832" s="14"/>
      <c r="D1832" s="56"/>
      <c r="E1832" s="16"/>
      <c r="F1832" s="14"/>
      <c r="G1832" s="14"/>
      <c r="H1832" s="14"/>
      <c r="I1832" s="17"/>
      <c r="J1832" s="16"/>
      <c r="K1832" s="17"/>
      <c r="L1832" s="16"/>
      <c r="N1832" s="28"/>
    </row>
    <row r="1833">
      <c r="A1833" s="16" t="str">
        <f t="shared" si="10"/>
        <v/>
      </c>
      <c r="B1833" s="48"/>
      <c r="C1833" s="14"/>
      <c r="D1833" s="56"/>
      <c r="E1833" s="16"/>
      <c r="F1833" s="14"/>
      <c r="G1833" s="14"/>
      <c r="H1833" s="14"/>
      <c r="I1833" s="17"/>
      <c r="J1833" s="16"/>
      <c r="K1833" s="17"/>
      <c r="L1833" s="16"/>
      <c r="N1833" s="28"/>
    </row>
    <row r="1834">
      <c r="A1834" s="16" t="str">
        <f t="shared" si="10"/>
        <v/>
      </c>
      <c r="B1834" s="48"/>
      <c r="C1834" s="14"/>
      <c r="D1834" s="56"/>
      <c r="E1834" s="16"/>
      <c r="F1834" s="14"/>
      <c r="G1834" s="14"/>
      <c r="H1834" s="14"/>
      <c r="I1834" s="17"/>
      <c r="J1834" s="16"/>
      <c r="K1834" s="17"/>
      <c r="L1834" s="16"/>
      <c r="N1834" s="28"/>
    </row>
    <row r="1835">
      <c r="A1835" s="16" t="str">
        <f t="shared" si="10"/>
        <v/>
      </c>
      <c r="B1835" s="48"/>
      <c r="C1835" s="14"/>
      <c r="D1835" s="56"/>
      <c r="E1835" s="16"/>
      <c r="F1835" s="14"/>
      <c r="G1835" s="14"/>
      <c r="H1835" s="14"/>
      <c r="I1835" s="17"/>
      <c r="J1835" s="16"/>
      <c r="K1835" s="17"/>
      <c r="L1835" s="16"/>
      <c r="N1835" s="28"/>
    </row>
    <row r="1836">
      <c r="A1836" s="16" t="str">
        <f t="shared" si="10"/>
        <v/>
      </c>
      <c r="B1836" s="48"/>
      <c r="C1836" s="14"/>
      <c r="D1836" s="56"/>
      <c r="E1836" s="16"/>
      <c r="F1836" s="14"/>
      <c r="G1836" s="14"/>
      <c r="H1836" s="14"/>
      <c r="I1836" s="17"/>
      <c r="J1836" s="16"/>
      <c r="K1836" s="17"/>
      <c r="L1836" s="16"/>
      <c r="N1836" s="28"/>
    </row>
    <row r="1837">
      <c r="A1837" s="16" t="str">
        <f t="shared" si="10"/>
        <v/>
      </c>
      <c r="B1837" s="48"/>
      <c r="C1837" s="14"/>
      <c r="D1837" s="56"/>
      <c r="E1837" s="16"/>
      <c r="F1837" s="14"/>
      <c r="G1837" s="14"/>
      <c r="H1837" s="14"/>
      <c r="I1837" s="17"/>
      <c r="J1837" s="16"/>
      <c r="K1837" s="17"/>
      <c r="L1837" s="16"/>
      <c r="N1837" s="28"/>
    </row>
    <row r="1838">
      <c r="A1838" s="16" t="str">
        <f t="shared" si="10"/>
        <v/>
      </c>
      <c r="B1838" s="48"/>
      <c r="C1838" s="14"/>
      <c r="D1838" s="56"/>
      <c r="E1838" s="16"/>
      <c r="F1838" s="14"/>
      <c r="G1838" s="14"/>
      <c r="H1838" s="14"/>
      <c r="I1838" s="17"/>
      <c r="J1838" s="16"/>
      <c r="K1838" s="17"/>
      <c r="L1838" s="16"/>
      <c r="N1838" s="28"/>
    </row>
    <row r="1839">
      <c r="A1839" s="16" t="str">
        <f t="shared" si="10"/>
        <v/>
      </c>
      <c r="B1839" s="48"/>
      <c r="C1839" s="14"/>
      <c r="D1839" s="56"/>
      <c r="E1839" s="16"/>
      <c r="F1839" s="14"/>
      <c r="G1839" s="14"/>
      <c r="H1839" s="14"/>
      <c r="I1839" s="17"/>
      <c r="J1839" s="16"/>
      <c r="K1839" s="17"/>
      <c r="L1839" s="16"/>
      <c r="N1839" s="28"/>
    </row>
    <row r="1840">
      <c r="A1840" s="16" t="str">
        <f t="shared" si="10"/>
        <v/>
      </c>
      <c r="B1840" s="48"/>
      <c r="C1840" s="14"/>
      <c r="D1840" s="56"/>
      <c r="E1840" s="16"/>
      <c r="F1840" s="14"/>
      <c r="G1840" s="14"/>
      <c r="H1840" s="14"/>
      <c r="I1840" s="17"/>
      <c r="J1840" s="16"/>
      <c r="K1840" s="17"/>
      <c r="L1840" s="16"/>
      <c r="N1840" s="28"/>
    </row>
    <row r="1841">
      <c r="A1841" s="16" t="str">
        <f t="shared" si="10"/>
        <v/>
      </c>
      <c r="B1841" s="48"/>
      <c r="C1841" s="14"/>
      <c r="D1841" s="56"/>
      <c r="E1841" s="16"/>
      <c r="F1841" s="14"/>
      <c r="G1841" s="14"/>
      <c r="H1841" s="14"/>
      <c r="I1841" s="17"/>
      <c r="J1841" s="16"/>
      <c r="K1841" s="17"/>
      <c r="L1841" s="16"/>
      <c r="N1841" s="28"/>
    </row>
    <row r="1842">
      <c r="A1842" s="16" t="str">
        <f t="shared" si="10"/>
        <v/>
      </c>
      <c r="B1842" s="48"/>
      <c r="C1842" s="14"/>
      <c r="D1842" s="56"/>
      <c r="E1842" s="16"/>
      <c r="F1842" s="14"/>
      <c r="G1842" s="14"/>
      <c r="H1842" s="14"/>
      <c r="I1842" s="17"/>
      <c r="J1842" s="16"/>
      <c r="K1842" s="17"/>
      <c r="L1842" s="16"/>
      <c r="N1842" s="28"/>
    </row>
    <row r="1843">
      <c r="A1843" s="16" t="str">
        <f t="shared" si="10"/>
        <v/>
      </c>
      <c r="B1843" s="48"/>
      <c r="C1843" s="14"/>
      <c r="D1843" s="56"/>
      <c r="E1843" s="16"/>
      <c r="F1843" s="14"/>
      <c r="G1843" s="14"/>
      <c r="H1843" s="14"/>
      <c r="I1843" s="17"/>
      <c r="J1843" s="16"/>
      <c r="K1843" s="17"/>
      <c r="L1843" s="16"/>
      <c r="N1843" s="28"/>
    </row>
    <row r="1844">
      <c r="A1844" s="16" t="str">
        <f t="shared" si="10"/>
        <v/>
      </c>
      <c r="B1844" s="48"/>
      <c r="C1844" s="14"/>
      <c r="D1844" s="56"/>
      <c r="E1844" s="16"/>
      <c r="F1844" s="14"/>
      <c r="G1844" s="14"/>
      <c r="H1844" s="14"/>
      <c r="I1844" s="17"/>
      <c r="J1844" s="16"/>
      <c r="K1844" s="17"/>
      <c r="L1844" s="16"/>
      <c r="N1844" s="28"/>
    </row>
    <row r="1845">
      <c r="A1845" s="16" t="str">
        <f t="shared" si="10"/>
        <v/>
      </c>
      <c r="B1845" s="48"/>
      <c r="C1845" s="14"/>
      <c r="D1845" s="56"/>
      <c r="E1845" s="16"/>
      <c r="F1845" s="14"/>
      <c r="G1845" s="14"/>
      <c r="H1845" s="14"/>
      <c r="I1845" s="17"/>
      <c r="J1845" s="16"/>
      <c r="K1845" s="17"/>
      <c r="L1845" s="16"/>
      <c r="N1845" s="28"/>
    </row>
    <row r="1846">
      <c r="A1846" s="16" t="str">
        <f t="shared" si="10"/>
        <v/>
      </c>
      <c r="B1846" s="48"/>
      <c r="C1846" s="14"/>
      <c r="D1846" s="56"/>
      <c r="E1846" s="16"/>
      <c r="F1846" s="14"/>
      <c r="G1846" s="14"/>
      <c r="H1846" s="14"/>
      <c r="I1846" s="17"/>
      <c r="J1846" s="16"/>
      <c r="K1846" s="17"/>
      <c r="L1846" s="16"/>
      <c r="N1846" s="28"/>
    </row>
    <row r="1847">
      <c r="A1847" s="16" t="str">
        <f t="shared" si="10"/>
        <v/>
      </c>
      <c r="B1847" s="48"/>
      <c r="C1847" s="14"/>
      <c r="D1847" s="56"/>
      <c r="E1847" s="16"/>
      <c r="F1847" s="14"/>
      <c r="G1847" s="14"/>
      <c r="H1847" s="14"/>
      <c r="I1847" s="17"/>
      <c r="J1847" s="16"/>
      <c r="K1847" s="17"/>
      <c r="L1847" s="16"/>
      <c r="N1847" s="28"/>
    </row>
    <row r="1848">
      <c r="A1848" s="16" t="str">
        <f t="shared" si="10"/>
        <v/>
      </c>
      <c r="B1848" s="48"/>
      <c r="C1848" s="14"/>
      <c r="D1848" s="56"/>
      <c r="E1848" s="16"/>
      <c r="F1848" s="14"/>
      <c r="G1848" s="14"/>
      <c r="H1848" s="14"/>
      <c r="I1848" s="17"/>
      <c r="J1848" s="16"/>
      <c r="K1848" s="17"/>
      <c r="L1848" s="16"/>
      <c r="N1848" s="28"/>
    </row>
    <row r="1849">
      <c r="A1849" s="16" t="str">
        <f t="shared" si="10"/>
        <v/>
      </c>
      <c r="B1849" s="48"/>
      <c r="C1849" s="14"/>
      <c r="D1849" s="56"/>
      <c r="E1849" s="16"/>
      <c r="F1849" s="14"/>
      <c r="G1849" s="14"/>
      <c r="H1849" s="14"/>
      <c r="I1849" s="17"/>
      <c r="J1849" s="16"/>
      <c r="K1849" s="17"/>
      <c r="L1849" s="16"/>
      <c r="N1849" s="28"/>
    </row>
    <row r="1850">
      <c r="A1850" s="16" t="str">
        <f t="shared" si="10"/>
        <v/>
      </c>
      <c r="B1850" s="48"/>
      <c r="C1850" s="14"/>
      <c r="D1850" s="56"/>
      <c r="E1850" s="16"/>
      <c r="F1850" s="14"/>
      <c r="G1850" s="14"/>
      <c r="H1850" s="14"/>
      <c r="I1850" s="17"/>
      <c r="J1850" s="16"/>
      <c r="K1850" s="17"/>
      <c r="L1850" s="16"/>
      <c r="N1850" s="28"/>
    </row>
    <row r="1851">
      <c r="A1851" s="16" t="str">
        <f t="shared" si="10"/>
        <v/>
      </c>
      <c r="B1851" s="48"/>
      <c r="C1851" s="14"/>
      <c r="D1851" s="56"/>
      <c r="E1851" s="16"/>
      <c r="F1851" s="14"/>
      <c r="G1851" s="14"/>
      <c r="H1851" s="14"/>
      <c r="I1851" s="17"/>
      <c r="J1851" s="16"/>
      <c r="K1851" s="17"/>
      <c r="L1851" s="16"/>
      <c r="N1851" s="28"/>
    </row>
    <row r="1852">
      <c r="A1852" s="16" t="str">
        <f t="shared" si="10"/>
        <v/>
      </c>
      <c r="B1852" s="48"/>
      <c r="C1852" s="14"/>
      <c r="D1852" s="56"/>
      <c r="E1852" s="16"/>
      <c r="F1852" s="14"/>
      <c r="G1852" s="14"/>
      <c r="H1852" s="14"/>
      <c r="I1852" s="17"/>
      <c r="J1852" s="16"/>
      <c r="K1852" s="17"/>
      <c r="L1852" s="16"/>
      <c r="N1852" s="28"/>
    </row>
    <row r="1853">
      <c r="A1853" s="16" t="str">
        <f t="shared" si="10"/>
        <v/>
      </c>
      <c r="B1853" s="48"/>
      <c r="C1853" s="14"/>
      <c r="D1853" s="56"/>
      <c r="E1853" s="16"/>
      <c r="F1853" s="14"/>
      <c r="G1853" s="14"/>
      <c r="H1853" s="14"/>
      <c r="I1853" s="17"/>
      <c r="J1853" s="16"/>
      <c r="K1853" s="17"/>
      <c r="L1853" s="16"/>
      <c r="N1853" s="28"/>
    </row>
    <row r="1854">
      <c r="A1854" s="16" t="str">
        <f t="shared" si="10"/>
        <v/>
      </c>
      <c r="B1854" s="48"/>
      <c r="C1854" s="14"/>
      <c r="D1854" s="56"/>
      <c r="E1854" s="16"/>
      <c r="F1854" s="14"/>
      <c r="G1854" s="14"/>
      <c r="H1854" s="14"/>
      <c r="I1854" s="17"/>
      <c r="J1854" s="16"/>
      <c r="K1854" s="17"/>
      <c r="L1854" s="16"/>
      <c r="N1854" s="28"/>
    </row>
    <row r="1855">
      <c r="A1855" s="16" t="str">
        <f t="shared" si="10"/>
        <v/>
      </c>
      <c r="B1855" s="48"/>
      <c r="C1855" s="14"/>
      <c r="D1855" s="56"/>
      <c r="E1855" s="16"/>
      <c r="F1855" s="14"/>
      <c r="G1855" s="14"/>
      <c r="H1855" s="14"/>
      <c r="I1855" s="17"/>
      <c r="J1855" s="16"/>
      <c r="K1855" s="17"/>
      <c r="L1855" s="16"/>
      <c r="N1855" s="28"/>
    </row>
    <row r="1856">
      <c r="A1856" s="16" t="str">
        <f t="shared" si="10"/>
        <v/>
      </c>
      <c r="B1856" s="48"/>
      <c r="C1856" s="14"/>
      <c r="D1856" s="56"/>
      <c r="E1856" s="16"/>
      <c r="F1856" s="14"/>
      <c r="G1856" s="14"/>
      <c r="H1856" s="14"/>
      <c r="I1856" s="17"/>
      <c r="J1856" s="16"/>
      <c r="K1856" s="17"/>
      <c r="L1856" s="16"/>
      <c r="N1856" s="28"/>
    </row>
    <row r="1857">
      <c r="A1857" s="16" t="str">
        <f t="shared" si="10"/>
        <v/>
      </c>
      <c r="B1857" s="48"/>
      <c r="C1857" s="14"/>
      <c r="D1857" s="56"/>
      <c r="E1857" s="16"/>
      <c r="F1857" s="14"/>
      <c r="G1857" s="14"/>
      <c r="H1857" s="14"/>
      <c r="I1857" s="17"/>
      <c r="J1857" s="16"/>
      <c r="K1857" s="17"/>
      <c r="L1857" s="16"/>
      <c r="N1857" s="28"/>
    </row>
    <row r="1858">
      <c r="A1858" s="16" t="str">
        <f t="shared" si="10"/>
        <v/>
      </c>
      <c r="B1858" s="48"/>
      <c r="C1858" s="14"/>
      <c r="D1858" s="56"/>
      <c r="E1858" s="16"/>
      <c r="F1858" s="14"/>
      <c r="G1858" s="14"/>
      <c r="H1858" s="14"/>
      <c r="I1858" s="17"/>
      <c r="J1858" s="16"/>
      <c r="K1858" s="17"/>
      <c r="L1858" s="16"/>
      <c r="N1858" s="28"/>
    </row>
    <row r="1859">
      <c r="A1859" s="16" t="str">
        <f t="shared" si="10"/>
        <v/>
      </c>
      <c r="B1859" s="48"/>
      <c r="C1859" s="14"/>
      <c r="D1859" s="56"/>
      <c r="E1859" s="16"/>
      <c r="F1859" s="14"/>
      <c r="G1859" s="14"/>
      <c r="H1859" s="14"/>
      <c r="I1859" s="17"/>
      <c r="J1859" s="16"/>
      <c r="K1859" s="17"/>
      <c r="L1859" s="16"/>
      <c r="N1859" s="28"/>
    </row>
    <row r="1860">
      <c r="A1860" s="16" t="str">
        <f t="shared" si="10"/>
        <v/>
      </c>
      <c r="B1860" s="48"/>
      <c r="C1860" s="14"/>
      <c r="D1860" s="56"/>
      <c r="E1860" s="16"/>
      <c r="F1860" s="14"/>
      <c r="G1860" s="14"/>
      <c r="H1860" s="14"/>
      <c r="I1860" s="17"/>
      <c r="J1860" s="16"/>
      <c r="K1860" s="17"/>
      <c r="L1860" s="16"/>
      <c r="N1860" s="28"/>
    </row>
    <row r="1861">
      <c r="A1861" s="16" t="str">
        <f t="shared" si="10"/>
        <v/>
      </c>
      <c r="B1861" s="48"/>
      <c r="C1861" s="14"/>
      <c r="D1861" s="56"/>
      <c r="E1861" s="16"/>
      <c r="F1861" s="14"/>
      <c r="G1861" s="14"/>
      <c r="H1861" s="14"/>
      <c r="I1861" s="17"/>
      <c r="J1861" s="16"/>
      <c r="K1861" s="17"/>
      <c r="L1861" s="16"/>
      <c r="N1861" s="28"/>
    </row>
    <row r="1862">
      <c r="A1862" s="16" t="str">
        <f t="shared" si="10"/>
        <v/>
      </c>
      <c r="B1862" s="48"/>
      <c r="C1862" s="14"/>
      <c r="D1862" s="56"/>
      <c r="E1862" s="16"/>
      <c r="F1862" s="14"/>
      <c r="G1862" s="14"/>
      <c r="H1862" s="14"/>
      <c r="I1862" s="17"/>
      <c r="J1862" s="16"/>
      <c r="K1862" s="17"/>
      <c r="L1862" s="16"/>
      <c r="N1862" s="28"/>
    </row>
    <row r="1863">
      <c r="A1863" s="16" t="str">
        <f t="shared" si="10"/>
        <v/>
      </c>
      <c r="B1863" s="48"/>
      <c r="C1863" s="14"/>
      <c r="D1863" s="56"/>
      <c r="E1863" s="16"/>
      <c r="F1863" s="14"/>
      <c r="G1863" s="14"/>
      <c r="H1863" s="14"/>
      <c r="I1863" s="17"/>
      <c r="J1863" s="16"/>
      <c r="K1863" s="17"/>
      <c r="L1863" s="16"/>
      <c r="N1863" s="28"/>
    </row>
    <row r="1864">
      <c r="A1864" s="16" t="str">
        <f t="shared" si="10"/>
        <v/>
      </c>
      <c r="B1864" s="48"/>
      <c r="C1864" s="14"/>
      <c r="D1864" s="56"/>
      <c r="E1864" s="16"/>
      <c r="F1864" s="14"/>
      <c r="G1864" s="14"/>
      <c r="H1864" s="14"/>
      <c r="I1864" s="17"/>
      <c r="J1864" s="16"/>
      <c r="K1864" s="17"/>
      <c r="L1864" s="16"/>
      <c r="N1864" s="28"/>
    </row>
    <row r="1865">
      <c r="A1865" s="16" t="str">
        <f t="shared" si="10"/>
        <v/>
      </c>
      <c r="B1865" s="48"/>
      <c r="C1865" s="14"/>
      <c r="D1865" s="56"/>
      <c r="E1865" s="16"/>
      <c r="F1865" s="14"/>
      <c r="G1865" s="14"/>
      <c r="H1865" s="14"/>
      <c r="I1865" s="17"/>
      <c r="J1865" s="16"/>
      <c r="K1865" s="17"/>
      <c r="L1865" s="16"/>
      <c r="N1865" s="28"/>
    </row>
    <row r="1866">
      <c r="A1866" s="16" t="str">
        <f t="shared" si="10"/>
        <v/>
      </c>
      <c r="B1866" s="48"/>
      <c r="C1866" s="14"/>
      <c r="D1866" s="56"/>
      <c r="E1866" s="16"/>
      <c r="F1866" s="14"/>
      <c r="G1866" s="14"/>
      <c r="H1866" s="14"/>
      <c r="I1866" s="17"/>
      <c r="J1866" s="16"/>
      <c r="K1866" s="17"/>
      <c r="L1866" s="16"/>
      <c r="N1866" s="28"/>
    </row>
    <row r="1867">
      <c r="A1867" s="16" t="str">
        <f t="shared" si="10"/>
        <v/>
      </c>
      <c r="B1867" s="48"/>
      <c r="C1867" s="14"/>
      <c r="D1867" s="56"/>
      <c r="E1867" s="16"/>
      <c r="F1867" s="14"/>
      <c r="G1867" s="14"/>
      <c r="H1867" s="14"/>
      <c r="I1867" s="17"/>
      <c r="J1867" s="16"/>
      <c r="K1867" s="17"/>
      <c r="L1867" s="16"/>
      <c r="N1867" s="28"/>
    </row>
    <row r="1868">
      <c r="A1868" s="16" t="str">
        <f t="shared" si="10"/>
        <v/>
      </c>
      <c r="B1868" s="48"/>
      <c r="C1868" s="14"/>
      <c r="D1868" s="56"/>
      <c r="E1868" s="16"/>
      <c r="F1868" s="14"/>
      <c r="G1868" s="14"/>
      <c r="H1868" s="14"/>
      <c r="I1868" s="17"/>
      <c r="J1868" s="16"/>
      <c r="K1868" s="17"/>
      <c r="L1868" s="16"/>
      <c r="N1868" s="28"/>
    </row>
    <row r="1869">
      <c r="A1869" s="16" t="str">
        <f t="shared" si="10"/>
        <v/>
      </c>
      <c r="B1869" s="48"/>
      <c r="C1869" s="14"/>
      <c r="D1869" s="56"/>
      <c r="E1869" s="16"/>
      <c r="F1869" s="14"/>
      <c r="G1869" s="14"/>
      <c r="H1869" s="14"/>
      <c r="I1869" s="17"/>
      <c r="J1869" s="16"/>
      <c r="K1869" s="17"/>
      <c r="L1869" s="16"/>
      <c r="N1869" s="28"/>
    </row>
    <row r="1870">
      <c r="A1870" s="16" t="str">
        <f t="shared" si="10"/>
        <v/>
      </c>
      <c r="B1870" s="48"/>
      <c r="C1870" s="14"/>
      <c r="D1870" s="56"/>
      <c r="E1870" s="16"/>
      <c r="F1870" s="14"/>
      <c r="G1870" s="14"/>
      <c r="H1870" s="14"/>
      <c r="I1870" s="17"/>
      <c r="J1870" s="16"/>
      <c r="K1870" s="17"/>
      <c r="L1870" s="16"/>
      <c r="N1870" s="28"/>
    </row>
    <row r="1871">
      <c r="A1871" s="16" t="str">
        <f t="shared" si="10"/>
        <v/>
      </c>
      <c r="B1871" s="48"/>
      <c r="C1871" s="14"/>
      <c r="D1871" s="56"/>
      <c r="E1871" s="16"/>
      <c r="F1871" s="14"/>
      <c r="G1871" s="14"/>
      <c r="H1871" s="14"/>
      <c r="I1871" s="17"/>
      <c r="J1871" s="16"/>
      <c r="K1871" s="17"/>
      <c r="L1871" s="16"/>
      <c r="N1871" s="28"/>
    </row>
    <row r="1872">
      <c r="A1872" s="16" t="str">
        <f t="shared" si="10"/>
        <v/>
      </c>
      <c r="B1872" s="48"/>
      <c r="C1872" s="14"/>
      <c r="D1872" s="56"/>
      <c r="E1872" s="16"/>
      <c r="F1872" s="14"/>
      <c r="G1872" s="14"/>
      <c r="H1872" s="14"/>
      <c r="I1872" s="17"/>
      <c r="J1872" s="16"/>
      <c r="K1872" s="17"/>
      <c r="L1872" s="16"/>
      <c r="N1872" s="28"/>
    </row>
    <row r="1873">
      <c r="A1873" s="16" t="str">
        <f t="shared" si="10"/>
        <v/>
      </c>
      <c r="B1873" s="48"/>
      <c r="C1873" s="14"/>
      <c r="D1873" s="56"/>
      <c r="E1873" s="16"/>
      <c r="F1873" s="14"/>
      <c r="G1873" s="14"/>
      <c r="H1873" s="14"/>
      <c r="I1873" s="17"/>
      <c r="J1873" s="16"/>
      <c r="K1873" s="17"/>
      <c r="L1873" s="16"/>
      <c r="N1873" s="28"/>
    </row>
    <row r="1874">
      <c r="A1874" s="16" t="str">
        <f t="shared" si="10"/>
        <v/>
      </c>
      <c r="B1874" s="48"/>
      <c r="C1874" s="14"/>
      <c r="D1874" s="56"/>
      <c r="E1874" s="16"/>
      <c r="F1874" s="14"/>
      <c r="G1874" s="14"/>
      <c r="H1874" s="14"/>
      <c r="I1874" s="17"/>
      <c r="J1874" s="16"/>
      <c r="K1874" s="17"/>
      <c r="L1874" s="16"/>
      <c r="N1874" s="28"/>
    </row>
    <row r="1875">
      <c r="A1875" s="16" t="str">
        <f t="shared" si="10"/>
        <v/>
      </c>
      <c r="B1875" s="48"/>
      <c r="C1875" s="14"/>
      <c r="D1875" s="56"/>
      <c r="E1875" s="16"/>
      <c r="F1875" s="14"/>
      <c r="G1875" s="14"/>
      <c r="H1875" s="14"/>
      <c r="I1875" s="17"/>
      <c r="J1875" s="16"/>
      <c r="K1875" s="17"/>
      <c r="L1875" s="16"/>
      <c r="N1875" s="28"/>
    </row>
    <row r="1876">
      <c r="A1876" s="16" t="str">
        <f t="shared" si="10"/>
        <v/>
      </c>
      <c r="B1876" s="48"/>
      <c r="C1876" s="14"/>
      <c r="D1876" s="56"/>
      <c r="E1876" s="16"/>
      <c r="F1876" s="14"/>
      <c r="G1876" s="14"/>
      <c r="H1876" s="14"/>
      <c r="I1876" s="17"/>
      <c r="J1876" s="16"/>
      <c r="K1876" s="17"/>
      <c r="L1876" s="16"/>
      <c r="N1876" s="28"/>
    </row>
    <row r="1877">
      <c r="A1877" s="16" t="str">
        <f t="shared" si="10"/>
        <v/>
      </c>
      <c r="B1877" s="48"/>
      <c r="C1877" s="14"/>
      <c r="D1877" s="56"/>
      <c r="E1877" s="16"/>
      <c r="F1877" s="14"/>
      <c r="G1877" s="14"/>
      <c r="H1877" s="14"/>
      <c r="I1877" s="17"/>
      <c r="J1877" s="16"/>
      <c r="K1877" s="17"/>
      <c r="L1877" s="16"/>
      <c r="N1877" s="28"/>
    </row>
    <row r="1878">
      <c r="A1878" s="16" t="str">
        <f t="shared" si="10"/>
        <v/>
      </c>
      <c r="B1878" s="48"/>
      <c r="C1878" s="14"/>
      <c r="D1878" s="56"/>
      <c r="E1878" s="16"/>
      <c r="F1878" s="14"/>
      <c r="G1878" s="14"/>
      <c r="H1878" s="14"/>
      <c r="I1878" s="17"/>
      <c r="J1878" s="16"/>
      <c r="K1878" s="17"/>
      <c r="L1878" s="16"/>
      <c r="N1878" s="28"/>
    </row>
    <row r="1879">
      <c r="A1879" s="16" t="str">
        <f t="shared" si="10"/>
        <v/>
      </c>
      <c r="B1879" s="48"/>
      <c r="C1879" s="14"/>
      <c r="D1879" s="56"/>
      <c r="E1879" s="16"/>
      <c r="F1879" s="14"/>
      <c r="G1879" s="14"/>
      <c r="H1879" s="14"/>
      <c r="I1879" s="17"/>
      <c r="J1879" s="16"/>
      <c r="K1879" s="17"/>
      <c r="L1879" s="16"/>
      <c r="N1879" s="28"/>
    </row>
    <row r="1880">
      <c r="A1880" s="16" t="str">
        <f t="shared" si="10"/>
        <v/>
      </c>
      <c r="B1880" s="48"/>
      <c r="C1880" s="14"/>
      <c r="D1880" s="56"/>
      <c r="E1880" s="16"/>
      <c r="F1880" s="14"/>
      <c r="G1880" s="14"/>
      <c r="H1880" s="14"/>
      <c r="I1880" s="17"/>
      <c r="J1880" s="16"/>
      <c r="K1880" s="17"/>
      <c r="L1880" s="16"/>
      <c r="N1880" s="28"/>
    </row>
    <row r="1881">
      <c r="A1881" s="16" t="str">
        <f t="shared" si="10"/>
        <v/>
      </c>
      <c r="B1881" s="48"/>
      <c r="C1881" s="14"/>
      <c r="D1881" s="56"/>
      <c r="E1881" s="16"/>
      <c r="F1881" s="14"/>
      <c r="G1881" s="14"/>
      <c r="H1881" s="14"/>
      <c r="I1881" s="17"/>
      <c r="J1881" s="16"/>
      <c r="K1881" s="17"/>
      <c r="L1881" s="16"/>
      <c r="N1881" s="28"/>
    </row>
    <row r="1882">
      <c r="A1882" s="16" t="str">
        <f t="shared" si="10"/>
        <v/>
      </c>
      <c r="B1882" s="48"/>
      <c r="C1882" s="14"/>
      <c r="D1882" s="56"/>
      <c r="E1882" s="16"/>
      <c r="F1882" s="14"/>
      <c r="G1882" s="14"/>
      <c r="H1882" s="14"/>
      <c r="I1882" s="17"/>
      <c r="J1882" s="16"/>
      <c r="K1882" s="17"/>
      <c r="L1882" s="16"/>
      <c r="N1882" s="28"/>
    </row>
    <row r="1883">
      <c r="A1883" s="16" t="str">
        <f t="shared" si="10"/>
        <v/>
      </c>
      <c r="B1883" s="48"/>
      <c r="C1883" s="14"/>
      <c r="D1883" s="56"/>
      <c r="E1883" s="16"/>
      <c r="F1883" s="14"/>
      <c r="G1883" s="14"/>
      <c r="H1883" s="14"/>
      <c r="I1883" s="17"/>
      <c r="J1883" s="16"/>
      <c r="K1883" s="17"/>
      <c r="L1883" s="16"/>
      <c r="N1883" s="28"/>
    </row>
    <row r="1884">
      <c r="A1884" s="16" t="str">
        <f t="shared" si="10"/>
        <v/>
      </c>
      <c r="B1884" s="48"/>
      <c r="C1884" s="14"/>
      <c r="D1884" s="56"/>
      <c r="E1884" s="16"/>
      <c r="F1884" s="14"/>
      <c r="G1884" s="14"/>
      <c r="H1884" s="14"/>
      <c r="I1884" s="17"/>
      <c r="J1884" s="16"/>
      <c r="K1884" s="17"/>
      <c r="L1884" s="16"/>
      <c r="N1884" s="28"/>
    </row>
    <row r="1885">
      <c r="A1885" s="16" t="str">
        <f t="shared" si="10"/>
        <v/>
      </c>
      <c r="B1885" s="48"/>
      <c r="C1885" s="14"/>
      <c r="D1885" s="56"/>
      <c r="E1885" s="16"/>
      <c r="F1885" s="14"/>
      <c r="G1885" s="14"/>
      <c r="H1885" s="14"/>
      <c r="I1885" s="17"/>
      <c r="J1885" s="16"/>
      <c r="K1885" s="17"/>
      <c r="L1885" s="16"/>
      <c r="N1885" s="28"/>
    </row>
    <row r="1886">
      <c r="A1886" s="16" t="str">
        <f t="shared" si="10"/>
        <v/>
      </c>
      <c r="B1886" s="48"/>
      <c r="C1886" s="14"/>
      <c r="D1886" s="56"/>
      <c r="E1886" s="16"/>
      <c r="F1886" s="14"/>
      <c r="G1886" s="14"/>
      <c r="H1886" s="14"/>
      <c r="I1886" s="17"/>
      <c r="J1886" s="16"/>
      <c r="K1886" s="17"/>
      <c r="L1886" s="16"/>
      <c r="N1886" s="28"/>
    </row>
    <row r="1887">
      <c r="A1887" s="16" t="str">
        <f t="shared" si="10"/>
        <v/>
      </c>
      <c r="B1887" s="48"/>
      <c r="C1887" s="14"/>
      <c r="D1887" s="56"/>
      <c r="E1887" s="16"/>
      <c r="F1887" s="14"/>
      <c r="G1887" s="14"/>
      <c r="H1887" s="14"/>
      <c r="I1887" s="17"/>
      <c r="J1887" s="16"/>
      <c r="K1887" s="17"/>
      <c r="L1887" s="16"/>
      <c r="N1887" s="28"/>
    </row>
    <row r="1888">
      <c r="A1888" s="16" t="str">
        <f t="shared" si="10"/>
        <v/>
      </c>
      <c r="B1888" s="48"/>
      <c r="C1888" s="14"/>
      <c r="D1888" s="56"/>
      <c r="E1888" s="16"/>
      <c r="F1888" s="14"/>
      <c r="G1888" s="14"/>
      <c r="H1888" s="14"/>
      <c r="I1888" s="17"/>
      <c r="J1888" s="16"/>
      <c r="K1888" s="17"/>
      <c r="L1888" s="16"/>
      <c r="N1888" s="28"/>
    </row>
    <row r="1889">
      <c r="A1889" s="16" t="str">
        <f t="shared" si="10"/>
        <v/>
      </c>
      <c r="B1889" s="48"/>
      <c r="C1889" s="14"/>
      <c r="D1889" s="56"/>
      <c r="E1889" s="16"/>
      <c r="F1889" s="14"/>
      <c r="G1889" s="14"/>
      <c r="H1889" s="14"/>
      <c r="I1889" s="17"/>
      <c r="J1889" s="16"/>
      <c r="K1889" s="17"/>
      <c r="L1889" s="16"/>
      <c r="N1889" s="28"/>
    </row>
    <row r="1890">
      <c r="A1890" s="16" t="str">
        <f t="shared" si="10"/>
        <v/>
      </c>
      <c r="B1890" s="48"/>
      <c r="C1890" s="14"/>
      <c r="D1890" s="56"/>
      <c r="E1890" s="16"/>
      <c r="F1890" s="14"/>
      <c r="G1890" s="14"/>
      <c r="H1890" s="14"/>
      <c r="I1890" s="17"/>
      <c r="J1890" s="16"/>
      <c r="K1890" s="17"/>
      <c r="L1890" s="16"/>
      <c r="N1890" s="28"/>
    </row>
    <row r="1891">
      <c r="A1891" s="16" t="str">
        <f t="shared" si="10"/>
        <v/>
      </c>
      <c r="B1891" s="48"/>
      <c r="C1891" s="14"/>
      <c r="D1891" s="56"/>
      <c r="E1891" s="16"/>
      <c r="F1891" s="14"/>
      <c r="G1891" s="14"/>
      <c r="H1891" s="14"/>
      <c r="I1891" s="17"/>
      <c r="J1891" s="16"/>
      <c r="K1891" s="17"/>
      <c r="L1891" s="16"/>
      <c r="N1891" s="28"/>
    </row>
    <row r="1892">
      <c r="A1892" s="16" t="str">
        <f t="shared" si="10"/>
        <v/>
      </c>
      <c r="B1892" s="48"/>
      <c r="C1892" s="14"/>
      <c r="D1892" s="56"/>
      <c r="E1892" s="16"/>
      <c r="F1892" s="14"/>
      <c r="G1892" s="14"/>
      <c r="H1892" s="14"/>
      <c r="I1892" s="17"/>
      <c r="J1892" s="16"/>
      <c r="K1892" s="17"/>
      <c r="L1892" s="16"/>
      <c r="N1892" s="28"/>
    </row>
    <row r="1893">
      <c r="A1893" s="16" t="str">
        <f t="shared" si="10"/>
        <v/>
      </c>
      <c r="B1893" s="48"/>
      <c r="C1893" s="14"/>
      <c r="D1893" s="56"/>
      <c r="E1893" s="16"/>
      <c r="F1893" s="14"/>
      <c r="G1893" s="14"/>
      <c r="H1893" s="14"/>
      <c r="I1893" s="17"/>
      <c r="J1893" s="16"/>
      <c r="K1893" s="17"/>
      <c r="L1893" s="16"/>
      <c r="N1893" s="28"/>
    </row>
    <row r="1894">
      <c r="A1894" s="16" t="str">
        <f t="shared" si="10"/>
        <v/>
      </c>
      <c r="B1894" s="48"/>
      <c r="C1894" s="14"/>
      <c r="D1894" s="56"/>
      <c r="E1894" s="16"/>
      <c r="F1894" s="14"/>
      <c r="G1894" s="14"/>
      <c r="H1894" s="14"/>
      <c r="I1894" s="17"/>
      <c r="J1894" s="16"/>
      <c r="K1894" s="17"/>
      <c r="L1894" s="16"/>
      <c r="N1894" s="28"/>
    </row>
    <row r="1895">
      <c r="A1895" s="16" t="str">
        <f t="shared" si="10"/>
        <v/>
      </c>
      <c r="B1895" s="48"/>
      <c r="C1895" s="14"/>
      <c r="D1895" s="56"/>
      <c r="E1895" s="16"/>
      <c r="F1895" s="14"/>
      <c r="G1895" s="14"/>
      <c r="H1895" s="14"/>
      <c r="I1895" s="17"/>
      <c r="J1895" s="16"/>
      <c r="K1895" s="17"/>
      <c r="L1895" s="16"/>
      <c r="N1895" s="28"/>
    </row>
    <row r="1896">
      <c r="A1896" s="16" t="str">
        <f t="shared" si="10"/>
        <v/>
      </c>
      <c r="B1896" s="48"/>
      <c r="C1896" s="14"/>
      <c r="D1896" s="56"/>
      <c r="E1896" s="16"/>
      <c r="F1896" s="14"/>
      <c r="G1896" s="14"/>
      <c r="H1896" s="14"/>
      <c r="I1896" s="17"/>
      <c r="J1896" s="16"/>
      <c r="K1896" s="17"/>
      <c r="L1896" s="16"/>
      <c r="N1896" s="28"/>
    </row>
    <row r="1897">
      <c r="A1897" s="16" t="str">
        <f t="shared" si="10"/>
        <v/>
      </c>
      <c r="B1897" s="48"/>
      <c r="C1897" s="14"/>
      <c r="D1897" s="56"/>
      <c r="E1897" s="16"/>
      <c r="F1897" s="14"/>
      <c r="G1897" s="14"/>
      <c r="H1897" s="14"/>
      <c r="I1897" s="17"/>
      <c r="J1897" s="16"/>
      <c r="K1897" s="17"/>
      <c r="L1897" s="16"/>
      <c r="N1897" s="28"/>
    </row>
    <row r="1898">
      <c r="A1898" s="16" t="str">
        <f t="shared" si="10"/>
        <v/>
      </c>
      <c r="B1898" s="48"/>
      <c r="C1898" s="14"/>
      <c r="D1898" s="56"/>
      <c r="E1898" s="16"/>
      <c r="F1898" s="14"/>
      <c r="G1898" s="14"/>
      <c r="H1898" s="14"/>
      <c r="I1898" s="17"/>
      <c r="J1898" s="16"/>
      <c r="K1898" s="17"/>
      <c r="L1898" s="16"/>
      <c r="N1898" s="28"/>
    </row>
    <row r="1899">
      <c r="A1899" s="16" t="str">
        <f t="shared" si="10"/>
        <v/>
      </c>
      <c r="B1899" s="48"/>
      <c r="C1899" s="14"/>
      <c r="D1899" s="56"/>
      <c r="E1899" s="16"/>
      <c r="F1899" s="14"/>
      <c r="G1899" s="14"/>
      <c r="H1899" s="14"/>
      <c r="I1899" s="17"/>
      <c r="J1899" s="16"/>
      <c r="K1899" s="17"/>
      <c r="L1899" s="16"/>
      <c r="N1899" s="28"/>
    </row>
    <row r="1900">
      <c r="A1900" s="16" t="str">
        <f t="shared" si="10"/>
        <v/>
      </c>
      <c r="B1900" s="48"/>
      <c r="C1900" s="14"/>
      <c r="D1900" s="56"/>
      <c r="E1900" s="16"/>
      <c r="F1900" s="14"/>
      <c r="G1900" s="14"/>
      <c r="H1900" s="14"/>
      <c r="I1900" s="17"/>
      <c r="J1900" s="16"/>
      <c r="K1900" s="17"/>
      <c r="L1900" s="16"/>
      <c r="N1900" s="28"/>
    </row>
    <row r="1901">
      <c r="A1901" s="16" t="str">
        <f t="shared" si="10"/>
        <v/>
      </c>
      <c r="B1901" s="48"/>
      <c r="C1901" s="14"/>
      <c r="D1901" s="56"/>
      <c r="E1901" s="16"/>
      <c r="F1901" s="14"/>
      <c r="G1901" s="14"/>
      <c r="H1901" s="14"/>
      <c r="I1901" s="17"/>
      <c r="J1901" s="16"/>
      <c r="K1901" s="17"/>
      <c r="L1901" s="16"/>
      <c r="N1901" s="28"/>
    </row>
    <row r="1902">
      <c r="A1902" s="16" t="str">
        <f t="shared" si="10"/>
        <v/>
      </c>
      <c r="B1902" s="48"/>
      <c r="C1902" s="14"/>
      <c r="D1902" s="56"/>
      <c r="E1902" s="16"/>
      <c r="F1902" s="14"/>
      <c r="G1902" s="14"/>
      <c r="H1902" s="14"/>
      <c r="I1902" s="17"/>
      <c r="J1902" s="16"/>
      <c r="K1902" s="17"/>
      <c r="L1902" s="16"/>
      <c r="N1902" s="28"/>
    </row>
    <row r="1903">
      <c r="A1903" s="16" t="str">
        <f t="shared" si="10"/>
        <v/>
      </c>
      <c r="B1903" s="48"/>
      <c r="C1903" s="14"/>
      <c r="D1903" s="56"/>
      <c r="E1903" s="16"/>
      <c r="F1903" s="14"/>
      <c r="G1903" s="14"/>
      <c r="H1903" s="14"/>
      <c r="I1903" s="17"/>
      <c r="J1903" s="16"/>
      <c r="K1903" s="17"/>
      <c r="L1903" s="16"/>
      <c r="N1903" s="28"/>
    </row>
    <row r="1904">
      <c r="A1904" s="16" t="str">
        <f t="shared" si="10"/>
        <v/>
      </c>
      <c r="B1904" s="48"/>
      <c r="C1904" s="14"/>
      <c r="D1904" s="56"/>
      <c r="E1904" s="16"/>
      <c r="F1904" s="14"/>
      <c r="G1904" s="14"/>
      <c r="H1904" s="14"/>
      <c r="I1904" s="17"/>
      <c r="J1904" s="16"/>
      <c r="K1904" s="17"/>
      <c r="L1904" s="16"/>
      <c r="N1904" s="28"/>
    </row>
    <row r="1905">
      <c r="A1905" s="16" t="str">
        <f t="shared" si="10"/>
        <v/>
      </c>
      <c r="B1905" s="48"/>
      <c r="C1905" s="14"/>
      <c r="D1905" s="56"/>
      <c r="E1905" s="16"/>
      <c r="F1905" s="14"/>
      <c r="G1905" s="14"/>
      <c r="H1905" s="14"/>
      <c r="I1905" s="17"/>
      <c r="J1905" s="16"/>
      <c r="K1905" s="17"/>
      <c r="L1905" s="16"/>
      <c r="N1905" s="28"/>
    </row>
    <row r="1906">
      <c r="A1906" s="16" t="str">
        <f t="shared" si="10"/>
        <v/>
      </c>
      <c r="B1906" s="48"/>
      <c r="C1906" s="14"/>
      <c r="D1906" s="56"/>
      <c r="E1906" s="16"/>
      <c r="F1906" s="14"/>
      <c r="G1906" s="14"/>
      <c r="H1906" s="14"/>
      <c r="I1906" s="17"/>
      <c r="J1906" s="16"/>
      <c r="K1906" s="17"/>
      <c r="L1906" s="16"/>
      <c r="N1906" s="28"/>
    </row>
    <row r="1907">
      <c r="A1907" s="16" t="str">
        <f t="shared" si="10"/>
        <v/>
      </c>
      <c r="B1907" s="48"/>
      <c r="C1907" s="14"/>
      <c r="D1907" s="56"/>
      <c r="E1907" s="16"/>
      <c r="F1907" s="14"/>
      <c r="G1907" s="14"/>
      <c r="H1907" s="14"/>
      <c r="I1907" s="17"/>
      <c r="J1907" s="16"/>
      <c r="K1907" s="17"/>
      <c r="L1907" s="16"/>
      <c r="N1907" s="28"/>
    </row>
    <row r="1908">
      <c r="A1908" s="16" t="str">
        <f t="shared" si="10"/>
        <v/>
      </c>
      <c r="B1908" s="48"/>
      <c r="C1908" s="14"/>
      <c r="D1908" s="56"/>
      <c r="E1908" s="16"/>
      <c r="F1908" s="14"/>
      <c r="G1908" s="14"/>
      <c r="H1908" s="14"/>
      <c r="I1908" s="17"/>
      <c r="J1908" s="16"/>
      <c r="K1908" s="17"/>
      <c r="L1908" s="16"/>
      <c r="N1908" s="28"/>
    </row>
    <row r="1909">
      <c r="A1909" s="16" t="str">
        <f t="shared" si="10"/>
        <v/>
      </c>
      <c r="B1909" s="48"/>
      <c r="C1909" s="14"/>
      <c r="D1909" s="56"/>
      <c r="E1909" s="16"/>
      <c r="F1909" s="14"/>
      <c r="G1909" s="14"/>
      <c r="H1909" s="14"/>
      <c r="I1909" s="17"/>
      <c r="J1909" s="16"/>
      <c r="K1909" s="17"/>
      <c r="L1909" s="16"/>
      <c r="N1909" s="28"/>
    </row>
    <row r="1910">
      <c r="A1910" s="16" t="str">
        <f t="shared" si="10"/>
        <v/>
      </c>
      <c r="B1910" s="48"/>
      <c r="C1910" s="14"/>
      <c r="D1910" s="56"/>
      <c r="E1910" s="16"/>
      <c r="F1910" s="14"/>
      <c r="G1910" s="14"/>
      <c r="H1910" s="14"/>
      <c r="I1910" s="17"/>
      <c r="J1910" s="16"/>
      <c r="K1910" s="17"/>
      <c r="L1910" s="16"/>
      <c r="N1910" s="28"/>
    </row>
    <row r="1911">
      <c r="A1911" s="16" t="str">
        <f t="shared" si="10"/>
        <v/>
      </c>
      <c r="B1911" s="48"/>
      <c r="C1911" s="14"/>
      <c r="D1911" s="56"/>
      <c r="E1911" s="16"/>
      <c r="F1911" s="14"/>
      <c r="G1911" s="14"/>
      <c r="H1911" s="14"/>
      <c r="I1911" s="17"/>
      <c r="J1911" s="16"/>
      <c r="K1911" s="17"/>
      <c r="L1911" s="16"/>
      <c r="N1911" s="28"/>
    </row>
    <row r="1912">
      <c r="A1912" s="16" t="str">
        <f t="shared" si="10"/>
        <v/>
      </c>
      <c r="B1912" s="48"/>
      <c r="C1912" s="14"/>
      <c r="D1912" s="56"/>
      <c r="E1912" s="16"/>
      <c r="F1912" s="14"/>
      <c r="G1912" s="14"/>
      <c r="H1912" s="14"/>
      <c r="I1912" s="17"/>
      <c r="J1912" s="16"/>
      <c r="K1912" s="17"/>
      <c r="L1912" s="16"/>
      <c r="N1912" s="28"/>
    </row>
    <row r="1913">
      <c r="A1913" s="16" t="str">
        <f t="shared" si="10"/>
        <v/>
      </c>
      <c r="B1913" s="48"/>
      <c r="C1913" s="14"/>
      <c r="D1913" s="56"/>
      <c r="E1913" s="16"/>
      <c r="F1913" s="14"/>
      <c r="G1913" s="14"/>
      <c r="H1913" s="14"/>
      <c r="I1913" s="17"/>
      <c r="J1913" s="16"/>
      <c r="K1913" s="17"/>
      <c r="L1913" s="16"/>
      <c r="N1913" s="28"/>
    </row>
    <row r="1914">
      <c r="A1914" s="16" t="str">
        <f t="shared" si="10"/>
        <v/>
      </c>
      <c r="B1914" s="48"/>
      <c r="C1914" s="14"/>
      <c r="D1914" s="56"/>
      <c r="E1914" s="16"/>
      <c r="F1914" s="14"/>
      <c r="G1914" s="14"/>
      <c r="H1914" s="14"/>
      <c r="I1914" s="17"/>
      <c r="J1914" s="16"/>
      <c r="K1914" s="17"/>
      <c r="L1914" s="16"/>
      <c r="N1914" s="28"/>
    </row>
    <row r="1915">
      <c r="A1915" s="16" t="str">
        <f t="shared" si="10"/>
        <v/>
      </c>
      <c r="B1915" s="48"/>
      <c r="C1915" s="14"/>
      <c r="D1915" s="56"/>
      <c r="E1915" s="16"/>
      <c r="F1915" s="14"/>
      <c r="G1915" s="14"/>
      <c r="H1915" s="14"/>
      <c r="I1915" s="17"/>
      <c r="J1915" s="16"/>
      <c r="K1915" s="17"/>
      <c r="L1915" s="16"/>
      <c r="N1915" s="28"/>
    </row>
    <row r="1916">
      <c r="A1916" s="16" t="str">
        <f t="shared" si="10"/>
        <v/>
      </c>
      <c r="B1916" s="48"/>
      <c r="C1916" s="14"/>
      <c r="D1916" s="56"/>
      <c r="E1916" s="16"/>
      <c r="F1916" s="14"/>
      <c r="G1916" s="14"/>
      <c r="H1916" s="14"/>
      <c r="I1916" s="17"/>
      <c r="J1916" s="16"/>
      <c r="K1916" s="17"/>
      <c r="L1916" s="16"/>
      <c r="N1916" s="28"/>
    </row>
    <row r="1917">
      <c r="A1917" s="16" t="str">
        <f t="shared" si="10"/>
        <v/>
      </c>
      <c r="B1917" s="48"/>
      <c r="C1917" s="14"/>
      <c r="D1917" s="56"/>
      <c r="E1917" s="16"/>
      <c r="F1917" s="14"/>
      <c r="G1917" s="14"/>
      <c r="H1917" s="14"/>
      <c r="I1917" s="17"/>
      <c r="J1917" s="16"/>
      <c r="K1917" s="17"/>
      <c r="L1917" s="16"/>
      <c r="N1917" s="28"/>
    </row>
    <row r="1918">
      <c r="A1918" s="16" t="str">
        <f t="shared" si="10"/>
        <v/>
      </c>
      <c r="B1918" s="48"/>
      <c r="C1918" s="14"/>
      <c r="D1918" s="56"/>
      <c r="E1918" s="16"/>
      <c r="F1918" s="14"/>
      <c r="G1918" s="14"/>
      <c r="H1918" s="14"/>
      <c r="I1918" s="17"/>
      <c r="J1918" s="16"/>
      <c r="K1918" s="17"/>
      <c r="L1918" s="16"/>
      <c r="N1918" s="28"/>
    </row>
    <row r="1919">
      <c r="A1919" s="16" t="str">
        <f t="shared" si="10"/>
        <v/>
      </c>
      <c r="B1919" s="48"/>
      <c r="C1919" s="14"/>
      <c r="D1919" s="56"/>
      <c r="E1919" s="16"/>
      <c r="F1919" s="14"/>
      <c r="G1919" s="14"/>
      <c r="H1919" s="14"/>
      <c r="I1919" s="17"/>
      <c r="J1919" s="16"/>
      <c r="K1919" s="17"/>
      <c r="L1919" s="16"/>
      <c r="N1919" s="28"/>
    </row>
    <row r="1920">
      <c r="A1920" s="16" t="str">
        <f t="shared" si="10"/>
        <v/>
      </c>
      <c r="B1920" s="48"/>
      <c r="C1920" s="14"/>
      <c r="D1920" s="56"/>
      <c r="E1920" s="16"/>
      <c r="F1920" s="14"/>
      <c r="G1920" s="14"/>
      <c r="H1920" s="14"/>
      <c r="I1920" s="17"/>
      <c r="J1920" s="16"/>
      <c r="K1920" s="17"/>
      <c r="L1920" s="16"/>
      <c r="N1920" s="28"/>
    </row>
    <row r="1921">
      <c r="A1921" s="16" t="str">
        <f t="shared" si="10"/>
        <v/>
      </c>
      <c r="B1921" s="48"/>
      <c r="C1921" s="14"/>
      <c r="D1921" s="56"/>
      <c r="E1921" s="16"/>
      <c r="F1921" s="14"/>
      <c r="G1921" s="14"/>
      <c r="H1921" s="14"/>
      <c r="I1921" s="17"/>
      <c r="J1921" s="16"/>
      <c r="K1921" s="17"/>
      <c r="L1921" s="16"/>
      <c r="N1921" s="28"/>
    </row>
    <row r="1922">
      <c r="A1922" s="16" t="str">
        <f t="shared" si="10"/>
        <v/>
      </c>
      <c r="B1922" s="48"/>
      <c r="C1922" s="14"/>
      <c r="D1922" s="56"/>
      <c r="E1922" s="16"/>
      <c r="F1922" s="14"/>
      <c r="G1922" s="14"/>
      <c r="H1922" s="14"/>
      <c r="I1922" s="17"/>
      <c r="J1922" s="16"/>
      <c r="K1922" s="17"/>
      <c r="L1922" s="16"/>
      <c r="N1922" s="28"/>
    </row>
    <row r="1923">
      <c r="A1923" s="16" t="str">
        <f t="shared" si="10"/>
        <v/>
      </c>
      <c r="B1923" s="48"/>
      <c r="C1923" s="14"/>
      <c r="D1923" s="56"/>
      <c r="E1923" s="16"/>
      <c r="F1923" s="14"/>
      <c r="G1923" s="14"/>
      <c r="H1923" s="14"/>
      <c r="I1923" s="17"/>
      <c r="J1923" s="16"/>
      <c r="K1923" s="17"/>
      <c r="L1923" s="16"/>
      <c r="N1923" s="28"/>
    </row>
    <row r="1924">
      <c r="A1924" s="16" t="str">
        <f t="shared" si="10"/>
        <v/>
      </c>
      <c r="B1924" s="48"/>
      <c r="C1924" s="14"/>
      <c r="D1924" s="56"/>
      <c r="E1924" s="16"/>
      <c r="F1924" s="14"/>
      <c r="G1924" s="14"/>
      <c r="H1924" s="14"/>
      <c r="I1924" s="17"/>
      <c r="J1924" s="16"/>
      <c r="K1924" s="17"/>
      <c r="L1924" s="16"/>
      <c r="N1924" s="28"/>
    </row>
    <row r="1925">
      <c r="A1925" s="16" t="str">
        <f t="shared" si="10"/>
        <v/>
      </c>
      <c r="B1925" s="48"/>
      <c r="C1925" s="14"/>
      <c r="D1925" s="56"/>
      <c r="E1925" s="16"/>
      <c r="F1925" s="14"/>
      <c r="G1925" s="14"/>
      <c r="H1925" s="14"/>
      <c r="I1925" s="17"/>
      <c r="J1925" s="16"/>
      <c r="K1925" s="17"/>
      <c r="L1925" s="16"/>
      <c r="N1925" s="28"/>
    </row>
    <row r="1926">
      <c r="A1926" s="16" t="str">
        <f t="shared" si="10"/>
        <v/>
      </c>
      <c r="B1926" s="48"/>
      <c r="C1926" s="14"/>
      <c r="D1926" s="56"/>
      <c r="E1926" s="16"/>
      <c r="F1926" s="14"/>
      <c r="G1926" s="14"/>
      <c r="H1926" s="14"/>
      <c r="I1926" s="17"/>
      <c r="J1926" s="16"/>
      <c r="K1926" s="17"/>
      <c r="L1926" s="16"/>
      <c r="N1926" s="28"/>
    </row>
    <row r="1927">
      <c r="A1927" s="16" t="str">
        <f t="shared" si="10"/>
        <v/>
      </c>
      <c r="B1927" s="48"/>
      <c r="C1927" s="14"/>
      <c r="D1927" s="56"/>
      <c r="E1927" s="16"/>
      <c r="F1927" s="14"/>
      <c r="G1927" s="14"/>
      <c r="H1927" s="14"/>
      <c r="I1927" s="17"/>
      <c r="J1927" s="16"/>
      <c r="K1927" s="17"/>
      <c r="L1927" s="16"/>
      <c r="N1927" s="28"/>
    </row>
    <row r="1928">
      <c r="A1928" s="16" t="str">
        <f t="shared" si="10"/>
        <v/>
      </c>
      <c r="B1928" s="48"/>
      <c r="C1928" s="14"/>
      <c r="D1928" s="56"/>
      <c r="E1928" s="16"/>
      <c r="F1928" s="14"/>
      <c r="G1928" s="14"/>
      <c r="H1928" s="14"/>
      <c r="I1928" s="17"/>
      <c r="J1928" s="16"/>
      <c r="K1928" s="17"/>
      <c r="L1928" s="16"/>
      <c r="N1928" s="28"/>
    </row>
    <row r="1929">
      <c r="A1929" s="16" t="str">
        <f t="shared" si="10"/>
        <v/>
      </c>
      <c r="B1929" s="48"/>
      <c r="C1929" s="14"/>
      <c r="D1929" s="56"/>
      <c r="E1929" s="16"/>
      <c r="F1929" s="14"/>
      <c r="G1929" s="14"/>
      <c r="H1929" s="14"/>
      <c r="I1929" s="17"/>
      <c r="J1929" s="16"/>
      <c r="K1929" s="17"/>
      <c r="L1929" s="16"/>
      <c r="N1929" s="28"/>
    </row>
    <row r="1930">
      <c r="A1930" s="16" t="str">
        <f t="shared" si="10"/>
        <v/>
      </c>
      <c r="B1930" s="48"/>
      <c r="C1930" s="14"/>
      <c r="D1930" s="56"/>
      <c r="E1930" s="16"/>
      <c r="F1930" s="14"/>
      <c r="G1930" s="14"/>
      <c r="H1930" s="14"/>
      <c r="I1930" s="17"/>
      <c r="J1930" s="16"/>
      <c r="K1930" s="17"/>
      <c r="L1930" s="16"/>
      <c r="N1930" s="28"/>
    </row>
    <row r="1931">
      <c r="A1931" s="16" t="str">
        <f t="shared" si="10"/>
        <v/>
      </c>
      <c r="B1931" s="48"/>
      <c r="C1931" s="14"/>
      <c r="D1931" s="56"/>
      <c r="E1931" s="16"/>
      <c r="F1931" s="14"/>
      <c r="G1931" s="14"/>
      <c r="H1931" s="14"/>
      <c r="I1931" s="17"/>
      <c r="J1931" s="16"/>
      <c r="K1931" s="17"/>
      <c r="L1931" s="16"/>
      <c r="N1931" s="28"/>
    </row>
    <row r="1932">
      <c r="A1932" s="16" t="str">
        <f t="shared" si="10"/>
        <v/>
      </c>
      <c r="B1932" s="48"/>
      <c r="C1932" s="14"/>
      <c r="D1932" s="56"/>
      <c r="E1932" s="16"/>
      <c r="F1932" s="14"/>
      <c r="G1932" s="14"/>
      <c r="H1932" s="14"/>
      <c r="I1932" s="17"/>
      <c r="J1932" s="16"/>
      <c r="K1932" s="17"/>
      <c r="L1932" s="16"/>
      <c r="N1932" s="28"/>
    </row>
    <row r="1933">
      <c r="A1933" s="16" t="str">
        <f t="shared" si="10"/>
        <v/>
      </c>
      <c r="B1933" s="48"/>
      <c r="C1933" s="14"/>
      <c r="D1933" s="56"/>
      <c r="E1933" s="16"/>
      <c r="F1933" s="14"/>
      <c r="G1933" s="14"/>
      <c r="H1933" s="14"/>
      <c r="I1933" s="17"/>
      <c r="J1933" s="16"/>
      <c r="K1933" s="17"/>
      <c r="L1933" s="16"/>
      <c r="N1933" s="28"/>
    </row>
    <row r="1934">
      <c r="A1934" s="16" t="str">
        <f t="shared" si="10"/>
        <v/>
      </c>
      <c r="B1934" s="48"/>
      <c r="C1934" s="14"/>
      <c r="D1934" s="56"/>
      <c r="E1934" s="16"/>
      <c r="F1934" s="14"/>
      <c r="G1934" s="14"/>
      <c r="H1934" s="14"/>
      <c r="I1934" s="17"/>
      <c r="J1934" s="16"/>
      <c r="K1934" s="17"/>
      <c r="L1934" s="16"/>
      <c r="N1934" s="28"/>
    </row>
    <row r="1935">
      <c r="A1935" s="16" t="str">
        <f t="shared" si="10"/>
        <v/>
      </c>
      <c r="B1935" s="48"/>
      <c r="C1935" s="14"/>
      <c r="D1935" s="56"/>
      <c r="E1935" s="16"/>
      <c r="F1935" s="14"/>
      <c r="G1935" s="14"/>
      <c r="H1935" s="14"/>
      <c r="I1935" s="17"/>
      <c r="J1935" s="16"/>
      <c r="K1935" s="17"/>
      <c r="L1935" s="16"/>
      <c r="N1935" s="28"/>
    </row>
    <row r="1936">
      <c r="A1936" s="16" t="str">
        <f t="shared" si="10"/>
        <v/>
      </c>
      <c r="B1936" s="48"/>
      <c r="C1936" s="14"/>
      <c r="D1936" s="56"/>
      <c r="E1936" s="16"/>
      <c r="F1936" s="14"/>
      <c r="G1936" s="14"/>
      <c r="H1936" s="14"/>
      <c r="I1936" s="17"/>
      <c r="J1936" s="16"/>
      <c r="K1936" s="17"/>
      <c r="L1936" s="16"/>
      <c r="N1936" s="28"/>
    </row>
    <row r="1937">
      <c r="A1937" s="16" t="str">
        <f t="shared" si="10"/>
        <v/>
      </c>
      <c r="B1937" s="48"/>
      <c r="C1937" s="14"/>
      <c r="D1937" s="56"/>
      <c r="E1937" s="16"/>
      <c r="F1937" s="14"/>
      <c r="G1937" s="14"/>
      <c r="H1937" s="14"/>
      <c r="I1937" s="17"/>
      <c r="J1937" s="16"/>
      <c r="K1937" s="17"/>
      <c r="L1937" s="16"/>
      <c r="N1937" s="28"/>
    </row>
    <row r="1938">
      <c r="A1938" s="16" t="str">
        <f t="shared" si="10"/>
        <v/>
      </c>
      <c r="B1938" s="48"/>
      <c r="C1938" s="14"/>
      <c r="D1938" s="56"/>
      <c r="E1938" s="16"/>
      <c r="F1938" s="14"/>
      <c r="G1938" s="14"/>
      <c r="H1938" s="14"/>
      <c r="I1938" s="17"/>
      <c r="J1938" s="16"/>
      <c r="K1938" s="17"/>
      <c r="L1938" s="16"/>
      <c r="N1938" s="28"/>
    </row>
    <row r="1939">
      <c r="A1939" s="16" t="str">
        <f t="shared" si="10"/>
        <v/>
      </c>
      <c r="B1939" s="48"/>
      <c r="C1939" s="14"/>
      <c r="D1939" s="56"/>
      <c r="E1939" s="16"/>
      <c r="F1939" s="14"/>
      <c r="G1939" s="14"/>
      <c r="H1939" s="14"/>
      <c r="I1939" s="17"/>
      <c r="J1939" s="16"/>
      <c r="K1939" s="17"/>
      <c r="L1939" s="16"/>
      <c r="N1939" s="28"/>
    </row>
    <row r="1940">
      <c r="A1940" s="16" t="str">
        <f t="shared" si="10"/>
        <v/>
      </c>
      <c r="B1940" s="48"/>
      <c r="C1940" s="14"/>
      <c r="D1940" s="56"/>
      <c r="E1940" s="16"/>
      <c r="F1940" s="14"/>
      <c r="G1940" s="14"/>
      <c r="H1940" s="14"/>
      <c r="I1940" s="17"/>
      <c r="J1940" s="16"/>
      <c r="K1940" s="17"/>
      <c r="L1940" s="16"/>
      <c r="N1940" s="28"/>
    </row>
    <row r="1941">
      <c r="A1941" s="16" t="str">
        <f t="shared" si="10"/>
        <v/>
      </c>
      <c r="B1941" s="48"/>
      <c r="C1941" s="14"/>
      <c r="D1941" s="56"/>
      <c r="E1941" s="16"/>
      <c r="F1941" s="14"/>
      <c r="G1941" s="14"/>
      <c r="H1941" s="14"/>
      <c r="I1941" s="17"/>
      <c r="J1941" s="16"/>
      <c r="K1941" s="17"/>
      <c r="L1941" s="16"/>
      <c r="N1941" s="28"/>
    </row>
    <row r="1942">
      <c r="A1942" s="16" t="str">
        <f t="shared" si="10"/>
        <v/>
      </c>
      <c r="B1942" s="48"/>
      <c r="C1942" s="14"/>
      <c r="D1942" s="56"/>
      <c r="E1942" s="16"/>
      <c r="F1942" s="14"/>
      <c r="G1942" s="14"/>
      <c r="H1942" s="14"/>
      <c r="I1942" s="17"/>
      <c r="J1942" s="16"/>
      <c r="K1942" s="17"/>
      <c r="L1942" s="16"/>
      <c r="N1942" s="28"/>
    </row>
    <row r="1943">
      <c r="A1943" s="16" t="str">
        <f t="shared" si="10"/>
        <v/>
      </c>
      <c r="B1943" s="48"/>
      <c r="C1943" s="14"/>
      <c r="D1943" s="56"/>
      <c r="E1943" s="16"/>
      <c r="F1943" s="14"/>
      <c r="G1943" s="14"/>
      <c r="H1943" s="14"/>
      <c r="I1943" s="17"/>
      <c r="J1943" s="16"/>
      <c r="K1943" s="17"/>
      <c r="L1943" s="16"/>
      <c r="N1943" s="28"/>
    </row>
    <row r="1944">
      <c r="A1944" s="16" t="str">
        <f t="shared" si="10"/>
        <v/>
      </c>
      <c r="B1944" s="48"/>
      <c r="C1944" s="14"/>
      <c r="D1944" s="56"/>
      <c r="E1944" s="16"/>
      <c r="F1944" s="14"/>
      <c r="G1944" s="14"/>
      <c r="H1944" s="14"/>
      <c r="I1944" s="17"/>
      <c r="J1944" s="16"/>
      <c r="K1944" s="17"/>
      <c r="L1944" s="16"/>
      <c r="N1944" s="28"/>
    </row>
    <row r="1945">
      <c r="A1945" s="16" t="str">
        <f t="shared" si="10"/>
        <v/>
      </c>
      <c r="B1945" s="48"/>
      <c r="C1945" s="14"/>
      <c r="D1945" s="56"/>
      <c r="E1945" s="16"/>
      <c r="F1945" s="14"/>
      <c r="G1945" s="14"/>
      <c r="H1945" s="14"/>
      <c r="I1945" s="17"/>
      <c r="J1945" s="16"/>
      <c r="K1945" s="17"/>
      <c r="L1945" s="16"/>
      <c r="N1945" s="28"/>
    </row>
    <row r="1946">
      <c r="A1946" s="16" t="str">
        <f t="shared" si="10"/>
        <v/>
      </c>
      <c r="B1946" s="48"/>
      <c r="C1946" s="14"/>
      <c r="D1946" s="56"/>
      <c r="E1946" s="16"/>
      <c r="F1946" s="14"/>
      <c r="G1946" s="14"/>
      <c r="H1946" s="14"/>
      <c r="I1946" s="17"/>
      <c r="J1946" s="16"/>
      <c r="K1946" s="17"/>
      <c r="L1946" s="16"/>
      <c r="N1946" s="28"/>
    </row>
    <row r="1947">
      <c r="A1947" s="16" t="str">
        <f t="shared" si="10"/>
        <v/>
      </c>
      <c r="B1947" s="48"/>
      <c r="C1947" s="14"/>
      <c r="D1947" s="56"/>
      <c r="E1947" s="16"/>
      <c r="F1947" s="14"/>
      <c r="G1947" s="14"/>
      <c r="H1947" s="14"/>
      <c r="I1947" s="17"/>
      <c r="J1947" s="16"/>
      <c r="K1947" s="17"/>
      <c r="L1947" s="16"/>
      <c r="N1947" s="28"/>
    </row>
    <row r="1948">
      <c r="A1948" s="16" t="str">
        <f t="shared" si="10"/>
        <v/>
      </c>
      <c r="B1948" s="48"/>
      <c r="C1948" s="14"/>
      <c r="D1948" s="56"/>
      <c r="E1948" s="16"/>
      <c r="F1948" s="14"/>
      <c r="G1948" s="14"/>
      <c r="H1948" s="14"/>
      <c r="I1948" s="17"/>
      <c r="J1948" s="16"/>
      <c r="K1948" s="17"/>
      <c r="L1948" s="16"/>
      <c r="N1948" s="28"/>
    </row>
    <row r="1949">
      <c r="A1949" s="16" t="str">
        <f t="shared" si="10"/>
        <v/>
      </c>
      <c r="B1949" s="48"/>
      <c r="C1949" s="14"/>
      <c r="D1949" s="56"/>
      <c r="E1949" s="16"/>
      <c r="F1949" s="14"/>
      <c r="G1949" s="14"/>
      <c r="H1949" s="14"/>
      <c r="I1949" s="17"/>
      <c r="J1949" s="16"/>
      <c r="K1949" s="17"/>
      <c r="L1949" s="16"/>
      <c r="N1949" s="28"/>
    </row>
    <row r="1950">
      <c r="A1950" s="16" t="str">
        <f t="shared" si="10"/>
        <v/>
      </c>
      <c r="B1950" s="48"/>
      <c r="C1950" s="14"/>
      <c r="D1950" s="56"/>
      <c r="E1950" s="16"/>
      <c r="F1950" s="14"/>
      <c r="G1950" s="14"/>
      <c r="H1950" s="14"/>
      <c r="I1950" s="17"/>
      <c r="J1950" s="16"/>
      <c r="K1950" s="17"/>
      <c r="L1950" s="16"/>
      <c r="N1950" s="28"/>
    </row>
    <row r="1951">
      <c r="A1951" s="16" t="str">
        <f t="shared" si="10"/>
        <v/>
      </c>
      <c r="B1951" s="48"/>
      <c r="C1951" s="14"/>
      <c r="D1951" s="56"/>
      <c r="E1951" s="16"/>
      <c r="F1951" s="14"/>
      <c r="G1951" s="14"/>
      <c r="H1951" s="14"/>
      <c r="I1951" s="17"/>
      <c r="J1951" s="16"/>
      <c r="K1951" s="17"/>
      <c r="L1951" s="16"/>
      <c r="N1951" s="28"/>
    </row>
    <row r="1952">
      <c r="A1952" s="16" t="str">
        <f t="shared" si="10"/>
        <v/>
      </c>
      <c r="B1952" s="48"/>
      <c r="C1952" s="14"/>
      <c r="D1952" s="56"/>
      <c r="E1952" s="16"/>
      <c r="F1952" s="14"/>
      <c r="G1952" s="14"/>
      <c r="H1952" s="14"/>
      <c r="I1952" s="17"/>
      <c r="J1952" s="16"/>
      <c r="K1952" s="17"/>
      <c r="L1952" s="16"/>
      <c r="N1952" s="28"/>
    </row>
    <row r="1953">
      <c r="A1953" s="16" t="str">
        <f t="shared" si="10"/>
        <v/>
      </c>
      <c r="B1953" s="48"/>
      <c r="C1953" s="14"/>
      <c r="D1953" s="56"/>
      <c r="E1953" s="16"/>
      <c r="F1953" s="14"/>
      <c r="G1953" s="14"/>
      <c r="H1953" s="14"/>
      <c r="I1953" s="17"/>
      <c r="J1953" s="16"/>
      <c r="K1953" s="17"/>
      <c r="L1953" s="16"/>
      <c r="N1953" s="28"/>
    </row>
    <row r="1954">
      <c r="A1954" s="16" t="str">
        <f t="shared" si="10"/>
        <v/>
      </c>
      <c r="B1954" s="48"/>
      <c r="C1954" s="14"/>
      <c r="D1954" s="56"/>
      <c r="E1954" s="16"/>
      <c r="F1954" s="14"/>
      <c r="G1954" s="14"/>
      <c r="H1954" s="14"/>
      <c r="I1954" s="17"/>
      <c r="J1954" s="16"/>
      <c r="K1954" s="17"/>
      <c r="L1954" s="16"/>
      <c r="N1954" s="28"/>
    </row>
    <row r="1955">
      <c r="A1955" s="16" t="str">
        <f t="shared" si="10"/>
        <v/>
      </c>
      <c r="B1955" s="48"/>
      <c r="C1955" s="14"/>
      <c r="D1955" s="56"/>
      <c r="E1955" s="16"/>
      <c r="F1955" s="14"/>
      <c r="G1955" s="14"/>
      <c r="H1955" s="14"/>
      <c r="I1955" s="17"/>
      <c r="J1955" s="16"/>
      <c r="K1955" s="17"/>
      <c r="L1955" s="16"/>
      <c r="N1955" s="28"/>
    </row>
    <row r="1956">
      <c r="A1956" s="16" t="str">
        <f t="shared" si="10"/>
        <v/>
      </c>
      <c r="B1956" s="48"/>
      <c r="C1956" s="14"/>
      <c r="D1956" s="56"/>
      <c r="E1956" s="16"/>
      <c r="F1956" s="14"/>
      <c r="G1956" s="14"/>
      <c r="H1956" s="14"/>
      <c r="I1956" s="17"/>
      <c r="J1956" s="16"/>
      <c r="K1956" s="17"/>
      <c r="L1956" s="16"/>
      <c r="N1956" s="28"/>
    </row>
    <row r="1957">
      <c r="A1957" s="16" t="str">
        <f t="shared" si="10"/>
        <v/>
      </c>
      <c r="B1957" s="48"/>
      <c r="C1957" s="14"/>
      <c r="D1957" s="56"/>
      <c r="E1957" s="16"/>
      <c r="F1957" s="14"/>
      <c r="G1957" s="14"/>
      <c r="H1957" s="14"/>
      <c r="I1957" s="17"/>
      <c r="J1957" s="16"/>
      <c r="K1957" s="17"/>
      <c r="L1957" s="16"/>
      <c r="N1957" s="28"/>
    </row>
    <row r="1958">
      <c r="A1958" s="16" t="str">
        <f t="shared" si="10"/>
        <v/>
      </c>
      <c r="B1958" s="48"/>
      <c r="C1958" s="14"/>
      <c r="D1958" s="56"/>
      <c r="E1958" s="16"/>
      <c r="F1958" s="14"/>
      <c r="G1958" s="14"/>
      <c r="H1958" s="14"/>
      <c r="I1958" s="17"/>
      <c r="J1958" s="16"/>
      <c r="K1958" s="17"/>
      <c r="L1958" s="16"/>
      <c r="N1958" s="28"/>
    </row>
    <row r="1959">
      <c r="A1959" s="16" t="str">
        <f t="shared" si="10"/>
        <v/>
      </c>
      <c r="B1959" s="48"/>
      <c r="C1959" s="14"/>
      <c r="D1959" s="56"/>
      <c r="E1959" s="16"/>
      <c r="F1959" s="14"/>
      <c r="G1959" s="14"/>
      <c r="H1959" s="14"/>
      <c r="I1959" s="17"/>
      <c r="J1959" s="16"/>
      <c r="K1959" s="17"/>
      <c r="L1959" s="16"/>
      <c r="N1959" s="28"/>
    </row>
    <row r="1960">
      <c r="A1960" s="16" t="str">
        <f t="shared" si="10"/>
        <v/>
      </c>
      <c r="B1960" s="48"/>
      <c r="C1960" s="14"/>
      <c r="D1960" s="56"/>
      <c r="E1960" s="16"/>
      <c r="F1960" s="14"/>
      <c r="G1960" s="14"/>
      <c r="H1960" s="14"/>
      <c r="I1960" s="17"/>
      <c r="J1960" s="16"/>
      <c r="K1960" s="17"/>
      <c r="L1960" s="16"/>
      <c r="N1960" s="28"/>
    </row>
    <row r="1961">
      <c r="A1961" s="16" t="str">
        <f t="shared" si="10"/>
        <v/>
      </c>
      <c r="B1961" s="48"/>
      <c r="C1961" s="14"/>
      <c r="D1961" s="56"/>
      <c r="E1961" s="16"/>
      <c r="F1961" s="14"/>
      <c r="G1961" s="14"/>
      <c r="H1961" s="14"/>
      <c r="I1961" s="17"/>
      <c r="J1961" s="16"/>
      <c r="K1961" s="17"/>
      <c r="L1961" s="16"/>
      <c r="N1961" s="28"/>
    </row>
    <row r="1962">
      <c r="A1962" s="16" t="str">
        <f t="shared" si="10"/>
        <v/>
      </c>
      <c r="B1962" s="48"/>
      <c r="C1962" s="14"/>
      <c r="D1962" s="56"/>
      <c r="E1962" s="16"/>
      <c r="F1962" s="14"/>
      <c r="G1962" s="14"/>
      <c r="H1962" s="14"/>
      <c r="I1962" s="17"/>
      <c r="J1962" s="16"/>
      <c r="K1962" s="17"/>
      <c r="L1962" s="16"/>
      <c r="N1962" s="28"/>
    </row>
    <row r="1963">
      <c r="A1963" s="16" t="str">
        <f t="shared" si="10"/>
        <v/>
      </c>
      <c r="B1963" s="48"/>
      <c r="C1963" s="14"/>
      <c r="D1963" s="56"/>
      <c r="E1963" s="16"/>
      <c r="F1963" s="14"/>
      <c r="G1963" s="14"/>
      <c r="H1963" s="14"/>
      <c r="I1963" s="17"/>
      <c r="J1963" s="16"/>
      <c r="K1963" s="17"/>
      <c r="L1963" s="16"/>
      <c r="N1963" s="28"/>
    </row>
    <row r="1964">
      <c r="A1964" s="16" t="str">
        <f t="shared" si="10"/>
        <v/>
      </c>
      <c r="B1964" s="48"/>
      <c r="C1964" s="14"/>
      <c r="D1964" s="56"/>
      <c r="E1964" s="16"/>
      <c r="F1964" s="14"/>
      <c r="G1964" s="14"/>
      <c r="H1964" s="14"/>
      <c r="I1964" s="17"/>
      <c r="J1964" s="16"/>
      <c r="K1964" s="17"/>
      <c r="L1964" s="16"/>
      <c r="N1964" s="28"/>
    </row>
    <row r="1965">
      <c r="A1965" s="16" t="str">
        <f t="shared" si="10"/>
        <v/>
      </c>
      <c r="B1965" s="48"/>
      <c r="C1965" s="14"/>
      <c r="D1965" s="56"/>
      <c r="E1965" s="16"/>
      <c r="F1965" s="14"/>
      <c r="G1965" s="14"/>
      <c r="H1965" s="14"/>
      <c r="I1965" s="17"/>
      <c r="J1965" s="16"/>
      <c r="K1965" s="17"/>
      <c r="L1965" s="16"/>
      <c r="N1965" s="28"/>
    </row>
    <row r="1966">
      <c r="A1966" s="16" t="str">
        <f t="shared" si="10"/>
        <v/>
      </c>
      <c r="B1966" s="48"/>
      <c r="C1966" s="14"/>
      <c r="D1966" s="56"/>
      <c r="E1966" s="16"/>
      <c r="F1966" s="14"/>
      <c r="G1966" s="14"/>
      <c r="H1966" s="14"/>
      <c r="I1966" s="17"/>
      <c r="J1966" s="16"/>
      <c r="K1966" s="17"/>
      <c r="L1966" s="16"/>
      <c r="N1966" s="28"/>
    </row>
    <row r="1967">
      <c r="A1967" s="16" t="str">
        <f t="shared" si="10"/>
        <v/>
      </c>
      <c r="B1967" s="48"/>
      <c r="C1967" s="14"/>
      <c r="D1967" s="56"/>
      <c r="E1967" s="16"/>
      <c r="F1967" s="14"/>
      <c r="G1967" s="14"/>
      <c r="H1967" s="14"/>
      <c r="I1967" s="17"/>
      <c r="J1967" s="16"/>
      <c r="K1967" s="17"/>
      <c r="L1967" s="16"/>
      <c r="N1967" s="28"/>
    </row>
    <row r="1968">
      <c r="A1968" s="16" t="str">
        <f t="shared" si="10"/>
        <v/>
      </c>
      <c r="B1968" s="48"/>
      <c r="C1968" s="14"/>
      <c r="D1968" s="56"/>
      <c r="E1968" s="16"/>
      <c r="F1968" s="14"/>
      <c r="G1968" s="14"/>
      <c r="H1968" s="14"/>
      <c r="I1968" s="17"/>
      <c r="J1968" s="16"/>
      <c r="K1968" s="17"/>
      <c r="L1968" s="16"/>
      <c r="N1968" s="28"/>
    </row>
    <row r="1969">
      <c r="A1969" s="16" t="str">
        <f t="shared" si="10"/>
        <v/>
      </c>
      <c r="B1969" s="48"/>
      <c r="C1969" s="14"/>
      <c r="D1969" s="56"/>
      <c r="E1969" s="16"/>
      <c r="F1969" s="14"/>
      <c r="G1969" s="14"/>
      <c r="H1969" s="14"/>
      <c r="I1969" s="17"/>
      <c r="J1969" s="16"/>
      <c r="K1969" s="17"/>
      <c r="L1969" s="16"/>
      <c r="N1969" s="28"/>
    </row>
    <row r="1970">
      <c r="A1970" s="16" t="str">
        <f t="shared" si="10"/>
        <v/>
      </c>
      <c r="B1970" s="48"/>
      <c r="C1970" s="14"/>
      <c r="D1970" s="56"/>
      <c r="E1970" s="16"/>
      <c r="F1970" s="14"/>
      <c r="G1970" s="14"/>
      <c r="H1970" s="14"/>
      <c r="I1970" s="17"/>
      <c r="J1970" s="16"/>
      <c r="K1970" s="17"/>
      <c r="L1970" s="16"/>
      <c r="N1970" s="28"/>
    </row>
    <row r="1971">
      <c r="A1971" s="16" t="str">
        <f t="shared" si="10"/>
        <v/>
      </c>
      <c r="B1971" s="48"/>
      <c r="C1971" s="14"/>
      <c r="D1971" s="56"/>
      <c r="E1971" s="16"/>
      <c r="F1971" s="14"/>
      <c r="G1971" s="14"/>
      <c r="H1971" s="14"/>
      <c r="I1971" s="17"/>
      <c r="J1971" s="16"/>
      <c r="K1971" s="17"/>
      <c r="L1971" s="16"/>
      <c r="N1971" s="28"/>
    </row>
    <row r="1972">
      <c r="A1972" s="16" t="str">
        <f t="shared" si="10"/>
        <v/>
      </c>
      <c r="B1972" s="48"/>
      <c r="C1972" s="14"/>
      <c r="D1972" s="56"/>
      <c r="E1972" s="16"/>
      <c r="F1972" s="14"/>
      <c r="G1972" s="14"/>
      <c r="H1972" s="14"/>
      <c r="I1972" s="17"/>
      <c r="J1972" s="16"/>
      <c r="K1972" s="17"/>
      <c r="L1972" s="16"/>
      <c r="N1972" s="28"/>
    </row>
    <row r="1973">
      <c r="A1973" s="16" t="str">
        <f t="shared" si="10"/>
        <v/>
      </c>
      <c r="B1973" s="48"/>
      <c r="C1973" s="14"/>
      <c r="D1973" s="56"/>
      <c r="E1973" s="16"/>
      <c r="F1973" s="14"/>
      <c r="G1973" s="14"/>
      <c r="H1973" s="14"/>
      <c r="I1973" s="17"/>
      <c r="J1973" s="16"/>
      <c r="K1973" s="17"/>
      <c r="L1973" s="16"/>
      <c r="N1973" s="28"/>
    </row>
    <row r="1974">
      <c r="A1974" s="16" t="str">
        <f t="shared" si="10"/>
        <v/>
      </c>
      <c r="B1974" s="48"/>
      <c r="C1974" s="14"/>
      <c r="D1974" s="56"/>
      <c r="E1974" s="16"/>
      <c r="F1974" s="14"/>
      <c r="G1974" s="14"/>
      <c r="H1974" s="14"/>
      <c r="I1974" s="17"/>
      <c r="J1974" s="16"/>
      <c r="K1974" s="17"/>
      <c r="L1974" s="16"/>
      <c r="N1974" s="28"/>
    </row>
    <row r="1975">
      <c r="A1975" s="16" t="str">
        <f t="shared" si="10"/>
        <v/>
      </c>
      <c r="B1975" s="48"/>
      <c r="C1975" s="14"/>
      <c r="D1975" s="56"/>
      <c r="E1975" s="16"/>
      <c r="F1975" s="14"/>
      <c r="G1975" s="14"/>
      <c r="H1975" s="14"/>
      <c r="I1975" s="17"/>
      <c r="J1975" s="16"/>
      <c r="K1975" s="17"/>
      <c r="L1975" s="16"/>
      <c r="N1975" s="28"/>
    </row>
    <row r="1976">
      <c r="A1976" s="16" t="str">
        <f t="shared" si="10"/>
        <v/>
      </c>
      <c r="B1976" s="48"/>
      <c r="C1976" s="14"/>
      <c r="D1976" s="56"/>
      <c r="E1976" s="16"/>
      <c r="F1976" s="14"/>
      <c r="G1976" s="14"/>
      <c r="H1976" s="14"/>
      <c r="I1976" s="17"/>
      <c r="J1976" s="16"/>
      <c r="K1976" s="17"/>
      <c r="L1976" s="16"/>
      <c r="N1976" s="28"/>
    </row>
    <row r="1977">
      <c r="A1977" s="16" t="str">
        <f t="shared" si="10"/>
        <v/>
      </c>
      <c r="B1977" s="48"/>
      <c r="C1977" s="14"/>
      <c r="D1977" s="56"/>
      <c r="E1977" s="16"/>
      <c r="F1977" s="14"/>
      <c r="G1977" s="14"/>
      <c r="H1977" s="14"/>
      <c r="I1977" s="17"/>
      <c r="J1977" s="16"/>
      <c r="K1977" s="17"/>
      <c r="L1977" s="16"/>
      <c r="N1977" s="28"/>
    </row>
    <row r="1978">
      <c r="A1978" s="16" t="str">
        <f t="shared" si="10"/>
        <v/>
      </c>
      <c r="B1978" s="48"/>
      <c r="C1978" s="14"/>
      <c r="D1978" s="56"/>
      <c r="E1978" s="16"/>
      <c r="F1978" s="14"/>
      <c r="G1978" s="14"/>
      <c r="H1978" s="14"/>
      <c r="I1978" s="17"/>
      <c r="J1978" s="16"/>
      <c r="K1978" s="17"/>
      <c r="L1978" s="16"/>
      <c r="N1978" s="28"/>
    </row>
    <row r="1979">
      <c r="A1979" s="16" t="str">
        <f t="shared" si="10"/>
        <v/>
      </c>
      <c r="B1979" s="48"/>
      <c r="C1979" s="14"/>
      <c r="D1979" s="56"/>
      <c r="E1979" s="16"/>
      <c r="F1979" s="14"/>
      <c r="G1979" s="14"/>
      <c r="H1979" s="14"/>
      <c r="I1979" s="17"/>
      <c r="J1979" s="16"/>
      <c r="K1979" s="17"/>
      <c r="L1979" s="16"/>
      <c r="N1979" s="28"/>
    </row>
    <row r="1980">
      <c r="A1980" s="16" t="str">
        <f t="shared" si="10"/>
        <v/>
      </c>
      <c r="B1980" s="48"/>
      <c r="C1980" s="14"/>
      <c r="D1980" s="56"/>
      <c r="E1980" s="16"/>
      <c r="F1980" s="14"/>
      <c r="G1980" s="14"/>
      <c r="H1980" s="14"/>
      <c r="I1980" s="17"/>
      <c r="J1980" s="16"/>
      <c r="K1980" s="17"/>
      <c r="L1980" s="16"/>
      <c r="N1980" s="28"/>
    </row>
    <row r="1981">
      <c r="A1981" s="16" t="str">
        <f t="shared" si="10"/>
        <v/>
      </c>
      <c r="B1981" s="48"/>
      <c r="C1981" s="14"/>
      <c r="D1981" s="56"/>
      <c r="E1981" s="16"/>
      <c r="F1981" s="14"/>
      <c r="G1981" s="14"/>
      <c r="H1981" s="14"/>
      <c r="I1981" s="17"/>
      <c r="J1981" s="16"/>
      <c r="K1981" s="17"/>
      <c r="L1981" s="16"/>
      <c r="N1981" s="28"/>
    </row>
    <row r="1982">
      <c r="A1982" s="16" t="str">
        <f t="shared" si="10"/>
        <v/>
      </c>
      <c r="B1982" s="48"/>
      <c r="C1982" s="14"/>
      <c r="D1982" s="56"/>
      <c r="E1982" s="16"/>
      <c r="F1982" s="14"/>
      <c r="G1982" s="14"/>
      <c r="H1982" s="14"/>
      <c r="I1982" s="17"/>
      <c r="J1982" s="16"/>
      <c r="K1982" s="17"/>
      <c r="L1982" s="16"/>
      <c r="N1982" s="28"/>
    </row>
    <row r="1983">
      <c r="A1983" s="16" t="str">
        <f t="shared" si="10"/>
        <v/>
      </c>
      <c r="B1983" s="48"/>
      <c r="C1983" s="14"/>
      <c r="D1983" s="56"/>
      <c r="E1983" s="16"/>
      <c r="F1983" s="14"/>
      <c r="G1983" s="14"/>
      <c r="H1983" s="14"/>
      <c r="I1983" s="17"/>
      <c r="J1983" s="16"/>
      <c r="K1983" s="17"/>
      <c r="L1983" s="16"/>
      <c r="N1983" s="28"/>
    </row>
    <row r="1984">
      <c r="A1984" s="16" t="str">
        <f t="shared" si="10"/>
        <v/>
      </c>
      <c r="B1984" s="48"/>
      <c r="C1984" s="14"/>
      <c r="D1984" s="56"/>
      <c r="E1984" s="16"/>
      <c r="F1984" s="14"/>
      <c r="G1984" s="14"/>
      <c r="H1984" s="14"/>
      <c r="I1984" s="17"/>
      <c r="J1984" s="16"/>
      <c r="K1984" s="17"/>
      <c r="L1984" s="16"/>
      <c r="N1984" s="28"/>
    </row>
    <row r="1985">
      <c r="A1985" s="16" t="str">
        <f t="shared" si="10"/>
        <v/>
      </c>
      <c r="B1985" s="48"/>
      <c r="C1985" s="14"/>
      <c r="D1985" s="56"/>
      <c r="E1985" s="16"/>
      <c r="F1985" s="14"/>
      <c r="G1985" s="14"/>
      <c r="H1985" s="14"/>
      <c r="I1985" s="17"/>
      <c r="J1985" s="16"/>
      <c r="K1985" s="17"/>
      <c r="L1985" s="16"/>
      <c r="N1985" s="28"/>
    </row>
    <row r="1986">
      <c r="A1986" s="16" t="str">
        <f t="shared" si="10"/>
        <v/>
      </c>
      <c r="B1986" s="48"/>
      <c r="C1986" s="14"/>
      <c r="D1986" s="56"/>
      <c r="E1986" s="16"/>
      <c r="F1986" s="14"/>
      <c r="G1986" s="14"/>
      <c r="H1986" s="14"/>
      <c r="I1986" s="17"/>
      <c r="J1986" s="16"/>
      <c r="K1986" s="17"/>
      <c r="L1986" s="16"/>
      <c r="N1986" s="28"/>
    </row>
    <row r="1987">
      <c r="A1987" s="16" t="str">
        <f t="shared" si="10"/>
        <v/>
      </c>
      <c r="B1987" s="48"/>
      <c r="C1987" s="14"/>
      <c r="D1987" s="56"/>
      <c r="E1987" s="16"/>
      <c r="F1987" s="14"/>
      <c r="G1987" s="14"/>
      <c r="H1987" s="14"/>
      <c r="I1987" s="17"/>
      <c r="J1987" s="16"/>
      <c r="K1987" s="17"/>
      <c r="L1987" s="16"/>
      <c r="N1987" s="28"/>
    </row>
    <row r="1988">
      <c r="A1988" s="16" t="str">
        <f t="shared" si="10"/>
        <v/>
      </c>
      <c r="B1988" s="48"/>
      <c r="C1988" s="14"/>
      <c r="D1988" s="56"/>
      <c r="E1988" s="16"/>
      <c r="F1988" s="14"/>
      <c r="G1988" s="14"/>
      <c r="H1988" s="14"/>
      <c r="I1988" s="17"/>
      <c r="J1988" s="16"/>
      <c r="K1988" s="17"/>
      <c r="L1988" s="16"/>
      <c r="N1988" s="28"/>
    </row>
    <row r="1989">
      <c r="A1989" s="16" t="str">
        <f t="shared" si="10"/>
        <v/>
      </c>
      <c r="B1989" s="48"/>
      <c r="C1989" s="14"/>
      <c r="D1989" s="56"/>
      <c r="E1989" s="16"/>
      <c r="F1989" s="14"/>
      <c r="G1989" s="14"/>
      <c r="H1989" s="14"/>
      <c r="I1989" s="17"/>
      <c r="J1989" s="16"/>
      <c r="K1989" s="17"/>
      <c r="L1989" s="16"/>
      <c r="N1989" s="28"/>
    </row>
    <row r="1990">
      <c r="A1990" s="16" t="str">
        <f t="shared" si="10"/>
        <v/>
      </c>
      <c r="B1990" s="48"/>
      <c r="C1990" s="14"/>
      <c r="D1990" s="56"/>
      <c r="E1990" s="16"/>
      <c r="F1990" s="14"/>
      <c r="G1990" s="14"/>
      <c r="H1990" s="14"/>
      <c r="I1990" s="17"/>
      <c r="J1990" s="16"/>
      <c r="K1990" s="17"/>
      <c r="L1990" s="16"/>
      <c r="N1990" s="28"/>
    </row>
    <row r="1991">
      <c r="A1991" s="16" t="str">
        <f t="shared" si="10"/>
        <v/>
      </c>
      <c r="B1991" s="48"/>
      <c r="C1991" s="14"/>
      <c r="D1991" s="56"/>
      <c r="E1991" s="16"/>
      <c r="F1991" s="14"/>
      <c r="G1991" s="14"/>
      <c r="H1991" s="14"/>
      <c r="I1991" s="17"/>
      <c r="J1991" s="16"/>
      <c r="K1991" s="17"/>
      <c r="L1991" s="16"/>
      <c r="N1991" s="28"/>
    </row>
    <row r="1992">
      <c r="A1992" s="16" t="str">
        <f t="shared" si="10"/>
        <v/>
      </c>
      <c r="B1992" s="48"/>
      <c r="C1992" s="14"/>
      <c r="D1992" s="56"/>
      <c r="E1992" s="16"/>
      <c r="F1992" s="14"/>
      <c r="G1992" s="14"/>
      <c r="H1992" s="14"/>
      <c r="I1992" s="17"/>
      <c r="J1992" s="16"/>
      <c r="K1992" s="17"/>
      <c r="L1992" s="16"/>
      <c r="N1992" s="28"/>
    </row>
    <row r="1993">
      <c r="A1993" s="16" t="str">
        <f t="shared" si="10"/>
        <v/>
      </c>
      <c r="B1993" s="48"/>
      <c r="C1993" s="14"/>
      <c r="D1993" s="56"/>
      <c r="E1993" s="16"/>
      <c r="F1993" s="14"/>
      <c r="G1993" s="14"/>
      <c r="H1993" s="14"/>
      <c r="I1993" s="17"/>
      <c r="J1993" s="16"/>
      <c r="K1993" s="17"/>
      <c r="L1993" s="16"/>
      <c r="N1993" s="28"/>
    </row>
    <row r="1994">
      <c r="A1994" s="16" t="str">
        <f t="shared" si="10"/>
        <v/>
      </c>
      <c r="B1994" s="48"/>
      <c r="C1994" s="14"/>
      <c r="D1994" s="56"/>
      <c r="E1994" s="16"/>
      <c r="F1994" s="14"/>
      <c r="G1994" s="14"/>
      <c r="H1994" s="14"/>
      <c r="I1994" s="17"/>
      <c r="J1994" s="16"/>
      <c r="K1994" s="17"/>
      <c r="L1994" s="16"/>
      <c r="N1994" s="28"/>
    </row>
    <row r="1995">
      <c r="A1995" s="16" t="str">
        <f t="shared" si="10"/>
        <v/>
      </c>
      <c r="B1995" s="48"/>
      <c r="C1995" s="14"/>
      <c r="D1995" s="56"/>
      <c r="E1995" s="16"/>
      <c r="F1995" s="14"/>
      <c r="G1995" s="14"/>
      <c r="H1995" s="14"/>
      <c r="I1995" s="17"/>
      <c r="J1995" s="16"/>
      <c r="K1995" s="17"/>
      <c r="L1995" s="16"/>
      <c r="N1995" s="28"/>
    </row>
    <row r="1996">
      <c r="A1996" s="16" t="str">
        <f t="shared" si="10"/>
        <v/>
      </c>
      <c r="B1996" s="48"/>
      <c r="C1996" s="14"/>
      <c r="D1996" s="56"/>
      <c r="E1996" s="16"/>
      <c r="F1996" s="14"/>
      <c r="G1996" s="14"/>
      <c r="H1996" s="14"/>
      <c r="I1996" s="17"/>
      <c r="J1996" s="16"/>
      <c r="K1996" s="17"/>
      <c r="L1996" s="16"/>
      <c r="N1996" s="28"/>
    </row>
    <row r="1997">
      <c r="A1997" s="16" t="str">
        <f t="shared" si="10"/>
        <v/>
      </c>
      <c r="B1997" s="48"/>
      <c r="C1997" s="14"/>
      <c r="D1997" s="56"/>
      <c r="E1997" s="16"/>
      <c r="F1997" s="14"/>
      <c r="G1997" s="14"/>
      <c r="H1997" s="14"/>
      <c r="I1997" s="17"/>
      <c r="J1997" s="16"/>
      <c r="K1997" s="17"/>
      <c r="L1997" s="16"/>
      <c r="N1997" s="28"/>
    </row>
    <row r="1998">
      <c r="A1998" s="16" t="str">
        <f t="shared" si="10"/>
        <v/>
      </c>
      <c r="B1998" s="48"/>
      <c r="C1998" s="14"/>
      <c r="D1998" s="56"/>
      <c r="E1998" s="16"/>
      <c r="F1998" s="14"/>
      <c r="G1998" s="14"/>
      <c r="H1998" s="14"/>
      <c r="I1998" s="17"/>
      <c r="J1998" s="16"/>
      <c r="K1998" s="17"/>
      <c r="L1998" s="16"/>
      <c r="N1998" s="28"/>
    </row>
    <row r="1999">
      <c r="A1999" s="16" t="str">
        <f t="shared" si="10"/>
        <v/>
      </c>
      <c r="B1999" s="48"/>
      <c r="C1999" s="14"/>
      <c r="D1999" s="56"/>
      <c r="E1999" s="16"/>
      <c r="F1999" s="14"/>
      <c r="G1999" s="14"/>
      <c r="H1999" s="14"/>
      <c r="I1999" s="17"/>
      <c r="J1999" s="16"/>
      <c r="K1999" s="17"/>
      <c r="L1999" s="16"/>
      <c r="N1999" s="28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2" t="s">
        <v>3477</v>
      </c>
      <c r="B1" s="2" t="s">
        <v>3478</v>
      </c>
      <c r="C1" s="2" t="s">
        <v>6810</v>
      </c>
      <c r="D1" s="2" t="s">
        <v>6811</v>
      </c>
      <c r="E1" s="2" t="s">
        <v>6812</v>
      </c>
      <c r="F1" s="2" t="s">
        <v>3483</v>
      </c>
      <c r="G1" s="2" t="s">
        <v>6813</v>
      </c>
    </row>
    <row r="2">
      <c r="A2" s="57" t="s">
        <v>3585</v>
      </c>
      <c r="B2" s="57" t="s">
        <v>3586</v>
      </c>
      <c r="C2" s="2" t="s">
        <v>6814</v>
      </c>
      <c r="D2" s="2" t="s">
        <v>6815</v>
      </c>
      <c r="E2" s="2" t="s">
        <v>6816</v>
      </c>
      <c r="G2" s="2" t="b">
        <v>1</v>
      </c>
    </row>
    <row r="3">
      <c r="A3" s="57" t="s">
        <v>3522</v>
      </c>
      <c r="B3" s="57" t="s">
        <v>3523</v>
      </c>
      <c r="C3" s="2" t="s">
        <v>6814</v>
      </c>
      <c r="D3" s="2" t="s">
        <v>6815</v>
      </c>
      <c r="E3" s="2" t="s">
        <v>6816</v>
      </c>
      <c r="G3" s="2" t="b">
        <v>1</v>
      </c>
    </row>
    <row r="4">
      <c r="A4" s="57" t="s">
        <v>5055</v>
      </c>
      <c r="B4" s="57" t="s">
        <v>5056</v>
      </c>
      <c r="C4" s="2" t="s">
        <v>6814</v>
      </c>
      <c r="D4" s="2" t="s">
        <v>6817</v>
      </c>
      <c r="E4" s="2" t="s">
        <v>6816</v>
      </c>
      <c r="G4" s="2" t="b">
        <v>0</v>
      </c>
    </row>
    <row r="5">
      <c r="A5" s="57" t="s">
        <v>3516</v>
      </c>
      <c r="B5" s="57" t="s">
        <v>3517</v>
      </c>
      <c r="C5" s="2" t="s">
        <v>6814</v>
      </c>
      <c r="D5" s="2" t="s">
        <v>6815</v>
      </c>
      <c r="E5" s="2" t="s">
        <v>6816</v>
      </c>
      <c r="G5" s="2" t="b">
        <v>1</v>
      </c>
    </row>
    <row r="6">
      <c r="A6" s="57" t="s">
        <v>4045</v>
      </c>
      <c r="B6" s="57" t="s">
        <v>4046</v>
      </c>
      <c r="C6" s="2" t="s">
        <v>6814</v>
      </c>
      <c r="D6" s="2" t="s">
        <v>6817</v>
      </c>
      <c r="E6" s="2" t="s">
        <v>6816</v>
      </c>
      <c r="G6" s="2" t="b">
        <v>0</v>
      </c>
    </row>
    <row r="7">
      <c r="A7" s="57" t="s">
        <v>3493</v>
      </c>
      <c r="B7" s="57" t="s">
        <v>3494</v>
      </c>
      <c r="C7" s="2" t="s">
        <v>6814</v>
      </c>
      <c r="D7" s="2" t="s">
        <v>6815</v>
      </c>
      <c r="E7" s="2" t="s">
        <v>6816</v>
      </c>
      <c r="G7" s="2" t="b">
        <v>0</v>
      </c>
    </row>
    <row r="8">
      <c r="A8" s="57" t="s">
        <v>3547</v>
      </c>
      <c r="B8" s="57" t="s">
        <v>3548</v>
      </c>
      <c r="C8" s="2" t="s">
        <v>6814</v>
      </c>
      <c r="D8" s="2" t="s">
        <v>6815</v>
      </c>
      <c r="E8" s="2" t="s">
        <v>6816</v>
      </c>
      <c r="G8" s="2" t="b">
        <v>0</v>
      </c>
    </row>
    <row r="9">
      <c r="A9" s="57" t="s">
        <v>3835</v>
      </c>
      <c r="B9" s="57" t="s">
        <v>3836</v>
      </c>
      <c r="C9" s="2" t="s">
        <v>6814</v>
      </c>
      <c r="D9" s="2" t="s">
        <v>6815</v>
      </c>
      <c r="E9" s="2" t="s">
        <v>6816</v>
      </c>
      <c r="G9" s="2" t="b">
        <v>1</v>
      </c>
    </row>
    <row r="10">
      <c r="A10" s="57" t="s">
        <v>3910</v>
      </c>
      <c r="B10" s="57" t="s">
        <v>3911</v>
      </c>
      <c r="C10" s="2" t="s">
        <v>6814</v>
      </c>
      <c r="D10" s="2" t="s">
        <v>6817</v>
      </c>
      <c r="E10" s="2" t="s">
        <v>6816</v>
      </c>
      <c r="G10" s="2" t="b">
        <v>0</v>
      </c>
    </row>
    <row r="11">
      <c r="A11" s="57" t="s">
        <v>3486</v>
      </c>
      <c r="B11" s="57" t="s">
        <v>3487</v>
      </c>
      <c r="C11" s="2" t="s">
        <v>6814</v>
      </c>
      <c r="D11" s="2" t="s">
        <v>6815</v>
      </c>
      <c r="E11" s="2" t="s">
        <v>6816</v>
      </c>
      <c r="G11" s="2" t="b">
        <v>1</v>
      </c>
    </row>
    <row r="12">
      <c r="A12" s="58" t="s">
        <v>3506</v>
      </c>
      <c r="B12" s="57" t="s">
        <v>3507</v>
      </c>
      <c r="C12" s="2" t="s">
        <v>6814</v>
      </c>
      <c r="D12" s="2" t="s">
        <v>6817</v>
      </c>
      <c r="E12" s="2" t="s">
        <v>6816</v>
      </c>
      <c r="G12" s="2" t="b">
        <v>0</v>
      </c>
    </row>
    <row r="13">
      <c r="A13" s="57" t="s">
        <v>4203</v>
      </c>
      <c r="B13" s="57" t="s">
        <v>4204</v>
      </c>
      <c r="C13" s="2" t="s">
        <v>6814</v>
      </c>
      <c r="D13" s="2" t="s">
        <v>6815</v>
      </c>
      <c r="E13" s="2" t="s">
        <v>6816</v>
      </c>
      <c r="G13" s="2" t="b">
        <v>1</v>
      </c>
    </row>
    <row r="14">
      <c r="A14" s="57" t="s">
        <v>6818</v>
      </c>
      <c r="B14" s="57" t="s">
        <v>6819</v>
      </c>
      <c r="C14" s="2" t="s">
        <v>6820</v>
      </c>
      <c r="D14" s="2" t="s">
        <v>6817</v>
      </c>
      <c r="E14" s="2" t="s">
        <v>6816</v>
      </c>
      <c r="G14" s="2" t="b">
        <v>0</v>
      </c>
    </row>
    <row r="15">
      <c r="A15" s="57" t="s">
        <v>3776</v>
      </c>
      <c r="B15" s="57" t="s">
        <v>3777</v>
      </c>
      <c r="C15" s="2" t="s">
        <v>6820</v>
      </c>
      <c r="D15" s="2" t="s">
        <v>6817</v>
      </c>
      <c r="E15" s="2" t="s">
        <v>6816</v>
      </c>
      <c r="G15" s="2" t="b">
        <v>0</v>
      </c>
    </row>
    <row r="16">
      <c r="A16" s="57" t="s">
        <v>3773</v>
      </c>
      <c r="B16" s="57" t="s">
        <v>3774</v>
      </c>
      <c r="C16" s="2" t="s">
        <v>6820</v>
      </c>
      <c r="D16" s="2" t="s">
        <v>6817</v>
      </c>
      <c r="E16" s="2" t="s">
        <v>6816</v>
      </c>
      <c r="G16" s="2" t="b">
        <v>0</v>
      </c>
    </row>
    <row r="17">
      <c r="A17" s="57" t="s">
        <v>6821</v>
      </c>
      <c r="B17" s="57" t="s">
        <v>6822</v>
      </c>
      <c r="C17" s="2" t="s">
        <v>6820</v>
      </c>
      <c r="D17" s="2" t="s">
        <v>6817</v>
      </c>
      <c r="E17" s="2" t="s">
        <v>6816</v>
      </c>
      <c r="G17" s="2" t="b">
        <v>0</v>
      </c>
    </row>
    <row r="18">
      <c r="A18" s="57" t="s">
        <v>6823</v>
      </c>
      <c r="B18" s="57" t="s">
        <v>6824</v>
      </c>
      <c r="C18" s="2" t="s">
        <v>6820</v>
      </c>
      <c r="D18" s="2" t="s">
        <v>6817</v>
      </c>
      <c r="E18" s="2" t="s">
        <v>6816</v>
      </c>
      <c r="G18" s="2" t="b">
        <v>0</v>
      </c>
    </row>
    <row r="19">
      <c r="A19" s="57" t="s">
        <v>6825</v>
      </c>
      <c r="B19" s="57" t="s">
        <v>6826</v>
      </c>
      <c r="C19" s="2" t="s">
        <v>6820</v>
      </c>
      <c r="D19" s="2" t="s">
        <v>6817</v>
      </c>
      <c r="E19" s="2" t="s">
        <v>6816</v>
      </c>
      <c r="G19" s="2" t="b">
        <v>0</v>
      </c>
    </row>
    <row r="20">
      <c r="A20" s="57" t="s">
        <v>4279</v>
      </c>
      <c r="B20" s="57" t="s">
        <v>4280</v>
      </c>
      <c r="C20" s="2" t="s">
        <v>6820</v>
      </c>
      <c r="D20" s="2" t="s">
        <v>6817</v>
      </c>
      <c r="E20" s="2" t="s">
        <v>6827</v>
      </c>
      <c r="G20" s="2" t="b">
        <v>0</v>
      </c>
    </row>
    <row r="21">
      <c r="A21" s="2" t="s">
        <v>4622</v>
      </c>
      <c r="B21" s="2" t="s">
        <v>4623</v>
      </c>
      <c r="C21" s="2" t="s">
        <v>6814</v>
      </c>
      <c r="D21" s="2" t="s">
        <v>6817</v>
      </c>
      <c r="E21" s="2" t="s">
        <v>6816</v>
      </c>
      <c r="G21" s="2" t="b">
        <v>0</v>
      </c>
    </row>
    <row r="22">
      <c r="A22" s="2" t="s">
        <v>4729</v>
      </c>
      <c r="B22" s="2" t="s">
        <v>4730</v>
      </c>
      <c r="C22" s="2" t="s">
        <v>6828</v>
      </c>
      <c r="E22" s="2" t="s">
        <v>6829</v>
      </c>
      <c r="G22" s="2" t="b">
        <v>0</v>
      </c>
    </row>
    <row r="23">
      <c r="A23" s="2" t="s">
        <v>5890</v>
      </c>
      <c r="B23" s="2" t="s">
        <v>5891</v>
      </c>
      <c r="C23" s="2" t="s">
        <v>6820</v>
      </c>
      <c r="E23" s="2" t="s">
        <v>6816</v>
      </c>
      <c r="G23" s="2" t="b">
        <v>0</v>
      </c>
    </row>
    <row r="24">
      <c r="A24" s="2" t="s">
        <v>4913</v>
      </c>
      <c r="B24" s="2" t="s">
        <v>4914</v>
      </c>
      <c r="C24" s="2" t="s">
        <v>6820</v>
      </c>
      <c r="E24" s="2" t="s">
        <v>6827</v>
      </c>
      <c r="G24" s="2" t="b">
        <v>0</v>
      </c>
    </row>
    <row r="25">
      <c r="A25" s="2" t="s">
        <v>5275</v>
      </c>
      <c r="B25" s="2" t="s">
        <v>5276</v>
      </c>
      <c r="C25" s="2" t="s">
        <v>6820</v>
      </c>
      <c r="E25" s="2" t="s">
        <v>6827</v>
      </c>
      <c r="F25" s="2" t="s">
        <v>6830</v>
      </c>
      <c r="G25" s="2" t="b">
        <v>0</v>
      </c>
    </row>
    <row r="26">
      <c r="A26" s="2" t="s">
        <v>5271</v>
      </c>
      <c r="B26" s="2" t="s">
        <v>5272</v>
      </c>
      <c r="C26" s="2" t="s">
        <v>6820</v>
      </c>
      <c r="E26" s="2" t="s">
        <v>6827</v>
      </c>
      <c r="G26" s="2" t="b">
        <v>0</v>
      </c>
    </row>
    <row r="27">
      <c r="A27" s="2" t="s">
        <v>5569</v>
      </c>
      <c r="B27" s="2" t="s">
        <v>5570</v>
      </c>
      <c r="C27" s="2" t="s">
        <v>6820</v>
      </c>
      <c r="E27" s="2" t="s">
        <v>6827</v>
      </c>
      <c r="G27" s="2" t="b">
        <v>0</v>
      </c>
    </row>
    <row r="28">
      <c r="A28" s="2" t="s">
        <v>5565</v>
      </c>
      <c r="B28" s="2" t="s">
        <v>5566</v>
      </c>
      <c r="C28" s="2" t="s">
        <v>6828</v>
      </c>
      <c r="E28" s="2" t="s">
        <v>6829</v>
      </c>
      <c r="G28" s="2" t="b">
        <v>0</v>
      </c>
    </row>
    <row r="29">
      <c r="A29" s="2" t="s">
        <v>5567</v>
      </c>
      <c r="B29" s="2" t="s">
        <v>5568</v>
      </c>
      <c r="C29" s="2" t="s">
        <v>6820</v>
      </c>
      <c r="E29" s="2" t="s">
        <v>6827</v>
      </c>
      <c r="G29" s="2" t="b">
        <v>0</v>
      </c>
    </row>
    <row r="30">
      <c r="A30" s="2" t="s">
        <v>5765</v>
      </c>
      <c r="B30" s="2" t="s">
        <v>5766</v>
      </c>
      <c r="C30" s="2" t="s">
        <v>6814</v>
      </c>
      <c r="D30" s="2" t="s">
        <v>6815</v>
      </c>
      <c r="E30" s="2" t="s">
        <v>6816</v>
      </c>
      <c r="G30" s="2" t="b">
        <v>1</v>
      </c>
    </row>
    <row r="31">
      <c r="A31" s="2" t="s">
        <v>5970</v>
      </c>
      <c r="B31" s="2" t="s">
        <v>5971</v>
      </c>
      <c r="C31" s="2" t="s">
        <v>6820</v>
      </c>
      <c r="E31" s="2" t="s">
        <v>6816</v>
      </c>
      <c r="G31" s="2" t="b">
        <v>0</v>
      </c>
    </row>
    <row r="32">
      <c r="A32" s="2" t="s">
        <v>6831</v>
      </c>
      <c r="B32" s="2" t="s">
        <v>6832</v>
      </c>
      <c r="C32" s="2" t="s">
        <v>6814</v>
      </c>
      <c r="D32" s="2" t="s">
        <v>6817</v>
      </c>
      <c r="E32" s="2" t="s">
        <v>6816</v>
      </c>
      <c r="G32" s="2" t="b">
        <v>0</v>
      </c>
    </row>
    <row r="33">
      <c r="A33" s="2" t="s">
        <v>6833</v>
      </c>
      <c r="B33" s="2" t="s">
        <v>6834</v>
      </c>
      <c r="C33" s="2" t="s">
        <v>6814</v>
      </c>
      <c r="D33" s="2" t="s">
        <v>6817</v>
      </c>
      <c r="E33" s="2" t="s">
        <v>6816</v>
      </c>
      <c r="G33" s="2" t="b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6835</v>
      </c>
      <c r="B1" s="2" t="s">
        <v>3477</v>
      </c>
      <c r="C1" s="2" t="s">
        <v>3478</v>
      </c>
      <c r="D1" s="1" t="s">
        <v>3481</v>
      </c>
      <c r="E1" s="2" t="s">
        <v>6836</v>
      </c>
      <c r="F1" s="2" t="s">
        <v>6837</v>
      </c>
      <c r="G1" s="2" t="s">
        <v>2</v>
      </c>
      <c r="H1" s="2" t="s">
        <v>6838</v>
      </c>
    </row>
    <row r="2">
      <c r="A2" s="5" t="s">
        <v>6727</v>
      </c>
      <c r="B2" s="5" t="s">
        <v>3835</v>
      </c>
      <c r="C2" s="5" t="s">
        <v>3836</v>
      </c>
      <c r="D2" s="28" t="s">
        <v>5770</v>
      </c>
      <c r="F2" s="59">
        <v>45882.50100694445</v>
      </c>
      <c r="G2" s="5" t="str">
        <f>IFERROR(__xludf.DUMMYFUNCTION("LET(
  refItem, TO_TEXT(D2),
  logDates, inventoryLog!$C:$C,
  logCust, inventoryLog!$D:$D,
  logMut, inventoryLog!$H:$H,
  logItems, inventoryLog!$K:$K,
  matches, FILTER({logDates, logCust, logMut}, REGEXMATCH(TO_TEXT(logItems), ""\b""&amp;refItem&amp;""\b""))"&amp;",
  sorted, SORT(matches, 1, FALSE),
  latestMutation, INDEX(sorted, 1, 3),
  latestCust, INDEX(sorted, 1, 2),
  IF(ISBLANK(D2),"""", IF(IFERROR(latestMutation,"""")=""OUT"", latestCust, ""AKGREADY"")
))"),"AKGREADY")</f>
        <v>AKGREADY</v>
      </c>
    </row>
    <row r="3">
      <c r="B3" s="5" t="s">
        <v>3835</v>
      </c>
      <c r="C3" s="5" t="s">
        <v>3836</v>
      </c>
      <c r="D3" s="28" t="s">
        <v>6145</v>
      </c>
      <c r="F3" s="59">
        <v>45882.50194444445</v>
      </c>
      <c r="G3" s="5" t="str">
        <f>IFERROR(__xludf.DUMMYFUNCTION("LET(
  refItem, TO_TEXT(D3),
  logDates, inventoryLog!$C:$C,
  logCust, inventoryLog!$D:$D,
  logMut, inventoryLog!$H:$H,
  logItems, inventoryLog!$K:$K,
  matches, FILTER({logDates, logCust, logMut}, REGEXMATCH(TO_TEXT(logItems), ""\b""&amp;refItem&amp;""\b""))"&amp;",
  sorted, SORT(matches, 1, FALSE),
  latestMutation, INDEX(sorted, 1, 3),
  latestCust, INDEX(sorted, 1, 2),
  IF(ISBLANK(D3),"""", IF(IFERROR(latestMutation,"""")=""OUT"", latestCust, ""AKGREADY"")
))"),"AKGREADY")</f>
        <v>AKGREADY</v>
      </c>
    </row>
    <row r="4">
      <c r="A4" s="5" t="s">
        <v>6839</v>
      </c>
      <c r="B4" s="5" t="s">
        <v>3835</v>
      </c>
      <c r="C4" s="5" t="s">
        <v>3836</v>
      </c>
      <c r="D4" s="28" t="s">
        <v>4864</v>
      </c>
      <c r="F4" s="59">
        <v>45882.50168981482</v>
      </c>
      <c r="G4" s="5" t="str">
        <f>IFERROR(__xludf.DUMMYFUNCTION("LET(
  refItem, TO_TEXT(D4),
  logDates, inventoryLog!$C:$C,
  logCust, inventoryLog!$D:$D,
  logMut, inventoryLog!$H:$H,
  logItems, inventoryLog!$K:$K,
  matches, FILTER({logDates, logCust, logMut}, REGEXMATCH(TO_TEXT(logItems), ""\b""&amp;refItem&amp;""\b""))"&amp;",
  sorted, SORT(matches, 1, FALSE),
  latestMutation, INDEX(sorted, 1, 3),
  latestCust, INDEX(sorted, 1, 2),
  IF(ISBLANK(D4),"""", IF(IFERROR(latestMutation,"""")=""OUT"", latestCust, ""AKGREADY"")
))"),"AKGREADY")</f>
        <v>AKGREADY</v>
      </c>
    </row>
    <row r="5">
      <c r="B5" s="5" t="s">
        <v>3835</v>
      </c>
      <c r="C5" s="5" t="s">
        <v>3836</v>
      </c>
      <c r="D5" s="28" t="s">
        <v>4824</v>
      </c>
      <c r="F5" s="59">
        <v>45882.502233796295</v>
      </c>
      <c r="G5" s="5" t="str">
        <f>IFERROR(__xludf.DUMMYFUNCTION("LET(
  refItem, TO_TEXT(D5),
  logDates, inventoryLog!$C:$C,
  logCust, inventoryLog!$D:$D,
  logMut, inventoryLog!$H:$H,
  logItems, inventoryLog!$K:$K,
  matches, FILTER({logDates, logCust, logMut}, REGEXMATCH(TO_TEXT(logItems), ""\b""&amp;refItem&amp;""\b""))"&amp;",
  sorted, SORT(matches, 1, FALSE),
  latestMutation, INDEX(sorted, 1, 3),
  latestCust, INDEX(sorted, 1, 2),
  IF(ISBLANK(D5),"""", IF(IFERROR(latestMutation,"""")=""OUT"", latestCust, ""AKGREADY"")
))"),"5d599a87")</f>
        <v>5d599a87</v>
      </c>
    </row>
    <row r="6">
      <c r="A6" s="28" t="s">
        <v>6840</v>
      </c>
      <c r="B6" s="57" t="s">
        <v>3486</v>
      </c>
      <c r="C6" s="5" t="s">
        <v>3487</v>
      </c>
      <c r="D6" s="28" t="s">
        <v>6841</v>
      </c>
      <c r="F6" s="59">
        <v>45913.566342592596</v>
      </c>
      <c r="G6" s="5" t="str">
        <f>IFERROR(__xludf.DUMMYFUNCTION("LET(
  refItem, TO_TEXT(D6),
  logDates, inventoryLog!$C:$C,
  logCust, inventoryLog!$D:$D,
  logMut, inventoryLog!$H:$H,
  logItems, inventoryLog!$K:$K,
  matches, FILTER({logDates, logCust, logMut}, REGEXMATCH(TO_TEXT(logItems), ""\b""&amp;refItem&amp;""\b""))"&amp;",
  sorted, SORT(matches, 1, FALSE),
  latestMutation, INDEX(sorted, 1, 3),
  latestCust, INDEX(sorted, 1, 2),
  IF(ISBLANK(D6),"""", IF(IFERROR(latestMutation,"""")=""OUT"", latestCust, ""AKGREADY"")
))"),"ba97d58d")</f>
        <v>ba97d58d</v>
      </c>
    </row>
    <row r="7">
      <c r="A7" s="28" t="s">
        <v>6842</v>
      </c>
      <c r="B7" s="57" t="s">
        <v>3486</v>
      </c>
      <c r="C7" s="5" t="s">
        <v>3487</v>
      </c>
      <c r="D7" s="28" t="s">
        <v>6843</v>
      </c>
      <c r="F7" s="59">
        <v>45983.572071759256</v>
      </c>
      <c r="G7" s="5" t="str">
        <f>IFERROR(__xludf.DUMMYFUNCTION("LET(
  refItem, TO_TEXT(D7),
  logDates, inventoryLog!$C:$C,
  logCust, inventoryLog!$D:$D,
  logMut, inventoryLog!$H:$H,
  logItems, inventoryLog!$K:$K,
  matches, FILTER({logDates, logCust, logMut}, REGEXMATCH(TO_TEXT(logItems), ""\b""&amp;refItem&amp;""\b""))"&amp;",
  sorted, SORT(matches, 1, FALSE),
  latestMutation, INDEX(sorted, 1, 3),
  latestCust, INDEX(sorted, 1, 2),
  IF(ISBLANK(D7),"""", IF(IFERROR(latestMutation,"""")=""OUT"", latestCust, ""AKGREADY"")
))"),"1c4d5e93")</f>
        <v>1c4d5e93</v>
      </c>
    </row>
    <row r="8">
      <c r="A8" s="28"/>
      <c r="B8" s="57" t="s">
        <v>3486</v>
      </c>
      <c r="C8" s="5" t="s">
        <v>3487</v>
      </c>
      <c r="D8" s="28" t="s">
        <v>6844</v>
      </c>
      <c r="G8" s="5" t="str">
        <f>IFERROR(__xludf.DUMMYFUNCTION("LET(
  refItem, TO_TEXT(D8),
  logDates, inventoryLog!$C:$C,
  logCust, inventoryLog!$D:$D,
  logMut, inventoryLog!$H:$H,
  logItems, inventoryLog!$K:$K,
  matches, FILTER({logDates, logCust, logMut}, REGEXMATCH(TO_TEXT(logItems), ""\b""&amp;refItem&amp;""\b""))"&amp;",
  sorted, SORT(matches, 1, FALSE),
  latestMutation, INDEX(sorted, 1, 3),
  latestCust, INDEX(sorted, 1, 2),
  IF(ISBLANK(D8),"""", IF(IFERROR(latestMutation,"""")=""OUT"", latestCust, ""AKGREADY"")
))"),"01158be1")</f>
        <v>01158be1</v>
      </c>
    </row>
    <row r="9">
      <c r="A9" s="28"/>
      <c r="B9" s="57" t="s">
        <v>3486</v>
      </c>
      <c r="C9" s="5" t="s">
        <v>3487</v>
      </c>
      <c r="D9" s="28" t="s">
        <v>5998</v>
      </c>
      <c r="G9" s="5" t="str">
        <f>IFERROR(__xludf.DUMMYFUNCTION("LET(
  refItem, TO_TEXT(D9),
  logDates, inventoryLog!$C:$C,
  logCust, inventoryLog!$D:$D,
  logMut, inventoryLog!$H:$H,
  logItems, inventoryLog!$K:$K,
  matches, FILTER({logDates, logCust, logMut}, REGEXMATCH(TO_TEXT(logItems), ""\b""&amp;refItem&amp;""\b""))"&amp;",
  sorted, SORT(matches, 1, FALSE),
  latestMutation, INDEX(sorted, 1, 3),
  latestCust, INDEX(sorted, 1, 2),
  IF(ISBLANK(D9),"""", IF(IFERROR(latestMutation,"""")=""OUT"", latestCust, ""AKGREADY"")
))"),"45d814b4")</f>
        <v>45d814b4</v>
      </c>
    </row>
    <row r="10">
      <c r="A10" s="28" t="s">
        <v>6845</v>
      </c>
      <c r="B10" s="57" t="s">
        <v>3486</v>
      </c>
      <c r="C10" s="5" t="s">
        <v>3487</v>
      </c>
      <c r="D10" s="28" t="s">
        <v>4475</v>
      </c>
      <c r="F10" s="59">
        <v>45908.34391203704</v>
      </c>
      <c r="G10" s="5" t="str">
        <f>IFERROR(__xludf.DUMMYFUNCTION("LET(
  refItem, TO_TEXT(D10),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IF(ISBLANK(D10),"""", IF(IFERROR(latestMutation,"""")=""OUT"", latestCust, ""AKGREADY"")
))"),"a0f0ad2d")</f>
        <v>a0f0ad2d</v>
      </c>
    </row>
    <row r="11">
      <c r="A11" s="28" t="s">
        <v>6846</v>
      </c>
      <c r="B11" s="57" t="s">
        <v>3486</v>
      </c>
      <c r="C11" s="5" t="s">
        <v>3487</v>
      </c>
      <c r="D11" s="28" t="s">
        <v>6847</v>
      </c>
      <c r="F11" s="59">
        <v>45930.36609953704</v>
      </c>
      <c r="G11" s="5" t="str">
        <f>IFERROR(__xludf.DUMMYFUNCTION("LET(
  refItem, TO_TEXT(D11),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IF(ISBLANK(D11),"""", IF(IFERROR(latestMutation,"""")=""OUT"", latestCust, ""AKGREADY"")
))"),"a0f0ad2d")</f>
        <v>a0f0ad2d</v>
      </c>
    </row>
    <row r="12">
      <c r="A12" s="28" t="s">
        <v>6848</v>
      </c>
      <c r="B12" s="57" t="s">
        <v>3486</v>
      </c>
      <c r="C12" s="5" t="s">
        <v>3487</v>
      </c>
      <c r="D12" s="28" t="s">
        <v>6700</v>
      </c>
      <c r="F12" s="59">
        <v>45911.34945601852</v>
      </c>
      <c r="G12" s="5" t="str">
        <f>IFERROR(__xludf.DUMMYFUNCTION("LET(
  refItem, TO_TEXT(D12),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IF(ISBLANK(D12),"""", IF(IFERROR(latestMutation,"""")=""OUT"", latestCust, ""AKGREADY"")
))"),"58b72e0c")</f>
        <v>58b72e0c</v>
      </c>
    </row>
    <row r="13">
      <c r="A13" s="10" t="s">
        <v>6849</v>
      </c>
      <c r="B13" s="57" t="s">
        <v>3486</v>
      </c>
      <c r="C13" s="5" t="s">
        <v>3487</v>
      </c>
      <c r="D13" s="28" t="s">
        <v>6386</v>
      </c>
      <c r="F13" s="6">
        <v>46052.541597222225</v>
      </c>
      <c r="G13" s="5" t="str">
        <f>IFERROR(__xludf.DUMMYFUNCTION("LET(
  refItem, TO_TEXT(D13),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IF(ISBLANK(D13),"""", IF(IFERROR(latestMutation,"""")=""OUT"", latestCust, ""AKGREADY"")
))"),"734c6d17")</f>
        <v>734c6d17</v>
      </c>
    </row>
    <row r="14">
      <c r="A14" s="28" t="s">
        <v>6850</v>
      </c>
      <c r="B14" s="57" t="s">
        <v>3486</v>
      </c>
      <c r="C14" s="5" t="s">
        <v>3487</v>
      </c>
      <c r="D14" s="28" t="s">
        <v>3503</v>
      </c>
      <c r="F14" s="59">
        <v>45966.70793981481</v>
      </c>
      <c r="G14" s="5" t="str">
        <f>IFERROR(__xludf.DUMMYFUNCTION("LET(
  refItem, TO_TEXT(D14),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IF(ISBLANK(D14),"""", IF(IFERROR(latestMutation,"""")=""OUT"", latestCust, ""AKGREADY"")
))"),"AKGREADY")</f>
        <v>AKGREADY</v>
      </c>
    </row>
    <row r="15">
      <c r="A15" s="28" t="s">
        <v>6851</v>
      </c>
      <c r="B15" s="57" t="s">
        <v>3486</v>
      </c>
      <c r="C15" s="5" t="s">
        <v>3487</v>
      </c>
      <c r="D15" s="28" t="s">
        <v>5842</v>
      </c>
      <c r="F15" s="59">
        <v>45899.407118055555</v>
      </c>
      <c r="G15" s="5" t="str">
        <f>IFERROR(__xludf.DUMMYFUNCTION("LET(
  refItem, TO_TEXT(D15),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IF(ISBLANK(D15),"""", IF(IFERROR(latestMutation,"""")=""OUT"", latestCust, ""AKGREADY"")
))"),"3b04351a")</f>
        <v>3b04351a</v>
      </c>
    </row>
    <row r="16">
      <c r="A16" s="5" t="s">
        <v>6852</v>
      </c>
      <c r="B16" s="57" t="s">
        <v>3486</v>
      </c>
      <c r="C16" s="5" t="s">
        <v>3487</v>
      </c>
      <c r="D16" s="28" t="s">
        <v>5333</v>
      </c>
      <c r="F16" s="59">
        <v>45882.499189814815</v>
      </c>
      <c r="G16" s="5" t="str">
        <f>IFERROR(__xludf.DUMMYFUNCTION("LET(
  refItem, TO_TEXT(D16),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IF(ISBLANK(D16),"""", IF(IFERROR(latestMutation,"""")=""OUT"", latestCust, ""AKGREADY"")
))"),"a0f0ad2d")</f>
        <v>a0f0ad2d</v>
      </c>
    </row>
    <row r="17">
      <c r="A17" s="5" t="s">
        <v>6853</v>
      </c>
      <c r="B17" s="57" t="s">
        <v>3486</v>
      </c>
      <c r="C17" s="5" t="s">
        <v>3487</v>
      </c>
      <c r="D17" s="28" t="s">
        <v>4072</v>
      </c>
      <c r="F17" s="59">
        <v>45898.389085648145</v>
      </c>
      <c r="G17" s="5" t="str">
        <f>IFERROR(__xludf.DUMMYFUNCTION("LET(
  refItem, TO_TEXT(D17),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IF(ISBLANK(D17),"""", IF(IFERROR(latestMutation,"""")=""OUT"", latestCust, ""AKGREADY"")
))"),"8ea74d81")</f>
        <v>8ea74d81</v>
      </c>
    </row>
    <row r="18">
      <c r="A18" s="5" t="s">
        <v>6854</v>
      </c>
      <c r="B18" s="5" t="s">
        <v>3486</v>
      </c>
      <c r="C18" s="5" t="s">
        <v>3487</v>
      </c>
      <c r="D18" s="28" t="s">
        <v>6855</v>
      </c>
      <c r="F18" s="59">
        <v>45876.61509259259</v>
      </c>
      <c r="G18" s="5" t="str">
        <f>IFERROR(__xludf.DUMMYFUNCTION("LET(
  refItem, TO_TEXT(D18),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IF(ISBLANK(D18),"""", IF(IFERROR(latestMutation,"""")=""OUT"", latestCust, ""AKGREADY"")
))"),"1c48ae79")</f>
        <v>1c48ae79</v>
      </c>
    </row>
    <row r="19">
      <c r="B19" s="5" t="s">
        <v>3486</v>
      </c>
      <c r="C19" s="5" t="s">
        <v>3487</v>
      </c>
      <c r="D19" s="28" t="s">
        <v>5024</v>
      </c>
      <c r="F19" s="59">
        <v>45961.61380787037</v>
      </c>
      <c r="G19" s="5" t="str">
        <f>IFERROR(__xludf.DUMMYFUNCTION("LET(
  refItem, TO_TEXT(D19),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IF(ISBLANK(D19),"""", IF(IFERROR(latestMutation,"""")=""OUT"", latestCust, ""AKGREADY"")
))"),"057b6b99")</f>
        <v>057b6b99</v>
      </c>
    </row>
    <row r="20">
      <c r="A20" s="5" t="s">
        <v>6856</v>
      </c>
      <c r="B20" s="5" t="s">
        <v>3486</v>
      </c>
      <c r="C20" s="5" t="s">
        <v>3487</v>
      </c>
      <c r="D20" s="28" t="s">
        <v>5294</v>
      </c>
      <c r="F20" s="59">
        <v>45910.39810185185</v>
      </c>
      <c r="G20" s="5" t="str">
        <f>IFERROR(__xludf.DUMMYFUNCTION("LET(
  refItem, TO_TEXT(D20),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IF(ISBLANK(D20),"""", IF(IFERROR(latestMutation,"""")=""OUT"", latestCust, ""AKGREADY"")
))"),"63fc688a")</f>
        <v>63fc688a</v>
      </c>
    </row>
    <row r="21">
      <c r="B21" s="5" t="s">
        <v>3486</v>
      </c>
      <c r="C21" s="5" t="s">
        <v>3487</v>
      </c>
      <c r="D21" s="28" t="s">
        <v>6857</v>
      </c>
      <c r="F21" s="59">
        <v>45965.70990740741</v>
      </c>
      <c r="G21" s="5" t="str">
        <f>IFERROR(__xludf.DUMMYFUNCTION("LET(
  refItem, TO_TEXT(D21),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IF(ISBLANK(D21),"""", IF(IFERROR(latestMutation,"""")=""OUT"", latestCust, ""AKGREADY"")
))"),"a0f0ad2d")</f>
        <v>a0f0ad2d</v>
      </c>
    </row>
    <row r="22">
      <c r="A22" s="5" t="s">
        <v>6858</v>
      </c>
      <c r="B22" s="5" t="s">
        <v>3486</v>
      </c>
      <c r="C22" s="5" t="s">
        <v>3487</v>
      </c>
      <c r="D22" s="28" t="s">
        <v>4099</v>
      </c>
      <c r="F22" s="59">
        <v>45968.4475</v>
      </c>
      <c r="G22" s="5" t="str">
        <f>IFERROR(__xludf.DUMMYFUNCTION("LET(
  refItem, TO_TEXT(D22),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IF(ISBLANK(D22),"""", IF(IFERROR(latestMutation,"""")=""OUT"", latestCust, ""AKGREADY"")
))"),"AKGREADY")</f>
        <v>AKGREADY</v>
      </c>
    </row>
    <row r="23">
      <c r="A23" s="5" t="s">
        <v>6859</v>
      </c>
      <c r="B23" s="5" t="s">
        <v>3486</v>
      </c>
      <c r="C23" s="5" t="s">
        <v>3487</v>
      </c>
      <c r="D23" s="28" t="s">
        <v>6860</v>
      </c>
      <c r="F23" s="59">
        <v>45972.431921296295</v>
      </c>
      <c r="G23" s="5" t="str">
        <f>IFERROR(__xludf.DUMMYFUNCTION("LET(
  refItem, TO_TEXT(D23),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IF(ISBLANK(D23),"""", IF(IFERROR(latestMutation,"""")=""OUT"", latestCust, ""AKGREADY"")
))"),"a9fe1bea")</f>
        <v>a9fe1bea</v>
      </c>
    </row>
    <row r="24">
      <c r="A24" s="10" t="s">
        <v>6861</v>
      </c>
      <c r="B24" s="5" t="s">
        <v>3486</v>
      </c>
      <c r="C24" s="5" t="s">
        <v>3487</v>
      </c>
      <c r="D24" s="28" t="s">
        <v>6862</v>
      </c>
      <c r="F24" s="6">
        <v>46050.648252314815</v>
      </c>
      <c r="G24" s="5" t="str">
        <f>IFERROR(__xludf.DUMMYFUNCTION("LET(
  refItem, TO_TEXT(D24),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IF(ISBLANK(D24),"""", IF(IFERROR(latestMutation,"""")=""OUT"", latestCust, ""AKGREADY"")
))"),"AKGREADY")</f>
        <v>AKGREADY</v>
      </c>
    </row>
    <row r="25">
      <c r="A25" s="28" t="s">
        <v>6863</v>
      </c>
      <c r="B25" s="5" t="s">
        <v>3486</v>
      </c>
      <c r="C25" s="5" t="s">
        <v>3487</v>
      </c>
      <c r="D25" s="28" t="s">
        <v>4005</v>
      </c>
      <c r="F25" s="59">
        <v>45919.35868055555</v>
      </c>
      <c r="G25" s="5" t="str">
        <f>IFERROR(__xludf.DUMMYFUNCTION("LET(
  refItem, TO_TEXT(D25),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IF(ISBLANK(D25),"""", IF(IFERROR(latestMutation,"""")=""OUT"", latestCust, ""AKGREADY"")
))"),"ec231cc9")</f>
        <v>ec231cc9</v>
      </c>
    </row>
    <row r="26">
      <c r="A26" s="10" t="s">
        <v>6864</v>
      </c>
      <c r="B26" s="5" t="s">
        <v>3486</v>
      </c>
      <c r="C26" s="5" t="s">
        <v>3487</v>
      </c>
      <c r="D26" s="28" t="s">
        <v>6865</v>
      </c>
      <c r="F26" s="6">
        <v>46050.69982638889</v>
      </c>
      <c r="G26" s="5" t="str">
        <f>IFERROR(__xludf.DUMMYFUNCTION("LET(
  refItem, TO_TEXT(D26),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IF(ISBLANK(D26),"""", IF(IFERROR(latestMutation,"""")=""OUT"", latestCust, ""AKGREADY"")
))"),"faf71ae5")</f>
        <v>faf71ae5</v>
      </c>
    </row>
    <row r="27">
      <c r="A27" s="5" t="s">
        <v>6866</v>
      </c>
      <c r="B27" s="57" t="s">
        <v>3486</v>
      </c>
      <c r="C27" s="5" t="s">
        <v>3487</v>
      </c>
      <c r="D27" s="28" t="s">
        <v>5656</v>
      </c>
      <c r="F27" s="59">
        <v>45909.42424768519</v>
      </c>
      <c r="G27" s="5" t="str">
        <f>IFERROR(__xludf.DUMMYFUNCTION("LET(
  refItem, TO_TEXT(D27),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IF(ISBLANK(D27),"""", IF(IFERROR(latestMutation,"""")=""OUT"", latestCust, ""AKGREADY"")
))"),"2d88931c")</f>
        <v>2d88931c</v>
      </c>
    </row>
    <row r="28">
      <c r="A28" s="5" t="s">
        <v>6867</v>
      </c>
      <c r="B28" s="5" t="s">
        <v>3486</v>
      </c>
      <c r="C28" s="5" t="s">
        <v>3487</v>
      </c>
      <c r="D28" s="28" t="s">
        <v>5497</v>
      </c>
      <c r="F28" s="59">
        <v>45896.49758101852</v>
      </c>
      <c r="G28" s="5" t="str">
        <f>IFERROR(__xludf.DUMMYFUNCTION("LET(
  refItem, TO_TEXT(D28),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IF(ISBLANK(D28),"""", IF(IFERROR(latestMutation,"""")=""OUT"", latestCust, ""AKGREADY"")
))"),"8ea74d81")</f>
        <v>8ea74d81</v>
      </c>
    </row>
    <row r="29">
      <c r="A29" s="5" t="s">
        <v>6868</v>
      </c>
      <c r="B29" s="5" t="s">
        <v>3486</v>
      </c>
      <c r="C29" s="5" t="s">
        <v>3487</v>
      </c>
      <c r="D29" s="28" t="s">
        <v>6575</v>
      </c>
      <c r="F29" s="59">
        <v>45919.359814814816</v>
      </c>
      <c r="G29" s="5" t="str">
        <f>IFERROR(__xludf.DUMMYFUNCTION("LET(
  refItem, TO_TEXT(D29),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IF(ISBLANK(D29),"""", IF(IFERROR(latestMutation,"""")=""OUT"", latestCust, ""AKGREADY"")
))"),"63fc688a")</f>
        <v>63fc688a</v>
      </c>
    </row>
    <row r="30">
      <c r="A30" s="5" t="s">
        <v>6869</v>
      </c>
      <c r="B30" s="5" t="s">
        <v>3486</v>
      </c>
      <c r="C30" s="5" t="s">
        <v>3487</v>
      </c>
      <c r="D30" s="28" t="s">
        <v>5813</v>
      </c>
      <c r="F30" s="59">
        <v>45873.47787037037</v>
      </c>
      <c r="G30" s="5" t="str">
        <f>IFERROR(__xludf.DUMMYFUNCTION("LET(
  refItem, TO_TEXT(D30),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IF(ISBLANK(D30),"""", IF(IFERROR(latestMutation,"""")=""OUT"", latestCust, ""AKGREADY"")
))"),"bdb5baf3")</f>
        <v>bdb5baf3</v>
      </c>
    </row>
    <row r="31">
      <c r="A31" s="5" t="s">
        <v>6870</v>
      </c>
      <c r="B31" s="5" t="s">
        <v>3486</v>
      </c>
      <c r="C31" s="5" t="s">
        <v>3487</v>
      </c>
      <c r="D31" s="28" t="s">
        <v>5934</v>
      </c>
      <c r="F31" s="59">
        <v>45909.42269675926</v>
      </c>
      <c r="G31" s="5" t="str">
        <f>IFERROR(__xludf.DUMMYFUNCTION("LET(
  refItem, TO_TEXT(D31),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IF(ISBLANK(D31),"""", IF(IFERROR(latestMutation,"""")=""OUT"", latestCust, ""AKGREADY"")
))"),"9828dfc5")</f>
        <v>9828dfc5</v>
      </c>
    </row>
    <row r="32">
      <c r="A32" s="5" t="s">
        <v>6871</v>
      </c>
      <c r="B32" s="5" t="s">
        <v>3486</v>
      </c>
      <c r="C32" s="5" t="s">
        <v>3487</v>
      </c>
      <c r="D32" s="28" t="s">
        <v>6872</v>
      </c>
      <c r="F32" s="59">
        <v>45964.64928240741</v>
      </c>
      <c r="G32" s="5" t="str">
        <f>IFERROR(__xludf.DUMMYFUNCTION("LET(
  refItem, TO_TEXT(D32),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IF(ISBLANK(D32),"""", IF(IFERROR(latestMutation,"""")=""OUT"", latestCust, ""AKGREADY"")
))"),"4ec68cf6")</f>
        <v>4ec68cf6</v>
      </c>
    </row>
    <row r="33">
      <c r="A33" s="5" t="s">
        <v>6873</v>
      </c>
      <c r="B33" s="5" t="s">
        <v>3486</v>
      </c>
      <c r="C33" s="5" t="s">
        <v>3487</v>
      </c>
      <c r="D33" s="28" t="s">
        <v>5293</v>
      </c>
      <c r="F33" s="59">
        <v>45909.4240162037</v>
      </c>
      <c r="G33" s="5" t="str">
        <f>IFERROR(__xludf.DUMMYFUNCTION("LET(
  refItem, TO_TEXT(D33),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IF(ISBLANK(D33),"""", IF(IFERROR(latestMutation,"""")=""OUT"", latestCust, ""AKGREADY"")
))"),"63fc688a")</f>
        <v>63fc688a</v>
      </c>
    </row>
    <row r="34">
      <c r="A34" s="5" t="s">
        <v>6874</v>
      </c>
      <c r="B34" s="5" t="s">
        <v>3486</v>
      </c>
      <c r="C34" s="5" t="s">
        <v>3487</v>
      </c>
      <c r="D34" s="28" t="s">
        <v>4239</v>
      </c>
      <c r="F34" s="59">
        <v>45909.424097222225</v>
      </c>
      <c r="G34" s="5" t="str">
        <f>IFERROR(__xludf.DUMMYFUNCTION("LET(
  refItem, TO_TEXT(D34),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IF(ISBLANK(D34),"""", IF(IFERROR(latestMutation,"""")=""OUT"", latestCust, ""AKGREADY"")
))"),"a9fe1bea")</f>
        <v>a9fe1bea</v>
      </c>
    </row>
    <row r="35">
      <c r="A35" s="10" t="s">
        <v>6875</v>
      </c>
      <c r="B35" s="5" t="s">
        <v>3486</v>
      </c>
      <c r="C35" s="5" t="s">
        <v>3487</v>
      </c>
      <c r="D35" s="28" t="s">
        <v>6534</v>
      </c>
      <c r="F35" s="6">
        <v>46050.69994212963</v>
      </c>
      <c r="G35" s="5" t="str">
        <f>IFERROR(__xludf.DUMMYFUNCTION("LET(
  refItem, TO_TEXT(D35),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IF(ISBLANK(D35),"""", IF(IFERROR(latestMutation,"""")=""OUT"", latestCust, ""AKGREADY"")
))"),"9828dfc5")</f>
        <v>9828dfc5</v>
      </c>
    </row>
    <row r="36">
      <c r="A36" s="28" t="s">
        <v>6876</v>
      </c>
      <c r="B36" s="57" t="s">
        <v>3486</v>
      </c>
      <c r="C36" s="5" t="s">
        <v>3487</v>
      </c>
      <c r="D36" s="28" t="s">
        <v>3957</v>
      </c>
      <c r="F36" s="59">
        <v>45927.61924768519</v>
      </c>
      <c r="G36" s="5" t="str">
        <f>IFERROR(__xludf.DUMMYFUNCTION("LET(
  refItem, TO_TEXT(D36),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IF(ISBLANK(D36),"""", IF(IFERROR(latestMutation,"""")=""OUT"", latestCust, ""AKGREADY"")
))"),"63fc688a")</f>
        <v>63fc688a</v>
      </c>
    </row>
    <row r="37">
      <c r="A37" s="5" t="s">
        <v>6877</v>
      </c>
      <c r="B37" s="57" t="s">
        <v>3486</v>
      </c>
      <c r="C37" s="5" t="s">
        <v>3487</v>
      </c>
      <c r="D37" s="28" t="s">
        <v>6477</v>
      </c>
      <c r="F37" s="59">
        <v>45983.572430555556</v>
      </c>
      <c r="G37" s="5" t="str">
        <f>IFERROR(__xludf.DUMMYFUNCTION("LET(
  refItem, TO_TEXT(D37),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IF(ISBLANK(D37),"""", IF(IFERROR(latestMutation,"""")=""OUT"", latestCust, ""AKGREADY"")
))"),"AKGREADY")</f>
        <v>AKGREADY</v>
      </c>
    </row>
    <row r="38">
      <c r="A38" s="5" t="s">
        <v>6878</v>
      </c>
      <c r="B38" s="5" t="s">
        <v>3486</v>
      </c>
      <c r="C38" s="5" t="s">
        <v>3487</v>
      </c>
      <c r="D38" s="28" t="s">
        <v>5066</v>
      </c>
      <c r="F38" s="59">
        <v>45975.583287037036</v>
      </c>
      <c r="G38" s="5" t="str">
        <f>IFERROR(__xludf.DUMMYFUNCTION("LET(
  refItem, TO_TEXT(D38),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IF(ISBLANK(D38),"""", IF(IFERROR(latestMutation,"""")=""OUT"", latestCust, ""AKGREADY"")
))"),"eec2e801")</f>
        <v>eec2e801</v>
      </c>
    </row>
    <row r="39">
      <c r="A39" s="5" t="s">
        <v>6879</v>
      </c>
      <c r="B39" s="57" t="s">
        <v>3486</v>
      </c>
      <c r="C39" s="5" t="s">
        <v>3487</v>
      </c>
      <c r="D39" s="28" t="s">
        <v>3733</v>
      </c>
      <c r="F39" s="59">
        <v>45919.68429398148</v>
      </c>
      <c r="G39" s="5" t="str">
        <f>IFERROR(__xludf.DUMMYFUNCTION("LET(
  refItem, TO_TEXT(D39),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IF(ISBLANK(D39),"""", IF(IFERROR(latestMutation,"""")=""OUT"", latestCust, ""AKGREADY"")
))"),"63fc688a")</f>
        <v>63fc688a</v>
      </c>
    </row>
    <row r="40">
      <c r="A40" s="10" t="s">
        <v>6880</v>
      </c>
      <c r="B40" s="5" t="s">
        <v>3486</v>
      </c>
      <c r="C40" s="5" t="s">
        <v>3487</v>
      </c>
      <c r="D40" s="28" t="s">
        <v>4363</v>
      </c>
      <c r="F40" s="6">
        <v>46058.386875</v>
      </c>
      <c r="G40" s="5" t="str">
        <f>IFERROR(__xludf.DUMMYFUNCTION("LET(
  refItem, TO_TEXT(D40),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IF(ISBLANK(D40),"""", IF(IFERROR(latestMutation,"""")=""OUT"", latestCust, ""AKGREADY"")
))"),"02c693f1")</f>
        <v>02c693f1</v>
      </c>
    </row>
    <row r="41">
      <c r="A41" s="10" t="s">
        <v>6881</v>
      </c>
      <c r="B41" s="5" t="s">
        <v>3486</v>
      </c>
      <c r="C41" s="5" t="s">
        <v>3487</v>
      </c>
      <c r="D41" s="28" t="s">
        <v>5161</v>
      </c>
      <c r="F41" s="6">
        <v>46049.381319444445</v>
      </c>
      <c r="G41" s="5" t="str">
        <f>IFERROR(__xludf.DUMMYFUNCTION("LET(
  refItem, TO_TEXT(D41),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IF(ISBLANK(D41),"""", IF(IFERROR(latestMutation,"""")=""OUT"", latestCust, ""AKGREADY"")
))"),"4ec68cf6")</f>
        <v>4ec68cf6</v>
      </c>
    </row>
    <row r="42">
      <c r="A42" s="5" t="s">
        <v>6882</v>
      </c>
      <c r="B42" s="5" t="s">
        <v>3486</v>
      </c>
      <c r="C42" s="5" t="s">
        <v>3487</v>
      </c>
      <c r="D42" s="28" t="s">
        <v>6883</v>
      </c>
      <c r="F42" s="59">
        <v>45898.3884375</v>
      </c>
      <c r="G42" s="5" t="str">
        <f>IFERROR(__xludf.DUMMYFUNCTION("LET(
  refItem, TO_TEXT(D42),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IF(ISBLANK(D42),"""", IF(IFERROR(latestMutation,"""")=""OUT"", latestCust, ""AKGREADY"")
))"),"a9fe1bea")</f>
        <v>a9fe1bea</v>
      </c>
    </row>
    <row r="43">
      <c r="A43" s="5" t="s">
        <v>6884</v>
      </c>
      <c r="B43" s="5" t="s">
        <v>3486</v>
      </c>
      <c r="C43" s="5" t="s">
        <v>3487</v>
      </c>
      <c r="D43" s="28" t="s">
        <v>3860</v>
      </c>
      <c r="F43" s="59">
        <v>45919.68533564815</v>
      </c>
      <c r="G43" s="5" t="str">
        <f>IFERROR(__xludf.DUMMYFUNCTION("LET(
  refItem, TO_TEXT(D43),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IF(ISBLANK(D43),"""", IF(IFERROR(latestMutation,"""")=""OUT"", latestCust, ""AKGREADY"")
))"),"AKGREADY")</f>
        <v>AKGREADY</v>
      </c>
    </row>
    <row r="44">
      <c r="A44" s="5" t="s">
        <v>6885</v>
      </c>
      <c r="B44" s="5" t="s">
        <v>3486</v>
      </c>
      <c r="C44" s="5" t="s">
        <v>3487</v>
      </c>
      <c r="D44" s="28" t="s">
        <v>6886</v>
      </c>
      <c r="F44" s="59">
        <v>45909.42233796296</v>
      </c>
      <c r="G44" s="5" t="str">
        <f>IFERROR(__xludf.DUMMYFUNCTION("LET(
  refItem, TO_TEXT(D44),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IF(ISBLANK(D44),"""", IF(IFERROR(latestMutation,"""")=""OUT"", latestCust, ""AKGREADY"")
))"),"AKGREADY")</f>
        <v>AKGREADY</v>
      </c>
    </row>
    <row r="45">
      <c r="A45" s="5" t="s">
        <v>6887</v>
      </c>
      <c r="B45" s="5" t="s">
        <v>3486</v>
      </c>
      <c r="C45" s="5" t="s">
        <v>3487</v>
      </c>
      <c r="D45" s="28" t="s">
        <v>5868</v>
      </c>
      <c r="G45" s="5" t="str">
        <f>IFERROR(__xludf.DUMMYFUNCTION("LET(
  refItem, TO_TEXT(D45),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IF(ISBLANK(D45),"""", IF(IFERROR(latestMutation,"""")=""OUT"", latestCust, ""AKGREADY"")
))"),"AKGREADY")</f>
        <v>AKGREADY</v>
      </c>
    </row>
    <row r="46">
      <c r="A46" s="10" t="s">
        <v>6725</v>
      </c>
      <c r="B46" s="5" t="s">
        <v>3486</v>
      </c>
      <c r="C46" s="5" t="s">
        <v>3487</v>
      </c>
      <c r="D46" s="28" t="s">
        <v>5441</v>
      </c>
      <c r="F46" s="6">
        <v>46049.37931712963</v>
      </c>
      <c r="G46" s="5" t="str">
        <f>IFERROR(__xludf.DUMMYFUNCTION("LET(
  refItem, TO_TEXT(D46),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IF(ISBLANK(D46),"""", IF(IFERROR(latestMutation,"""")=""OUT"", latestCust, ""AKGREADY"")
))"),"63fc688a")</f>
        <v>63fc688a</v>
      </c>
    </row>
    <row r="47">
      <c r="A47" s="5" t="s">
        <v>6888</v>
      </c>
      <c r="B47" s="5" t="s">
        <v>3486</v>
      </c>
      <c r="C47" s="5" t="s">
        <v>3487</v>
      </c>
      <c r="D47" s="28" t="s">
        <v>4528</v>
      </c>
      <c r="G47" s="5" t="str">
        <f>IFERROR(__xludf.DUMMYFUNCTION("LET(
  refItem, TO_TEXT(D47),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IF(ISBLANK(D47),"""", IF(IFERROR(latestMutation,"""")=""OUT"", latestCust, ""AKGREADY"")
))"),"63fc688a")</f>
        <v>63fc688a</v>
      </c>
    </row>
    <row r="48">
      <c r="A48" s="5" t="s">
        <v>6889</v>
      </c>
      <c r="B48" s="57" t="s">
        <v>3486</v>
      </c>
      <c r="C48" s="5" t="s">
        <v>3487</v>
      </c>
      <c r="D48" s="28" t="s">
        <v>6890</v>
      </c>
      <c r="F48" s="59">
        <v>45995.39451388889</v>
      </c>
      <c r="G48" s="5" t="str">
        <f>IFERROR(__xludf.DUMMYFUNCTION("LET(
  refItem, TO_TEXT(D48),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IF(ISBLANK(D48),"""", IF(IFERROR(latestMutation,"""")=""OUT"", latestCust, ""AKGREADY"")
))"),"e86baf3b")</f>
        <v>e86baf3b</v>
      </c>
    </row>
    <row r="49">
      <c r="A49" s="5" t="s">
        <v>6891</v>
      </c>
      <c r="B49" s="57" t="s">
        <v>3486</v>
      </c>
      <c r="C49" s="5" t="s">
        <v>3487</v>
      </c>
      <c r="D49" s="28" t="s">
        <v>6484</v>
      </c>
      <c r="F49" s="59">
        <v>45896.4978587963</v>
      </c>
      <c r="G49" s="5" t="str">
        <f>IFERROR(__xludf.DUMMYFUNCTION("LET(
  refItem, TO_TEXT(D49),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IF(ISBLANK(D49),"""", IF(IFERROR(latestMutation,"""")=""OUT"", latestCust, ""AKGREADY"")
))"),"AKGREADY")</f>
        <v>AKGREADY</v>
      </c>
    </row>
    <row r="50">
      <c r="A50" s="5" t="s">
        <v>6892</v>
      </c>
      <c r="B50" s="5" t="s">
        <v>3486</v>
      </c>
      <c r="C50" s="5" t="s">
        <v>3487</v>
      </c>
      <c r="D50" s="28" t="s">
        <v>6893</v>
      </c>
      <c r="F50" s="59">
        <v>45899.40454861111</v>
      </c>
      <c r="G50" s="5" t="str">
        <f>IFERROR(__xludf.DUMMYFUNCTION("LET(
  refItem, TO_TEXT(D50),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IF(ISBLANK(D50),"""", IF(IFERROR(latestMutation,"""")=""OUT"", latestCust, ""AKGREADY"")
))"),"eec2e801")</f>
        <v>eec2e801</v>
      </c>
    </row>
    <row r="51">
      <c r="A51" s="10" t="s">
        <v>6894</v>
      </c>
      <c r="B51" s="57" t="s">
        <v>3486</v>
      </c>
      <c r="C51" s="5" t="s">
        <v>3487</v>
      </c>
      <c r="D51" s="28" t="s">
        <v>6895</v>
      </c>
      <c r="F51" s="6">
        <v>46060.59972222222</v>
      </c>
      <c r="G51" s="5" t="str">
        <f>IFERROR(__xludf.DUMMYFUNCTION("LET(
  refItem, TO_TEXT(D51),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IF(ISBLANK(D51),"""", IF(IFERROR(latestMutation,"""")=""OUT"", latestCust, ""AKGREADY"")
))"),"2d88931c")</f>
        <v>2d88931c</v>
      </c>
    </row>
    <row r="52">
      <c r="A52" s="5" t="s">
        <v>6896</v>
      </c>
      <c r="B52" s="5" t="s">
        <v>4203</v>
      </c>
      <c r="C52" s="5" t="s">
        <v>4204</v>
      </c>
      <c r="D52" s="28" t="s">
        <v>5162</v>
      </c>
      <c r="F52" s="59">
        <v>45911.35790509259</v>
      </c>
      <c r="G52" s="5" t="str">
        <f>IFERROR(__xludf.DUMMYFUNCTION("LET(
  refItem, TO_TEXT(D52),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IF(ISBLANK(D52),"""", IF(IFERROR(latestMutation,"""")=""OUT"", latestCust, ""AKGREADY"")
))"),"7b9d8eba")</f>
        <v>7b9d8eba</v>
      </c>
    </row>
    <row r="53">
      <c r="A53" s="5" t="s">
        <v>6897</v>
      </c>
      <c r="B53" s="5" t="s">
        <v>4203</v>
      </c>
      <c r="C53" s="5" t="s">
        <v>4204</v>
      </c>
      <c r="D53" s="28" t="s">
        <v>4183</v>
      </c>
      <c r="F53" s="59">
        <v>45889.475798611114</v>
      </c>
      <c r="G53" s="5" t="str">
        <f>IFERROR(__xludf.DUMMYFUNCTION("LET(
  refItem, TO_TEXT(D53),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IF(ISBLANK(D53),"""", IF(IFERROR(latestMutation,"""")=""OUT"", latestCust, ""AKGREADY"")
))"),"9b941888")</f>
        <v>9b941888</v>
      </c>
    </row>
    <row r="54">
      <c r="A54" s="5" t="s">
        <v>6898</v>
      </c>
      <c r="B54" s="57" t="s">
        <v>4203</v>
      </c>
      <c r="C54" s="5" t="s">
        <v>4204</v>
      </c>
      <c r="D54" s="28" t="s">
        <v>6899</v>
      </c>
      <c r="F54" s="59">
        <v>45926.62449074074</v>
      </c>
      <c r="G54" s="5" t="str">
        <f>IFERROR(__xludf.DUMMYFUNCTION("LET(
  refItem, TO_TEXT(D54),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IF(ISBLANK(D54),"""", IF(IFERROR(latestMutation,"""")=""OUT"", latestCust, ""AKGREADY"")
))"),"AKGREADY")</f>
        <v>AKGREADY</v>
      </c>
    </row>
    <row r="55">
      <c r="A55" s="10" t="s">
        <v>6900</v>
      </c>
      <c r="B55" s="57" t="s">
        <v>4203</v>
      </c>
      <c r="C55" s="5" t="s">
        <v>4204</v>
      </c>
      <c r="D55" s="28" t="s">
        <v>5959</v>
      </c>
      <c r="F55" s="6">
        <v>46050.65361111111</v>
      </c>
      <c r="G55" s="5" t="str">
        <f>IFERROR(__xludf.DUMMYFUNCTION("LET(
  refItem, TO_TEXT(D55),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IF(ISBLANK(D55),"""", IF(IFERROR(latestMutation,"""")=""OUT"", latestCust, ""AKGREADY"")
))"),"9b941888")</f>
        <v>9b941888</v>
      </c>
    </row>
    <row r="56">
      <c r="A56" s="10" t="s">
        <v>6901</v>
      </c>
      <c r="B56" s="5" t="s">
        <v>4203</v>
      </c>
      <c r="C56" s="5" t="s">
        <v>4204</v>
      </c>
      <c r="D56" s="28" t="s">
        <v>4180</v>
      </c>
      <c r="F56" s="6">
        <v>46064.41853009259</v>
      </c>
      <c r="G56" s="5" t="str">
        <f>IFERROR(__xludf.DUMMYFUNCTION("LET(
  refItem, TO_TEXT(D56),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IF(ISBLANK(D56),"""", IF(IFERROR(latestMutation,"""")=""OUT"", latestCust, ""AKGREADY"")
))"),"01158be1")</f>
        <v>01158be1</v>
      </c>
    </row>
    <row r="57">
      <c r="A57" s="1" t="s">
        <v>6902</v>
      </c>
      <c r="B57" s="5" t="s">
        <v>3486</v>
      </c>
      <c r="C57" s="5" t="s">
        <v>3487</v>
      </c>
      <c r="D57" s="28" t="s">
        <v>6903</v>
      </c>
      <c r="F57" s="6">
        <v>46072.432488425926</v>
      </c>
      <c r="G57" s="5" t="str">
        <f>IFERROR(__xludf.DUMMYFUNCTION("LET(
  refItem, TO_TEXT(D57),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IF(ISBLANK(D57),"""", IF(IFERROR(latestMutation,"""")=""OUT"", latestCust, ""AKGREADY"")
))"),"01158be1")</f>
        <v>01158be1</v>
      </c>
    </row>
    <row r="58">
      <c r="A58" s="5" t="s">
        <v>6904</v>
      </c>
      <c r="B58" s="5" t="s">
        <v>4203</v>
      </c>
      <c r="C58" s="5" t="s">
        <v>4204</v>
      </c>
      <c r="D58" s="28" t="s">
        <v>4478</v>
      </c>
      <c r="F58" s="59">
        <v>45983.57141203704</v>
      </c>
      <c r="G58" s="5" t="str">
        <f>IFERROR(__xludf.DUMMYFUNCTION("LET(
  refItem, TO_TEXT(D58),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IF(ISBLANK(D58),"""", IF(IFERROR(latestMutation,"""")=""OUT"", latestCust, ""AKGREADY"")
))"),"f7243d00")</f>
        <v>f7243d00</v>
      </c>
    </row>
    <row r="59">
      <c r="A59" s="5" t="s">
        <v>6905</v>
      </c>
      <c r="B59" s="5" t="s">
        <v>4203</v>
      </c>
      <c r="C59" s="5" t="s">
        <v>4204</v>
      </c>
      <c r="D59" s="28" t="s">
        <v>4912</v>
      </c>
      <c r="F59" s="59">
        <v>45889.476689814815</v>
      </c>
      <c r="G59" s="5" t="str">
        <f>IFERROR(__xludf.DUMMYFUNCTION("LET(
  refItem, TO_TEXT(D59),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IF(ISBLANK(D59),"""", IF(IFERROR(latestMutation,"""")=""OUT"", latestCust, ""AKGREADY"")
))"),"9e66ced9")</f>
        <v>9e66ced9</v>
      </c>
    </row>
    <row r="60">
      <c r="A60" s="5" t="s">
        <v>6906</v>
      </c>
      <c r="B60" s="5" t="s">
        <v>4203</v>
      </c>
      <c r="C60" s="5" t="s">
        <v>4204</v>
      </c>
      <c r="D60" s="28" t="s">
        <v>5338</v>
      </c>
      <c r="F60" s="59">
        <v>45983.57098379629</v>
      </c>
      <c r="G60" s="5" t="str">
        <f>IFERROR(__xludf.DUMMYFUNCTION("LET(
  refItem, TO_TEXT(D60),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IF(ISBLANK(D60),"""", IF(IFERROR(latestMutation,"""")=""OUT"", latestCust, ""AKGREADY"")
))"),"01158be1")</f>
        <v>01158be1</v>
      </c>
    </row>
    <row r="61">
      <c r="A61" s="5" t="s">
        <v>6907</v>
      </c>
      <c r="B61" s="57" t="s">
        <v>4203</v>
      </c>
      <c r="C61" s="5" t="s">
        <v>4204</v>
      </c>
      <c r="D61" s="28" t="s">
        <v>4001</v>
      </c>
      <c r="F61" s="59">
        <v>45983.570868055554</v>
      </c>
      <c r="G61" s="5" t="str">
        <f>IFERROR(__xludf.DUMMYFUNCTION("LET(
  refItem, TO_TEXT(D61),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IF(ISBLANK(D61),"""", IF(IFERROR(latestMutation,"""")=""OUT"", latestCust, ""AKGREADY"")
))"),"63fc688a")</f>
        <v>63fc688a</v>
      </c>
    </row>
    <row r="62">
      <c r="A62" s="5" t="s">
        <v>6908</v>
      </c>
      <c r="B62" s="57" t="s">
        <v>4203</v>
      </c>
      <c r="C62" s="5" t="s">
        <v>4204</v>
      </c>
      <c r="D62" s="28" t="s">
        <v>5245</v>
      </c>
      <c r="F62" s="59">
        <v>45882.49506944444</v>
      </c>
      <c r="G62" s="5" t="str">
        <f>IFERROR(__xludf.DUMMYFUNCTION("LET(
  refItem, TO_TEXT(D62),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IF(ISBLANK(D62),"""", IF(IFERROR(latestMutation,"""")=""OUT"", latestCust, ""AKGREADY"")
))"),"AKGREADY")</f>
        <v>AKGREADY</v>
      </c>
    </row>
    <row r="63">
      <c r="A63" s="5" t="s">
        <v>6909</v>
      </c>
      <c r="B63" s="5" t="s">
        <v>4203</v>
      </c>
      <c r="C63" s="5" t="s">
        <v>4204</v>
      </c>
      <c r="D63" s="28" t="s">
        <v>4176</v>
      </c>
      <c r="F63" s="59">
        <v>45898.35628472222</v>
      </c>
      <c r="G63" s="5" t="str">
        <f>IFERROR(__xludf.DUMMYFUNCTION("LET(
  refItem, TO_TEXT(D63),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IF(ISBLANK(D63),"""", IF(IFERROR(latestMutation,"""")=""OUT"", latestCust, ""AKGREADY"")
))"),"63fc688a")</f>
        <v>63fc688a</v>
      </c>
    </row>
    <row r="64">
      <c r="A64" s="5" t="s">
        <v>6910</v>
      </c>
      <c r="B64" s="5" t="s">
        <v>4203</v>
      </c>
      <c r="C64" s="5" t="s">
        <v>4204</v>
      </c>
      <c r="D64" s="28" t="s">
        <v>5349</v>
      </c>
      <c r="F64" s="59">
        <v>45911.35884259259</v>
      </c>
      <c r="G64" s="5" t="str">
        <f>IFERROR(__xludf.DUMMYFUNCTION("LET(
  refItem, TO_TEXT(D64),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IF(ISBLANK(D64),"""", IF(IFERROR(latestMutation,"""")=""OUT"", latestCust, ""AKGREADY"")
))"),"AKGREADY")</f>
        <v>AKGREADY</v>
      </c>
    </row>
    <row r="65">
      <c r="A65" s="5" t="s">
        <v>6911</v>
      </c>
      <c r="B65" s="5" t="s">
        <v>4203</v>
      </c>
      <c r="C65" s="5" t="s">
        <v>4204</v>
      </c>
      <c r="D65" s="28" t="s">
        <v>4490</v>
      </c>
      <c r="F65" s="59">
        <v>45898.70736111111</v>
      </c>
      <c r="G65" s="5" t="str">
        <f>IFERROR(__xludf.DUMMYFUNCTION("LET(
  refItem, TO_TEXT(D65),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IF(ISBLANK(D65),"""", IF(IFERROR(latestMutation,"""")=""OUT"", latestCust, ""AKGREADY"")
))"),"f7243d00")</f>
        <v>f7243d00</v>
      </c>
    </row>
    <row r="66">
      <c r="A66" s="5" t="s">
        <v>6912</v>
      </c>
      <c r="B66" s="5" t="s">
        <v>4203</v>
      </c>
      <c r="C66" s="5" t="s">
        <v>4204</v>
      </c>
      <c r="D66" s="28" t="s">
        <v>4228</v>
      </c>
      <c r="F66" s="59">
        <v>45889.475486111114</v>
      </c>
      <c r="G66" s="5" t="str">
        <f>IFERROR(__xludf.DUMMYFUNCTION("LET(
  refItem, TO_TEXT(D66),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IF(ISBLANK(D66),"""", IF(IFERROR(latestMutation,"""")=""OUT"", latestCust, ""AKGREADY"")
))"),"3b04351a")</f>
        <v>3b04351a</v>
      </c>
    </row>
    <row r="67">
      <c r="A67" s="5" t="s">
        <v>6913</v>
      </c>
      <c r="B67" s="5" t="s">
        <v>4203</v>
      </c>
      <c r="C67" s="5" t="s">
        <v>4204</v>
      </c>
      <c r="D67" s="28" t="s">
        <v>3805</v>
      </c>
      <c r="F67" s="59">
        <v>45898.70920138889</v>
      </c>
      <c r="G67" s="5" t="str">
        <f>IFERROR(__xludf.DUMMYFUNCTION("LET(
  refItem, TO_TEXT(D67),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IF(ISBLANK(D67),"""", IF(IFERROR(latestMutation,"""")=""OUT"", latestCust, ""AKGREADY"")
))"),"f7243d00")</f>
        <v>f7243d00</v>
      </c>
    </row>
    <row r="68">
      <c r="A68" s="28" t="s">
        <v>6914</v>
      </c>
      <c r="B68" s="5" t="s">
        <v>3486</v>
      </c>
      <c r="C68" s="5" t="s">
        <v>3487</v>
      </c>
      <c r="D68" s="28" t="s">
        <v>4774</v>
      </c>
      <c r="F68" s="59">
        <v>45876.61331018519</v>
      </c>
      <c r="G68" s="5" t="str">
        <f>IFERROR(__xludf.DUMMYFUNCTION("LET(
  refItem, TO_TEXT(D68),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IF(ISBLANK(D68),"""", IF(IFERROR(latestMutation,"""")=""OUT"", latestCust, ""AKGREADY"")
))"),"58b72e0c")</f>
        <v>58b72e0c</v>
      </c>
    </row>
    <row r="69">
      <c r="A69" s="10" t="s">
        <v>6915</v>
      </c>
      <c r="B69" s="5" t="s">
        <v>4203</v>
      </c>
      <c r="C69" s="5" t="s">
        <v>4204</v>
      </c>
      <c r="D69" s="28" t="s">
        <v>4198</v>
      </c>
      <c r="F69" s="6">
        <v>46052.4075</v>
      </c>
      <c r="G69" s="5" t="str">
        <f>IFERROR(__xludf.DUMMYFUNCTION("LET(
  refItem, TO_TEXT(D69),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IF(ISBLANK(D69),"""", IF(IFERROR(latestMutation,"""")=""OUT"", latestCust, ""AKGREADY"")
))"),"f7243d00")</f>
        <v>f7243d00</v>
      </c>
    </row>
    <row r="70">
      <c r="A70" s="10" t="s">
        <v>6916</v>
      </c>
      <c r="B70" s="5" t="s">
        <v>4203</v>
      </c>
      <c r="C70" s="5" t="s">
        <v>4204</v>
      </c>
      <c r="D70" s="28" t="s">
        <v>6917</v>
      </c>
      <c r="F70" s="6">
        <v>46060.60046296296</v>
      </c>
      <c r="G70" s="5" t="str">
        <f>IFERROR(__xludf.DUMMYFUNCTION("LET(
  refItem, TO_TEXT(D70),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IF(ISBLANK(D70),"""", IF(IFERROR(latestMutation,"""")=""OUT"", latestCust, ""AKGREADY"")
))"),"01158be1")</f>
        <v>01158be1</v>
      </c>
    </row>
    <row r="71">
      <c r="A71" s="5" t="s">
        <v>6918</v>
      </c>
      <c r="B71" s="5" t="s">
        <v>4203</v>
      </c>
      <c r="C71" s="5" t="s">
        <v>4204</v>
      </c>
      <c r="D71" s="28" t="s">
        <v>5862</v>
      </c>
      <c r="F71" s="59">
        <v>45884.61585648148</v>
      </c>
      <c r="G71" s="5" t="str">
        <f>IFERROR(__xludf.DUMMYFUNCTION("LET(
  refItem, TO_TEXT(D71),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IF(ISBLANK(D71),"""", IF(IFERROR(latestMutation,"""")=""OUT"", latestCust, ""AKGREADY"")
))"),"01158be1")</f>
        <v>01158be1</v>
      </c>
    </row>
    <row r="72">
      <c r="A72" s="5" t="s">
        <v>6919</v>
      </c>
      <c r="B72" s="5" t="s">
        <v>4203</v>
      </c>
      <c r="C72" s="5" t="s">
        <v>4204</v>
      </c>
      <c r="D72" s="28" t="s">
        <v>5458</v>
      </c>
      <c r="F72" s="59">
        <v>45919.357152777775</v>
      </c>
      <c r="G72" s="5" t="str">
        <f>IFERROR(__xludf.DUMMYFUNCTION("LET(
  refItem, TO_TEXT(D72),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IF(ISBLANK(D72),"""", IF(IFERROR(latestMutation,"""")=""OUT"", latestCust, ""AKGREADY"")
))"),"AKGREADY")</f>
        <v>AKGREADY</v>
      </c>
    </row>
    <row r="73">
      <c r="A73" s="5" t="s">
        <v>6920</v>
      </c>
      <c r="B73" s="57" t="s">
        <v>4203</v>
      </c>
      <c r="C73" s="5" t="s">
        <v>4204</v>
      </c>
      <c r="D73" s="28" t="s">
        <v>4076</v>
      </c>
      <c r="F73" s="59">
        <v>45919.357256944444</v>
      </c>
      <c r="G73" s="5" t="str">
        <f>IFERROR(__xludf.DUMMYFUNCTION("LET(
  refItem, TO_TEXT(D73),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IF(ISBLANK(D73),"""", IF(IFERROR(latestMutation,"""")=""OUT"", latestCust, ""AKGREADY"")
))"),"e86baf3b")</f>
        <v>e86baf3b</v>
      </c>
    </row>
    <row r="74">
      <c r="A74" s="5" t="s">
        <v>6921</v>
      </c>
      <c r="B74" s="5" t="s">
        <v>4203</v>
      </c>
      <c r="C74" s="5" t="s">
        <v>4204</v>
      </c>
      <c r="D74" s="28" t="s">
        <v>5255</v>
      </c>
      <c r="F74" s="59">
        <v>45981.41746527778</v>
      </c>
      <c r="G74" s="5" t="str">
        <f>IFERROR(__xludf.DUMMYFUNCTION("LET(
  refItem, TO_TEXT(D74),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IF(ISBLANK(D74),"""", IF(IFERROR(latestMutation,"""")=""OUT"", latestCust, ""AKGREADY"")
))"),"f7243d00")</f>
        <v>f7243d00</v>
      </c>
    </row>
    <row r="75">
      <c r="A75" s="5" t="s">
        <v>6922</v>
      </c>
      <c r="B75" s="5" t="s">
        <v>4203</v>
      </c>
      <c r="C75" s="5" t="s">
        <v>4204</v>
      </c>
      <c r="D75" s="28" t="s">
        <v>4945</v>
      </c>
      <c r="F75" s="59">
        <v>45985.45866898148</v>
      </c>
      <c r="G75" s="5" t="str">
        <f>IFERROR(__xludf.DUMMYFUNCTION("LET(
  refItem, TO_TEXT(D75),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IF(ISBLANK(D75),"""", IF(IFERROR(latestMutation,"""")=""OUT"", latestCust, ""AKGREADY"")
))"),"b218b89b")</f>
        <v>b218b89b</v>
      </c>
    </row>
    <row r="76">
      <c r="A76" s="5" t="s">
        <v>6923</v>
      </c>
      <c r="B76" s="5" t="s">
        <v>4203</v>
      </c>
      <c r="C76" s="5" t="s">
        <v>4204</v>
      </c>
      <c r="D76" s="28" t="s">
        <v>5965</v>
      </c>
      <c r="F76" s="59">
        <v>45868.67665509259</v>
      </c>
      <c r="G76" s="5" t="str">
        <f>IFERROR(__xludf.DUMMYFUNCTION("LET(
  refItem, TO_TEXT(D76),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IF(ISBLANK(D76),"""", IF(IFERROR(latestMutation,"""")=""OUT"", latestCust, ""AKGREADY"")
))"),"01158be1")</f>
        <v>01158be1</v>
      </c>
    </row>
    <row r="77">
      <c r="A77" s="5" t="s">
        <v>6924</v>
      </c>
      <c r="B77" s="5" t="s">
        <v>3486</v>
      </c>
      <c r="C77" s="5" t="s">
        <v>3487</v>
      </c>
      <c r="D77" s="28" t="s">
        <v>6925</v>
      </c>
      <c r="F77" s="59">
        <v>45873.69081018519</v>
      </c>
      <c r="G77" s="5" t="str">
        <f>IFERROR(__xludf.DUMMYFUNCTION("LET(
  refItem, TO_TEXT(D77),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IF(ISBLANK(D77),"""", IF(IFERROR(latestMutation,"""")=""OUT"", latestCust, ""AKGREADY"")
))"),"e76bc39c")</f>
        <v>e76bc39c</v>
      </c>
    </row>
    <row r="78">
      <c r="A78" s="5" t="s">
        <v>6926</v>
      </c>
      <c r="B78" s="5" t="s">
        <v>3486</v>
      </c>
      <c r="C78" s="5" t="s">
        <v>3487</v>
      </c>
      <c r="D78" s="28" t="s">
        <v>6025</v>
      </c>
      <c r="F78" s="59">
        <v>45968.396898148145</v>
      </c>
      <c r="G78" s="5" t="str">
        <f>IFERROR(__xludf.DUMMYFUNCTION("LET(
  refItem, TO_TEXT(D78),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IF(ISBLANK(D78),"""", IF(IFERROR(latestMutation,"""")=""OUT"", latestCust, ""AKGREADY"")
))"),"ec231cc9")</f>
        <v>ec231cc9</v>
      </c>
    </row>
    <row r="79">
      <c r="A79" s="5" t="s">
        <v>6927</v>
      </c>
      <c r="B79" s="5" t="s">
        <v>4203</v>
      </c>
      <c r="C79" s="5" t="s">
        <v>4204</v>
      </c>
      <c r="D79" s="28" t="s">
        <v>5585</v>
      </c>
      <c r="F79" s="59">
        <v>45868.67648148148</v>
      </c>
      <c r="G79" s="5" t="str">
        <f>IFERROR(__xludf.DUMMYFUNCTION("LET(
  refItem, TO_TEXT(D79),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IF(ISBLANK(D79),"""", IF(IFERROR(latestMutation,"""")=""OUT"", latestCust, ""AKGREADY"")
))"),"dcc017cb")</f>
        <v>dcc017cb</v>
      </c>
    </row>
    <row r="80">
      <c r="A80" s="5" t="s">
        <v>6928</v>
      </c>
      <c r="B80" s="5" t="s">
        <v>4203</v>
      </c>
      <c r="C80" s="5" t="s">
        <v>4204</v>
      </c>
      <c r="D80" s="28" t="s">
        <v>5577</v>
      </c>
      <c r="F80" s="59">
        <v>45875.440775462965</v>
      </c>
      <c r="G80" s="5" t="str">
        <f>IFERROR(__xludf.DUMMYFUNCTION("LET(
  refItem, TO_TEXT(D80),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IF(ISBLANK(D80),"""", IF(IFERROR(latestMutation,"""")=""OUT"", latestCust, ""AKGREADY"")
))"),"63fc688a")</f>
        <v>63fc688a</v>
      </c>
    </row>
    <row r="81">
      <c r="A81" s="10" t="s">
        <v>6929</v>
      </c>
      <c r="B81" s="57" t="s">
        <v>4203</v>
      </c>
      <c r="C81" s="5" t="s">
        <v>4204</v>
      </c>
      <c r="D81" s="28" t="s">
        <v>5045</v>
      </c>
      <c r="F81" s="6">
        <v>46058.37596064815</v>
      </c>
      <c r="G81" s="5" t="str">
        <f>IFERROR(__xludf.DUMMYFUNCTION("LET(
  refItem, TO_TEXT(D81),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IF(ISBLANK(D81),"""", IF(IFERROR(latestMutation,"""")=""OUT"", latestCust, ""AKGREADY"")
))"),"f7243d00")</f>
        <v>f7243d00</v>
      </c>
    </row>
    <row r="82">
      <c r="A82" s="10" t="s">
        <v>6930</v>
      </c>
      <c r="B82" s="5" t="s">
        <v>4203</v>
      </c>
      <c r="C82" s="5" t="s">
        <v>4204</v>
      </c>
      <c r="D82" s="28" t="s">
        <v>5667</v>
      </c>
      <c r="F82" s="6">
        <v>46060.600636574076</v>
      </c>
      <c r="G82" s="5" t="str">
        <f>IFERROR(__xludf.DUMMYFUNCTION("LET(
  refItem, TO_TEXT(D82),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IF(ISBLANK(D82),"""", IF(IFERROR(latestMutation,"""")=""OUT"", latestCust, ""AKGREADY"")
))"),"AKGREADY")</f>
        <v>AKGREADY</v>
      </c>
    </row>
    <row r="83">
      <c r="A83" s="5" t="s">
        <v>6931</v>
      </c>
      <c r="B83" s="5" t="s">
        <v>4203</v>
      </c>
      <c r="C83" s="5" t="s">
        <v>4204</v>
      </c>
      <c r="D83" s="28" t="s">
        <v>5127</v>
      </c>
      <c r="F83" s="59">
        <v>45912.64265046296</v>
      </c>
      <c r="G83" s="5" t="str">
        <f>IFERROR(__xludf.DUMMYFUNCTION("LET(
  refItem, TO_TEXT(D83),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IF(ISBLANK(D83),"""", IF(IFERROR(latestMutation,"""")=""OUT"", latestCust, ""AKGREADY"")
))"),"e86baf3b")</f>
        <v>e86baf3b</v>
      </c>
    </row>
    <row r="84">
      <c r="A84" s="5" t="s">
        <v>6932</v>
      </c>
      <c r="B84" s="5" t="s">
        <v>3486</v>
      </c>
      <c r="C84" s="5" t="s">
        <v>3487</v>
      </c>
      <c r="D84" s="28" t="s">
        <v>5519</v>
      </c>
      <c r="F84" s="59">
        <v>45973.36351851852</v>
      </c>
      <c r="G84" s="5" t="str">
        <f>IFERROR(__xludf.DUMMYFUNCTION("LET(
  refItem, TO_TEXT(D84),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IF(ISBLANK(D84),"""", IF(IFERROR(latestMutation,"""")=""OUT"", latestCust, ""AKGREADY"")
))"),"a9fe1bea")</f>
        <v>a9fe1bea</v>
      </c>
    </row>
    <row r="85">
      <c r="A85" s="10" t="s">
        <v>6933</v>
      </c>
      <c r="B85" s="57" t="s">
        <v>4203</v>
      </c>
      <c r="C85" s="5" t="s">
        <v>4204</v>
      </c>
      <c r="D85" s="28" t="s">
        <v>5958</v>
      </c>
      <c r="F85" s="6">
        <v>46050.653495370374</v>
      </c>
      <c r="G85" s="5" t="str">
        <f>IFERROR(__xludf.DUMMYFUNCTION("LET(
  refItem, TO_TEXT(D85),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IF(ISBLANK(D85),"""", IF(IFERROR(latestMutation,"""")=""OUT"", latestCust, ""AKGREADY"")
))"),"01158be1")</f>
        <v>01158be1</v>
      </c>
    </row>
    <row r="86">
      <c r="A86" s="5" t="s">
        <v>6934</v>
      </c>
      <c r="B86" s="5" t="s">
        <v>4203</v>
      </c>
      <c r="C86" s="5" t="s">
        <v>4204</v>
      </c>
      <c r="D86" s="28" t="s">
        <v>3897</v>
      </c>
      <c r="F86" s="59">
        <v>45901.44325231481</v>
      </c>
      <c r="G86" s="5" t="str">
        <f>IFERROR(__xludf.DUMMYFUNCTION("LET(
  refItem, TO_TEXT(D86),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IF(ISBLANK(D86),"""", IF(IFERROR(latestMutation,"""")=""OUT"", latestCust, ""AKGREADY"")
))"),"01158be1")</f>
        <v>01158be1</v>
      </c>
    </row>
    <row r="87">
      <c r="A87" s="5" t="s">
        <v>6935</v>
      </c>
      <c r="B87" s="5" t="s">
        <v>4203</v>
      </c>
      <c r="C87" s="5" t="s">
        <v>4204</v>
      </c>
      <c r="D87" s="28" t="s">
        <v>3849</v>
      </c>
      <c r="F87" s="59">
        <v>45922.61515046296</v>
      </c>
      <c r="G87" s="5" t="str">
        <f>IFERROR(__xludf.DUMMYFUNCTION("LET(
  refItem, TO_TEXT(D87),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IF(ISBLANK(D87),"""", IF(IFERROR(latestMutation,"""")=""OUT"", latestCust, ""AKGREADY"")
))"),"AKGREADY")</f>
        <v>AKGREADY</v>
      </c>
    </row>
    <row r="88">
      <c r="A88" s="5" t="s">
        <v>6936</v>
      </c>
      <c r="B88" s="5" t="s">
        <v>4203</v>
      </c>
      <c r="C88" s="5" t="s">
        <v>4204</v>
      </c>
      <c r="D88" s="28" t="s">
        <v>5207</v>
      </c>
      <c r="F88" s="59">
        <v>45981.52798611111</v>
      </c>
      <c r="G88" s="5" t="str">
        <f>IFERROR(__xludf.DUMMYFUNCTION("LET(
  refItem, TO_TEXT(D88),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IF(ISBLANK(D88),"""", IF(IFERROR(latestMutation,"""")=""OUT"", latestCust, ""AKGREADY"")
))"),"63fc688a")</f>
        <v>63fc688a</v>
      </c>
    </row>
    <row r="89">
      <c r="A89" s="28" t="s">
        <v>6937</v>
      </c>
      <c r="B89" s="5" t="s">
        <v>3486</v>
      </c>
      <c r="C89" s="5" t="s">
        <v>3487</v>
      </c>
      <c r="D89" s="28" t="s">
        <v>4170</v>
      </c>
      <c r="F89" s="59">
        <v>45930.36311342593</v>
      </c>
      <c r="G89" s="5" t="str">
        <f>IFERROR(__xludf.DUMMYFUNCTION("LET(
  refItem, TO_TEXT(D89),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IF(ISBLANK(D89),"""", IF(IFERROR(latestMutation,"""")=""OUT"", latestCust, ""AKGREADY"")
))"),"58b72e0c")</f>
        <v>58b72e0c</v>
      </c>
    </row>
    <row r="90">
      <c r="A90" s="5" t="s">
        <v>6938</v>
      </c>
      <c r="B90" s="5" t="s">
        <v>4203</v>
      </c>
      <c r="C90" s="5" t="s">
        <v>4204</v>
      </c>
      <c r="D90" s="28" t="s">
        <v>6105</v>
      </c>
      <c r="F90" s="59">
        <v>45875.44253472222</v>
      </c>
      <c r="G90" s="5" t="str">
        <f>IFERROR(__xludf.DUMMYFUNCTION("LET(
  refItem, TO_TEXT(D90),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IF(ISBLANK(D90),"""", IF(IFERROR(latestMutation,"""")=""OUT"", latestCust, ""AKGREADY"")
))"),"01158be1")</f>
        <v>01158be1</v>
      </c>
    </row>
    <row r="91">
      <c r="A91" s="5" t="s">
        <v>6939</v>
      </c>
      <c r="B91" s="5" t="s">
        <v>4203</v>
      </c>
      <c r="C91" s="5" t="s">
        <v>4204</v>
      </c>
      <c r="D91" s="28" t="s">
        <v>5348</v>
      </c>
      <c r="F91" s="59">
        <v>45906.4112962963</v>
      </c>
      <c r="G91" s="5" t="str">
        <f>IFERROR(__xludf.DUMMYFUNCTION("LET(
  refItem, TO_TEXT(D91),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IF(ISBLANK(D91),"""", IF(IFERROR(latestMutation,"""")=""OUT"", latestCust, ""AKGREADY"")
))"),"f8a982a4")</f>
        <v>f8a982a4</v>
      </c>
    </row>
    <row r="92">
      <c r="A92" s="10" t="s">
        <v>6940</v>
      </c>
      <c r="B92" s="57" t="s">
        <v>4203</v>
      </c>
      <c r="C92" s="5" t="s">
        <v>4204</v>
      </c>
      <c r="D92" s="28" t="s">
        <v>5754</v>
      </c>
      <c r="F92" s="6">
        <v>46052.40724537037</v>
      </c>
      <c r="G92" s="5" t="str">
        <f>IFERROR(__xludf.DUMMYFUNCTION("LET(
  refItem, TO_TEXT(D92),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IF(ISBLANK(D92),"""", IF(IFERROR(latestMutation,"""")=""OUT"", latestCust, ""AKGREADY"")
))"),"f7243d00")</f>
        <v>f7243d00</v>
      </c>
    </row>
    <row r="93">
      <c r="A93" s="5" t="s">
        <v>6941</v>
      </c>
      <c r="B93" s="5" t="s">
        <v>4203</v>
      </c>
      <c r="C93" s="5" t="s">
        <v>4204</v>
      </c>
      <c r="D93" s="28" t="s">
        <v>4361</v>
      </c>
      <c r="F93" s="6">
        <v>46052.40738425926</v>
      </c>
      <c r="G93" s="5" t="str">
        <f>IFERROR(__xludf.DUMMYFUNCTION("LET(
  refItem, TO_TEXT(D93),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IF(ISBLANK(D93),"""", IF(IFERROR(latestMutation,"""")=""OUT"", latestCust, ""AKGREADY"")
))"),"63fc688a")</f>
        <v>63fc688a</v>
      </c>
    </row>
    <row r="94">
      <c r="A94" s="10" t="s">
        <v>6942</v>
      </c>
      <c r="B94" s="5" t="s">
        <v>4203</v>
      </c>
      <c r="C94" s="5" t="s">
        <v>4204</v>
      </c>
      <c r="D94" s="28" t="s">
        <v>6943</v>
      </c>
      <c r="F94" s="6">
        <v>46060.600266203706</v>
      </c>
      <c r="G94" s="5" t="str">
        <f>IFERROR(__xludf.DUMMYFUNCTION("LET(
  refItem, TO_TEXT(D94),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IF(ISBLANK(D94),"""", IF(IFERROR(latestMutation,"""")=""OUT"", latestCust, ""AKGREADY"")
))"),"AKGREADY")</f>
        <v>AKGREADY</v>
      </c>
    </row>
    <row r="95">
      <c r="A95" s="5" t="s">
        <v>6944</v>
      </c>
      <c r="B95" s="5" t="s">
        <v>3486</v>
      </c>
      <c r="C95" s="5" t="s">
        <v>3487</v>
      </c>
      <c r="D95" s="28" t="s">
        <v>6715</v>
      </c>
      <c r="F95" s="59">
        <v>45908.352685185186</v>
      </c>
      <c r="G95" s="5" t="str">
        <f>IFERROR(__xludf.DUMMYFUNCTION("LET(
  refItem, TO_TEXT(D95),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IF(ISBLANK(D95),"""", IF(IFERROR(latestMutation,"""")=""OUT"", latestCust, ""AKGREADY"")
))"),"ec231cc9")</f>
        <v>ec231cc9</v>
      </c>
    </row>
    <row r="96">
      <c r="A96" s="5" t="s">
        <v>6945</v>
      </c>
      <c r="B96" s="5" t="s">
        <v>3486</v>
      </c>
      <c r="C96" s="5" t="s">
        <v>3487</v>
      </c>
      <c r="D96" s="28" t="s">
        <v>4443</v>
      </c>
      <c r="F96" s="59">
        <v>45876.6140625</v>
      </c>
      <c r="G96" s="5" t="str">
        <f>IFERROR(__xludf.DUMMYFUNCTION("LET(
  refItem, TO_TEXT(D96),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IF(ISBLANK(D96),"""", IF(IFERROR(latestMutation,"""")=""OUT"", latestCust, ""AKGREADY"")
))"),"01158be1")</f>
        <v>01158be1</v>
      </c>
    </row>
    <row r="97">
      <c r="A97" s="10" t="s">
        <v>6946</v>
      </c>
      <c r="B97" s="57" t="s">
        <v>3486</v>
      </c>
      <c r="C97" s="5" t="s">
        <v>3487</v>
      </c>
      <c r="D97" s="28" t="s">
        <v>4502</v>
      </c>
      <c r="F97" s="6">
        <v>46060.598807870374</v>
      </c>
      <c r="G97" s="5" t="str">
        <f>IFERROR(__xludf.DUMMYFUNCTION("LET(
  refItem, TO_TEXT(D97),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IF(ISBLANK(D97),"""", IF(IFERROR(latestMutation,"""")=""OUT"", latestCust, ""AKGREADY"")
))"),"AKGREADY")</f>
        <v>AKGREADY</v>
      </c>
    </row>
    <row r="98">
      <c r="A98" s="5" t="s">
        <v>6947</v>
      </c>
      <c r="B98" s="2" t="s">
        <v>4203</v>
      </c>
      <c r="C98" s="2" t="s">
        <v>4204</v>
      </c>
      <c r="D98" s="28" t="s">
        <v>4406</v>
      </c>
      <c r="F98" s="6">
        <v>46112.38277777778</v>
      </c>
      <c r="G98" s="5" t="str">
        <f>IFERROR(__xludf.DUMMYFUNCTION("LET(
  refItem, TO_TEXT(D98),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IF(ISBLANK(D98),"""", IF(IFERROR(latestMutation,"""")=""OUT"", latestCust, ""AKGREADY"")
))"),"AKGREADY")</f>
        <v>AKGREADY</v>
      </c>
    </row>
    <row r="99">
      <c r="A99" s="5" t="s">
        <v>6948</v>
      </c>
      <c r="B99" s="5" t="s">
        <v>3486</v>
      </c>
      <c r="C99" s="5" t="s">
        <v>3487</v>
      </c>
      <c r="D99" s="28" t="s">
        <v>4793</v>
      </c>
      <c r="F99" s="59">
        <v>45919.35767361111</v>
      </c>
      <c r="G99" s="5" t="str">
        <f>IFERROR(__xludf.DUMMYFUNCTION("LET(
  refItem, TO_TEXT(D99),
  logDates, inventoryLog!$C:$C,
  logCust, inventoryLog!$D:$D,
  logMut, inventoryLog!$H:$H,
  logItems, inventoryLog!$K:$K,
  matches, FILTER({logDates, logCust, logMut}, REGEXMATCH(TO_TEXT(logItems), ""\b""&amp;refItem&amp;""\b"")"&amp;"),
  sorted, SORT(matches, 1, FALSE),
  latestMutation, INDEX(sorted, 1, 3),
  latestCust, INDEX(sorted, 1, 2),
  IF(ISBLANK(D99),"""", IF(IFERROR(latestMutation,"""")=""OUT"", latestCust, ""AKGREADY"")
))"),"e86baf3b")</f>
        <v>e86baf3b</v>
      </c>
    </row>
    <row r="100">
      <c r="A100" s="28" t="s">
        <v>6949</v>
      </c>
      <c r="B100" s="5" t="s">
        <v>3486</v>
      </c>
      <c r="C100" s="5" t="s">
        <v>3487</v>
      </c>
      <c r="D100" s="28" t="s">
        <v>4187</v>
      </c>
      <c r="F100" s="59">
        <v>45897.41532407407</v>
      </c>
      <c r="G100" s="5" t="str">
        <f>IFERROR(__xludf.DUMMYFUNCTION("LET(
  refItem, TO_TEXT(D100),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IF(ISBLANK(D100),"""", IF(IFERROR(latestMutation,"""")=""OUT"", latestCust, ""AKGREADY"")
))"),"e86baf3b")</f>
        <v>e86baf3b</v>
      </c>
    </row>
    <row r="101">
      <c r="A101" s="5" t="s">
        <v>6950</v>
      </c>
      <c r="B101" s="5" t="s">
        <v>3486</v>
      </c>
      <c r="C101" s="5" t="s">
        <v>3487</v>
      </c>
      <c r="D101" s="28" t="s">
        <v>3981</v>
      </c>
      <c r="F101" s="59">
        <v>45919.35832175926</v>
      </c>
      <c r="G101" s="5" t="str">
        <f>IFERROR(__xludf.DUMMYFUNCTION("LET(
  refItem, TO_TEXT(D101),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IF(ISBLANK(D101),"""", IF(IFERROR(latestMutation,"""")=""OUT"", latestCust, ""AKGREADY"")
))"),"a0f0ad2d")</f>
        <v>a0f0ad2d</v>
      </c>
    </row>
    <row r="102">
      <c r="A102" s="5" t="s">
        <v>6951</v>
      </c>
      <c r="B102" s="5" t="s">
        <v>3486</v>
      </c>
      <c r="C102" s="5" t="s">
        <v>3487</v>
      </c>
      <c r="D102" s="28" t="s">
        <v>4134</v>
      </c>
      <c r="F102" s="59">
        <v>45896.49722222222</v>
      </c>
      <c r="G102" s="5" t="str">
        <f>IFERROR(__xludf.DUMMYFUNCTION("LET(
  refItem, TO_TEXT(D102),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IF(ISBLANK(D102),"""", IF(IFERROR(latestMutation,"""")=""OUT"", latestCust, ""AKGREADY"")
))"),"e86baf3b")</f>
        <v>e86baf3b</v>
      </c>
    </row>
    <row r="103">
      <c r="A103" s="10" t="s">
        <v>6952</v>
      </c>
      <c r="B103" s="5" t="s">
        <v>3486</v>
      </c>
      <c r="C103" s="5" t="s">
        <v>3487</v>
      </c>
      <c r="D103" s="28" t="s">
        <v>6953</v>
      </c>
      <c r="F103" s="6">
        <v>46060.607256944444</v>
      </c>
      <c r="G103" s="5" t="str">
        <f>IFERROR(__xludf.DUMMYFUNCTION("LET(
  refItem, TO_TEXT(D103),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IF(ISBLANK(D103),"""", IF(IFERROR(latestMutation,"""")=""OUT"", latestCust, ""AKGREADY"")
))"),"9828dfc5")</f>
        <v>9828dfc5</v>
      </c>
    </row>
    <row r="104">
      <c r="A104" s="10" t="s">
        <v>6954</v>
      </c>
      <c r="B104" s="5" t="s">
        <v>3486</v>
      </c>
      <c r="C104" s="5" t="s">
        <v>3487</v>
      </c>
      <c r="D104" s="28" t="s">
        <v>6955</v>
      </c>
      <c r="F104" s="6">
        <v>46056.60469907407</v>
      </c>
      <c r="G104" s="5" t="str">
        <f>IFERROR(__xludf.DUMMYFUNCTION("LET(
  refItem, TO_TEXT(D104),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IF(ISBLANK(D104),"""", IF(IFERROR(latestMutation,"""")=""OUT"", latestCust, ""AKGREADY"")
))"),"785e0e07")</f>
        <v>785e0e07</v>
      </c>
    </row>
    <row r="105">
      <c r="A105" s="5" t="s">
        <v>6956</v>
      </c>
      <c r="B105" s="5" t="s">
        <v>3486</v>
      </c>
      <c r="C105" s="5" t="s">
        <v>3487</v>
      </c>
      <c r="D105" s="28" t="s">
        <v>4292</v>
      </c>
      <c r="F105" s="59">
        <v>45934.76550925926</v>
      </c>
      <c r="G105" s="5" t="str">
        <f>IFERROR(__xludf.DUMMYFUNCTION("LET(
  refItem, TO_TEXT(D105),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IF(ISBLANK(D105),"""", IF(IFERROR(latestMutation,"""")=""OUT"", latestCust, ""AKGREADY"")
))"),"ce83e171")</f>
        <v>ce83e171</v>
      </c>
    </row>
    <row r="106">
      <c r="A106" s="5" t="s">
        <v>6957</v>
      </c>
      <c r="B106" s="5" t="s">
        <v>3486</v>
      </c>
      <c r="C106" s="5" t="s">
        <v>3487</v>
      </c>
      <c r="D106" s="28" t="s">
        <v>5438</v>
      </c>
      <c r="F106" s="59">
        <v>45982.4928125</v>
      </c>
      <c r="G106" s="5" t="str">
        <f>IFERROR(__xludf.DUMMYFUNCTION("LET(
  refItem, TO_TEXT(D106),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IF(ISBLANK(D106),"""", IF(IFERROR(latestMutation,"""")=""OUT"", latestCust, ""AKGREADY"")
))"),"AKGREADY")</f>
        <v>AKGREADY</v>
      </c>
    </row>
    <row r="107">
      <c r="A107" s="28" t="s">
        <v>6958</v>
      </c>
      <c r="B107" s="5" t="s">
        <v>3486</v>
      </c>
      <c r="C107" s="5" t="s">
        <v>3487</v>
      </c>
      <c r="D107" s="28" t="s">
        <v>5069</v>
      </c>
      <c r="F107" s="59">
        <v>45911.34966435185</v>
      </c>
      <c r="G107" s="5" t="str">
        <f>IFERROR(__xludf.DUMMYFUNCTION("LET(
  refItem, TO_TEXT(D107),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IF(ISBLANK(D107),"""", IF(IFERROR(latestMutation,"""")=""OUT"", latestCust, ""AKGREADY"")
))"),"b2b5f2c5")</f>
        <v>b2b5f2c5</v>
      </c>
    </row>
    <row r="108">
      <c r="A108" s="5" t="s">
        <v>6959</v>
      </c>
      <c r="B108" s="57" t="s">
        <v>3486</v>
      </c>
      <c r="C108" s="5" t="s">
        <v>3487</v>
      </c>
      <c r="D108" s="28" t="s">
        <v>5254</v>
      </c>
      <c r="F108" s="59">
        <v>45986.61020833333</v>
      </c>
      <c r="G108" s="5" t="str">
        <f>IFERROR(__xludf.DUMMYFUNCTION("LET(
  refItem, TO_TEXT(D108),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IF(ISBLANK(D108),"""", IF(IFERROR(latestMutation,"""")=""OUT"", latestCust, ""AKGREADY"")
))"),"AKGREADY")</f>
        <v>AKGREADY</v>
      </c>
    </row>
    <row r="109">
      <c r="A109" s="5" t="s">
        <v>6960</v>
      </c>
      <c r="B109" s="5" t="s">
        <v>3486</v>
      </c>
      <c r="C109" s="5" t="s">
        <v>3487</v>
      </c>
      <c r="D109" s="28" t="s">
        <v>4135</v>
      </c>
      <c r="F109" s="59">
        <v>45882.500555555554</v>
      </c>
      <c r="G109" s="5" t="str">
        <f>IFERROR(__xludf.DUMMYFUNCTION("LET(
  refItem, TO_TEXT(D109),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IF(ISBLANK(D109),"""", IF(IFERROR(latestMutation,"""")=""OUT"", latestCust, ""AKGREADY"")
))"),"b2b5f2c5")</f>
        <v>b2b5f2c5</v>
      </c>
    </row>
    <row r="110">
      <c r="A110" s="5" t="s">
        <v>6961</v>
      </c>
      <c r="B110" s="5" t="s">
        <v>3486</v>
      </c>
      <c r="C110" s="5" t="s">
        <v>3487</v>
      </c>
      <c r="D110" s="28" t="s">
        <v>6962</v>
      </c>
      <c r="F110" s="59">
        <v>45896.49633101852</v>
      </c>
      <c r="G110" s="5" t="str">
        <f>IFERROR(__xludf.DUMMYFUNCTION("LET(
  refItem, TO_TEXT(D110),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IF(ISBLANK(D110),"""", IF(IFERROR(latestMutation,"""")=""OUT"", latestCust, ""AKGREADY"")
))"),"eec2e801")</f>
        <v>eec2e801</v>
      </c>
    </row>
    <row r="111">
      <c r="A111" s="28" t="s">
        <v>6963</v>
      </c>
      <c r="B111" s="5" t="s">
        <v>3486</v>
      </c>
      <c r="C111" s="5" t="s">
        <v>3487</v>
      </c>
      <c r="D111" s="28" t="s">
        <v>3546</v>
      </c>
      <c r="F111" s="59">
        <v>45938.778344907405</v>
      </c>
      <c r="G111" s="5" t="str">
        <f>IFERROR(__xludf.DUMMYFUNCTION("LET(
  refItem, TO_TEXT(D111),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IF(ISBLANK(D111),"""", IF(IFERROR(latestMutation,"""")=""OUT"", latestCust, ""AKGREADY"")
))"),"e86baf3b")</f>
        <v>e86baf3b</v>
      </c>
    </row>
    <row r="112">
      <c r="A112" s="28"/>
      <c r="B112" s="5" t="s">
        <v>3486</v>
      </c>
      <c r="C112" s="5" t="s">
        <v>3487</v>
      </c>
      <c r="D112" s="28" t="s">
        <v>4277</v>
      </c>
      <c r="G112" s="5" t="str">
        <f>IFERROR(__xludf.DUMMYFUNCTION("LET(
  refItem, TO_TEXT(D112),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IF(ISBLANK(D112),"""", IF(IFERROR(latestMutation,"""")=""OUT"", latestCust, ""AKGREADY"")
))"),"AKGREADY")</f>
        <v>AKGREADY</v>
      </c>
    </row>
    <row r="113">
      <c r="A113" s="5" t="s">
        <v>6964</v>
      </c>
      <c r="B113" s="5" t="s">
        <v>3486</v>
      </c>
      <c r="C113" s="5" t="s">
        <v>3487</v>
      </c>
      <c r="D113" s="28" t="s">
        <v>3926</v>
      </c>
      <c r="F113" s="6">
        <v>46050.65378472222</v>
      </c>
      <c r="G113" s="5" t="str">
        <f>IFERROR(__xludf.DUMMYFUNCTION("LET(
  refItem, TO_TEXT(D113),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IF(ISBLANK(D113),"""", IF(IFERROR(latestMutation,"""")=""OUT"", latestCust, ""AKGREADY"")
))"),"98c84274")</f>
        <v>98c84274</v>
      </c>
    </row>
    <row r="114">
      <c r="A114" s="5" t="s">
        <v>6965</v>
      </c>
      <c r="B114" s="5" t="s">
        <v>3486</v>
      </c>
      <c r="C114" s="5" t="s">
        <v>3487</v>
      </c>
      <c r="D114" s="28" t="s">
        <v>5831</v>
      </c>
      <c r="F114" s="59">
        <v>45968.44798611111</v>
      </c>
      <c r="G114" s="5" t="str">
        <f>IFERROR(__xludf.DUMMYFUNCTION("LET(
  refItem, TO_TEXT(D114),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IF(ISBLANK(D114),"""", IF(IFERROR(latestMutation,"""")=""OUT"", latestCust, ""AKGREADY"")
))"),"9828dfc5")</f>
        <v>9828dfc5</v>
      </c>
    </row>
    <row r="115">
      <c r="A115" s="5" t="s">
        <v>6966</v>
      </c>
      <c r="B115" s="57" t="s">
        <v>3486</v>
      </c>
      <c r="C115" s="5" t="s">
        <v>3487</v>
      </c>
      <c r="D115" s="28" t="s">
        <v>5870</v>
      </c>
      <c r="F115" s="59">
        <v>45919.35895833333</v>
      </c>
      <c r="G115" s="5" t="str">
        <f>IFERROR(__xludf.DUMMYFUNCTION("LET(
  refItem, TO_TEXT(D115),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IF(ISBLANK(D115),"""", IF(IFERROR(latestMutation,"""")=""OUT"", latestCust, ""AKGREADY"")
))"),"03ff52db")</f>
        <v>03ff52db</v>
      </c>
    </row>
    <row r="116">
      <c r="B116" s="57" t="s">
        <v>3486</v>
      </c>
      <c r="C116" s="5" t="s">
        <v>3487</v>
      </c>
      <c r="D116" s="28" t="s">
        <v>5236</v>
      </c>
      <c r="F116" s="59">
        <v>45962.46988425926</v>
      </c>
      <c r="G116" s="5" t="str">
        <f>IFERROR(__xludf.DUMMYFUNCTION("LET(
  refItem, TO_TEXT(D116),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IF(ISBLANK(D116),"""", IF(IFERROR(latestMutation,"""")=""OUT"", latestCust, ""AKGREADY"")
))"),"AKGREADY")</f>
        <v>AKGREADY</v>
      </c>
    </row>
    <row r="117">
      <c r="A117" s="5" t="s">
        <v>6967</v>
      </c>
      <c r="B117" s="5" t="s">
        <v>4203</v>
      </c>
      <c r="C117" s="5" t="s">
        <v>4204</v>
      </c>
      <c r="D117" s="28" t="s">
        <v>5301</v>
      </c>
      <c r="F117" s="59">
        <v>45884.61640046296</v>
      </c>
      <c r="G117" s="5" t="str">
        <f>IFERROR(__xludf.DUMMYFUNCTION("LET(
  refItem, TO_TEXT(D117),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IF(ISBLANK(D117),"""", IF(IFERROR(latestMutation,"""")=""OUT"", latestCust, ""AKGREADY"")
))"),"1a1efff9")</f>
        <v>1a1efff9</v>
      </c>
    </row>
    <row r="118">
      <c r="A118" s="5" t="s">
        <v>6968</v>
      </c>
      <c r="B118" s="5" t="s">
        <v>3486</v>
      </c>
      <c r="C118" s="5" t="s">
        <v>3487</v>
      </c>
      <c r="D118" s="28" t="s">
        <v>6718</v>
      </c>
      <c r="F118" s="59">
        <v>45989.34719907407</v>
      </c>
      <c r="G118" s="5" t="str">
        <f>IFERROR(__xludf.DUMMYFUNCTION("LET(
  refItem, TO_TEXT(D118),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IF(ISBLANK(D118),"""", IF(IFERROR(latestMutation,"""")=""OUT"", latestCust, ""AKGREADY"")
))"),"AKGREADY")</f>
        <v>AKGREADY</v>
      </c>
    </row>
    <row r="119">
      <c r="A119" s="5" t="s">
        <v>6969</v>
      </c>
      <c r="B119" s="5" t="s">
        <v>3486</v>
      </c>
      <c r="C119" s="5" t="s">
        <v>3487</v>
      </c>
      <c r="D119" s="28" t="s">
        <v>6970</v>
      </c>
      <c r="F119" s="59">
        <v>45919.35859953704</v>
      </c>
      <c r="G119" s="5" t="str">
        <f>IFERROR(__xludf.DUMMYFUNCTION("LET(
  refItem, TO_TEXT(D119),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IF(ISBLANK(D119),"""", IF(IFERROR(latestMutation,"""")=""OUT"", latestCust, ""AKGREADY"")
))"),"e86baf3b")</f>
        <v>e86baf3b</v>
      </c>
    </row>
    <row r="120">
      <c r="A120" s="10" t="s">
        <v>6971</v>
      </c>
      <c r="B120" s="57" t="s">
        <v>3486</v>
      </c>
      <c r="C120" s="5" t="s">
        <v>3487</v>
      </c>
      <c r="D120" s="28" t="s">
        <v>5801</v>
      </c>
      <c r="F120" s="6">
        <v>46064.580104166664</v>
      </c>
      <c r="G120" s="5" t="str">
        <f>IFERROR(__xludf.DUMMYFUNCTION("LET(
  refItem, TO_TEXT(D120),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IF(ISBLANK(D120),"""", IF(IFERROR(latestMutation,"""")=""OUT"", latestCust, ""AKGREADY"")
))"),"4ec68cf6")</f>
        <v>4ec68cf6</v>
      </c>
    </row>
    <row r="121">
      <c r="A121" s="5" t="s">
        <v>6972</v>
      </c>
      <c r="B121" s="57" t="s">
        <v>3486</v>
      </c>
      <c r="C121" s="5" t="s">
        <v>3487</v>
      </c>
      <c r="D121" s="28" t="s">
        <v>6973</v>
      </c>
      <c r="F121" s="59">
        <v>45919.358125</v>
      </c>
      <c r="G121" s="5" t="str">
        <f>IFERROR(__xludf.DUMMYFUNCTION("LET(
  refItem, TO_TEXT(D121),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IF(ISBLANK(D121),"""", IF(IFERROR(latestMutation,"""")=""OUT"", latestCust, ""AKGREADY"")
))"),"3b04351a")</f>
        <v>3b04351a</v>
      </c>
    </row>
    <row r="122">
      <c r="A122" s="5" t="s">
        <v>6974</v>
      </c>
      <c r="B122" s="57" t="s">
        <v>3486</v>
      </c>
      <c r="C122" s="5" t="s">
        <v>3487</v>
      </c>
      <c r="D122" s="28" t="s">
        <v>6343</v>
      </c>
      <c r="G122" s="5" t="str">
        <f>IFERROR(__xludf.DUMMYFUNCTION("LET(
  refItem, TO_TEXT(D122),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IF(ISBLANK(D122),"""", IF(IFERROR(latestMutation,"""")=""OUT"", latestCust, ""AKGREADY"")
))"),"eec2e801")</f>
        <v>eec2e801</v>
      </c>
    </row>
    <row r="123">
      <c r="A123" s="5" t="s">
        <v>6975</v>
      </c>
      <c r="B123" s="57" t="s">
        <v>3486</v>
      </c>
      <c r="C123" s="5" t="s">
        <v>3487</v>
      </c>
      <c r="D123" s="28" t="s">
        <v>4747</v>
      </c>
      <c r="F123" s="59">
        <v>45906.40721064815</v>
      </c>
      <c r="G123" s="5" t="str">
        <f>IFERROR(__xludf.DUMMYFUNCTION("LET(
  refItem, TO_TEXT(D123),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IF(ISBLANK(D123),"""", IF(IFERROR(latestMutation,"""")=""OUT"", latestCust, ""AKGREADY"")
))"),"ba97d58d")</f>
        <v>ba97d58d</v>
      </c>
    </row>
    <row r="124">
      <c r="A124" s="5" t="s">
        <v>6976</v>
      </c>
      <c r="B124" s="5" t="s">
        <v>3486</v>
      </c>
      <c r="C124" s="5" t="s">
        <v>3487</v>
      </c>
      <c r="D124" s="28" t="s">
        <v>4953</v>
      </c>
      <c r="F124" s="59">
        <v>45988.469456018516</v>
      </c>
      <c r="G124" s="5" t="str">
        <f>IFERROR(__xludf.DUMMYFUNCTION("LET(
  refItem, TO_TEXT(D124),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IF(ISBLANK(D124),"""", IF(IFERROR(latestMutation,"""")=""OUT"", latestCust, ""AKGREADY"")
))"),"AKGREADY")</f>
        <v>AKGREADY</v>
      </c>
    </row>
    <row r="125">
      <c r="A125" s="2" t="s">
        <v>6977</v>
      </c>
      <c r="B125" s="5" t="s">
        <v>3486</v>
      </c>
      <c r="C125" s="5" t="s">
        <v>3487</v>
      </c>
      <c r="D125" s="28" t="s">
        <v>5370</v>
      </c>
      <c r="F125" s="6">
        <v>46074.407488425924</v>
      </c>
      <c r="G125" s="5" t="str">
        <f>IFERROR(__xludf.DUMMYFUNCTION("LET(
  refItem, TO_TEXT(D125),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IF(ISBLANK(D125),"""", IF(IFERROR(latestMutation,"""")=""OUT"", latestCust, ""AKGREADY"")
))"),"d9b2fac5")</f>
        <v>d9b2fac5</v>
      </c>
    </row>
    <row r="126">
      <c r="A126" s="5" t="s">
        <v>6978</v>
      </c>
      <c r="B126" s="5" t="s">
        <v>3486</v>
      </c>
      <c r="C126" s="5" t="s">
        <v>3487</v>
      </c>
      <c r="D126" s="28" t="s">
        <v>4627</v>
      </c>
      <c r="F126" s="59">
        <v>45934.764872685184</v>
      </c>
      <c r="G126" s="5" t="str">
        <f>IFERROR(__xludf.DUMMYFUNCTION("LET(
  refItem, TO_TEXT(D126),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IF(ISBLANK(D126),"""", IF(IFERROR(latestMutation,"""")=""OUT"", latestCust, ""AKGREADY"")
))"),"eec2e801")</f>
        <v>eec2e801</v>
      </c>
    </row>
    <row r="127">
      <c r="A127" s="5" t="s">
        <v>6979</v>
      </c>
      <c r="B127" s="5" t="s">
        <v>3486</v>
      </c>
      <c r="C127" s="5" t="s">
        <v>3487</v>
      </c>
      <c r="D127" s="28" t="s">
        <v>4810</v>
      </c>
      <c r="F127" s="59">
        <v>45906.409212962964</v>
      </c>
      <c r="G127" s="5" t="str">
        <f>IFERROR(__xludf.DUMMYFUNCTION("LET(
  refItem, TO_TEXT(D127),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IF(ISBLANK(D127),"""", IF(IFERROR(latestMutation,"""")=""OUT"", latestCust, ""AKGREADY"")
))"),"AKGREADY")</f>
        <v>AKGREADY</v>
      </c>
    </row>
    <row r="128">
      <c r="A128" s="5" t="s">
        <v>6980</v>
      </c>
      <c r="B128" s="5" t="s">
        <v>3486</v>
      </c>
      <c r="C128" s="5" t="s">
        <v>3487</v>
      </c>
      <c r="D128" s="28" t="s">
        <v>5618</v>
      </c>
      <c r="F128" s="59">
        <v>45968.56402777778</v>
      </c>
      <c r="G128" s="5" t="str">
        <f>IFERROR(__xludf.DUMMYFUNCTION("LET(
  refItem, TO_TEXT(D128),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IF(ISBLANK(D128),"""", IF(IFERROR(latestMutation,"""")=""OUT"", latestCust, ""AKGREADY"")
))"),"785e0e07")</f>
        <v>785e0e07</v>
      </c>
    </row>
    <row r="129">
      <c r="A129" s="5" t="s">
        <v>6981</v>
      </c>
      <c r="B129" s="5" t="s">
        <v>3486</v>
      </c>
      <c r="C129" s="5" t="s">
        <v>3487</v>
      </c>
      <c r="D129" s="28" t="s">
        <v>4854</v>
      </c>
      <c r="F129" s="59">
        <v>45964.64975694445</v>
      </c>
      <c r="G129" s="5" t="str">
        <f>IFERROR(__xludf.DUMMYFUNCTION("LET(
  refItem, TO_TEXT(D129),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IF(ISBLANK(D129),"""", IF(IFERROR(latestMutation,"""")=""OUT"", latestCust, ""AKGREADY"")
))"),"9828dfc5")</f>
        <v>9828dfc5</v>
      </c>
    </row>
    <row r="130">
      <c r="A130" s="5" t="s">
        <v>6982</v>
      </c>
      <c r="B130" s="5" t="s">
        <v>3486</v>
      </c>
      <c r="C130" s="5" t="s">
        <v>3487</v>
      </c>
      <c r="D130" s="28" t="s">
        <v>6983</v>
      </c>
      <c r="F130" s="59">
        <v>45889.47125</v>
      </c>
      <c r="G130" s="5" t="str">
        <f>IFERROR(__xludf.DUMMYFUNCTION("LET(
  refItem, TO_TEXT(D130),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IF(ISBLANK(D130),"""", IF(IFERROR(latestMutation,"""")=""OUT"", latestCust, ""AKGREADY"")
))"),"AKGREADY")</f>
        <v>AKGREADY</v>
      </c>
    </row>
    <row r="131">
      <c r="A131" s="5" t="s">
        <v>6984</v>
      </c>
      <c r="B131" s="5" t="s">
        <v>3486</v>
      </c>
      <c r="C131" s="5" t="s">
        <v>3487</v>
      </c>
      <c r="D131" s="28" t="s">
        <v>4070</v>
      </c>
      <c r="F131" s="59">
        <v>45922.43475694444</v>
      </c>
      <c r="G131" s="5" t="str">
        <f>IFERROR(__xludf.DUMMYFUNCTION("LET(
  refItem, TO_TEXT(D131),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IF(ISBLANK(D131),"""", IF(IFERROR(latestMutation,"""")=""OUT"", latestCust, ""AKGREADY"")
))"),"AKGREADY")</f>
        <v>AKGREADY</v>
      </c>
    </row>
    <row r="132">
      <c r="A132" s="5" t="s">
        <v>6985</v>
      </c>
      <c r="B132" s="5" t="s">
        <v>3486</v>
      </c>
      <c r="C132" s="5" t="s">
        <v>3487</v>
      </c>
      <c r="D132" s="28" t="s">
        <v>4566</v>
      </c>
      <c r="F132" s="59">
        <v>45903.51478009259</v>
      </c>
      <c r="G132" s="5" t="str">
        <f>IFERROR(__xludf.DUMMYFUNCTION("LET(
  refItem, TO_TEXT(D132),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IF(ISBLANK(D132),"""", IF(IFERROR(latestMutation,"""")=""OUT"", latestCust, ""AKGREADY"")
))"),"9828dfc5")</f>
        <v>9828dfc5</v>
      </c>
    </row>
    <row r="133">
      <c r="A133" s="5" t="s">
        <v>6986</v>
      </c>
      <c r="B133" s="57" t="s">
        <v>3486</v>
      </c>
      <c r="C133" s="5" t="s">
        <v>3487</v>
      </c>
      <c r="D133" s="28" t="s">
        <v>6987</v>
      </c>
      <c r="F133" s="59">
        <v>45911.35019675926</v>
      </c>
      <c r="G133" s="5" t="str">
        <f>IFERROR(__xludf.DUMMYFUNCTION("LET(
  refItem, TO_TEXT(D133),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IF(ISBLANK(D133),"""", IF(IFERROR(latestMutation,"""")=""OUT"", latestCust, ""AKGREADY"")
))"),"9828dfc5")</f>
        <v>9828dfc5</v>
      </c>
    </row>
    <row r="134">
      <c r="A134" s="5" t="s">
        <v>6988</v>
      </c>
      <c r="B134" s="5" t="s">
        <v>3486</v>
      </c>
      <c r="C134" s="5" t="s">
        <v>3487</v>
      </c>
      <c r="D134" s="28" t="s">
        <v>4031</v>
      </c>
      <c r="F134" s="59">
        <v>45883.4031712963</v>
      </c>
      <c r="G134" s="5" t="str">
        <f>IFERROR(__xludf.DUMMYFUNCTION("LET(
  refItem, TO_TEXT(D134),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IF(ISBLANK(D134),"""", IF(IFERROR(latestMutation,"""")=""OUT"", latestCust, ""AKGREADY"")
))"),"2d88931c")</f>
        <v>2d88931c</v>
      </c>
    </row>
    <row r="135">
      <c r="A135" s="10" t="s">
        <v>6989</v>
      </c>
      <c r="B135" s="5" t="s">
        <v>3486</v>
      </c>
      <c r="C135" s="5" t="s">
        <v>3487</v>
      </c>
      <c r="D135" s="28" t="s">
        <v>6990</v>
      </c>
      <c r="F135" s="6">
        <v>46049.37912037037</v>
      </c>
      <c r="G135" s="5" t="str">
        <f>IFERROR(__xludf.DUMMYFUNCTION("LET(
  refItem, TO_TEXT(D135),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IF(ISBLANK(D135),"""", IF(IFERROR(latestMutation,"""")=""OUT"", latestCust, ""AKGREADY"")
))"),"b218b89b")</f>
        <v>b218b89b</v>
      </c>
    </row>
    <row r="136">
      <c r="A136" s="5" t="s">
        <v>6991</v>
      </c>
      <c r="B136" s="5" t="s">
        <v>4203</v>
      </c>
      <c r="C136" s="5" t="s">
        <v>4204</v>
      </c>
      <c r="D136" s="28" t="s">
        <v>3940</v>
      </c>
      <c r="F136" s="59">
        <v>45898.356782407405</v>
      </c>
      <c r="G136" s="5" t="str">
        <f>IFERROR(__xludf.DUMMYFUNCTION("LET(
  refItem, TO_TEXT(D136),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IF(ISBLANK(D136),"""", IF(IFERROR(latestMutation,"""")=""OUT"", latestCust, ""AKGREADY"")
))"),"f7243d00")</f>
        <v>f7243d00</v>
      </c>
    </row>
    <row r="137">
      <c r="A137" s="5" t="s">
        <v>6992</v>
      </c>
      <c r="B137" s="5" t="s">
        <v>4203</v>
      </c>
      <c r="C137" s="5" t="s">
        <v>4204</v>
      </c>
      <c r="D137" s="28" t="s">
        <v>5092</v>
      </c>
      <c r="F137" s="59">
        <v>45919.35665509259</v>
      </c>
      <c r="G137" s="5" t="str">
        <f>IFERROR(__xludf.DUMMYFUNCTION("LET(
  refItem, TO_TEXT(D137),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IF(ISBLANK(D137),"""", IF(IFERROR(latestMutation,"""")=""OUT"", latestCust, ""AKGREADY"")
))"),"d9b2fac5")</f>
        <v>d9b2fac5</v>
      </c>
    </row>
    <row r="138">
      <c r="A138" s="5" t="s">
        <v>6993</v>
      </c>
      <c r="B138" s="5" t="s">
        <v>4203</v>
      </c>
      <c r="C138" s="5" t="s">
        <v>4204</v>
      </c>
      <c r="D138" s="28" t="s">
        <v>5186</v>
      </c>
      <c r="F138" s="59">
        <v>45919.35674768518</v>
      </c>
      <c r="G138" s="5" t="str">
        <f>IFERROR(__xludf.DUMMYFUNCTION("LET(
  refItem, TO_TEXT(D138),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IF(ISBLANK(D138),"""", IF(IFERROR(latestMutation,"""")=""OUT"", latestCust, ""AKGREADY"")
))"),"3bcd7fe6")</f>
        <v>3bcd7fe6</v>
      </c>
    </row>
    <row r="139">
      <c r="A139" s="5" t="s">
        <v>6994</v>
      </c>
      <c r="B139" s="5" t="s">
        <v>4203</v>
      </c>
      <c r="C139" s="5" t="s">
        <v>4204</v>
      </c>
      <c r="D139" s="28" t="s">
        <v>5095</v>
      </c>
      <c r="F139" s="59">
        <v>45919.35704861111</v>
      </c>
      <c r="G139" s="5" t="str">
        <f>IFERROR(__xludf.DUMMYFUNCTION("LET(
  refItem, TO_TEXT(D139),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IF(ISBLANK(D139),"""", IF(IFERROR(latestMutation,"""")=""OUT"", latestCust, ""AKGREADY"")
))"),"17a8e612")</f>
        <v>17a8e612</v>
      </c>
    </row>
    <row r="140">
      <c r="A140" s="5" t="s">
        <v>6995</v>
      </c>
      <c r="B140" s="5" t="s">
        <v>4203</v>
      </c>
      <c r="C140" s="5" t="s">
        <v>4204</v>
      </c>
      <c r="D140" s="28" t="s">
        <v>6045</v>
      </c>
      <c r="F140" s="59">
        <v>45868.6775</v>
      </c>
      <c r="G140" s="5" t="str">
        <f>IFERROR(__xludf.DUMMYFUNCTION("LET(
  refItem, TO_TEXT(D140),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IF(ISBLANK(D140),"""", IF(IFERROR(latestMutation,"""")=""OUT"", latestCust, ""AKGREADY"")
))"),"057b6b99")</f>
        <v>057b6b99</v>
      </c>
    </row>
    <row r="141">
      <c r="A141" s="5" t="s">
        <v>6996</v>
      </c>
      <c r="B141" s="5" t="s">
        <v>4203</v>
      </c>
      <c r="C141" s="5" t="s">
        <v>4204</v>
      </c>
      <c r="D141" s="28" t="s">
        <v>4883</v>
      </c>
      <c r="F141" s="59">
        <v>45909.42612268519</v>
      </c>
      <c r="G141" s="5" t="str">
        <f>IFERROR(__xludf.DUMMYFUNCTION("LET(
  refItem, TO_TEXT(D141),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IF(ISBLANK(D141),"""", IF(IFERROR(latestMutation,"""")=""OUT"", latestCust, ""AKGREADY"")
))"),"AKGREADY")</f>
        <v>AKGREADY</v>
      </c>
    </row>
    <row r="142">
      <c r="A142" s="5" t="s">
        <v>6997</v>
      </c>
      <c r="B142" s="5" t="s">
        <v>4203</v>
      </c>
      <c r="C142" s="5" t="s">
        <v>4204</v>
      </c>
      <c r="D142" s="28" t="s">
        <v>4841</v>
      </c>
      <c r="F142" s="59">
        <v>45908.35325231482</v>
      </c>
      <c r="G142" s="5" t="str">
        <f>IFERROR(__xludf.DUMMYFUNCTION("LET(
  refItem, TO_TEXT(D142),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IF(ISBLANK(D142),"""", IF(IFERROR(latestMutation,"""")=""OUT"", latestCust, ""AKGREADY"")
))"),"d9b2fac5")</f>
        <v>d9b2fac5</v>
      </c>
    </row>
    <row r="143">
      <c r="A143" s="10" t="s">
        <v>6998</v>
      </c>
      <c r="B143" s="5" t="s">
        <v>4203</v>
      </c>
      <c r="C143" s="5" t="s">
        <v>4204</v>
      </c>
      <c r="D143" s="28" t="s">
        <v>5709</v>
      </c>
      <c r="F143" s="6">
        <v>46064.41913194444</v>
      </c>
      <c r="G143" s="5" t="str">
        <f>IFERROR(__xludf.DUMMYFUNCTION("LET(
  refItem, TO_TEXT(D143),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IF(ISBLANK(D143),"""", IF(IFERROR(latestMutation,"""")=""OUT"", latestCust, ""AKGREADY"")
))"),"9e5d8274")</f>
        <v>9e5d8274</v>
      </c>
    </row>
    <row r="144">
      <c r="A144" s="5" t="s">
        <v>6999</v>
      </c>
      <c r="B144" s="5" t="s">
        <v>3486</v>
      </c>
      <c r="C144" s="5" t="s">
        <v>3487</v>
      </c>
      <c r="D144" s="28" t="s">
        <v>4617</v>
      </c>
      <c r="F144" s="59">
        <v>45911.351064814815</v>
      </c>
      <c r="G144" s="5" t="str">
        <f>IFERROR(__xludf.DUMMYFUNCTION("LET(
  refItem, TO_TEXT(D144),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IF(ISBLANK(D144),"""", IF(IFERROR(latestMutation,"""")=""OUT"", latestCust, ""AKGREADY"")
))"),"a0f0ad2d")</f>
        <v>a0f0ad2d</v>
      </c>
    </row>
    <row r="145">
      <c r="A145" s="5" t="s">
        <v>7000</v>
      </c>
      <c r="B145" s="5" t="s">
        <v>4203</v>
      </c>
      <c r="C145" s="5" t="s">
        <v>4204</v>
      </c>
      <c r="D145" s="28" t="s">
        <v>4756</v>
      </c>
      <c r="F145" s="59">
        <v>45906.41165509259</v>
      </c>
      <c r="G145" s="5" t="str">
        <f>IFERROR(__xludf.DUMMYFUNCTION("LET(
  refItem, TO_TEXT(D145),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IF(ISBLANK(D145),"""", IF(IFERROR(latestMutation,"""")=""OUT"", latestCust, ""AKGREADY"")
))"),"dcdf8b31")</f>
        <v>dcdf8b31</v>
      </c>
    </row>
    <row r="146">
      <c r="A146" s="5" t="s">
        <v>7001</v>
      </c>
      <c r="B146" s="5" t="s">
        <v>4203</v>
      </c>
      <c r="C146" s="5" t="s">
        <v>4204</v>
      </c>
      <c r="D146" s="28" t="s">
        <v>5006</v>
      </c>
      <c r="F146" s="59">
        <v>45875.50313657407</v>
      </c>
      <c r="G146" s="5" t="str">
        <f>IFERROR(__xludf.DUMMYFUNCTION("LET(
  refItem, TO_TEXT(D146),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IF(ISBLANK(D146),"""", IF(IFERROR(latestMutation,"""")=""OUT"", latestCust, ""AKGREADY"")
))"),"AKGREADY")</f>
        <v>AKGREADY</v>
      </c>
    </row>
    <row r="147">
      <c r="A147" s="5" t="s">
        <v>7002</v>
      </c>
      <c r="B147" s="5" t="s">
        <v>4203</v>
      </c>
      <c r="C147" s="5" t="s">
        <v>4204</v>
      </c>
      <c r="D147" s="28" t="s">
        <v>4517</v>
      </c>
      <c r="F147" s="59">
        <v>45875.503275462965</v>
      </c>
      <c r="G147" s="5" t="str">
        <f>IFERROR(__xludf.DUMMYFUNCTION("LET(
  refItem, TO_TEXT(D147),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IF(ISBLANK(D147),"""", IF(IFERROR(latestMutation,"""")=""OUT"", latestCust, ""AKGREADY"")
))"),"d9b2fac5")</f>
        <v>d9b2fac5</v>
      </c>
    </row>
    <row r="148">
      <c r="A148" s="5" t="s">
        <v>7003</v>
      </c>
      <c r="B148" s="57" t="s">
        <v>4203</v>
      </c>
      <c r="C148" s="5" t="s">
        <v>4204</v>
      </c>
      <c r="D148" s="28" t="s">
        <v>6131</v>
      </c>
      <c r="F148" s="59">
        <v>45919.35681712963</v>
      </c>
      <c r="G148" s="5" t="str">
        <f>IFERROR(__xludf.DUMMYFUNCTION("LET(
  refItem, TO_TEXT(D148),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IF(ISBLANK(D148),"""", IF(IFERROR(latestMutation,"""")=""OUT"", latestCust, ""AKGREADY"")
))"),"d9b2fac5")</f>
        <v>d9b2fac5</v>
      </c>
    </row>
    <row r="149">
      <c r="A149" s="5" t="s">
        <v>7004</v>
      </c>
      <c r="B149" s="57" t="s">
        <v>4203</v>
      </c>
      <c r="C149" s="5" t="s">
        <v>4204</v>
      </c>
      <c r="D149" s="28" t="s">
        <v>7005</v>
      </c>
      <c r="F149" s="59">
        <v>45906.41180555556</v>
      </c>
      <c r="G149" s="5" t="str">
        <f>IFERROR(__xludf.DUMMYFUNCTION("LET(
  refItem, TO_TEXT(D149),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IF(ISBLANK(D149),"""", IF(IFERROR(latestMutation,"""")=""OUT"", latestCust, ""AKGREADY"")
))"),"370c84d1")</f>
        <v>370c84d1</v>
      </c>
    </row>
    <row r="150">
      <c r="A150" s="5" t="s">
        <v>7006</v>
      </c>
      <c r="B150" s="57" t="s">
        <v>4203</v>
      </c>
      <c r="C150" s="5" t="s">
        <v>4204</v>
      </c>
      <c r="D150" s="28" t="s">
        <v>6074</v>
      </c>
      <c r="F150" s="59">
        <v>45897.41486111111</v>
      </c>
      <c r="G150" s="5" t="str">
        <f>IFERROR(__xludf.DUMMYFUNCTION("LET(
  refItem, TO_TEXT(D150),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IF(ISBLANK(D150),"""", IF(IFERROR(latestMutation,"""")=""OUT"", latestCust, ""AKGREADY"")
))"),"d9b2fac5")</f>
        <v>d9b2fac5</v>
      </c>
    </row>
    <row r="151">
      <c r="A151" s="5" t="s">
        <v>7007</v>
      </c>
      <c r="B151" s="5" t="s">
        <v>4203</v>
      </c>
      <c r="C151" s="5" t="s">
        <v>4204</v>
      </c>
      <c r="D151" s="28" t="s">
        <v>5979</v>
      </c>
      <c r="F151" s="59">
        <v>45899.41287037037</v>
      </c>
      <c r="G151" s="5" t="str">
        <f>IFERROR(__xludf.DUMMYFUNCTION("LET(
  refItem, TO_TEXT(D151),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IF(ISBLANK(D151),"""", IF(IFERROR(latestMutation,"""")=""OUT"", latestCust, ""AKGREADY"")
))"),"8ea74d81")</f>
        <v>8ea74d81</v>
      </c>
    </row>
    <row r="152">
      <c r="A152" s="5" t="s">
        <v>7008</v>
      </c>
      <c r="B152" s="57" t="s">
        <v>4203</v>
      </c>
      <c r="C152" s="5" t="s">
        <v>4204</v>
      </c>
      <c r="D152" s="28" t="s">
        <v>4859</v>
      </c>
      <c r="F152" s="59">
        <v>45909.408171296294</v>
      </c>
      <c r="G152" s="5" t="str">
        <f>IFERROR(__xludf.DUMMYFUNCTION("LET(
  refItem, TO_TEXT(D152),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IF(ISBLANK(D152),"""", IF(IFERROR(latestMutation,"""")=""OUT"", latestCust, ""AKGREADY"")
))"),"3bcd7fe6")</f>
        <v>3bcd7fe6</v>
      </c>
    </row>
    <row r="153">
      <c r="A153" s="2" t="s">
        <v>7009</v>
      </c>
      <c r="B153" s="5" t="s">
        <v>3486</v>
      </c>
      <c r="C153" s="5" t="s">
        <v>3487</v>
      </c>
      <c r="D153" s="28" t="s">
        <v>4612</v>
      </c>
      <c r="F153" s="6">
        <v>46062.580462962964</v>
      </c>
      <c r="G153" s="5" t="str">
        <f>IFERROR(__xludf.DUMMYFUNCTION("LET(
  refItem, TO_TEXT(D153),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IF(ISBLANK(D153),"""", IF(IFERROR(latestMutation,"""")=""OUT"", latestCust, ""AKGREADY"")
))"),"AKGREADY")</f>
        <v>AKGREADY</v>
      </c>
    </row>
    <row r="154">
      <c r="A154" s="5" t="s">
        <v>7010</v>
      </c>
      <c r="B154" s="60" t="s">
        <v>3486</v>
      </c>
      <c r="C154" s="2" t="s">
        <v>3487</v>
      </c>
      <c r="D154" s="28" t="s">
        <v>5785</v>
      </c>
      <c r="F154" s="6">
        <v>46052.37709490741</v>
      </c>
      <c r="G154" s="5" t="str">
        <f>IFERROR(__xludf.DUMMYFUNCTION("LET(
  refItem, TO_TEXT(D154),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IF(ISBLANK(D154),"""", IF(IFERROR(latestMutation,"""")=""OUT"", latestCust, ""AKGREADY"")
))"),"b218b89b")</f>
        <v>b218b89b</v>
      </c>
    </row>
    <row r="155">
      <c r="A155" s="28"/>
      <c r="B155" s="5" t="s">
        <v>3486</v>
      </c>
      <c r="C155" s="5" t="s">
        <v>3487</v>
      </c>
      <c r="D155" s="28" t="s">
        <v>3655</v>
      </c>
      <c r="F155" s="59">
        <v>45962.471238425926</v>
      </c>
      <c r="G155" s="5" t="str">
        <f>IFERROR(__xludf.DUMMYFUNCTION("LET(
  refItem, TO_TEXT(D155),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IF(ISBLANK(D155),"""", IF(IFERROR(latestMutation,"""")=""OUT"", latestCust, ""AKGREADY"")
))"),"AKGREADY")</f>
        <v>AKGREADY</v>
      </c>
    </row>
    <row r="156">
      <c r="A156" s="5" t="s">
        <v>7011</v>
      </c>
      <c r="B156" s="5" t="s">
        <v>4203</v>
      </c>
      <c r="C156" s="5" t="s">
        <v>4204</v>
      </c>
      <c r="D156" s="28" t="s">
        <v>7012</v>
      </c>
      <c r="F156" s="59">
        <v>45868.67795138889</v>
      </c>
      <c r="G156" s="5" t="str">
        <f>IFERROR(__xludf.DUMMYFUNCTION("LET(
  refItem, TO_TEXT(D156),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IF(ISBLANK(D156),"""", IF(IFERROR(latestMutation,"""")=""OUT"", latestCust, ""AKGREADY"")
))"),"dcdf8b31")</f>
        <v>dcdf8b31</v>
      </c>
    </row>
    <row r="157">
      <c r="A157" s="5" t="s">
        <v>7013</v>
      </c>
      <c r="B157" s="5" t="s">
        <v>3486</v>
      </c>
      <c r="C157" s="5" t="s">
        <v>3487</v>
      </c>
      <c r="D157" s="28" t="s">
        <v>5978</v>
      </c>
      <c r="F157" s="59">
        <v>45906.4090162037</v>
      </c>
      <c r="G157" s="5" t="str">
        <f>IFERROR(__xludf.DUMMYFUNCTION("LET(
  refItem, TO_TEXT(D157),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IF(ISBLANK(D157),"""", IF(IFERROR(latestMutation,"""")=""OUT"", latestCust, ""AKGREADY"")
))"),"AKGREADY")</f>
        <v>AKGREADY</v>
      </c>
    </row>
    <row r="158">
      <c r="A158" s="5" t="s">
        <v>7014</v>
      </c>
      <c r="B158" s="57" t="s">
        <v>3486</v>
      </c>
      <c r="C158" s="5" t="s">
        <v>3487</v>
      </c>
      <c r="D158" s="28" t="s">
        <v>5120</v>
      </c>
      <c r="F158" s="59">
        <v>45896.503587962965</v>
      </c>
      <c r="G158" s="5" t="str">
        <f>IFERROR(__xludf.DUMMYFUNCTION("LET(
  refItem, TO_TEXT(D158),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IF(ISBLANK(D158),"""", IF(IFERROR(latestMutation,"""")=""OUT"", latestCust, ""AKGREADY"")
))"),"b218b89b")</f>
        <v>b218b89b</v>
      </c>
    </row>
    <row r="159">
      <c r="A159" s="5" t="s">
        <v>7015</v>
      </c>
      <c r="B159" s="5" t="s">
        <v>3486</v>
      </c>
      <c r="C159" s="5" t="s">
        <v>3487</v>
      </c>
      <c r="D159" s="28" t="s">
        <v>4679</v>
      </c>
      <c r="F159" s="59">
        <v>45923.62598379629</v>
      </c>
      <c r="G159" s="5" t="str">
        <f>IFERROR(__xludf.DUMMYFUNCTION("LET(
  refItem, TO_TEXT(D159),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IF(ISBLANK(D159),"""", IF(IFERROR(latestMutation,"""")=""OUT"", latestCust, ""AKGREADY"")
))"),"a9fe1bea")</f>
        <v>a9fe1bea</v>
      </c>
    </row>
    <row r="160">
      <c r="A160" s="5" t="s">
        <v>7016</v>
      </c>
      <c r="B160" s="5" t="s">
        <v>3486</v>
      </c>
      <c r="C160" s="5" t="s">
        <v>3487</v>
      </c>
      <c r="D160" s="28" t="s">
        <v>6706</v>
      </c>
      <c r="F160" s="59">
        <v>45924.63394675926</v>
      </c>
      <c r="G160" s="5" t="str">
        <f>IFERROR(__xludf.DUMMYFUNCTION("LET(
  refItem, TO_TEXT(D160),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IF(ISBLANK(D160),"""", IF(IFERROR(latestMutation,"""")=""OUT"", latestCust, ""AKGREADY"")
))"),"b2b5f2c5")</f>
        <v>b2b5f2c5</v>
      </c>
    </row>
    <row r="161">
      <c r="A161" s="10" t="s">
        <v>7017</v>
      </c>
      <c r="B161" s="5" t="s">
        <v>3486</v>
      </c>
      <c r="C161" s="5" t="s">
        <v>3487</v>
      </c>
      <c r="D161" s="28" t="s">
        <v>6129</v>
      </c>
      <c r="F161" s="6">
        <v>46050.64803240741</v>
      </c>
      <c r="G161" s="5" t="str">
        <f>IFERROR(__xludf.DUMMYFUNCTION("LET(
  refItem, TO_TEXT(D161),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IF(ISBLANK(D161),"""", IF(IFERROR(latestMutation,"""")=""OUT"", latestCust, ""AKGREADY"")
))"),"AKGREADY")</f>
        <v>AKGREADY</v>
      </c>
    </row>
    <row r="162">
      <c r="A162" s="5" t="s">
        <v>7018</v>
      </c>
      <c r="B162" s="5" t="s">
        <v>3486</v>
      </c>
      <c r="C162" s="5" t="s">
        <v>3487</v>
      </c>
      <c r="D162" s="28" t="s">
        <v>6245</v>
      </c>
      <c r="F162" s="59">
        <v>45968.564675925925</v>
      </c>
      <c r="G162" s="5" t="str">
        <f>IFERROR(__xludf.DUMMYFUNCTION("LET(
  refItem, TO_TEXT(D162),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IF(ISBLANK(D162),"""", IF(IFERROR(latestMutation,"""")=""OUT"", latestCust, ""AKGREADY"")
))"),"785e0e07")</f>
        <v>785e0e07</v>
      </c>
    </row>
    <row r="163">
      <c r="A163" s="5" t="s">
        <v>7019</v>
      </c>
      <c r="B163" s="5" t="s">
        <v>3486</v>
      </c>
      <c r="C163" s="5" t="s">
        <v>3487</v>
      </c>
      <c r="D163" s="28" t="s">
        <v>5814</v>
      </c>
      <c r="F163" s="59">
        <v>45913.56722222222</v>
      </c>
      <c r="G163" s="5" t="str">
        <f>IFERROR(__xludf.DUMMYFUNCTION("LET(
  refItem, TO_TEXT(D163),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IF(ISBLANK(D163),"""", IF(IFERROR(latestMutation,"""")=""OUT"", latestCust, ""AKGREADY"")
))"),"b218b89b")</f>
        <v>b218b89b</v>
      </c>
    </row>
    <row r="164">
      <c r="A164" s="5" t="s">
        <v>7020</v>
      </c>
      <c r="B164" s="57" t="s">
        <v>3486</v>
      </c>
      <c r="C164" s="5" t="s">
        <v>3487</v>
      </c>
      <c r="D164" s="28" t="s">
        <v>4287</v>
      </c>
      <c r="F164" s="59">
        <v>45889.62097222222</v>
      </c>
      <c r="G164" s="5" t="str">
        <f>IFERROR(__xludf.DUMMYFUNCTION("LET(
  refItem, TO_TEXT(D164),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IF(ISBLANK(D164),"""", IF(IFERROR(latestMutation,"""")=""OUT"", latestCust, ""AKGREADY"")
))"),"AKGREADY")</f>
        <v>AKGREADY</v>
      </c>
    </row>
    <row r="165">
      <c r="A165" s="5" t="s">
        <v>7021</v>
      </c>
      <c r="B165" s="5" t="s">
        <v>3486</v>
      </c>
      <c r="C165" s="5" t="s">
        <v>3487</v>
      </c>
      <c r="D165" s="28" t="s">
        <v>7022</v>
      </c>
      <c r="F165" s="59">
        <v>45868.66510416667</v>
      </c>
      <c r="G165" s="5" t="str">
        <f>IFERROR(__xludf.DUMMYFUNCTION("LET(
  refItem, TO_TEXT(D165),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IF(ISBLANK(D165),"""", IF(IFERROR(latestMutation,"""")=""OUT"", latestCust, ""AKGREADY"")
))"),"3b04351a")</f>
        <v>3b04351a</v>
      </c>
    </row>
    <row r="166">
      <c r="A166" s="5" t="s">
        <v>7023</v>
      </c>
      <c r="B166" s="5" t="s">
        <v>3486</v>
      </c>
      <c r="C166" s="5" t="s">
        <v>3487</v>
      </c>
      <c r="D166" s="28" t="s">
        <v>5804</v>
      </c>
      <c r="F166" s="59">
        <v>46012.44446759259</v>
      </c>
      <c r="G166" s="5" t="str">
        <f>IFERROR(__xludf.DUMMYFUNCTION("LET(
  refItem, TO_TEXT(D166),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IF(ISBLANK(D166),"""", IF(IFERROR(latestMutation,"""")=""OUT"", latestCust, ""AKGREADY"")
))"),"eec2e801")</f>
        <v>eec2e801</v>
      </c>
    </row>
    <row r="167">
      <c r="A167" s="5" t="s">
        <v>7024</v>
      </c>
      <c r="B167" s="57" t="s">
        <v>3486</v>
      </c>
      <c r="C167" s="5" t="s">
        <v>3487</v>
      </c>
      <c r="D167" s="28" t="s">
        <v>7025</v>
      </c>
      <c r="F167" s="59">
        <v>45889.47798611111</v>
      </c>
      <c r="G167" s="5" t="str">
        <f>IFERROR(__xludf.DUMMYFUNCTION("LET(
  refItem, TO_TEXT(D167),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IF(ISBLANK(D167),"""", IF(IFERROR(latestMutation,"""")=""OUT"", latestCust, ""AKGREADY"")
))"),"AKGREADY")</f>
        <v>AKGREADY</v>
      </c>
    </row>
    <row r="168">
      <c r="A168" s="5" t="s">
        <v>7026</v>
      </c>
      <c r="B168" s="5" t="s">
        <v>3486</v>
      </c>
      <c r="C168" s="5" t="s">
        <v>3487</v>
      </c>
      <c r="D168" s="28" t="s">
        <v>4480</v>
      </c>
      <c r="F168" s="59">
        <v>45919.35849537037</v>
      </c>
      <c r="G168" s="5" t="str">
        <f>IFERROR(__xludf.DUMMYFUNCTION("LET(
  refItem, TO_TEXT(D168),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IF(ISBLANK(D168),"""", IF(IFERROR(latestMutation,"""")=""OUT"", latestCust, ""AKGREADY"")
))"),"eec2e801")</f>
        <v>eec2e801</v>
      </c>
    </row>
    <row r="169">
      <c r="B169" s="57" t="s">
        <v>3486</v>
      </c>
      <c r="C169" s="5" t="s">
        <v>3487</v>
      </c>
      <c r="D169" s="28" t="s">
        <v>7027</v>
      </c>
      <c r="F169" s="59">
        <v>45885.75262731482</v>
      </c>
      <c r="G169" s="5" t="str">
        <f>IFERROR(__xludf.DUMMYFUNCTION("LET(
  refItem, TO_TEXT(D169),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IF(ISBLANK(D169),"""", IF(IFERROR(latestMutation,"""")=""OUT"", latestCust, ""AKGREADY"")
))"),"8f5ebaea")</f>
        <v>8f5ebaea</v>
      </c>
    </row>
    <row r="170">
      <c r="A170" s="5" t="s">
        <v>7028</v>
      </c>
      <c r="B170" s="57" t="s">
        <v>3486</v>
      </c>
      <c r="C170" s="5" t="s">
        <v>3487</v>
      </c>
      <c r="D170" s="28" t="s">
        <v>7029</v>
      </c>
      <c r="G170" s="5" t="str">
        <f>IFERROR(__xludf.DUMMYFUNCTION("LET(
  refItem, TO_TEXT(D170),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IF(ISBLANK(D170),"""", IF(IFERROR(latestMutation,"""")=""OUT"", latestCust, ""AKGREADY"")
))"),"b2b5f2c5")</f>
        <v>b2b5f2c5</v>
      </c>
    </row>
    <row r="171">
      <c r="A171" s="5" t="s">
        <v>7030</v>
      </c>
      <c r="B171" s="5" t="s">
        <v>3486</v>
      </c>
      <c r="C171" s="5" t="s">
        <v>3487</v>
      </c>
      <c r="D171" s="28" t="s">
        <v>5724</v>
      </c>
      <c r="F171" s="59">
        <v>45919.360243055555</v>
      </c>
      <c r="G171" s="5" t="str">
        <f>IFERROR(__xludf.DUMMYFUNCTION("LET(
  refItem, TO_TEXT(D171),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IF(ISBLANK(D171),"""", IF(IFERROR(latestMutation,"""")=""OUT"", latestCust, ""AKGREADY"")
))"),"58b72e0c")</f>
        <v>58b72e0c</v>
      </c>
    </row>
    <row r="172">
      <c r="A172" s="10" t="s">
        <v>7031</v>
      </c>
      <c r="B172" s="5" t="s">
        <v>3486</v>
      </c>
      <c r="C172" s="5" t="s">
        <v>3487</v>
      </c>
      <c r="D172" s="28" t="s">
        <v>7032</v>
      </c>
      <c r="F172" s="6">
        <v>46030.514965277776</v>
      </c>
      <c r="G172" s="5" t="str">
        <f>IFERROR(__xludf.DUMMYFUNCTION("LET(
  refItem, TO_TEXT(D172),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IF(ISBLANK(D172),"""", IF(IFERROR(latestMutation,"""")=""OUT"", latestCust, ""AKGREADY"")
))"),"eec2e801")</f>
        <v>eec2e801</v>
      </c>
    </row>
    <row r="173">
      <c r="A173" s="5" t="s">
        <v>7033</v>
      </c>
      <c r="B173" s="5" t="s">
        <v>3486</v>
      </c>
      <c r="C173" s="5" t="s">
        <v>3487</v>
      </c>
      <c r="D173" s="28" t="s">
        <v>7034</v>
      </c>
      <c r="F173" s="59">
        <v>45898.392800925925</v>
      </c>
      <c r="G173" s="5" t="str">
        <f>IFERROR(__xludf.DUMMYFUNCTION("LET(
  refItem, TO_TEXT(D173),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IF(ISBLANK(D173),"""", IF(IFERROR(latestMutation,"""")=""OUT"", latestCust, ""AKGREADY"")
))"),"a9fe1bea")</f>
        <v>a9fe1bea</v>
      </c>
    </row>
    <row r="174">
      <c r="A174" s="10" t="s">
        <v>7035</v>
      </c>
      <c r="B174" s="57" t="s">
        <v>3486</v>
      </c>
      <c r="C174" s="5" t="s">
        <v>3487</v>
      </c>
      <c r="D174" s="28" t="s">
        <v>4887</v>
      </c>
      <c r="F174" s="6">
        <v>46058.387337962966</v>
      </c>
      <c r="G174" s="5" t="str">
        <f>IFERROR(__xludf.DUMMYFUNCTION("LET(
  refItem, TO_TEXT(D174),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IF(ISBLANK(D174),"""", IF(IFERROR(latestMutation,"""")=""OUT"", latestCust, ""AKGREADY"")
))"),"AKGREADY")</f>
        <v>AKGREADY</v>
      </c>
    </row>
    <row r="175">
      <c r="A175" s="5" t="s">
        <v>7036</v>
      </c>
      <c r="B175" s="5" t="s">
        <v>3486</v>
      </c>
      <c r="C175" s="5" t="s">
        <v>3487</v>
      </c>
      <c r="D175" s="28" t="s">
        <v>7037</v>
      </c>
      <c r="F175" s="59">
        <v>45911.34918981481</v>
      </c>
      <c r="G175" s="5" t="str">
        <f>IFERROR(__xludf.DUMMYFUNCTION("LET(
  refItem, TO_TEXT(D175),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IF(ISBLANK(D175),"""", IF(IFERROR(latestMutation,"""")=""OUT"", latestCust, ""AKGREADY"")
))"),"AKGREADY")</f>
        <v>AKGREADY</v>
      </c>
    </row>
    <row r="176">
      <c r="A176" s="2" t="s">
        <v>7038</v>
      </c>
      <c r="B176" s="2" t="s">
        <v>3486</v>
      </c>
      <c r="C176" s="2" t="s">
        <v>3487</v>
      </c>
      <c r="D176" s="28" t="s">
        <v>7039</v>
      </c>
      <c r="F176" s="6">
        <v>46043.51924768519</v>
      </c>
      <c r="G176" s="5" t="str">
        <f>IFERROR(__xludf.DUMMYFUNCTION("LET(
  refItem, TO_TEXT(D176),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IF(ISBLANK(D176),"""", IF(IFERROR(latestMutation,"""")=""OUT"", latestCust, ""AKGREADY"")
))"),"AKGREADY")</f>
        <v>AKGREADY</v>
      </c>
    </row>
    <row r="177">
      <c r="A177" s="10" t="s">
        <v>7040</v>
      </c>
      <c r="B177" s="5" t="s">
        <v>3486</v>
      </c>
      <c r="C177" s="5" t="s">
        <v>3487</v>
      </c>
      <c r="D177" s="28" t="s">
        <v>7041</v>
      </c>
      <c r="F177" s="6">
        <v>46060.5991087963</v>
      </c>
      <c r="G177" s="5" t="str">
        <f>IFERROR(__xludf.DUMMYFUNCTION("LET(
  refItem, TO_TEXT(D177),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IF(ISBLANK(D177),"""", IF(IFERROR(latestMutation,"""")=""OUT"", latestCust, ""AKGREADY"")
))"),"eec2e801")</f>
        <v>eec2e801</v>
      </c>
    </row>
    <row r="178">
      <c r="A178" s="5" t="s">
        <v>7042</v>
      </c>
      <c r="B178" s="5" t="s">
        <v>3486</v>
      </c>
      <c r="C178" s="5" t="s">
        <v>3487</v>
      </c>
      <c r="D178" s="28" t="s">
        <v>5641</v>
      </c>
      <c r="F178" s="59">
        <v>45909.4228125</v>
      </c>
      <c r="G178" s="5" t="str">
        <f>IFERROR(__xludf.DUMMYFUNCTION("LET(
  refItem, TO_TEXT(D178),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IF(ISBLANK(D178),"""", IF(IFERROR(latestMutation,"""")=""OUT"", latestCust, ""AKGREADY"")
))"),"eec2e801")</f>
        <v>eec2e801</v>
      </c>
    </row>
    <row r="179">
      <c r="A179" s="5" t="s">
        <v>7043</v>
      </c>
      <c r="B179" s="5" t="s">
        <v>3486</v>
      </c>
      <c r="C179" s="5" t="s">
        <v>3487</v>
      </c>
      <c r="D179" s="28" t="s">
        <v>7044</v>
      </c>
      <c r="F179" s="59">
        <v>45926.63607638889</v>
      </c>
      <c r="G179" s="5" t="str">
        <f>IFERROR(__xludf.DUMMYFUNCTION("LET(
  refItem, TO_TEXT(D179),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IF(ISBLANK(D179),"""", IF(IFERROR(latestMutation,"""")=""OUT"", latestCust, ""AKGREADY"")
))"),"b218b89b")</f>
        <v>b218b89b</v>
      </c>
    </row>
    <row r="180">
      <c r="A180" s="5" t="s">
        <v>7045</v>
      </c>
      <c r="B180" s="5" t="s">
        <v>3486</v>
      </c>
      <c r="C180" s="5" t="s">
        <v>3487</v>
      </c>
      <c r="D180" s="28" t="s">
        <v>7046</v>
      </c>
      <c r="F180" s="59">
        <v>45968.450057870374</v>
      </c>
      <c r="G180" s="5" t="str">
        <f>IFERROR(__xludf.DUMMYFUNCTION("LET(
  refItem, TO_TEXT(D180),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IF(ISBLANK(D180),"""", IF(IFERROR(latestMutation,"""")=""OUT"", latestCust, ""AKGREADY"")
))"),"AKGREADY")</f>
        <v>AKGREADY</v>
      </c>
    </row>
    <row r="181">
      <c r="B181" s="5" t="s">
        <v>3486</v>
      </c>
      <c r="C181" s="5" t="s">
        <v>3487</v>
      </c>
      <c r="D181" s="28" t="s">
        <v>7047</v>
      </c>
      <c r="F181" s="59">
        <v>45885.752800925926</v>
      </c>
      <c r="G181" s="5" t="str">
        <f>IFERROR(__xludf.DUMMYFUNCTION("LET(
  refItem, TO_TEXT(D181),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IF(ISBLANK(D181),"""", IF(IFERROR(latestMutation,"""")=""OUT"", latestCust, ""AKGREADY"")
))"),"8f5ebaea")</f>
        <v>8f5ebaea</v>
      </c>
    </row>
    <row r="182">
      <c r="A182" s="10" t="s">
        <v>7048</v>
      </c>
      <c r="B182" s="5" t="s">
        <v>3486</v>
      </c>
      <c r="C182" s="5" t="s">
        <v>3487</v>
      </c>
      <c r="D182" s="28" t="s">
        <v>7049</v>
      </c>
      <c r="F182" s="6">
        <v>46069.56104166667</v>
      </c>
      <c r="G182" s="5" t="str">
        <f>IFERROR(__xludf.DUMMYFUNCTION("LET(
  refItem, TO_TEXT(D182),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IF(ISBLANK(D182),"""", IF(IFERROR(latestMutation,"""")=""OUT"", latestCust, ""AKGREADY"")
))"),"AKGREADY")</f>
        <v>AKGREADY</v>
      </c>
    </row>
    <row r="183">
      <c r="A183" s="5" t="s">
        <v>7050</v>
      </c>
      <c r="B183" s="5" t="s">
        <v>3486</v>
      </c>
      <c r="C183" s="5" t="s">
        <v>3487</v>
      </c>
      <c r="D183" s="28" t="s">
        <v>6579</v>
      </c>
      <c r="F183" s="59">
        <v>45919.359976851854</v>
      </c>
      <c r="G183" s="5" t="str">
        <f>IFERROR(__xludf.DUMMYFUNCTION("LET(
  refItem, TO_TEXT(D183),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IF(ISBLANK(D183),"""", IF(IFERROR(latestMutation,"""")=""OUT"", latestCust, ""AKGREADY"")
))"),"734c6d17")</f>
        <v>734c6d17</v>
      </c>
    </row>
    <row r="184">
      <c r="B184" s="5" t="s">
        <v>3486</v>
      </c>
      <c r="C184" s="5" t="s">
        <v>3487</v>
      </c>
      <c r="D184" s="28" t="s">
        <v>6707</v>
      </c>
      <c r="F184" s="59">
        <v>45897.41421296296</v>
      </c>
      <c r="G184" s="5" t="str">
        <f>IFERROR(__xludf.DUMMYFUNCTION("LET(
  refItem, TO_TEXT(D184),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IF(ISBLANK(D184),"""", IF(IFERROR(latestMutation,"""")=""OUT"", latestCust, ""AKGREADY"")
))"),"AKGREADY")</f>
        <v>AKGREADY</v>
      </c>
    </row>
    <row r="185">
      <c r="A185" s="5" t="s">
        <v>7051</v>
      </c>
      <c r="B185" s="5" t="s">
        <v>3486</v>
      </c>
      <c r="C185" s="5" t="s">
        <v>3487</v>
      </c>
      <c r="D185" s="28" t="s">
        <v>5231</v>
      </c>
      <c r="F185" s="59">
        <v>45897.41793981481</v>
      </c>
      <c r="G185" s="5" t="str">
        <f>IFERROR(__xludf.DUMMYFUNCTION("LET(
  refItem, TO_TEXT(D185),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IF(ISBLANK(D185),"""", IF(IFERROR(latestMutation,"""")=""OUT"", latestCust, ""AKGREADY"")
))"),"b218b89b")</f>
        <v>b218b89b</v>
      </c>
    </row>
    <row r="186">
      <c r="A186" s="5" t="s">
        <v>7052</v>
      </c>
      <c r="B186" s="5" t="s">
        <v>3486</v>
      </c>
      <c r="C186" s="5" t="s">
        <v>3487</v>
      </c>
      <c r="D186" s="28" t="s">
        <v>5850</v>
      </c>
      <c r="F186" s="59">
        <v>45973.36325231481</v>
      </c>
      <c r="G186" s="5" t="str">
        <f>IFERROR(__xludf.DUMMYFUNCTION("LET(
  refItem, TO_TEXT(D186),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IF(ISBLANK(D186),"""", IF(IFERROR(latestMutation,"""")=""OUT"", latestCust, ""AKGREADY"")
))"),"AKGREADY")</f>
        <v>AKGREADY</v>
      </c>
    </row>
    <row r="187">
      <c r="A187" s="5" t="s">
        <v>7053</v>
      </c>
      <c r="B187" s="5" t="s">
        <v>3486</v>
      </c>
      <c r="C187" s="5" t="s">
        <v>3487</v>
      </c>
      <c r="D187" s="28" t="s">
        <v>5346</v>
      </c>
      <c r="F187" s="59">
        <v>45911.34626157407</v>
      </c>
      <c r="G187" s="5" t="str">
        <f>IFERROR(__xludf.DUMMYFUNCTION("LET(
  refItem, TO_TEXT(D187),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IF(ISBLANK(D187),"""", IF(IFERROR(latestMutation,"""")=""OUT"", latestCust, ""AKGREADY"")
))"),"ba97d58d")</f>
        <v>ba97d58d</v>
      </c>
    </row>
    <row r="188">
      <c r="A188" s="5" t="s">
        <v>7054</v>
      </c>
      <c r="B188" s="5" t="s">
        <v>3486</v>
      </c>
      <c r="C188" s="5" t="s">
        <v>3487</v>
      </c>
      <c r="D188" s="28" t="s">
        <v>7055</v>
      </c>
      <c r="F188" s="59">
        <v>45906.3834375</v>
      </c>
      <c r="G188" s="5" t="str">
        <f>IFERROR(__xludf.DUMMYFUNCTION("LET(
  refItem, TO_TEXT(D188),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IF(ISBLANK(D188),"""", IF(IFERROR(latestMutation,"""")=""OUT"", latestCust, ""AKGREADY"")
))"),"63fc688a")</f>
        <v>63fc688a</v>
      </c>
    </row>
    <row r="189">
      <c r="A189" s="28" t="s">
        <v>7056</v>
      </c>
      <c r="B189" s="57" t="s">
        <v>3486</v>
      </c>
      <c r="C189" s="5" t="s">
        <v>3487</v>
      </c>
      <c r="D189" s="28" t="s">
        <v>6537</v>
      </c>
      <c r="F189" s="59">
        <v>45930.36646990741</v>
      </c>
      <c r="G189" s="5" t="str">
        <f>IFERROR(__xludf.DUMMYFUNCTION("LET(
  refItem, TO_TEXT(D189),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IF(ISBLANK(D189),"""", IF(IFERROR(latestMutation,"""")=""OUT"", latestCust, ""AKGREADY"")
))"),"ba97d58d")</f>
        <v>ba97d58d</v>
      </c>
    </row>
    <row r="190">
      <c r="A190" s="5" t="s">
        <v>7057</v>
      </c>
      <c r="B190" s="5" t="s">
        <v>3486</v>
      </c>
      <c r="C190" s="5" t="s">
        <v>3487</v>
      </c>
      <c r="D190" s="28" t="s">
        <v>4745</v>
      </c>
      <c r="F190" s="59">
        <v>45919.357777777775</v>
      </c>
      <c r="G190" s="5" t="str">
        <f>IFERROR(__xludf.DUMMYFUNCTION("LET(
  refItem, TO_TEXT(D190),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IF(ISBLANK(D190),"""", IF(IFERROR(latestMutation,"""")=""OUT"", latestCust, ""AKGREADY"")
))"),"a9fe1bea")</f>
        <v>a9fe1bea</v>
      </c>
    </row>
    <row r="191">
      <c r="A191" s="5" t="s">
        <v>7058</v>
      </c>
      <c r="B191" s="5" t="s">
        <v>3486</v>
      </c>
      <c r="C191" s="5" t="s">
        <v>3487</v>
      </c>
      <c r="D191" s="28" t="s">
        <v>7059</v>
      </c>
      <c r="F191" s="59">
        <v>45889.473703703705</v>
      </c>
      <c r="G191" s="5" t="str">
        <f>IFERROR(__xludf.DUMMYFUNCTION("LET(
  refItem, TO_TEXT(D191),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IF(ISBLANK(D191),"""", IF(IFERROR(latestMutation,"""")=""OUT"", latestCust, ""AKGREADY"")
))"),"AKGREADY")</f>
        <v>AKGREADY</v>
      </c>
    </row>
    <row r="192">
      <c r="A192" s="5" t="s">
        <v>7060</v>
      </c>
      <c r="B192" s="5" t="s">
        <v>3486</v>
      </c>
      <c r="C192" s="5" t="s">
        <v>3487</v>
      </c>
      <c r="D192" s="28" t="s">
        <v>7061</v>
      </c>
      <c r="F192" s="59">
        <v>45899.40611111111</v>
      </c>
      <c r="G192" s="5" t="str">
        <f>IFERROR(__xludf.DUMMYFUNCTION("LET(
  refItem, TO_TEXT(D192),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IF(ISBLANK(D192),"""", IF(IFERROR(latestMutation,"""")=""OUT"", latestCust, ""AKGREADY"")
))"),"63fc688a")</f>
        <v>63fc688a</v>
      </c>
    </row>
    <row r="193">
      <c r="A193" s="10" t="s">
        <v>7062</v>
      </c>
      <c r="B193" s="5" t="s">
        <v>3486</v>
      </c>
      <c r="C193" s="5" t="s">
        <v>3487</v>
      </c>
      <c r="D193" s="28" t="s">
        <v>7063</v>
      </c>
      <c r="F193" s="6">
        <v>46058.3871875</v>
      </c>
      <c r="G193" s="5" t="str">
        <f>IFERROR(__xludf.DUMMYFUNCTION("LET(
  refItem, TO_TEXT(D193),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IF(ISBLANK(D193),"""", IF(IFERROR(latestMutation,"""")=""OUT"", latestCust, ""AKGREADY"")
))"),"AKGREADY")</f>
        <v>AKGREADY</v>
      </c>
    </row>
    <row r="194">
      <c r="A194" s="5" t="s">
        <v>7064</v>
      </c>
      <c r="B194" s="5" t="s">
        <v>3486</v>
      </c>
      <c r="C194" s="5" t="s">
        <v>3487</v>
      </c>
      <c r="D194" s="28" t="s">
        <v>7065</v>
      </c>
      <c r="F194" s="59">
        <v>45983.394791666666</v>
      </c>
      <c r="G194" s="5" t="str">
        <f>IFERROR(__xludf.DUMMYFUNCTION("LET(
  refItem, TO_TEXT(D194),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IF(ISBLANK(D194),"""", IF(IFERROR(latestMutation,"""")=""OUT"", latestCust, ""AKGREADY"")
))"),"AKGREADY")</f>
        <v>AKGREADY</v>
      </c>
    </row>
    <row r="195">
      <c r="A195" s="5" t="s">
        <v>7066</v>
      </c>
      <c r="B195" s="5" t="s">
        <v>4203</v>
      </c>
      <c r="C195" s="5" t="s">
        <v>4204</v>
      </c>
      <c r="D195" s="28" t="s">
        <v>6211</v>
      </c>
      <c r="F195" s="59">
        <v>45993.56215277778</v>
      </c>
      <c r="G195" s="5" t="str">
        <f>IFERROR(__xludf.DUMMYFUNCTION("LET(
  refItem, TO_TEXT(D195),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IF(ISBLANK(D195),"""", IF(IFERROR(latestMutation,"""")=""OUT"", latestCust, ""AKGREADY"")
))"),"01158be1")</f>
        <v>01158be1</v>
      </c>
    </row>
    <row r="196">
      <c r="A196" s="10" t="s">
        <v>7067</v>
      </c>
      <c r="B196" s="2" t="s">
        <v>3486</v>
      </c>
      <c r="C196" s="2" t="s">
        <v>3487</v>
      </c>
      <c r="D196" s="28" t="s">
        <v>4101</v>
      </c>
      <c r="F196" s="6">
        <v>46060.59899305556</v>
      </c>
      <c r="G196" s="5" t="str">
        <f>IFERROR(__xludf.DUMMYFUNCTION("LET(
  refItem, TO_TEXT(D196),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IF(ISBLANK(D196),"""", IF(IFERROR(latestMutation,"""")=""OUT"", latestCust, ""AKGREADY"")
))"),"89d46c39")</f>
        <v>89d46c39</v>
      </c>
    </row>
    <row r="197">
      <c r="A197" s="5" t="s">
        <v>7068</v>
      </c>
      <c r="B197" s="5" t="s">
        <v>3486</v>
      </c>
      <c r="C197" s="5" t="s">
        <v>3487</v>
      </c>
      <c r="D197" s="28" t="s">
        <v>7069</v>
      </c>
      <c r="F197" s="59">
        <v>45899.40494212963</v>
      </c>
      <c r="G197" s="5" t="str">
        <f>IFERROR(__xludf.DUMMYFUNCTION("LET(
  refItem, TO_TEXT(D197),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IF(ISBLANK(D197),"""", IF(IFERROR(latestMutation,"""")=""OUT"", latestCust, ""AKGREADY"")
))"),"e86baf3b")</f>
        <v>e86baf3b</v>
      </c>
    </row>
    <row r="198">
      <c r="A198" s="5" t="s">
        <v>7070</v>
      </c>
      <c r="B198" s="5" t="s">
        <v>3486</v>
      </c>
      <c r="C198" s="5" t="s">
        <v>3487</v>
      </c>
      <c r="D198" s="28" t="s">
        <v>7071</v>
      </c>
      <c r="F198" s="59">
        <v>45899.40561342592</v>
      </c>
      <c r="G198" s="5" t="str">
        <f>IFERROR(__xludf.DUMMYFUNCTION("LET(
  refItem, TO_TEXT(D198),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IF(ISBLANK(D198),"""", IF(IFERROR(latestMutation,"""")=""OUT"", latestCust, ""AKGREADY"")
))"),"b218b89b")</f>
        <v>b218b89b</v>
      </c>
    </row>
    <row r="199">
      <c r="A199" s="5" t="s">
        <v>7072</v>
      </c>
      <c r="B199" s="5" t="s">
        <v>3486</v>
      </c>
      <c r="C199" s="5" t="s">
        <v>3487</v>
      </c>
      <c r="D199" s="28" t="s">
        <v>4918</v>
      </c>
      <c r="F199" s="59">
        <v>45897.41622685185</v>
      </c>
      <c r="G199" s="5" t="str">
        <f>IFERROR(__xludf.DUMMYFUNCTION("LET(
  refItem, TO_TEXT(D199),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IF(ISBLANK(D199),"""", IF(IFERROR(latestMutation,"""")=""OUT"", latestCust, ""AKGREADY"")
))"),"9828dfc5")</f>
        <v>9828dfc5</v>
      </c>
    </row>
    <row r="200">
      <c r="A200" s="5" t="s">
        <v>7073</v>
      </c>
      <c r="B200" s="5" t="s">
        <v>3486</v>
      </c>
      <c r="C200" s="5" t="s">
        <v>3487</v>
      </c>
      <c r="D200" s="28" t="s">
        <v>7074</v>
      </c>
      <c r="F200" s="59">
        <v>45889.473495370374</v>
      </c>
      <c r="G200" s="5" t="str">
        <f>IFERROR(__xludf.DUMMYFUNCTION("LET(
  refItem, TO_TEXT(D200),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IF(ISBLANK(D200),"""", IF(IFERROR(latestMutation,"""")=""OUT"", latestCust, ""AKGREADY"")
))"),"a9fe1bea")</f>
        <v>a9fe1bea</v>
      </c>
    </row>
    <row r="201">
      <c r="A201" s="5" t="s">
        <v>7075</v>
      </c>
      <c r="B201" s="5" t="s">
        <v>3486</v>
      </c>
      <c r="C201" s="5" t="s">
        <v>3487</v>
      </c>
      <c r="D201" s="28" t="s">
        <v>5345</v>
      </c>
      <c r="F201" s="59">
        <v>45968.447743055556</v>
      </c>
      <c r="G201" s="5" t="str">
        <f>IFERROR(__xludf.DUMMYFUNCTION("LET(
  refItem, TO_TEXT(D201),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IF(ISBLANK(D201),"""", IF(IFERROR(latestMutation,"""")=""OUT"", latestCust, ""AKGREADY"")
))"),"e86baf3b")</f>
        <v>e86baf3b</v>
      </c>
    </row>
    <row r="202">
      <c r="A202" s="10" t="s">
        <v>7076</v>
      </c>
      <c r="B202" s="5" t="s">
        <v>3486</v>
      </c>
      <c r="C202" s="5" t="s">
        <v>3487</v>
      </c>
      <c r="D202" s="28" t="s">
        <v>5008</v>
      </c>
      <c r="F202" s="6">
        <v>46035.701828703706</v>
      </c>
      <c r="G202" s="5" t="str">
        <f>IFERROR(__xludf.DUMMYFUNCTION("LET(
  refItem, TO_TEXT(D202),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IF(ISBLANK(D202),"""", IF(IFERROR(latestMutation,"""")=""OUT"", latestCust, ""AKGREADY"")
))"),"63fc688a")</f>
        <v>63fc688a</v>
      </c>
    </row>
    <row r="203">
      <c r="A203" s="10" t="s">
        <v>7077</v>
      </c>
      <c r="B203" s="5" t="s">
        <v>3486</v>
      </c>
      <c r="C203" s="5" t="s">
        <v>3487</v>
      </c>
      <c r="D203" s="28" t="s">
        <v>7078</v>
      </c>
      <c r="F203" s="6">
        <v>46049.39832175926</v>
      </c>
      <c r="G203" s="5" t="str">
        <f>IFERROR(__xludf.DUMMYFUNCTION("LET(
  refItem, TO_TEXT(D203),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IF(ISBLANK(D203),"""", IF(IFERROR(latestMutation,"""")=""OUT"", latestCust, ""AKGREADY"")
))"),"AKGREADY")</f>
        <v>AKGREADY</v>
      </c>
    </row>
    <row r="204">
      <c r="A204" s="5" t="s">
        <v>7079</v>
      </c>
      <c r="B204" s="5" t="s">
        <v>3486</v>
      </c>
      <c r="C204" s="5" t="s">
        <v>3487</v>
      </c>
      <c r="D204" s="28" t="s">
        <v>7080</v>
      </c>
      <c r="F204" s="59">
        <v>45899.407534722224</v>
      </c>
      <c r="G204" s="5" t="str">
        <f>IFERROR(__xludf.DUMMYFUNCTION("LET(
  refItem, TO_TEXT(D204),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IF(ISBLANK(D204),"""", IF(IFERROR(latestMutation,"""")=""OUT"", latestCust, ""AKGREADY"")
))"),"AKGREADY")</f>
        <v>AKGREADY</v>
      </c>
    </row>
    <row r="205">
      <c r="A205" s="5" t="s">
        <v>7081</v>
      </c>
      <c r="B205" s="5" t="s">
        <v>3486</v>
      </c>
      <c r="C205" s="5" t="s">
        <v>3487</v>
      </c>
      <c r="D205" s="28" t="s">
        <v>4995</v>
      </c>
      <c r="F205" s="59">
        <v>45881.479317129626</v>
      </c>
      <c r="G205" s="5" t="str">
        <f>IFERROR(__xludf.DUMMYFUNCTION("LET(
  refItem, TO_TEXT(D205),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IF(ISBLANK(D205),"""", IF(IFERROR(latestMutation,"""")=""OUT"", latestCust, ""AKGREADY"")
))"),"03ff52db")</f>
        <v>03ff52db</v>
      </c>
    </row>
    <row r="206">
      <c r="A206" s="10" t="s">
        <v>7082</v>
      </c>
      <c r="B206" s="5" t="s">
        <v>3486</v>
      </c>
      <c r="C206" s="5" t="s">
        <v>3487</v>
      </c>
      <c r="D206" s="28" t="s">
        <v>7083</v>
      </c>
      <c r="F206" s="6">
        <v>46072.36615740741</v>
      </c>
      <c r="G206" s="5" t="str">
        <f>IFERROR(__xludf.DUMMYFUNCTION("LET(
  refItem, TO_TEXT(D206),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IF(ISBLANK(D206),"""", IF(IFERROR(latestMutation,"""")=""OUT"", latestCust, ""AKGREADY"")
))"),"AKGREADY")</f>
        <v>AKGREADY</v>
      </c>
    </row>
    <row r="207">
      <c r="A207" s="10" t="s">
        <v>7084</v>
      </c>
      <c r="B207" s="5" t="s">
        <v>4203</v>
      </c>
      <c r="C207" s="5" t="s">
        <v>4204</v>
      </c>
      <c r="D207" s="28" t="s">
        <v>3529</v>
      </c>
      <c r="F207" s="6">
        <v>46072.363657407404</v>
      </c>
      <c r="G207" s="5" t="str">
        <f>IFERROR(__xludf.DUMMYFUNCTION("LET(
  refItem, TO_TEXT(D207),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IF(ISBLANK(D207),"""", IF(IFERROR(latestMutation,"""")=""OUT"", latestCust, ""AKGREADY"")
))"),"8ea74d81")</f>
        <v>8ea74d81</v>
      </c>
    </row>
    <row r="208">
      <c r="A208" s="10" t="s">
        <v>7085</v>
      </c>
      <c r="B208" s="57" t="s">
        <v>3486</v>
      </c>
      <c r="C208" s="5" t="s">
        <v>3487</v>
      </c>
      <c r="D208" s="28" t="s">
        <v>4608</v>
      </c>
      <c r="F208" s="6">
        <v>46050.64776620371</v>
      </c>
      <c r="G208" s="5" t="str">
        <f>IFERROR(__xludf.DUMMYFUNCTION("LET(
  refItem, TO_TEXT(D208),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IF(ISBLANK(D208),"""", IF(IFERROR(latestMutation,"""")=""OUT"", latestCust, ""AKGREADY"")
))"),"AKGREADY")</f>
        <v>AKGREADY</v>
      </c>
    </row>
    <row r="209">
      <c r="A209" s="10" t="s">
        <v>7086</v>
      </c>
      <c r="B209" s="57" t="s">
        <v>3486</v>
      </c>
      <c r="C209" s="5" t="s">
        <v>3487</v>
      </c>
      <c r="D209" s="28" t="s">
        <v>6192</v>
      </c>
      <c r="F209" s="6">
        <v>46062.658113425925</v>
      </c>
      <c r="G209" s="5" t="str">
        <f>IFERROR(__xludf.DUMMYFUNCTION("LET(
  refItem, TO_TEXT(D209),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IF(ISBLANK(D209),"""", IF(IFERROR(latestMutation,"""")=""OUT"", latestCust, ""AKGREADY"")
))"),"057b6b99")</f>
        <v>057b6b99</v>
      </c>
    </row>
    <row r="210">
      <c r="A210" s="5" t="s">
        <v>7087</v>
      </c>
      <c r="B210" s="5" t="s">
        <v>3486</v>
      </c>
      <c r="C210" s="5" t="s">
        <v>3487</v>
      </c>
      <c r="D210" s="28" t="s">
        <v>6573</v>
      </c>
      <c r="F210" s="59">
        <v>45919.35880787037</v>
      </c>
      <c r="G210" s="5" t="str">
        <f>IFERROR(__xludf.DUMMYFUNCTION("LET(
  refItem, TO_TEXT(D210),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IF(ISBLANK(D210),"""", IF(IFERROR(latestMutation,"""")=""OUT"", latestCust, ""AKGREADY"")
))"),"b2b5f2c5")</f>
        <v>b2b5f2c5</v>
      </c>
    </row>
    <row r="211">
      <c r="A211" s="5" t="s">
        <v>7088</v>
      </c>
      <c r="B211" s="5" t="s">
        <v>3486</v>
      </c>
      <c r="C211" s="5" t="s">
        <v>3487</v>
      </c>
      <c r="D211" s="28" t="s">
        <v>7089</v>
      </c>
      <c r="F211" s="59">
        <v>45906.40883101852</v>
      </c>
      <c r="G211" s="5" t="str">
        <f>IFERROR(__xludf.DUMMYFUNCTION("LET(
  refItem, TO_TEXT(D211),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IF(ISBLANK(D211),"""", IF(IFERROR(latestMutation,"""")=""OUT"", latestCust, ""AKGREADY"")
))"),"eec2e801")</f>
        <v>eec2e801</v>
      </c>
    </row>
    <row r="212">
      <c r="A212" s="5" t="s">
        <v>7090</v>
      </c>
      <c r="B212" s="5" t="s">
        <v>3486</v>
      </c>
      <c r="C212" s="5" t="s">
        <v>3487</v>
      </c>
      <c r="D212" s="28" t="s">
        <v>7091</v>
      </c>
      <c r="F212" s="59">
        <v>45889.4731712963</v>
      </c>
      <c r="G212" s="5" t="str">
        <f>IFERROR(__xludf.DUMMYFUNCTION("LET(
  refItem, TO_TEXT(D212),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IF(ISBLANK(D212),"""", IF(IFERROR(latestMutation,"""")=""OUT"", latestCust, ""AKGREADY"")
))"),"a9fe1bea")</f>
        <v>a9fe1bea</v>
      </c>
    </row>
    <row r="213">
      <c r="A213" s="5" t="s">
        <v>7092</v>
      </c>
      <c r="B213" s="5" t="s">
        <v>3486</v>
      </c>
      <c r="C213" s="5" t="s">
        <v>3487</v>
      </c>
      <c r="D213" s="28" t="s">
        <v>7093</v>
      </c>
      <c r="F213" s="59">
        <v>45876.61366898148</v>
      </c>
      <c r="G213" s="5" t="str">
        <f>IFERROR(__xludf.DUMMYFUNCTION("LET(
  refItem, TO_TEXT(D213),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IF(ISBLANK(D213),"""", IF(IFERROR(latestMutation,"""")=""OUT"", latestCust, ""AKGREADY"")
))"),"AKGREADY")</f>
        <v>AKGREADY</v>
      </c>
    </row>
    <row r="214">
      <c r="A214" s="28" t="s">
        <v>7094</v>
      </c>
      <c r="B214" s="5" t="s">
        <v>3486</v>
      </c>
      <c r="C214" s="5" t="s">
        <v>3487</v>
      </c>
      <c r="D214" s="28" t="s">
        <v>5800</v>
      </c>
      <c r="F214" s="59">
        <v>45968.44849537037</v>
      </c>
      <c r="G214" s="5" t="str">
        <f>IFERROR(__xludf.DUMMYFUNCTION("LET(
  refItem, TO_TEXT(D214),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IF(ISBLANK(D214),"""", IF(IFERROR(latestMutation,"""")=""OUT"", latestCust, ""AKGREADY"")
))"),"02c693f1")</f>
        <v>02c693f1</v>
      </c>
    </row>
    <row r="215">
      <c r="A215" s="5" t="s">
        <v>7095</v>
      </c>
      <c r="B215" s="5" t="s">
        <v>3486</v>
      </c>
      <c r="C215" s="5" t="s">
        <v>3487</v>
      </c>
      <c r="D215" s="28" t="s">
        <v>6306</v>
      </c>
      <c r="F215" s="59">
        <v>45919.6846875</v>
      </c>
      <c r="G215" s="5" t="str">
        <f>IFERROR(__xludf.DUMMYFUNCTION("LET(
  refItem, TO_TEXT(D215),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IF(ISBLANK(D215),"""", IF(IFERROR(latestMutation,"""")=""OUT"", latestCust, ""AKGREADY"")
))"),"9828dfc5")</f>
        <v>9828dfc5</v>
      </c>
    </row>
    <row r="216">
      <c r="A216" s="5" t="s">
        <v>7096</v>
      </c>
      <c r="B216" s="5" t="s">
        <v>3486</v>
      </c>
      <c r="C216" s="5" t="s">
        <v>3487</v>
      </c>
      <c r="D216" s="28" t="s">
        <v>5904</v>
      </c>
      <c r="F216" s="59">
        <v>45889.47292824074</v>
      </c>
      <c r="G216" s="5" t="str">
        <f>IFERROR(__xludf.DUMMYFUNCTION("LET(
  refItem, TO_TEXT(D216),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IF(ISBLANK(D216),"""", IF(IFERROR(latestMutation,"""")=""OUT"", latestCust, ""AKGREADY"")
))"),"eec2e801")</f>
        <v>eec2e801</v>
      </c>
    </row>
    <row r="217">
      <c r="A217" s="5" t="s">
        <v>7097</v>
      </c>
      <c r="B217" s="5" t="s">
        <v>3486</v>
      </c>
      <c r="C217" s="5" t="s">
        <v>3487</v>
      </c>
      <c r="D217" s="28" t="s">
        <v>7098</v>
      </c>
      <c r="F217" s="59">
        <v>45890.49538194444</v>
      </c>
      <c r="G217" s="5" t="str">
        <f>IFERROR(__xludf.DUMMYFUNCTION("LET(
  refItem, TO_TEXT(D217),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IF(ISBLANK(D217),"""", IF(IFERROR(latestMutation,"""")=""OUT"", latestCust, ""AKGREADY"")
))"),"AKGREADY")</f>
        <v>AKGREADY</v>
      </c>
    </row>
    <row r="218">
      <c r="A218" s="5" t="s">
        <v>7099</v>
      </c>
      <c r="B218" s="5" t="s">
        <v>3486</v>
      </c>
      <c r="C218" s="5" t="s">
        <v>3487</v>
      </c>
      <c r="D218" s="28" t="s">
        <v>5060</v>
      </c>
      <c r="F218" s="59">
        <v>45958.355729166666</v>
      </c>
      <c r="G218" s="5" t="str">
        <f>IFERROR(__xludf.DUMMYFUNCTION("LET(
  refItem, TO_TEXT(D218),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IF(ISBLANK(D218),"""", IF(IFERROR(latestMutation,"""")=""OUT"", latestCust, ""AKGREADY"")
))"),"b218b89b")</f>
        <v>b218b89b</v>
      </c>
    </row>
    <row r="219">
      <c r="A219" s="5" t="s">
        <v>7100</v>
      </c>
      <c r="B219" s="5" t="s">
        <v>3486</v>
      </c>
      <c r="C219" s="5" t="s">
        <v>3487</v>
      </c>
      <c r="D219" s="28" t="s">
        <v>4359</v>
      </c>
      <c r="F219" s="59">
        <v>45988.46965277778</v>
      </c>
      <c r="G219" s="5" t="str">
        <f>IFERROR(__xludf.DUMMYFUNCTION("LET(
  refItem, TO_TEXT(D219),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IF(ISBLANK(D219),"""", IF(IFERROR(latestMutation,"""")=""OUT"", latestCust, ""AKGREADY"")
))"),"98c84274")</f>
        <v>98c84274</v>
      </c>
    </row>
    <row r="220">
      <c r="A220" s="5" t="s">
        <v>7101</v>
      </c>
      <c r="B220" s="5" t="s">
        <v>4203</v>
      </c>
      <c r="C220" s="5" t="s">
        <v>4204</v>
      </c>
      <c r="D220" s="28" t="s">
        <v>7102</v>
      </c>
      <c r="F220" s="59">
        <v>45952.66127314815</v>
      </c>
      <c r="G220" s="5" t="str">
        <f>IFERROR(__xludf.DUMMYFUNCTION("LET(
  refItem, TO_TEXT(D220),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IF(ISBLANK(D220),"""", IF(IFERROR(latestMutation,"""")=""OUT"", latestCust, ""AKGREADY"")
))"),"7b9d8eba")</f>
        <v>7b9d8eba</v>
      </c>
    </row>
    <row r="221">
      <c r="A221" s="5" t="s">
        <v>7103</v>
      </c>
      <c r="B221" s="5" t="s">
        <v>4203</v>
      </c>
      <c r="C221" s="5" t="s">
        <v>4204</v>
      </c>
      <c r="D221" s="28" t="s">
        <v>4409</v>
      </c>
      <c r="F221" s="59">
        <v>45995.395370370374</v>
      </c>
      <c r="G221" s="5" t="str">
        <f>IFERROR(__xludf.DUMMYFUNCTION("LET(
  refItem, TO_TEXT(D221),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IF(ISBLANK(D221),"""", IF(IFERROR(latestMutation,"""")=""OUT"", latestCust, ""AKGREADY"")
))"),"63fc688a")</f>
        <v>63fc688a</v>
      </c>
    </row>
    <row r="222">
      <c r="A222" s="5" t="s">
        <v>7104</v>
      </c>
      <c r="B222" s="5" t="s">
        <v>3486</v>
      </c>
      <c r="C222" s="5" t="s">
        <v>3487</v>
      </c>
      <c r="D222" s="28" t="s">
        <v>7105</v>
      </c>
      <c r="E222" s="5" t="s">
        <v>7106</v>
      </c>
      <c r="F222" s="59">
        <v>45968.45104166667</v>
      </c>
      <c r="G222" s="5" t="str">
        <f>IFERROR(__xludf.DUMMYFUNCTION("LET(
  refItem, TO_TEXT(D222),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IF(ISBLANK(D222),"""", IF(IFERROR(latestMutation,"""")=""OUT"", latestCust, ""AKGREADY"")
))"),"9e31e9f4")</f>
        <v>9e31e9f4</v>
      </c>
    </row>
    <row r="223">
      <c r="A223" s="5" t="s">
        <v>7107</v>
      </c>
      <c r="B223" s="5" t="s">
        <v>3486</v>
      </c>
      <c r="C223" s="5" t="s">
        <v>3487</v>
      </c>
      <c r="D223" s="28" t="s">
        <v>5440</v>
      </c>
      <c r="E223" s="5" t="s">
        <v>7106</v>
      </c>
      <c r="F223" s="59">
        <v>45968.45085648148</v>
      </c>
      <c r="G223" s="5" t="str">
        <f>IFERROR(__xludf.DUMMYFUNCTION("LET(
  refItem, TO_TEXT(D223),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IF(ISBLANK(D223),"""", IF(IFERROR(latestMutation,"""")=""OUT"", latestCust, ""AKGREADY"")
))"),"AKGREADY")</f>
        <v>AKGREADY</v>
      </c>
    </row>
    <row r="224">
      <c r="A224" s="5" t="s">
        <v>7108</v>
      </c>
      <c r="B224" s="5" t="s">
        <v>3486</v>
      </c>
      <c r="C224" s="5" t="s">
        <v>3487</v>
      </c>
      <c r="D224" s="28" t="s">
        <v>5418</v>
      </c>
      <c r="E224" s="5" t="s">
        <v>7106</v>
      </c>
      <c r="F224" s="59">
        <v>45968.55616898148</v>
      </c>
      <c r="G224" s="5" t="str">
        <f>IFERROR(__xludf.DUMMYFUNCTION("LET(
  refItem, TO_TEXT(D224),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IF(ISBLANK(D224),"""", IF(IFERROR(latestMutation,"""")=""OUT"", latestCust, ""AKGREADY"")
))"),"63fc688a")</f>
        <v>63fc688a</v>
      </c>
    </row>
    <row r="225">
      <c r="A225" s="10" t="s">
        <v>7109</v>
      </c>
      <c r="B225" s="5" t="s">
        <v>3486</v>
      </c>
      <c r="C225" s="5" t="s">
        <v>3487</v>
      </c>
      <c r="D225" s="28" t="s">
        <v>7110</v>
      </c>
      <c r="E225" s="5" t="s">
        <v>7106</v>
      </c>
      <c r="F225" s="6">
        <v>46030.522824074076</v>
      </c>
      <c r="G225" s="5" t="str">
        <f>IFERROR(__xludf.DUMMYFUNCTION("LET(
  refItem, TO_TEXT(D225),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IF(ISBLANK(D225),"""", IF(IFERROR(latestMutation,"""")=""OUT"", latestCust, ""AKGREADY"")
))"),"02c693f1")</f>
        <v>02c693f1</v>
      </c>
    </row>
    <row r="226">
      <c r="A226" s="5" t="s">
        <v>7111</v>
      </c>
      <c r="B226" s="5" t="s">
        <v>4203</v>
      </c>
      <c r="C226" s="5" t="s">
        <v>4204</v>
      </c>
      <c r="D226" s="28" t="s">
        <v>5708</v>
      </c>
      <c r="F226" s="59">
        <v>45974.36417824074</v>
      </c>
      <c r="G226" s="5" t="str">
        <f>IFERROR(__xludf.DUMMYFUNCTION("LET(
  refItem, TO_TEXT(D226),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IF(ISBLANK(D226),"""", IF(IFERROR(latestMutation,"""")=""OUT"", latestCust, ""AKGREADY"")
))"),"AKGREADY")</f>
        <v>AKGREADY</v>
      </c>
    </row>
    <row r="227">
      <c r="A227" s="5" t="s">
        <v>7112</v>
      </c>
      <c r="B227" s="5" t="s">
        <v>4203</v>
      </c>
      <c r="C227" s="5" t="s">
        <v>4204</v>
      </c>
      <c r="D227" s="28" t="s">
        <v>5522</v>
      </c>
      <c r="F227" s="59">
        <v>45974.364282407405</v>
      </c>
      <c r="G227" s="5" t="str">
        <f>IFERROR(__xludf.DUMMYFUNCTION("LET(
  refItem, TO_TEXT(D227),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IF(ISBLANK(D227),"""", IF(IFERROR(latestMutation,"""")=""OUT"", latestCust, ""AKGREADY"")
))"),"7b9d8eba")</f>
        <v>7b9d8eba</v>
      </c>
    </row>
    <row r="228">
      <c r="A228" s="5" t="s">
        <v>7113</v>
      </c>
      <c r="B228" s="5" t="s">
        <v>3486</v>
      </c>
      <c r="C228" s="5" t="s">
        <v>3487</v>
      </c>
      <c r="D228" s="28" t="s">
        <v>6064</v>
      </c>
      <c r="F228" s="59">
        <v>45899.403958333336</v>
      </c>
      <c r="G228" s="5" t="str">
        <f>IFERROR(__xludf.DUMMYFUNCTION("LET(
  refItem, TO_TEXT(D228),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IF(ISBLANK(D228),"""", IF(IFERROR(latestMutation,"""")=""OUT"", latestCust, ""AKGREADY"")
))"),"3abcf4e3")</f>
        <v>3abcf4e3</v>
      </c>
    </row>
    <row r="229">
      <c r="A229" s="5" t="s">
        <v>7114</v>
      </c>
      <c r="B229" s="5" t="s">
        <v>4203</v>
      </c>
      <c r="C229" s="5" t="s">
        <v>4204</v>
      </c>
      <c r="D229" s="28" t="s">
        <v>5695</v>
      </c>
      <c r="F229" s="59">
        <v>45974.364375</v>
      </c>
      <c r="G229" s="5" t="str">
        <f>IFERROR(__xludf.DUMMYFUNCTION("LET(
  refItem, TO_TEXT(D229),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IF(ISBLANK(D229),"""", IF(IFERROR(latestMutation,"""")=""OUT"", latestCust, ""AKGREADY"")
))"),"AKGREADY")</f>
        <v>AKGREADY</v>
      </c>
    </row>
    <row r="230">
      <c r="A230" s="5" t="s">
        <v>7115</v>
      </c>
      <c r="B230" s="57" t="s">
        <v>4203</v>
      </c>
      <c r="C230" s="5" t="s">
        <v>4204</v>
      </c>
      <c r="D230" s="28" t="s">
        <v>7116</v>
      </c>
      <c r="F230" s="59">
        <v>45974.36449074074</v>
      </c>
      <c r="G230" s="5" t="str">
        <f>IFERROR(__xludf.DUMMYFUNCTION("LET(
  refItem, TO_TEXT(D230),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IF(ISBLANK(D230),"""", IF(IFERROR(latestMutation,"""")=""OUT"", latestCust, ""AKGREADY"")
))"),"63fc688a")</f>
        <v>63fc688a</v>
      </c>
    </row>
    <row r="231">
      <c r="A231" s="5" t="s">
        <v>7117</v>
      </c>
      <c r="B231" s="5" t="s">
        <v>4203</v>
      </c>
      <c r="C231" s="5" t="s">
        <v>4204</v>
      </c>
      <c r="D231" s="28" t="s">
        <v>5410</v>
      </c>
      <c r="F231" s="59">
        <v>45974.364594907405</v>
      </c>
      <c r="G231" s="5" t="str">
        <f>IFERROR(__xludf.DUMMYFUNCTION("LET(
  refItem, TO_TEXT(D231),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IF(ISBLANK(D231),"""", IF(IFERROR(latestMutation,"""")=""OUT"", latestCust, ""AKGREADY"")
))"),"057b6b99")</f>
        <v>057b6b99</v>
      </c>
    </row>
    <row r="232">
      <c r="A232" s="10" t="s">
        <v>7118</v>
      </c>
      <c r="B232" s="5" t="s">
        <v>4203</v>
      </c>
      <c r="C232" s="5" t="s">
        <v>4204</v>
      </c>
      <c r="D232" s="28" t="s">
        <v>5408</v>
      </c>
      <c r="F232" s="6">
        <v>46064.707094907404</v>
      </c>
      <c r="G232" s="5" t="str">
        <f>IFERROR(__xludf.DUMMYFUNCTION("LET(
  refItem, TO_TEXT(D232),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IF(ISBLANK(D232),"""", IF(IFERROR(latestMutation,"""")=""OUT"", latestCust, ""AKGREADY"")
))"),"f8a982a4")</f>
        <v>f8a982a4</v>
      </c>
    </row>
    <row r="233">
      <c r="A233" s="5" t="s">
        <v>7119</v>
      </c>
      <c r="B233" s="5" t="s">
        <v>4203</v>
      </c>
      <c r="C233" s="5" t="s">
        <v>4204</v>
      </c>
      <c r="D233" s="28" t="s">
        <v>6093</v>
      </c>
      <c r="F233" s="59">
        <v>45974.36482638889</v>
      </c>
      <c r="G233" s="5" t="str">
        <f>IFERROR(__xludf.DUMMYFUNCTION("LET(
  refItem, TO_TEXT(D233),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IF(ISBLANK(D233),"""", IF(IFERROR(latestMutation,"""")=""OUT"", latestCust, ""AKGREADY"")
))"),"63fc688a")</f>
        <v>63fc688a</v>
      </c>
    </row>
    <row r="234">
      <c r="A234" s="5" t="s">
        <v>7120</v>
      </c>
      <c r="B234" s="57" t="s">
        <v>4203</v>
      </c>
      <c r="C234" s="5" t="s">
        <v>4204</v>
      </c>
      <c r="D234" s="28" t="s">
        <v>5576</v>
      </c>
      <c r="F234" s="59">
        <v>45974.364953703705</v>
      </c>
      <c r="G234" s="5" t="str">
        <f>IFERROR(__xludf.DUMMYFUNCTION("LET(
  refItem, TO_TEXT(D234),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IF(ISBLANK(D234),"""", IF(IFERROR(latestMutation,"""")=""OUT"", latestCust, ""AKGREADY"")
))"),"58b72e0c")</f>
        <v>58b72e0c</v>
      </c>
    </row>
    <row r="235">
      <c r="A235" s="10" t="s">
        <v>7121</v>
      </c>
      <c r="B235" s="5" t="s">
        <v>4203</v>
      </c>
      <c r="C235" s="5" t="s">
        <v>4204</v>
      </c>
      <c r="D235" s="28" t="s">
        <v>5498</v>
      </c>
      <c r="F235" s="6">
        <v>46063.52212962963</v>
      </c>
      <c r="G235" s="5" t="str">
        <f>IFERROR(__xludf.DUMMYFUNCTION("LET(
  refItem, TO_TEXT(D235),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IF(ISBLANK(D235),"""", IF(IFERROR(latestMutation,"""")=""OUT"", latestCust, ""AKGREADY"")
))"),"057b6b99")</f>
        <v>057b6b99</v>
      </c>
    </row>
    <row r="236">
      <c r="A236" s="5" t="s">
        <v>7122</v>
      </c>
      <c r="B236" s="5" t="s">
        <v>4203</v>
      </c>
      <c r="C236" s="5" t="s">
        <v>4204</v>
      </c>
      <c r="D236" s="28" t="s">
        <v>5556</v>
      </c>
      <c r="F236" s="59">
        <v>45974.36519675926</v>
      </c>
      <c r="G236" s="5" t="str">
        <f>IFERROR(__xludf.DUMMYFUNCTION("LET(
  refItem, TO_TEXT(D236),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IF(ISBLANK(D236),"""", IF(IFERROR(latestMutation,"""")=""OUT"", latestCust, ""AKGREADY"")
))"),"01158be1")</f>
        <v>01158be1</v>
      </c>
    </row>
    <row r="237">
      <c r="A237" s="10" t="s">
        <v>7123</v>
      </c>
      <c r="B237" s="5" t="s">
        <v>3486</v>
      </c>
      <c r="C237" s="5" t="s">
        <v>3487</v>
      </c>
      <c r="D237" s="28" t="s">
        <v>7124</v>
      </c>
      <c r="E237" s="5" t="s">
        <v>7106</v>
      </c>
      <c r="F237" s="6">
        <v>46050.64861111111</v>
      </c>
      <c r="G237" s="5" t="str">
        <f>IFERROR(__xludf.DUMMYFUNCTION("LET(
  refItem, TO_TEXT(D237),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IF(ISBLANK(D237),"""", IF(IFERROR(latestMutation,"""")=""OUT"", latestCust, ""AKGREADY"")
))"),"ba97d58d")</f>
        <v>ba97d58d</v>
      </c>
    </row>
    <row r="238">
      <c r="B238" s="57" t="s">
        <v>3486</v>
      </c>
      <c r="C238" s="5" t="s">
        <v>3487</v>
      </c>
      <c r="D238" s="28" t="s">
        <v>7125</v>
      </c>
      <c r="E238" s="5" t="s">
        <v>7106</v>
      </c>
      <c r="F238" s="59">
        <v>45996.466516203705</v>
      </c>
      <c r="G238" s="5" t="str">
        <f>IFERROR(__xludf.DUMMYFUNCTION("LET(
  refItem, TO_TEXT(D238),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IF(ISBLANK(D238),"""", IF(IFERROR(latestMutation,"""")=""OUT"", latestCust, ""AKGREADY"")
))"),"9e66ced9")</f>
        <v>9e66ced9</v>
      </c>
    </row>
    <row r="239">
      <c r="A239" s="10" t="s">
        <v>7126</v>
      </c>
      <c r="B239" s="57" t="s">
        <v>3486</v>
      </c>
      <c r="C239" s="5" t="s">
        <v>3487</v>
      </c>
      <c r="D239" s="28" t="s">
        <v>4237</v>
      </c>
      <c r="F239" s="6">
        <v>46066.412824074076</v>
      </c>
      <c r="G239" s="5" t="str">
        <f>IFERROR(__xludf.DUMMYFUNCTION("LET(
  refItem, TO_TEXT(D239),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IF(ISBLANK(D239),"""", IF(IFERROR(latestMutation,"""")=""OUT"", latestCust, ""AKGREADY"")
))"),"AKGREADY")</f>
        <v>AKGREADY</v>
      </c>
    </row>
    <row r="240">
      <c r="A240" s="10" t="s">
        <v>7127</v>
      </c>
      <c r="B240" s="5" t="s">
        <v>3486</v>
      </c>
      <c r="C240" s="5" t="s">
        <v>3487</v>
      </c>
      <c r="D240" s="28" t="s">
        <v>5470</v>
      </c>
      <c r="E240" s="5" t="s">
        <v>7106</v>
      </c>
      <c r="F240" s="6">
        <v>46057.43728009259</v>
      </c>
      <c r="G240" s="5" t="str">
        <f>IFERROR(__xludf.DUMMYFUNCTION("LET(
  refItem, TO_TEXT(D240),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IF(ISBLANK(D240),"""", IF(IFERROR(latestMutation,"""")=""OUT"", latestCust, ""AKGREADY"")
))"),"3b04351a")</f>
        <v>3b04351a</v>
      </c>
    </row>
    <row r="241">
      <c r="A241" s="10" t="s">
        <v>7128</v>
      </c>
      <c r="B241" s="5" t="s">
        <v>3486</v>
      </c>
      <c r="C241" s="5" t="s">
        <v>3487</v>
      </c>
      <c r="D241" s="28" t="s">
        <v>7129</v>
      </c>
      <c r="E241" s="5" t="s">
        <v>7106</v>
      </c>
      <c r="F241" s="6">
        <v>46058.38657407407</v>
      </c>
      <c r="G241" s="5" t="str">
        <f>IFERROR(__xludf.DUMMYFUNCTION("LET(
  refItem, TO_TEXT(D241),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IF(ISBLANK(D241),"""", IF(IFERROR(latestMutation,"""")=""OUT"", latestCust, ""AKGREADY"")
))"),"e86baf3b")</f>
        <v>e86baf3b</v>
      </c>
    </row>
    <row r="242">
      <c r="A242" s="10" t="s">
        <v>7130</v>
      </c>
      <c r="B242" s="5" t="s">
        <v>3486</v>
      </c>
      <c r="C242" s="5" t="s">
        <v>3487</v>
      </c>
      <c r="D242" s="28" t="s">
        <v>7131</v>
      </c>
      <c r="E242" s="5" t="s">
        <v>7106</v>
      </c>
      <c r="F242" s="6">
        <v>46060.59869212963</v>
      </c>
      <c r="G242" s="5" t="str">
        <f>IFERROR(__xludf.DUMMYFUNCTION("LET(
  refItem, TO_TEXT(D242),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IF(ISBLANK(D242),"""", IF(IFERROR(latestMutation,"""")=""OUT"", latestCust, ""AKGREADY"")
))"),"e86baf3b")</f>
        <v>e86baf3b</v>
      </c>
    </row>
    <row r="243">
      <c r="A243" s="10" t="s">
        <v>7132</v>
      </c>
      <c r="B243" s="5" t="s">
        <v>4203</v>
      </c>
      <c r="C243" s="5" t="s">
        <v>4204</v>
      </c>
      <c r="D243" s="28" t="s">
        <v>5605</v>
      </c>
      <c r="F243" s="6">
        <v>46049.40908564815</v>
      </c>
      <c r="G243" s="5" t="str">
        <f>IFERROR(__xludf.DUMMYFUNCTION("LET(
  refItem, TO_TEXT(D243),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IF(ISBLANK(D243),"""", IF(IFERROR(latestMutation,"""")=""OUT"", latestCust, ""AKGREADY"")
))"),"f7243d00")</f>
        <v>f7243d00</v>
      </c>
    </row>
    <row r="244">
      <c r="A244" s="10" t="s">
        <v>7133</v>
      </c>
      <c r="B244" s="5" t="s">
        <v>3486</v>
      </c>
      <c r="C244" s="5" t="s">
        <v>3487</v>
      </c>
      <c r="D244" s="28" t="s">
        <v>7134</v>
      </c>
      <c r="F244" s="6">
        <v>46055.43263888889</v>
      </c>
      <c r="G244" s="5" t="str">
        <f>IFERROR(__xludf.DUMMYFUNCTION("LET(
  refItem, TO_TEXT(D244),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IF(ISBLANK(D244),"""", IF(IFERROR(latestMutation,"""")=""OUT"", latestCust, ""AKGREADY"")
))"),"AKGREADY")</f>
        <v>AKGREADY</v>
      </c>
    </row>
    <row r="245">
      <c r="A245" s="10" t="s">
        <v>7135</v>
      </c>
      <c r="B245" s="5" t="s">
        <v>3486</v>
      </c>
      <c r="C245" s="5" t="s">
        <v>3487</v>
      </c>
      <c r="D245" s="28" t="s">
        <v>6158</v>
      </c>
      <c r="F245" s="6">
        <v>46069.56118055555</v>
      </c>
      <c r="G245" s="5" t="str">
        <f>IFERROR(__xludf.DUMMYFUNCTION("LET(
  refItem, TO_TEXT(D245),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IF(ISBLANK(D245),"""", IF(IFERROR(latestMutation,"""")=""OUT"", latestCust, ""AKGREADY"")
))"),"9e66ced9")</f>
        <v>9e66ced9</v>
      </c>
    </row>
    <row r="246">
      <c r="A246" s="10" t="s">
        <v>7136</v>
      </c>
      <c r="B246" s="2" t="s">
        <v>4203</v>
      </c>
      <c r="C246" s="2" t="s">
        <v>4204</v>
      </c>
      <c r="D246" s="28" t="s">
        <v>6288</v>
      </c>
      <c r="F246" s="6">
        <v>46119.36560185185</v>
      </c>
      <c r="G246" s="5" t="str">
        <f>IFERROR(__xludf.DUMMYFUNCTION("LET(
  refItem, TO_TEXT(D246),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IF(ISBLANK(D246),"""", IF(IFERROR(latestMutation,"""")=""OUT"", latestCust, ""AKGREADY"")
))"),"AKGREADY")</f>
        <v>AKGREADY</v>
      </c>
    </row>
    <row r="247">
      <c r="A247" s="10" t="s">
        <v>7137</v>
      </c>
      <c r="B247" s="5" t="s">
        <v>4203</v>
      </c>
      <c r="C247" s="5" t="s">
        <v>4204</v>
      </c>
      <c r="D247" s="28" t="s">
        <v>5673</v>
      </c>
      <c r="F247" s="6">
        <v>46049.383576388886</v>
      </c>
      <c r="G247" s="5" t="str">
        <f>IFERROR(__xludf.DUMMYFUNCTION("LET(
  refItem, TO_TEXT(D247),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IF(ISBLANK(D247),"""", IF(IFERROR(latestMutation,"""")=""OUT"", latestCust, ""AKGREADY"")
))"),"f7243d00")</f>
        <v>f7243d00</v>
      </c>
    </row>
    <row r="248">
      <c r="A248" s="5" t="s">
        <v>6131</v>
      </c>
      <c r="B248" s="5" t="s">
        <v>3486</v>
      </c>
      <c r="C248" s="5" t="s">
        <v>3487</v>
      </c>
      <c r="D248" s="28" t="s">
        <v>6527</v>
      </c>
      <c r="F248" s="59">
        <v>46010.44096064815</v>
      </c>
      <c r="G248" s="5" t="str">
        <f>IFERROR(__xludf.DUMMYFUNCTION("LET(
  refItem, TO_TEXT(D248),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IF(ISBLANK(D248),"""", IF(IFERROR(latestMutation,"""")=""OUT"", latestCust, ""AKGREADY"")
))"),"AKGREADY")</f>
        <v>AKGREADY</v>
      </c>
    </row>
    <row r="249">
      <c r="A249" s="5" t="s">
        <v>7138</v>
      </c>
      <c r="B249" s="5" t="s">
        <v>3486</v>
      </c>
      <c r="C249" s="5" t="s">
        <v>3487</v>
      </c>
      <c r="D249" s="28" t="s">
        <v>7139</v>
      </c>
      <c r="F249" s="59">
        <v>45899.40511574074</v>
      </c>
      <c r="G249" s="5" t="str">
        <f>IFERROR(__xludf.DUMMYFUNCTION("LET(
  refItem, TO_TEXT(D249),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IF(ISBLANK(D249),"""", IF(IFERROR(latestMutation,"""")=""OUT"", latestCust, ""AKGREADY"")
))"),"eec2e801")</f>
        <v>eec2e801</v>
      </c>
    </row>
    <row r="250">
      <c r="A250" s="5" t="s">
        <v>7140</v>
      </c>
      <c r="B250" s="5" t="s">
        <v>3486</v>
      </c>
      <c r="C250" s="5" t="s">
        <v>3487</v>
      </c>
      <c r="D250" s="28" t="s">
        <v>7141</v>
      </c>
      <c r="F250" s="59">
        <v>46010.44121527778</v>
      </c>
      <c r="G250" s="5" t="str">
        <f>IFERROR(__xludf.DUMMYFUNCTION("LET(
  refItem, TO_TEXT(D250),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IF(ISBLANK(D250),"""", IF(IFERROR(latestMutation,"""")=""OUT"", latestCust, ""AKGREADY"")
))"),"1c4d5e93")</f>
        <v>1c4d5e93</v>
      </c>
    </row>
    <row r="251">
      <c r="A251" s="28" t="s">
        <v>7142</v>
      </c>
      <c r="B251" s="5" t="s">
        <v>3486</v>
      </c>
      <c r="C251" s="5" t="s">
        <v>3487</v>
      </c>
      <c r="D251" s="28" t="s">
        <v>7143</v>
      </c>
      <c r="F251" s="59">
        <v>46010.441458333335</v>
      </c>
      <c r="G251" s="5" t="str">
        <f>IFERROR(__xludf.DUMMYFUNCTION("LET(
  refItem, TO_TEXT(D251),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IF(ISBLANK(D251),"""", IF(IFERROR(latestMutation,"""")=""OUT"", latestCust, ""AKGREADY"")
))"),"1c4d5e93")</f>
        <v>1c4d5e93</v>
      </c>
    </row>
    <row r="252">
      <c r="A252" s="28" t="s">
        <v>7144</v>
      </c>
      <c r="B252" s="5" t="s">
        <v>3486</v>
      </c>
      <c r="C252" s="5" t="s">
        <v>3487</v>
      </c>
      <c r="D252" s="28" t="s">
        <v>6170</v>
      </c>
      <c r="F252" s="59">
        <v>46010.44170138889</v>
      </c>
      <c r="G252" s="5" t="str">
        <f>IFERROR(__xludf.DUMMYFUNCTION("LET(
  refItem, TO_TEXT(D252),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IF(ISBLANK(D252),"""", IF(IFERROR(latestMutation,"""")=""OUT"", latestCust, ""AKGREADY"")
))"),"AKGREADY")</f>
        <v>AKGREADY</v>
      </c>
    </row>
    <row r="253">
      <c r="A253" s="8" t="s">
        <v>7145</v>
      </c>
      <c r="B253" s="5" t="s">
        <v>3486</v>
      </c>
      <c r="C253" s="5" t="s">
        <v>3487</v>
      </c>
      <c r="D253" s="28" t="s">
        <v>6220</v>
      </c>
      <c r="F253" s="6">
        <v>46052.407789351855</v>
      </c>
      <c r="G253" s="5" t="str">
        <f>IFERROR(__xludf.DUMMYFUNCTION("LET(
  refItem, TO_TEXT(D253),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IF(ISBLANK(D253),"""", IF(IFERROR(latestMutation,"""")=""OUT"", latestCust, ""AKGREADY"")
))"),"734c6d17")</f>
        <v>734c6d17</v>
      </c>
    </row>
    <row r="254">
      <c r="A254" s="10" t="s">
        <v>7146</v>
      </c>
      <c r="B254" s="5" t="s">
        <v>3486</v>
      </c>
      <c r="C254" s="5" t="s">
        <v>3487</v>
      </c>
      <c r="D254" s="28" t="s">
        <v>6057</v>
      </c>
      <c r="F254" s="6">
        <v>46052.40398148148</v>
      </c>
      <c r="G254" s="5" t="str">
        <f>IFERROR(__xludf.DUMMYFUNCTION("LET(
  refItem, TO_TEXT(D254),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IF(ISBLANK(D254),"""", IF(IFERROR(latestMutation,"""")=""OUT"", latestCust, ""AKGREADY"")
))"),"AKGREADY")</f>
        <v>AKGREADY</v>
      </c>
    </row>
    <row r="255">
      <c r="A255" s="5" t="s">
        <v>7147</v>
      </c>
      <c r="B255" s="5" t="s">
        <v>3486</v>
      </c>
      <c r="C255" s="5" t="s">
        <v>3487</v>
      </c>
      <c r="D255" s="28" t="s">
        <v>7148</v>
      </c>
      <c r="F255" s="59">
        <v>46010.44258101852</v>
      </c>
      <c r="G255" s="5" t="str">
        <f>IFERROR(__xludf.DUMMYFUNCTION("LET(
  refItem, TO_TEXT(D255),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IF(ISBLANK(D255),"""", IF(IFERROR(latestMutation,"""")=""OUT"", latestCust, ""AKGREADY"")
))"),"dcc017cb")</f>
        <v>dcc017cb</v>
      </c>
    </row>
    <row r="256">
      <c r="A256" s="10" t="s">
        <v>7149</v>
      </c>
      <c r="B256" s="5" t="s">
        <v>3486</v>
      </c>
      <c r="C256" s="5" t="s">
        <v>3487</v>
      </c>
      <c r="D256" s="28" t="s">
        <v>6702</v>
      </c>
      <c r="F256" s="6">
        <v>46049.40049768519</v>
      </c>
      <c r="G256" s="5" t="str">
        <f>IFERROR(__xludf.DUMMYFUNCTION("LET(
  refItem, TO_TEXT(D256),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IF(ISBLANK(D256),"""", IF(IFERROR(latestMutation,"""")=""OUT"", latestCust, ""AKGREADY"")
))"),"dcdf8b31")</f>
        <v>dcdf8b31</v>
      </c>
    </row>
    <row r="257">
      <c r="A257" s="10" t="s">
        <v>7150</v>
      </c>
      <c r="B257" s="2" t="s">
        <v>4203</v>
      </c>
      <c r="C257" s="2" t="s">
        <v>4204</v>
      </c>
      <c r="D257" s="28" t="s">
        <v>5819</v>
      </c>
      <c r="F257" s="6">
        <v>46098.366944444446</v>
      </c>
      <c r="G257" s="5" t="str">
        <f>IFERROR(__xludf.DUMMYFUNCTION("LET(
  refItem, TO_TEXT(D257),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IF(ISBLANK(D257),"""", IF(IFERROR(latestMutation,"""")=""OUT"", latestCust, ""AKGREADY"")
))"),"63fc688a")</f>
        <v>63fc688a</v>
      </c>
    </row>
    <row r="258">
      <c r="A258" s="5" t="s">
        <v>7151</v>
      </c>
      <c r="B258" s="5" t="s">
        <v>3486</v>
      </c>
      <c r="C258" s="5" t="s">
        <v>3487</v>
      </c>
      <c r="D258" s="28" t="s">
        <v>6272</v>
      </c>
      <c r="F258" s="59">
        <v>46010.55709490741</v>
      </c>
      <c r="G258" s="5" t="str">
        <f>IFERROR(__xludf.DUMMYFUNCTION("LET(
  refItem, TO_TEXT(D258),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IF(ISBLANK(D258),"""", IF(IFERROR(latestMutation,"""")=""OUT"", latestCust, ""AKGREADY"")
))"),"f8a982a4")</f>
        <v>f8a982a4</v>
      </c>
    </row>
    <row r="259">
      <c r="A259" s="10" t="s">
        <v>7152</v>
      </c>
      <c r="B259" s="5" t="s">
        <v>4203</v>
      </c>
      <c r="C259" s="5" t="s">
        <v>4204</v>
      </c>
      <c r="D259" s="28" t="s">
        <v>6079</v>
      </c>
      <c r="F259" s="6">
        <v>46049.38346064815</v>
      </c>
      <c r="G259" s="5" t="str">
        <f>IFERROR(__xludf.DUMMYFUNCTION("LET(
  refItem, TO_TEXT(D259),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IF(ISBLANK(D259),"""", IF(IFERROR(latestMutation,"""")=""OUT"", latestCust, ""AKGREADY"")
))"),"ca4876e2")</f>
        <v>ca4876e2</v>
      </c>
    </row>
    <row r="260">
      <c r="A260" s="5" t="s">
        <v>7153</v>
      </c>
      <c r="B260" s="5" t="s">
        <v>3486</v>
      </c>
      <c r="C260" s="5" t="s">
        <v>3487</v>
      </c>
      <c r="D260" s="28" t="s">
        <v>4132</v>
      </c>
      <c r="F260" s="59">
        <v>45965.35395833333</v>
      </c>
      <c r="G260" s="5" t="str">
        <f>IFERROR(__xludf.DUMMYFUNCTION("LET(
  refItem, TO_TEXT(D260),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IF(ISBLANK(D260),"""", IF(IFERROR(latestMutation,"""")=""OUT"", latestCust, ""AKGREADY"")
))"),"3b04351a")</f>
        <v>3b04351a</v>
      </c>
    </row>
    <row r="261">
      <c r="A261" s="10" t="s">
        <v>7154</v>
      </c>
      <c r="B261" s="5" t="s">
        <v>4203</v>
      </c>
      <c r="C261" s="5" t="s">
        <v>4204</v>
      </c>
      <c r="D261" s="28" t="s">
        <v>5892</v>
      </c>
      <c r="F261" s="6">
        <v>46066.41509259259</v>
      </c>
      <c r="G261" s="5" t="str">
        <f>IFERROR(__xludf.DUMMYFUNCTION("LET(
  refItem, TO_TEXT(D261),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IF(ISBLANK(D261),"""", IF(IFERROR(latestMutation,"""")=""OUT"", latestCust, ""AKGREADY"")
))"),"4ec68cf6")</f>
        <v>4ec68cf6</v>
      </c>
    </row>
    <row r="262">
      <c r="A262" s="10" t="s">
        <v>7155</v>
      </c>
      <c r="B262" s="5" t="s">
        <v>4203</v>
      </c>
      <c r="C262" s="5" t="s">
        <v>4204</v>
      </c>
      <c r="D262" s="28" t="s">
        <v>5799</v>
      </c>
      <c r="F262" s="6">
        <v>46052.67957175926</v>
      </c>
      <c r="G262" s="5" t="str">
        <f>IFERROR(__xludf.DUMMYFUNCTION("LET(
  refItem, TO_TEXT(D262),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IF(ISBLANK(D262),"""", IF(IFERROR(latestMutation,"""")=""OUT"", latestCust, ""AKGREADY"")
))"),"ca4876e2")</f>
        <v>ca4876e2</v>
      </c>
    </row>
    <row r="263">
      <c r="A263" s="5" t="s">
        <v>7156</v>
      </c>
      <c r="B263" s="5" t="s">
        <v>3486</v>
      </c>
      <c r="C263" s="5" t="s">
        <v>3487</v>
      </c>
      <c r="D263" s="28" t="s">
        <v>5739</v>
      </c>
      <c r="F263" s="59">
        <v>45911.356770833336</v>
      </c>
      <c r="G263" s="5" t="str">
        <f>IFERROR(__xludf.DUMMYFUNCTION("LET(
  refItem, TO_TEXT(D263),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IF(ISBLANK(D263),"""", IF(IFERROR(latestMutation,"""")=""OUT"", latestCust, ""AKGREADY"")
))"),"9e66ced9")</f>
        <v>9e66ced9</v>
      </c>
    </row>
    <row r="264">
      <c r="A264" s="10" t="s">
        <v>7157</v>
      </c>
      <c r="B264" s="5" t="s">
        <v>3486</v>
      </c>
      <c r="C264" s="5" t="s">
        <v>3487</v>
      </c>
      <c r="D264" s="28" t="s">
        <v>4338</v>
      </c>
      <c r="F264" s="6">
        <v>46062.35162037037</v>
      </c>
      <c r="G264" s="5" t="str">
        <f>IFERROR(__xludf.DUMMYFUNCTION("LET(
  refItem, TO_TEXT(D264),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IF(ISBLANK(D264),"""", IF(IFERROR(latestMutation,"""")=""OUT"", latestCust, ""AKGREADY"")
))"),"ec231cc9")</f>
        <v>ec231cc9</v>
      </c>
    </row>
    <row r="265">
      <c r="A265" s="5" t="s">
        <v>7158</v>
      </c>
      <c r="B265" s="57" t="s">
        <v>3486</v>
      </c>
      <c r="C265" s="5" t="s">
        <v>3487</v>
      </c>
      <c r="D265" s="28" t="s">
        <v>3730</v>
      </c>
      <c r="F265" s="59">
        <v>45906.38322916667</v>
      </c>
      <c r="G265" s="5" t="str">
        <f>IFERROR(__xludf.DUMMYFUNCTION("LET(
  refItem, TO_TEXT(D265),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IF(ISBLANK(D265),"""", IF(IFERROR(latestMutation,"""")=""OUT"", latestCust, ""AKGREADY"")
))"),"b2b5f2c5")</f>
        <v>b2b5f2c5</v>
      </c>
    </row>
    <row r="266">
      <c r="A266" s="5" t="s">
        <v>7159</v>
      </c>
      <c r="B266" s="57" t="s">
        <v>3486</v>
      </c>
      <c r="C266" s="5" t="s">
        <v>3487</v>
      </c>
      <c r="D266" s="28" t="s">
        <v>7160</v>
      </c>
      <c r="F266" s="59">
        <v>45988.47075231482</v>
      </c>
      <c r="G266" s="5" t="str">
        <f>IFERROR(__xludf.DUMMYFUNCTION("LET(
  refItem, TO_TEXT(D266),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IF(ISBLANK(D266),"""", IF(IFERROR(latestMutation,"""")=""OUT"", latestCust, ""AKGREADY"")
))"),"2d88931c")</f>
        <v>2d88931c</v>
      </c>
    </row>
    <row r="267">
      <c r="A267" s="10" t="s">
        <v>7161</v>
      </c>
      <c r="B267" s="57" t="s">
        <v>3486</v>
      </c>
      <c r="C267" s="5" t="s">
        <v>3487</v>
      </c>
      <c r="D267" s="28" t="s">
        <v>5752</v>
      </c>
      <c r="F267" s="6">
        <v>46052.54146990741</v>
      </c>
      <c r="G267" s="5" t="str">
        <f>IFERROR(__xludf.DUMMYFUNCTION("LET(
  refItem, TO_TEXT(D267),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IF(ISBLANK(D267),"""", IF(IFERROR(latestMutation,"""")=""OUT"", latestCust, ""AKGREADY"")
))"),"9e66ced9")</f>
        <v>9e66ced9</v>
      </c>
    </row>
    <row r="268">
      <c r="A268" s="5" t="s">
        <v>7162</v>
      </c>
      <c r="B268" s="5" t="s">
        <v>3486</v>
      </c>
      <c r="C268" s="5" t="s">
        <v>3487</v>
      </c>
      <c r="D268" s="28" t="s">
        <v>7163</v>
      </c>
      <c r="F268" s="59">
        <v>45919.36005787037</v>
      </c>
      <c r="G268" s="5" t="str">
        <f>IFERROR(__xludf.DUMMYFUNCTION("LET(
  refItem, TO_TEXT(D268),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IF(ISBLANK(D268),"""", IF(IFERROR(latestMutation,"""")=""OUT"", latestCust, ""AKGREADY"")
))"),"e86baf3b")</f>
        <v>e86baf3b</v>
      </c>
    </row>
    <row r="269">
      <c r="A269" s="5" t="s">
        <v>7164</v>
      </c>
      <c r="B269" s="57" t="s">
        <v>3486</v>
      </c>
      <c r="C269" s="5" t="s">
        <v>3487</v>
      </c>
      <c r="D269" s="28" t="s">
        <v>7165</v>
      </c>
      <c r="F269" s="59">
        <v>45983.57189814815</v>
      </c>
      <c r="G269" s="5" t="str">
        <f>IFERROR(__xludf.DUMMYFUNCTION("LET(
  refItem, TO_TEXT(D269),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IF(ISBLANK(D269),"""", IF(IFERROR(latestMutation,"""")=""OUT"", latestCust, ""AKGREADY"")
))"),"eec2e801")</f>
        <v>eec2e801</v>
      </c>
    </row>
    <row r="270">
      <c r="A270" s="5" t="s">
        <v>7166</v>
      </c>
      <c r="B270" s="5" t="s">
        <v>3486</v>
      </c>
      <c r="C270" s="5" t="s">
        <v>3487</v>
      </c>
      <c r="D270" s="28" t="s">
        <v>4081</v>
      </c>
      <c r="G270" s="5" t="str">
        <f>IFERROR(__xludf.DUMMYFUNCTION("LET(
  refItem, TO_TEXT(D270),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IF(ISBLANK(D270),"""", IF(IFERROR(latestMutation,"""")=""OUT"", latestCust, ""AKGREADY"")
))"),"2d88931c")</f>
        <v>2d88931c</v>
      </c>
    </row>
    <row r="271">
      <c r="A271" s="5" t="s">
        <v>7167</v>
      </c>
      <c r="B271" s="57" t="s">
        <v>3486</v>
      </c>
      <c r="C271" s="5" t="s">
        <v>3487</v>
      </c>
      <c r="D271" s="28" t="s">
        <v>5327</v>
      </c>
      <c r="F271" s="59">
        <v>45899.40739583333</v>
      </c>
      <c r="G271" s="5" t="str">
        <f>IFERROR(__xludf.DUMMYFUNCTION("LET(
  refItem, TO_TEXT(D271),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IF(ISBLANK(D271),"""", IF(IFERROR(latestMutation,"""")=""OUT"", latestCust, ""AKGREADY"")
))"),"e86baf3b")</f>
        <v>e86baf3b</v>
      </c>
    </row>
    <row r="272">
      <c r="A272" s="5" t="s">
        <v>7168</v>
      </c>
      <c r="B272" s="57" t="s">
        <v>3486</v>
      </c>
      <c r="C272" s="5" t="s">
        <v>3487</v>
      </c>
      <c r="D272" s="28" t="s">
        <v>7169</v>
      </c>
      <c r="F272" s="59">
        <v>45919.35821759259</v>
      </c>
      <c r="G272" s="5" t="str">
        <f>IFERROR(__xludf.DUMMYFUNCTION("LET(
  refItem, TO_TEXT(D272),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IF(ISBLANK(D272),"""", IF(IFERROR(latestMutation,"""")=""OUT"", latestCust, ""AKGREADY"")
))"),"b2b5f2c5")</f>
        <v>b2b5f2c5</v>
      </c>
    </row>
    <row r="273">
      <c r="A273" s="5" t="s">
        <v>7170</v>
      </c>
      <c r="B273" s="57" t="s">
        <v>3486</v>
      </c>
      <c r="C273" s="5" t="s">
        <v>3487</v>
      </c>
      <c r="D273" s="28" t="s">
        <v>4121</v>
      </c>
      <c r="F273" s="59">
        <v>45912.382372685184</v>
      </c>
      <c r="G273" s="5" t="str">
        <f>IFERROR(__xludf.DUMMYFUNCTION("LET(
  refItem, TO_TEXT(D273),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IF(ISBLANK(D273),"""", IF(IFERROR(latestMutation,"""")=""OUT"", latestCust, ""AKGREADY"")
))"),"58b72e0c")</f>
        <v>58b72e0c</v>
      </c>
    </row>
    <row r="274">
      <c r="A274" s="10" t="s">
        <v>7171</v>
      </c>
      <c r="B274" s="57" t="s">
        <v>3486</v>
      </c>
      <c r="C274" s="5" t="s">
        <v>3487</v>
      </c>
      <c r="D274" s="28" t="s">
        <v>5887</v>
      </c>
      <c r="F274" s="6">
        <v>46066.41302083333</v>
      </c>
      <c r="G274" s="5" t="str">
        <f>IFERROR(__xludf.DUMMYFUNCTION("LET(
  refItem, TO_TEXT(D274),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IF(ISBLANK(D274),"""", IF(IFERROR(latestMutation,"""")=""OUT"", latestCust, ""AKGREADY"")
))"),"eec2e801")</f>
        <v>eec2e801</v>
      </c>
    </row>
    <row r="275">
      <c r="A275" s="10" t="s">
        <v>7172</v>
      </c>
      <c r="B275" s="57" t="s">
        <v>3486</v>
      </c>
      <c r="C275" s="5" t="s">
        <v>3487</v>
      </c>
      <c r="D275" s="28" t="s">
        <v>6140</v>
      </c>
      <c r="F275" s="6">
        <v>46062.659050925926</v>
      </c>
      <c r="G275" s="5" t="str">
        <f>IFERROR(__xludf.DUMMYFUNCTION("LET(
  refItem, TO_TEXT(D275),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IF(ISBLANK(D275),"""", IF(IFERROR(latestMutation,"""")=""OUT"", latestCust, ""AKGREADY"")
))"),"58b72e0c")</f>
        <v>58b72e0c</v>
      </c>
    </row>
    <row r="276">
      <c r="A276" s="5" t="s">
        <v>7173</v>
      </c>
      <c r="B276" s="5" t="s">
        <v>3486</v>
      </c>
      <c r="C276" s="5" t="s">
        <v>3487</v>
      </c>
      <c r="D276" s="28" t="s">
        <v>6092</v>
      </c>
      <c r="F276" s="59">
        <v>45909.42505787037</v>
      </c>
      <c r="G276" s="5" t="str">
        <f>IFERROR(__xludf.DUMMYFUNCTION("LET(
  refItem, TO_TEXT(D276),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IF(ISBLANK(D276),"""", IF(IFERROR(latestMutation,"""")=""OUT"", latestCust, ""AKGREADY"")
))"),"58ae16eb")</f>
        <v>58ae16eb</v>
      </c>
    </row>
    <row r="277">
      <c r="A277" s="5" t="s">
        <v>7174</v>
      </c>
      <c r="B277" s="5" t="s">
        <v>3486</v>
      </c>
      <c r="C277" s="5" t="s">
        <v>3487</v>
      </c>
      <c r="D277" s="28" t="s">
        <v>7175</v>
      </c>
      <c r="F277" s="59">
        <v>45883.40435185185</v>
      </c>
      <c r="G277" s="5" t="str">
        <f>IFERROR(__xludf.DUMMYFUNCTION("LET(
  refItem, TO_TEXT(D277),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IF(ISBLANK(D277),"""", IF(IFERROR(latestMutation,"""")=""OUT"", latestCust, ""AKGREADY"")
))"),"a9fe1bea")</f>
        <v>a9fe1bea</v>
      </c>
    </row>
    <row r="278">
      <c r="A278" s="5" t="s">
        <v>7176</v>
      </c>
      <c r="B278" s="5" t="s">
        <v>3486</v>
      </c>
      <c r="C278" s="5" t="s">
        <v>3487</v>
      </c>
      <c r="D278" s="19" t="s">
        <v>7177</v>
      </c>
      <c r="F278" s="59">
        <v>45899.405810185184</v>
      </c>
      <c r="G278" s="5" t="str">
        <f>IFERROR(__xludf.DUMMYFUNCTION("LET(
  refItem, TO_TEXT(D278),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IF(ISBLANK(D278),"""", IF(IFERROR(latestMutation,"""")=""OUT"", latestCust, ""AKGREADY"")
))"),"ba97d58d")</f>
        <v>ba97d58d</v>
      </c>
    </row>
    <row r="279">
      <c r="A279" s="5" t="s">
        <v>7178</v>
      </c>
      <c r="B279" s="5" t="s">
        <v>3486</v>
      </c>
      <c r="C279" s="5" t="s">
        <v>3487</v>
      </c>
      <c r="D279" s="28" t="s">
        <v>7179</v>
      </c>
      <c r="F279" s="59">
        <v>45911.34349537037</v>
      </c>
      <c r="G279" s="5" t="str">
        <f>IFERROR(__xludf.DUMMYFUNCTION("LET(
  refItem, TO_TEXT(D279),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IF(ISBLANK(D279),"""", IF(IFERROR(latestMutation,"""")=""OUT"", latestCust, ""AKGREADY"")
))"),"3bcd7fe6")</f>
        <v>3bcd7fe6</v>
      </c>
    </row>
    <row r="280">
      <c r="A280" s="5" t="s">
        <v>7180</v>
      </c>
      <c r="B280" s="5" t="s">
        <v>3486</v>
      </c>
      <c r="C280" s="5" t="s">
        <v>3487</v>
      </c>
      <c r="D280" s="28" t="s">
        <v>5070</v>
      </c>
      <c r="F280" s="59">
        <v>45919.35796296296</v>
      </c>
      <c r="G280" s="5" t="str">
        <f>IFERROR(__xludf.DUMMYFUNCTION("LET(
  refItem, TO_TEXT(D280),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IF(ISBLANK(D280),"""", IF(IFERROR(latestMutation,"""")=""OUT"", latestCust, ""AKGREADY"")
))"),"182fb0fe")</f>
        <v>182fb0fe</v>
      </c>
    </row>
    <row r="281">
      <c r="A281" s="5" t="s">
        <v>7181</v>
      </c>
      <c r="B281" s="5" t="s">
        <v>3486</v>
      </c>
      <c r="C281" s="5" t="s">
        <v>3487</v>
      </c>
      <c r="D281" s="28" t="s">
        <v>3859</v>
      </c>
      <c r="F281" s="59">
        <v>45882.49753472222</v>
      </c>
      <c r="G281" s="5" t="str">
        <f>IFERROR(__xludf.DUMMYFUNCTION("LET(
  refItem, TO_TEXT(D281),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IF(ISBLANK(D281),"""", IF(IFERROR(latestMutation,"""")=""OUT"", latestCust, ""AKGREADY"")
))"),"057b6b99")</f>
        <v>057b6b99</v>
      </c>
    </row>
    <row r="282">
      <c r="A282" s="5" t="s">
        <v>7182</v>
      </c>
      <c r="B282" s="5" t="s">
        <v>3486</v>
      </c>
      <c r="C282" s="5" t="s">
        <v>3487</v>
      </c>
      <c r="D282" s="28" t="s">
        <v>4207</v>
      </c>
      <c r="F282" s="59">
        <v>45876.61392361111</v>
      </c>
      <c r="G282" s="5" t="str">
        <f>IFERROR(__xludf.DUMMYFUNCTION("LET(
  refItem, TO_TEXT(D282),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IF(ISBLANK(D282),"""", IF(IFERROR(latestMutation,"""")=""OUT"", latestCust, ""AKGREADY"")
))"),"58b72e0c")</f>
        <v>58b72e0c</v>
      </c>
    </row>
    <row r="283">
      <c r="A283" s="5" t="s">
        <v>7183</v>
      </c>
      <c r="B283" s="5" t="s">
        <v>3486</v>
      </c>
      <c r="C283" s="5" t="s">
        <v>3487</v>
      </c>
      <c r="D283" s="28" t="s">
        <v>5013</v>
      </c>
      <c r="F283" s="59">
        <v>45911.34380787037</v>
      </c>
      <c r="G283" s="5" t="str">
        <f>IFERROR(__xludf.DUMMYFUNCTION("LET(
  refItem, TO_TEXT(D283),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IF(ISBLANK(D283),"""", IF(IFERROR(latestMutation,"""")=""OUT"", latestCust, ""AKGREADY"")
))"),"4ec68cf6")</f>
        <v>4ec68cf6</v>
      </c>
    </row>
    <row r="284">
      <c r="B284" s="5" t="s">
        <v>3486</v>
      </c>
      <c r="C284" s="5" t="s">
        <v>3487</v>
      </c>
      <c r="D284" s="28" t="s">
        <v>7184</v>
      </c>
      <c r="F284" s="59">
        <v>45967.59273148148</v>
      </c>
      <c r="G284" s="5" t="str">
        <f>IFERROR(__xludf.DUMMYFUNCTION("LET(
  refItem, TO_TEXT(D284),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IF(ISBLANK(D284),"""", IF(IFERROR(latestMutation,"""")=""OUT"", latestCust, ""AKGREADY"")
))"),"a9fe1bea")</f>
        <v>a9fe1bea</v>
      </c>
    </row>
    <row r="285">
      <c r="A285" s="10" t="s">
        <v>7185</v>
      </c>
      <c r="B285" s="5" t="s">
        <v>3486</v>
      </c>
      <c r="C285" s="5" t="s">
        <v>3487</v>
      </c>
      <c r="D285" s="28" t="s">
        <v>4062</v>
      </c>
      <c r="F285" s="6">
        <v>46094.58042824074</v>
      </c>
      <c r="G285" s="5" t="str">
        <f>IFERROR(__xludf.DUMMYFUNCTION("LET(
  refItem, TO_TEXT(D285),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IF(ISBLANK(D285),"""", IF(IFERROR(latestMutation,"""")=""OUT"", latestCust, ""AKGREADY"")
))"),"AKGREADY")</f>
        <v>AKGREADY</v>
      </c>
    </row>
    <row r="286">
      <c r="A286" s="10" t="s">
        <v>7186</v>
      </c>
      <c r="B286" s="5" t="s">
        <v>3486</v>
      </c>
      <c r="C286" s="5" t="s">
        <v>3487</v>
      </c>
      <c r="D286" s="28" t="s">
        <v>6020</v>
      </c>
      <c r="F286" s="6">
        <v>46058.4003125</v>
      </c>
      <c r="G286" s="5" t="str">
        <f>IFERROR(__xludf.DUMMYFUNCTION("LET(
  refItem, TO_TEXT(D286),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IF(ISBLANK(D286),"""", IF(IFERROR(latestMutation,"""")=""OUT"", latestCust, ""AKGREADY"")
))"),"63fc688a")</f>
        <v>63fc688a</v>
      </c>
    </row>
    <row r="287">
      <c r="A287" s="5" t="s">
        <v>7187</v>
      </c>
      <c r="B287" s="5" t="s">
        <v>4203</v>
      </c>
      <c r="C287" s="5" t="s">
        <v>4204</v>
      </c>
      <c r="D287" s="28" t="s">
        <v>4412</v>
      </c>
      <c r="F287" s="59">
        <v>45889.47645833333</v>
      </c>
      <c r="G287" s="5" t="str">
        <f>IFERROR(__xludf.DUMMYFUNCTION("LET(
  refItem, TO_TEXT(D287),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IF(ISBLANK(D287),"""", IF(IFERROR(latestMutation,"""")=""OUT"", latestCust, ""AKGREADY"")
))"),"1a1efff9")</f>
        <v>1a1efff9</v>
      </c>
    </row>
    <row r="288">
      <c r="A288" s="28" t="s">
        <v>7188</v>
      </c>
      <c r="B288" s="5" t="s">
        <v>3486</v>
      </c>
      <c r="C288" s="5" t="s">
        <v>3487</v>
      </c>
      <c r="D288" s="28" t="s">
        <v>4613</v>
      </c>
      <c r="F288" s="59">
        <v>46001.472025462965</v>
      </c>
      <c r="G288" s="5" t="str">
        <f>IFERROR(__xludf.DUMMYFUNCTION("LET(
  refItem, TO_TEXT(D288),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IF(ISBLANK(D288),"""", IF(IFERROR(latestMutation,"""")=""OUT"", latestCust, ""AKGREADY"")
))"),"a9fe1bea")</f>
        <v>a9fe1bea</v>
      </c>
    </row>
    <row r="289">
      <c r="A289" s="5" t="s">
        <v>7189</v>
      </c>
      <c r="B289" s="5" t="s">
        <v>3486</v>
      </c>
      <c r="C289" s="5" t="s">
        <v>3487</v>
      </c>
      <c r="D289" s="28" t="s">
        <v>4107</v>
      </c>
      <c r="F289" s="59">
        <v>45883.40158564815</v>
      </c>
      <c r="G289" s="5" t="str">
        <f>IFERROR(__xludf.DUMMYFUNCTION("LET(
  refItem, TO_TEXT(D289),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IF(ISBLANK(D289),"""", IF(IFERROR(latestMutation,"""")=""OUT"", latestCust, ""AKGREADY"")
))"),"ec231cc9")</f>
        <v>ec231cc9</v>
      </c>
    </row>
    <row r="290">
      <c r="A290" s="5" t="s">
        <v>7190</v>
      </c>
      <c r="B290" s="5" t="s">
        <v>4203</v>
      </c>
      <c r="C290" s="5" t="s">
        <v>4204</v>
      </c>
      <c r="D290" s="28" t="s">
        <v>4664</v>
      </c>
      <c r="F290" s="59">
        <v>45966.49864583334</v>
      </c>
      <c r="G290" s="5" t="str">
        <f>IFERROR(__xludf.DUMMYFUNCTION("LET(
  refItem, TO_TEXT(D290),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IF(ISBLANK(D290),"""", IF(IFERROR(latestMutation,"""")=""OUT"", latestCust, ""AKGREADY"")
))"),"17a8e612")</f>
        <v>17a8e612</v>
      </c>
    </row>
    <row r="291">
      <c r="A291" s="5" t="s">
        <v>7191</v>
      </c>
      <c r="B291" s="57" t="s">
        <v>3486</v>
      </c>
      <c r="C291" s="5" t="s">
        <v>3487</v>
      </c>
      <c r="D291" s="28" t="s">
        <v>5503</v>
      </c>
      <c r="F291" s="59">
        <v>45962.370300925926</v>
      </c>
      <c r="G291" s="5" t="str">
        <f>IFERROR(__xludf.DUMMYFUNCTION("LET(
  refItem, TO_TEXT(D291),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IF(ISBLANK(D291),"""", IF(IFERROR(latestMutation,"""")=""OUT"", latestCust, ""AKGREADY"")
))"),"a9fe1bea")</f>
        <v>a9fe1bea</v>
      </c>
    </row>
    <row r="292">
      <c r="A292" s="10" t="s">
        <v>7192</v>
      </c>
      <c r="B292" s="57" t="s">
        <v>3486</v>
      </c>
      <c r="C292" s="5" t="s">
        <v>3487</v>
      </c>
      <c r="D292" s="28" t="s">
        <v>4033</v>
      </c>
      <c r="F292" s="6">
        <v>46035.70019675926</v>
      </c>
      <c r="G292" s="5" t="str">
        <f>IFERROR(__xludf.DUMMYFUNCTION("LET(
  refItem, TO_TEXT(D292),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IF(ISBLANK(D292),"""", IF(IFERROR(latestMutation,"""")=""OUT"", latestCust, ""AKGREADY"")
))"),"9828dfc5")</f>
        <v>9828dfc5</v>
      </c>
    </row>
    <row r="293">
      <c r="A293" s="5" t="s">
        <v>7193</v>
      </c>
      <c r="B293" s="5" t="s">
        <v>3486</v>
      </c>
      <c r="C293" s="5" t="s">
        <v>3487</v>
      </c>
      <c r="D293" s="28" t="s">
        <v>5096</v>
      </c>
      <c r="F293" s="59">
        <v>45909.423414351855</v>
      </c>
      <c r="G293" s="5" t="str">
        <f>IFERROR(__xludf.DUMMYFUNCTION("LET(
  refItem, TO_TEXT(D293),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IF(ISBLANK(D293),"""", IF(IFERROR(latestMutation,"""")=""OUT"", latestCust, ""AKGREADY"")
))"),"ba97d58d")</f>
        <v>ba97d58d</v>
      </c>
    </row>
    <row r="294">
      <c r="A294" s="5" t="s">
        <v>7194</v>
      </c>
      <c r="B294" s="5" t="s">
        <v>3486</v>
      </c>
      <c r="C294" s="5" t="s">
        <v>3487</v>
      </c>
      <c r="D294" s="28" t="s">
        <v>4547</v>
      </c>
      <c r="F294" s="59">
        <v>45972.60089120371</v>
      </c>
      <c r="G294" s="5" t="str">
        <f>IFERROR(__xludf.DUMMYFUNCTION("LET(
  refItem, TO_TEXT(D294),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IF(ISBLANK(D294),"""", IF(IFERROR(latestMutation,"""")=""OUT"", latestCust, ""AKGREADY"")
))"),"AKGREADY")</f>
        <v>AKGREADY</v>
      </c>
    </row>
    <row r="295">
      <c r="A295" s="5" t="s">
        <v>7195</v>
      </c>
      <c r="B295" s="5" t="s">
        <v>3486</v>
      </c>
      <c r="C295" s="5" t="s">
        <v>3487</v>
      </c>
      <c r="D295" s="28" t="s">
        <v>6670</v>
      </c>
      <c r="F295" s="59">
        <v>45899.406319444446</v>
      </c>
      <c r="G295" s="5" t="str">
        <f>IFERROR(__xludf.DUMMYFUNCTION("LET(
  refItem, TO_TEXT(D295),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IF(ISBLANK(D295),"""", IF(IFERROR(latestMutation,"""")=""OUT"", latestCust, ""AKGREADY"")
))"),"AKGREADY")</f>
        <v>AKGREADY</v>
      </c>
    </row>
    <row r="296">
      <c r="A296" s="10" t="s">
        <v>7196</v>
      </c>
      <c r="B296" s="5" t="s">
        <v>3486</v>
      </c>
      <c r="C296" s="5" t="s">
        <v>3487</v>
      </c>
      <c r="D296" s="28" t="s">
        <v>7197</v>
      </c>
      <c r="F296" s="6">
        <v>46060.59952546296</v>
      </c>
      <c r="G296" s="5" t="str">
        <f>IFERROR(__xludf.DUMMYFUNCTION("LET(
  refItem, TO_TEXT(D296),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IF(ISBLANK(D296),"""", IF(IFERROR(latestMutation,"""")=""OUT"", latestCust, ""AKGREADY"")
))"),"8ea74d81")</f>
        <v>8ea74d81</v>
      </c>
    </row>
    <row r="297">
      <c r="A297" s="10" t="s">
        <v>7198</v>
      </c>
      <c r="B297" s="5" t="s">
        <v>3486</v>
      </c>
      <c r="C297" s="5" t="s">
        <v>3487</v>
      </c>
      <c r="D297" s="28" t="s">
        <v>7199</v>
      </c>
      <c r="F297" s="6">
        <v>46052.40458333334</v>
      </c>
      <c r="G297" s="5" t="str">
        <f>IFERROR(__xludf.DUMMYFUNCTION("LET(
  refItem, TO_TEXT(D297),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IF(ISBLANK(D297),"""", IF(IFERROR(latestMutation,"""")=""OUT"", latestCust, ""AKGREADY"")
))"),"3b04351a")</f>
        <v>3b04351a</v>
      </c>
    </row>
    <row r="298">
      <c r="A298" s="10" t="s">
        <v>7200</v>
      </c>
      <c r="B298" s="57" t="s">
        <v>3486</v>
      </c>
      <c r="C298" s="5" t="s">
        <v>3487</v>
      </c>
      <c r="D298" s="28" t="s">
        <v>5698</v>
      </c>
      <c r="F298" s="6">
        <v>46066.412673611114</v>
      </c>
      <c r="G298" s="5" t="str">
        <f>IFERROR(__xludf.DUMMYFUNCTION("LET(
  refItem, TO_TEXT(D298),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IF(ISBLANK(D298),"""", IF(IFERROR(latestMutation,"""")=""OUT"", latestCust, ""AKGREADY"")
))"),"80c9fe6d")</f>
        <v>80c9fe6d</v>
      </c>
    </row>
    <row r="299">
      <c r="A299" s="5" t="s">
        <v>7201</v>
      </c>
      <c r="B299" s="5" t="s">
        <v>3486</v>
      </c>
      <c r="C299" s="5" t="s">
        <v>3487</v>
      </c>
      <c r="D299" s="28" t="s">
        <v>4481</v>
      </c>
      <c r="F299" s="59">
        <v>45875.49</v>
      </c>
      <c r="G299" s="5" t="str">
        <f>IFERROR(__xludf.DUMMYFUNCTION("LET(
  refItem, TO_TEXT(D299),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IF(ISBLANK(D299),"""", IF(IFERROR(latestMutation,"""")=""OUT"", latestCust, ""AKGREADY"")
))"),"AKGREADY")</f>
        <v>AKGREADY</v>
      </c>
    </row>
    <row r="300">
      <c r="A300" s="10" t="s">
        <v>7202</v>
      </c>
      <c r="B300" s="5" t="s">
        <v>3486</v>
      </c>
      <c r="C300" s="5" t="s">
        <v>3487</v>
      </c>
      <c r="D300" s="28" t="s">
        <v>3951</v>
      </c>
      <c r="F300" s="6">
        <v>46060.6000462963</v>
      </c>
      <c r="G300" s="5" t="str">
        <f>IFERROR(__xludf.DUMMYFUNCTION("LET(
  refItem, TO_TEXT(D300),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IF(ISBLANK(D300),"""", IF(IFERROR(latestMutation,"""")=""OUT"", latestCust, ""AKGREADY"")
))"),"3bcd7fe6")</f>
        <v>3bcd7fe6</v>
      </c>
    </row>
    <row r="301">
      <c r="A301" s="5" t="s">
        <v>7203</v>
      </c>
      <c r="B301" s="5" t="s">
        <v>3486</v>
      </c>
      <c r="C301" s="5" t="s">
        <v>3487</v>
      </c>
      <c r="D301" s="28" t="s">
        <v>5033</v>
      </c>
      <c r="F301" s="59">
        <v>45913.56768518518</v>
      </c>
      <c r="G301" s="5" t="str">
        <f>IFERROR(__xludf.DUMMYFUNCTION("LET(
  refItem, TO_TEXT(D301),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IF(ISBLANK(D301),"""", IF(IFERROR(latestMutation,"""")=""OUT"", latestCust, ""AKGREADY"")
))"),"ba97d58d")</f>
        <v>ba97d58d</v>
      </c>
    </row>
    <row r="302">
      <c r="A302" s="5" t="s">
        <v>7204</v>
      </c>
      <c r="B302" s="5" t="s">
        <v>3486</v>
      </c>
      <c r="C302" s="5" t="s">
        <v>3487</v>
      </c>
      <c r="D302" s="28" t="s">
        <v>7205</v>
      </c>
      <c r="F302" s="59">
        <v>45988.46890046296</v>
      </c>
      <c r="G302" s="5" t="str">
        <f>IFERROR(__xludf.DUMMYFUNCTION("LET(
  refItem, TO_TEXT(D302),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IF(ISBLANK(D302),"""", IF(IFERROR(latestMutation,"""")=""OUT"", latestCust, ""AKGREADY"")
))"),"9828dfc5")</f>
        <v>9828dfc5</v>
      </c>
    </row>
    <row r="303">
      <c r="A303" s="5" t="s">
        <v>7206</v>
      </c>
      <c r="B303" s="5" t="s">
        <v>3486</v>
      </c>
      <c r="C303" s="5" t="s">
        <v>3487</v>
      </c>
      <c r="D303" s="28" t="s">
        <v>4165</v>
      </c>
      <c r="F303" s="59">
        <v>45923.35822916667</v>
      </c>
      <c r="G303" s="5" t="str">
        <f>IFERROR(__xludf.DUMMYFUNCTION("LET(
  refItem, TO_TEXT(D303),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IF(ISBLANK(D303),"""", IF(IFERROR(latestMutation,"""")=""OUT"", latestCust, ""AKGREADY"")
))"),"e86baf3b")</f>
        <v>e86baf3b</v>
      </c>
    </row>
    <row r="304">
      <c r="A304" s="5" t="s">
        <v>7207</v>
      </c>
      <c r="B304" s="5" t="s">
        <v>3486</v>
      </c>
      <c r="C304" s="5" t="s">
        <v>3487</v>
      </c>
      <c r="D304" s="28" t="s">
        <v>4567</v>
      </c>
      <c r="F304" s="59">
        <v>45966.70574074074</v>
      </c>
      <c r="G304" s="5" t="str">
        <f>IFERROR(__xludf.DUMMYFUNCTION("LET(
  refItem, TO_TEXT(D304),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IF(ISBLANK(D304),"""", IF(IFERROR(latestMutation,"""")=""OUT"", latestCust, ""AKGREADY"")
))"),"AKGREADY")</f>
        <v>AKGREADY</v>
      </c>
    </row>
    <row r="305">
      <c r="A305" s="10" t="s">
        <v>7208</v>
      </c>
      <c r="B305" s="5" t="s">
        <v>3486</v>
      </c>
      <c r="C305" s="5" t="s">
        <v>3487</v>
      </c>
      <c r="D305" s="28" t="s">
        <v>3577</v>
      </c>
      <c r="F305" s="6">
        <v>46072.515185185184</v>
      </c>
      <c r="G305" s="5" t="str">
        <f>IFERROR(__xludf.DUMMYFUNCTION("LET(
  refItem, TO_TEXT(D305),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IF(ISBLANK(D305),"""", IF(IFERROR(latestMutation,"""")=""OUT"", latestCust, ""AKGREADY"")
))"),"ce83e171")</f>
        <v>ce83e171</v>
      </c>
    </row>
    <row r="306">
      <c r="A306" s="5" t="s">
        <v>7209</v>
      </c>
      <c r="B306" s="5" t="s">
        <v>3486</v>
      </c>
      <c r="C306" s="5" t="s">
        <v>3487</v>
      </c>
      <c r="D306" s="28" t="s">
        <v>5359</v>
      </c>
      <c r="F306" s="59">
        <v>45919.36016203704</v>
      </c>
      <c r="G306" s="5" t="str">
        <f>IFERROR(__xludf.DUMMYFUNCTION("LET(
  refItem, TO_TEXT(D306),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IF(ISBLANK(D306),"""", IF(IFERROR(latestMutation,"""")=""OUT"", latestCust, ""AKGREADY"")
))"),"AKGREADY")</f>
        <v>AKGREADY</v>
      </c>
    </row>
    <row r="307">
      <c r="A307" s="5" t="s">
        <v>7210</v>
      </c>
      <c r="B307" s="5" t="s">
        <v>3486</v>
      </c>
      <c r="C307" s="5" t="s">
        <v>3487</v>
      </c>
      <c r="D307" s="28" t="s">
        <v>3602</v>
      </c>
      <c r="F307" s="59">
        <v>45958.3559837963</v>
      </c>
      <c r="G307" s="5" t="str">
        <f>IFERROR(__xludf.DUMMYFUNCTION("LET(
  refItem, TO_TEXT(D307),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IF(ISBLANK(D307),"""", IF(IFERROR(latestMutation,"""")=""OUT"", latestCust, ""AKGREADY"")
))"),"AKGREADY")</f>
        <v>AKGREADY</v>
      </c>
    </row>
    <row r="308">
      <c r="A308" s="5" t="s">
        <v>7211</v>
      </c>
      <c r="B308" s="5" t="s">
        <v>3486</v>
      </c>
      <c r="C308" s="5" t="s">
        <v>3487</v>
      </c>
      <c r="D308" s="28" t="s">
        <v>5225</v>
      </c>
      <c r="F308" s="59">
        <v>45881.47975694444</v>
      </c>
      <c r="G308" s="5" t="str">
        <f>IFERROR(__xludf.DUMMYFUNCTION("LET(
  refItem, TO_TEXT(D308),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IF(ISBLANK(D308),"""", IF(IFERROR(latestMutation,"""")=""OUT"", latestCust, ""AKGREADY"")
))"),"9828dfc5")</f>
        <v>9828dfc5</v>
      </c>
    </row>
    <row r="309">
      <c r="A309" s="5" t="s">
        <v>7212</v>
      </c>
      <c r="B309" s="5" t="s">
        <v>3486</v>
      </c>
      <c r="C309" s="5" t="s">
        <v>3487</v>
      </c>
      <c r="D309" s="28" t="s">
        <v>7213</v>
      </c>
      <c r="F309" s="59">
        <v>45919.3578587963</v>
      </c>
      <c r="G309" s="5" t="str">
        <f>IFERROR(__xludf.DUMMYFUNCTION("LET(
  refItem, TO_TEXT(D309),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IF(ISBLANK(D309),"""", IF(IFERROR(latestMutation,"""")=""OUT"", latestCust, ""AKGREADY"")
))"),"3bcd7fe6")</f>
        <v>3bcd7fe6</v>
      </c>
    </row>
    <row r="310">
      <c r="A310" s="5" t="s">
        <v>7214</v>
      </c>
      <c r="B310" s="57" t="s">
        <v>3486</v>
      </c>
      <c r="C310" s="5" t="s">
        <v>3487</v>
      </c>
      <c r="D310" s="28" t="s">
        <v>4842</v>
      </c>
      <c r="F310" s="59">
        <v>45983.57267361111</v>
      </c>
      <c r="G310" s="5" t="str">
        <f>IFERROR(__xludf.DUMMYFUNCTION("LET(
  refItem, TO_TEXT(D310),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IF(ISBLANK(D310),"""", IF(IFERROR(latestMutation,"""")=""OUT"", latestCust, ""AKGREADY"")
))"),"785e0e07")</f>
        <v>785e0e07</v>
      </c>
    </row>
    <row r="311">
      <c r="A311" s="5" t="s">
        <v>7215</v>
      </c>
      <c r="B311" s="5" t="s">
        <v>3486</v>
      </c>
      <c r="C311" s="5" t="s">
        <v>3487</v>
      </c>
      <c r="D311" s="28" t="s">
        <v>5240</v>
      </c>
      <c r="F311" s="59">
        <v>45975.36136574074</v>
      </c>
      <c r="G311" s="5" t="str">
        <f>IFERROR(__xludf.DUMMYFUNCTION("LET(
  refItem, TO_TEXT(D311),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IF(ISBLANK(D311),"""", IF(IFERROR(latestMutation,"""")=""OUT"", latestCust, ""AKGREADY"")
))"),"3abcf4e3")</f>
        <v>3abcf4e3</v>
      </c>
    </row>
    <row r="312">
      <c r="A312" s="5" t="s">
        <v>7216</v>
      </c>
      <c r="B312" s="5" t="s">
        <v>3486</v>
      </c>
      <c r="C312" s="5" t="s">
        <v>3487</v>
      </c>
      <c r="D312" s="28" t="s">
        <v>5812</v>
      </c>
      <c r="F312" s="59">
        <v>45875.44847222222</v>
      </c>
      <c r="G312" s="5" t="str">
        <f>IFERROR(__xludf.DUMMYFUNCTION("LET(
  refItem, TO_TEXT(D312),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IF(ISBLANK(D312),"""", IF(IFERROR(latestMutation,"""")=""OUT"", latestCust, ""AKGREADY"")
))"),"3abcf4e3")</f>
        <v>3abcf4e3</v>
      </c>
    </row>
    <row r="313">
      <c r="A313" s="28" t="s">
        <v>7217</v>
      </c>
      <c r="B313" s="5" t="s">
        <v>3486</v>
      </c>
      <c r="C313" s="5" t="s">
        <v>3487</v>
      </c>
      <c r="D313" s="28" t="s">
        <v>4059</v>
      </c>
      <c r="F313" s="59">
        <v>45968.44689814815</v>
      </c>
      <c r="G313" s="5" t="str">
        <f>IFERROR(__xludf.DUMMYFUNCTION("LET(
  refItem, TO_TEXT(D313),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IF(ISBLANK(D313),"""", IF(IFERROR(latestMutation,"""")=""OUT"", latestCust, ""AKGREADY"")
))"),"02c693f1")</f>
        <v>02c693f1</v>
      </c>
    </row>
    <row r="314">
      <c r="A314" s="5" t="s">
        <v>7218</v>
      </c>
      <c r="B314" s="5" t="s">
        <v>3486</v>
      </c>
      <c r="C314" s="5" t="s">
        <v>3487</v>
      </c>
      <c r="D314" s="28" t="s">
        <v>3738</v>
      </c>
      <c r="F314" s="59">
        <v>45868.66575231482</v>
      </c>
      <c r="G314" s="5" t="str">
        <f>IFERROR(__xludf.DUMMYFUNCTION("LET(
  refItem, TO_TEXT(D314),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IF(ISBLANK(D314),"""", IF(IFERROR(latestMutation,"""")=""OUT"", latestCust, ""AKGREADY"")
))"),"80c9fe6d")</f>
        <v>80c9fe6d</v>
      </c>
    </row>
    <row r="315">
      <c r="A315" s="10" t="s">
        <v>7219</v>
      </c>
      <c r="B315" s="5" t="s">
        <v>3486</v>
      </c>
      <c r="C315" s="5" t="s">
        <v>3487</v>
      </c>
      <c r="D315" s="28" t="s">
        <v>5923</v>
      </c>
      <c r="F315" s="6">
        <v>46049.411099537036</v>
      </c>
      <c r="G315" s="5" t="str">
        <f>IFERROR(__xludf.DUMMYFUNCTION("LET(
  refItem, TO_TEXT(D315),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IF(ISBLANK(D315),"""", IF(IFERROR(latestMutation,"""")=""OUT"", latestCust, ""AKGREADY"")
))"),"d46989c9")</f>
        <v>d46989c9</v>
      </c>
    </row>
    <row r="316">
      <c r="A316" s="2" t="s">
        <v>7220</v>
      </c>
      <c r="B316" s="5" t="s">
        <v>3522</v>
      </c>
      <c r="C316" s="5" t="s">
        <v>3523</v>
      </c>
      <c r="D316" s="28" t="s">
        <v>3671</v>
      </c>
      <c r="F316" s="6">
        <v>46053.586481481485</v>
      </c>
      <c r="G316" s="5" t="str">
        <f>IFERROR(__xludf.DUMMYFUNCTION("LET(
  refItem, TO_TEXT(D316),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IF(ISBLANK(D316),"""", IF(IFERROR(latestMutation,"""")=""OUT"", latestCust, ""AKGREADY"")
))"),"AKGREADY")</f>
        <v>AKGREADY</v>
      </c>
    </row>
    <row r="317">
      <c r="A317" s="5" t="s">
        <v>7221</v>
      </c>
      <c r="B317" s="5" t="s">
        <v>3522</v>
      </c>
      <c r="C317" s="5" t="s">
        <v>3523</v>
      </c>
      <c r="D317" s="28" t="s">
        <v>4318</v>
      </c>
      <c r="F317" s="59">
        <v>45929.4587962963</v>
      </c>
      <c r="G317" s="5" t="str">
        <f>IFERROR(__xludf.DUMMYFUNCTION("LET(
  refItem, TO_TEXT(D317),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IF(ISBLANK(D317),"""", IF(IFERROR(latestMutation,"""")=""OUT"", latestCust, ""AKGREADY"")
))"),"17a8e612")</f>
        <v>17a8e612</v>
      </c>
    </row>
    <row r="318">
      <c r="A318" s="5" t="s">
        <v>7222</v>
      </c>
      <c r="B318" s="5" t="s">
        <v>3522</v>
      </c>
      <c r="C318" s="5" t="s">
        <v>3523</v>
      </c>
      <c r="D318" s="28" t="s">
        <v>3618</v>
      </c>
      <c r="F318" s="59">
        <v>45896.660219907404</v>
      </c>
      <c r="G318" s="5" t="str">
        <f>IFERROR(__xludf.DUMMYFUNCTION("LET(
  refItem, TO_TEXT(D318),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IF(ISBLANK(D318),"""", IF(IFERROR(latestMutation,"""")=""OUT"", latestCust, ""AKGREADY"")
))"),"e86baf3b")</f>
        <v>e86baf3b</v>
      </c>
    </row>
    <row r="319">
      <c r="A319" s="2" t="s">
        <v>7220</v>
      </c>
      <c r="B319" s="5" t="s">
        <v>3522</v>
      </c>
      <c r="C319" s="5" t="s">
        <v>3523</v>
      </c>
      <c r="D319" s="28" t="s">
        <v>3620</v>
      </c>
      <c r="F319" s="6">
        <v>46053.58675925926</v>
      </c>
      <c r="G319" s="5" t="str">
        <f>IFERROR(__xludf.DUMMYFUNCTION("LET(
  refItem, TO_TEXT(D319),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IF(ISBLANK(D319),"""", IF(IFERROR(latestMutation,"""")=""OUT"", latestCust, ""AKGREADY"")
))"),"AKGREADY")</f>
        <v>AKGREADY</v>
      </c>
    </row>
    <row r="320">
      <c r="A320" s="10" t="s">
        <v>7223</v>
      </c>
      <c r="B320" s="5" t="s">
        <v>3522</v>
      </c>
      <c r="C320" s="5" t="s">
        <v>3523</v>
      </c>
      <c r="D320" s="28" t="s">
        <v>3632</v>
      </c>
      <c r="F320" s="6">
        <v>46072.43040509259</v>
      </c>
      <c r="G320" s="5" t="str">
        <f>IFERROR(__xludf.DUMMYFUNCTION("LET(
  refItem, TO_TEXT(D320),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IF(ISBLANK(D320),"""", IF(IFERROR(latestMutation,"""")=""OUT"", latestCust, ""AKGREADY"")
))"),"01158be1")</f>
        <v>01158be1</v>
      </c>
    </row>
    <row r="321">
      <c r="A321" s="5" t="s">
        <v>7224</v>
      </c>
      <c r="B321" s="5" t="s">
        <v>3522</v>
      </c>
      <c r="C321" s="5" t="s">
        <v>3523</v>
      </c>
      <c r="D321" s="28" t="s">
        <v>3854</v>
      </c>
      <c r="F321" s="59">
        <v>45962.54491898148</v>
      </c>
      <c r="G321" s="5" t="str">
        <f>IFERROR(__xludf.DUMMYFUNCTION("LET(
  refItem, TO_TEXT(D321),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IF(ISBLANK(D321),"""", IF(IFERROR(latestMutation,"""")=""OUT"", latestCust, ""AKGREADY"")
))"),"e86baf3b")</f>
        <v>e86baf3b</v>
      </c>
    </row>
    <row r="322">
      <c r="A322" s="10" t="s">
        <v>7225</v>
      </c>
      <c r="B322" s="5" t="s">
        <v>3522</v>
      </c>
      <c r="C322" s="5" t="s">
        <v>3523</v>
      </c>
      <c r="D322" s="28" t="s">
        <v>4416</v>
      </c>
      <c r="F322" s="6">
        <v>46050.652025462965</v>
      </c>
      <c r="G322" s="5" t="str">
        <f>IFERROR(__xludf.DUMMYFUNCTION("LET(
  refItem, TO_TEXT(D322),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IF(ISBLANK(D322),"""", IF(IFERROR(latestMutation,"""")=""OUT"", latestCust, ""AKGREADY"")
))"),"AKGREADY")</f>
        <v>AKGREADY</v>
      </c>
    </row>
    <row r="323">
      <c r="B323" s="5" t="s">
        <v>3522</v>
      </c>
      <c r="C323" s="5" t="s">
        <v>3523</v>
      </c>
      <c r="D323" s="28" t="s">
        <v>7226</v>
      </c>
      <c r="F323" s="59">
        <v>45885.82266203704</v>
      </c>
      <c r="G323" s="5" t="str">
        <f>IFERROR(__xludf.DUMMYFUNCTION("LET(
  refItem, TO_TEXT(D323),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IF(ISBLANK(D323),"""", IF(IFERROR(latestMutation,"""")=""OUT"", latestCust, ""AKGREADY"")
))"),"e86baf3b")</f>
        <v>e86baf3b</v>
      </c>
    </row>
    <row r="324">
      <c r="A324" s="5" t="s">
        <v>7227</v>
      </c>
      <c r="B324" s="5" t="s">
        <v>3522</v>
      </c>
      <c r="C324" s="5" t="s">
        <v>3523</v>
      </c>
      <c r="D324" s="28" t="s">
        <v>4026</v>
      </c>
      <c r="F324" s="59">
        <v>45941.541608796295</v>
      </c>
      <c r="G324" s="5" t="str">
        <f>IFERROR(__xludf.DUMMYFUNCTION("LET(
  refItem, TO_TEXT(D324),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IF(ISBLANK(D324),"""", IF(IFERROR(latestMutation,"""")=""OUT"", latestCust, ""AKGREADY"")
))"),"cac4449f")</f>
        <v>cac4449f</v>
      </c>
    </row>
    <row r="325">
      <c r="A325" s="2" t="s">
        <v>7228</v>
      </c>
      <c r="B325" s="57" t="s">
        <v>3522</v>
      </c>
      <c r="C325" s="5" t="s">
        <v>3523</v>
      </c>
      <c r="D325" s="28" t="s">
        <v>4246</v>
      </c>
      <c r="F325" s="6">
        <v>46053.58435185185</v>
      </c>
      <c r="G325" s="5" t="str">
        <f>IFERROR(__xludf.DUMMYFUNCTION("LET(
  refItem, TO_TEXT(D325),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IF(ISBLANK(D325),"""", IF(IFERROR(latestMutation,"""")=""OUT"", latestCust, ""AKGREADY"")
))"),"AKGREADY")</f>
        <v>AKGREADY</v>
      </c>
    </row>
    <row r="326">
      <c r="A326" s="5" t="s">
        <v>7229</v>
      </c>
      <c r="B326" s="5" t="s">
        <v>3522</v>
      </c>
      <c r="C326" s="5" t="s">
        <v>3523</v>
      </c>
      <c r="D326" s="28" t="s">
        <v>7230</v>
      </c>
      <c r="F326" s="59">
        <v>45896.66076388889</v>
      </c>
      <c r="G326" s="5" t="str">
        <f>IFERROR(__xludf.DUMMYFUNCTION("LET(
  refItem, TO_TEXT(D326),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IF(ISBLANK(D326),"""", IF(IFERROR(latestMutation,"""")=""OUT"", latestCust, ""AKGREADY"")
))"),"AKGREADY")</f>
        <v>AKGREADY</v>
      </c>
    </row>
    <row r="327">
      <c r="A327" s="5" t="s">
        <v>7231</v>
      </c>
      <c r="B327" s="5" t="s">
        <v>3522</v>
      </c>
      <c r="C327" s="5" t="s">
        <v>3523</v>
      </c>
      <c r="D327" s="28" t="s">
        <v>4388</v>
      </c>
      <c r="F327" s="59">
        <v>45912.63784722222</v>
      </c>
      <c r="G327" s="5" t="str">
        <f>IFERROR(__xludf.DUMMYFUNCTION("LET(
  refItem, TO_TEXT(D327),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IF(ISBLANK(D327),"""", IF(IFERROR(latestMutation,"""")=""OUT"", latestCust, ""AKGREADY"")
))"),"e86baf3b")</f>
        <v>e86baf3b</v>
      </c>
    </row>
    <row r="328">
      <c r="A328" s="5" t="s">
        <v>7232</v>
      </c>
      <c r="B328" s="5" t="s">
        <v>3522</v>
      </c>
      <c r="C328" s="5" t="s">
        <v>3523</v>
      </c>
      <c r="D328" s="28" t="s">
        <v>7233</v>
      </c>
      <c r="F328" s="59">
        <v>45896.658113425925</v>
      </c>
      <c r="G328" s="5" t="str">
        <f>IFERROR(__xludf.DUMMYFUNCTION("LET(
  refItem, TO_TEXT(D328),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IF(ISBLANK(D328),"""", IF(IFERROR(latestMutation,"""")=""OUT"", latestCust, ""AKGREADY"")
))"),"e86baf3b")</f>
        <v>e86baf3b</v>
      </c>
    </row>
    <row r="329">
      <c r="A329" s="5" t="s">
        <v>7234</v>
      </c>
      <c r="B329" s="5" t="s">
        <v>3522</v>
      </c>
      <c r="C329" s="5" t="s">
        <v>3523</v>
      </c>
      <c r="D329" s="28" t="s">
        <v>7235</v>
      </c>
      <c r="F329" s="59">
        <v>45896.65759259259</v>
      </c>
      <c r="G329" s="5" t="str">
        <f>IFERROR(__xludf.DUMMYFUNCTION("LET(
  refItem, TO_TEXT(D329),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IF(ISBLANK(D329),"""", IF(IFERROR(latestMutation,"""")=""OUT"", latestCust, ""AKGREADY"")
))"),"e86baf3b")</f>
        <v>e86baf3b</v>
      </c>
    </row>
    <row r="330">
      <c r="A330" s="5" t="s">
        <v>7236</v>
      </c>
      <c r="B330" s="5" t="s">
        <v>3522</v>
      </c>
      <c r="C330" s="5" t="s">
        <v>3523</v>
      </c>
      <c r="D330" s="28" t="s">
        <v>7237</v>
      </c>
      <c r="F330" s="59">
        <v>45922.613125</v>
      </c>
      <c r="G330" s="5" t="str">
        <f>IFERROR(__xludf.DUMMYFUNCTION("LET(
  refItem, TO_TEXT(D330),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IF(ISBLANK(D330),"""", IF(IFERROR(latestMutation,"""")=""OUT"", latestCust, ""AKGREADY"")
))"),"e86baf3b")</f>
        <v>e86baf3b</v>
      </c>
    </row>
    <row r="331">
      <c r="A331" s="10" t="s">
        <v>7238</v>
      </c>
      <c r="B331" s="5" t="s">
        <v>3522</v>
      </c>
      <c r="C331" s="5" t="s">
        <v>3523</v>
      </c>
      <c r="D331" s="28" t="s">
        <v>4364</v>
      </c>
      <c r="F331" s="6">
        <v>46051.620254629626</v>
      </c>
      <c r="G331" s="5" t="str">
        <f>IFERROR(__xludf.DUMMYFUNCTION("LET(
  refItem, TO_TEXT(D331),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IF(ISBLANK(D331),"""", IF(IFERROR(latestMutation,"""")=""OUT"", latestCust, ""AKGREADY"")
))"),"e86baf3b")</f>
        <v>e86baf3b</v>
      </c>
    </row>
    <row r="332">
      <c r="A332" s="5" t="s">
        <v>7239</v>
      </c>
      <c r="B332" s="5" t="s">
        <v>3522</v>
      </c>
      <c r="C332" s="5" t="s">
        <v>3523</v>
      </c>
      <c r="D332" s="28" t="s">
        <v>7240</v>
      </c>
      <c r="F332" s="59">
        <v>45960.47864583333</v>
      </c>
      <c r="G332" s="5" t="str">
        <f>IFERROR(__xludf.DUMMYFUNCTION("LET(
  refItem, TO_TEXT(D332),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IF(ISBLANK(D332),"""", IF(IFERROR(latestMutation,"""")=""OUT"", latestCust, ""AKGREADY"")
))"),"17a8e612")</f>
        <v>17a8e612</v>
      </c>
    </row>
    <row r="333">
      <c r="A333" s="2" t="s">
        <v>7220</v>
      </c>
      <c r="B333" s="5" t="s">
        <v>3522</v>
      </c>
      <c r="C333" s="5" t="s">
        <v>3523</v>
      </c>
      <c r="D333" s="28" t="s">
        <v>4369</v>
      </c>
      <c r="F333" s="6">
        <v>46053.58699074074</v>
      </c>
      <c r="G333" s="5" t="str">
        <f>IFERROR(__xludf.DUMMYFUNCTION("LET(
  refItem, TO_TEXT(D333),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IF(ISBLANK(D333),"""", IF(IFERROR(latestMutation,"""")=""OUT"", latestCust, ""AKGREADY"")
))"),"AKGREADY")</f>
        <v>AKGREADY</v>
      </c>
    </row>
    <row r="334">
      <c r="A334" s="5" t="s">
        <v>7241</v>
      </c>
      <c r="B334" s="5" t="s">
        <v>3522</v>
      </c>
      <c r="C334" s="5" t="s">
        <v>3523</v>
      </c>
      <c r="D334" s="28" t="s">
        <v>4399</v>
      </c>
      <c r="F334" s="59">
        <v>45912.63712962963</v>
      </c>
      <c r="G334" s="5" t="str">
        <f>IFERROR(__xludf.DUMMYFUNCTION("LET(
  refItem, TO_TEXT(D334),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IF(ISBLANK(D334),"""", IF(IFERROR(latestMutation,"""")=""OUT"", latestCust, ""AKGREADY"")
))"),"e86baf3b")</f>
        <v>e86baf3b</v>
      </c>
    </row>
    <row r="335">
      <c r="A335" s="5" t="s">
        <v>7242</v>
      </c>
      <c r="B335" s="57" t="s">
        <v>3522</v>
      </c>
      <c r="C335" s="5" t="s">
        <v>3523</v>
      </c>
      <c r="D335" s="28" t="s">
        <v>7243</v>
      </c>
      <c r="F335" s="59">
        <v>45899.43267361111</v>
      </c>
      <c r="G335" s="5" t="str">
        <f>IFERROR(__xludf.DUMMYFUNCTION("LET(
  refItem, TO_TEXT(D335),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IF(ISBLANK(D335),"""", IF(IFERROR(latestMutation,"""")=""OUT"", latestCust, ""AKGREADY"")
))"),"e86baf3b")</f>
        <v>e86baf3b</v>
      </c>
    </row>
    <row r="336">
      <c r="A336" s="5" t="s">
        <v>7244</v>
      </c>
      <c r="B336" s="57" t="s">
        <v>3522</v>
      </c>
      <c r="C336" s="5" t="s">
        <v>3523</v>
      </c>
      <c r="D336" s="28" t="s">
        <v>7245</v>
      </c>
      <c r="F336" s="59">
        <v>45896.66063657407</v>
      </c>
      <c r="G336" s="5" t="str">
        <f>IFERROR(__xludf.DUMMYFUNCTION("LET(
  refItem, TO_TEXT(D336),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IF(ISBLANK(D336),"""", IF(IFERROR(latestMutation,"""")=""OUT"", latestCust, ""AKGREADY"")
))"),"e86baf3b")</f>
        <v>e86baf3b</v>
      </c>
    </row>
    <row r="337">
      <c r="B337" s="5" t="s">
        <v>3522</v>
      </c>
      <c r="C337" s="5" t="s">
        <v>3523</v>
      </c>
      <c r="D337" s="28" t="s">
        <v>4741</v>
      </c>
      <c r="F337" s="59">
        <v>45906.40993055556</v>
      </c>
      <c r="G337" s="5" t="str">
        <f>IFERROR(__xludf.DUMMYFUNCTION("LET(
  refItem, TO_TEXT(D337),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IF(ISBLANK(D337),"""", IF(IFERROR(latestMutation,"""")=""OUT"", latestCust, ""AKGREADY"")
))"),"45d814b4")</f>
        <v>45d814b4</v>
      </c>
    </row>
    <row r="338">
      <c r="A338" s="5" t="s">
        <v>7246</v>
      </c>
      <c r="B338" s="5" t="s">
        <v>3522</v>
      </c>
      <c r="C338" s="5" t="s">
        <v>3523</v>
      </c>
      <c r="D338" s="28" t="s">
        <v>5007</v>
      </c>
      <c r="F338" s="59">
        <v>45876.348449074074</v>
      </c>
      <c r="G338" s="5" t="str">
        <f>IFERROR(__xludf.DUMMYFUNCTION("LET(
  refItem, TO_TEXT(D338),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IF(ISBLANK(D338),"""", IF(IFERROR(latestMutation,"""")=""OUT"", latestCust, ""AKGREADY"")
))"),"17a8e612")</f>
        <v>17a8e612</v>
      </c>
    </row>
    <row r="339">
      <c r="A339" s="2" t="s">
        <v>7220</v>
      </c>
      <c r="B339" s="5" t="s">
        <v>3522</v>
      </c>
      <c r="C339" s="5" t="s">
        <v>3523</v>
      </c>
      <c r="D339" s="28" t="s">
        <v>7247</v>
      </c>
      <c r="F339" s="6">
        <v>46053.58729166666</v>
      </c>
      <c r="G339" s="5" t="str">
        <f>IFERROR(__xludf.DUMMYFUNCTION("LET(
  refItem, TO_TEXT(D339),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IF(ISBLANK(D339),"""", IF(IFERROR(latestMutation,"""")=""OUT"", latestCust, ""AKGREADY"")
))"),"AKGREADY")</f>
        <v>AKGREADY</v>
      </c>
    </row>
    <row r="340">
      <c r="A340" s="2" t="s">
        <v>7228</v>
      </c>
      <c r="B340" s="5" t="s">
        <v>3522</v>
      </c>
      <c r="C340" s="5" t="s">
        <v>3523</v>
      </c>
      <c r="D340" s="28" t="s">
        <v>7248</v>
      </c>
      <c r="F340" s="6">
        <v>46053.58530092592</v>
      </c>
      <c r="G340" s="5" t="str">
        <f>IFERROR(__xludf.DUMMYFUNCTION("LET(
  refItem, TO_TEXT(D340),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IF(ISBLANK(D340),"""", IF(IFERROR(latestMutation,"""")=""OUT"", latestCust, ""AKGREADY"")
))"),"AKGREADY")</f>
        <v>AKGREADY</v>
      </c>
    </row>
    <row r="341">
      <c r="A341" s="2" t="s">
        <v>7228</v>
      </c>
      <c r="B341" s="5" t="s">
        <v>3522</v>
      </c>
      <c r="C341" s="5" t="s">
        <v>3523</v>
      </c>
      <c r="D341" s="28" t="s">
        <v>7249</v>
      </c>
      <c r="F341" s="6">
        <v>46053.58460648148</v>
      </c>
      <c r="G341" s="5" t="str">
        <f>IFERROR(__xludf.DUMMYFUNCTION("LET(
  refItem, TO_TEXT(D341),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IF(ISBLANK(D341),"""", IF(IFERROR(latestMutation,"""")=""OUT"", latestCust, ""AKGREADY"")
))"),"AKGREADY")</f>
        <v>AKGREADY</v>
      </c>
    </row>
    <row r="342">
      <c r="A342" s="8" t="s">
        <v>7250</v>
      </c>
      <c r="B342" s="2" t="s">
        <v>3522</v>
      </c>
      <c r="C342" s="2" t="s">
        <v>3523</v>
      </c>
      <c r="D342" s="28" t="s">
        <v>6152</v>
      </c>
      <c r="F342" s="6">
        <v>46030.52077546297</v>
      </c>
      <c r="G342" s="5" t="str">
        <f>IFERROR(__xludf.DUMMYFUNCTION("LET(
  refItem, TO_TEXT(D342),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IF(ISBLANK(D342),"""", IF(IFERROR(latestMutation,"""")=""OUT"", latestCust, ""AKGREADY"")
))"),"e86baf3b")</f>
        <v>e86baf3b</v>
      </c>
    </row>
    <row r="343">
      <c r="A343" s="5" t="s">
        <v>7251</v>
      </c>
      <c r="B343" s="5" t="s">
        <v>3522</v>
      </c>
      <c r="C343" s="5" t="s">
        <v>3523</v>
      </c>
      <c r="D343" s="28" t="s">
        <v>4234</v>
      </c>
      <c r="F343" s="59">
        <v>45962.54540509259</v>
      </c>
      <c r="G343" s="5" t="str">
        <f>IFERROR(__xludf.DUMMYFUNCTION("LET(
  refItem, TO_TEXT(D343),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IF(ISBLANK(D343),"""", IF(IFERROR(latestMutation,"""")=""OUT"", latestCust, ""AKGREADY"")
))"),"17a8e612")</f>
        <v>17a8e612</v>
      </c>
    </row>
    <row r="344">
      <c r="A344" s="2" t="s">
        <v>7252</v>
      </c>
      <c r="B344" s="5" t="s">
        <v>3522</v>
      </c>
      <c r="C344" s="5" t="s">
        <v>3523</v>
      </c>
      <c r="D344" s="28" t="s">
        <v>7253</v>
      </c>
      <c r="F344" s="6">
        <v>46053.587534722225</v>
      </c>
      <c r="G344" s="5" t="str">
        <f>IFERROR(__xludf.DUMMYFUNCTION("LET(
  refItem, TO_TEXT(D344),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IF(ISBLANK(D344),"""", IF(IFERROR(latestMutation,"""")=""OUT"", latestCust, ""AKGREADY"")
))"),"AKGREADY")</f>
        <v>AKGREADY</v>
      </c>
    </row>
    <row r="345">
      <c r="A345" s="5" t="s">
        <v>7254</v>
      </c>
      <c r="B345" s="5" t="s">
        <v>3522</v>
      </c>
      <c r="C345" s="5" t="s">
        <v>3523</v>
      </c>
      <c r="D345" s="28" t="s">
        <v>7255</v>
      </c>
      <c r="F345" s="59">
        <v>45896.657118055555</v>
      </c>
      <c r="G345" s="5" t="str">
        <f>IFERROR(__xludf.DUMMYFUNCTION("LET(
  refItem, TO_TEXT(D345),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IF(ISBLANK(D345),"""", IF(IFERROR(latestMutation,"""")=""OUT"", latestCust, ""AKGREADY"")
))"),"e86baf3b")</f>
        <v>e86baf3b</v>
      </c>
    </row>
    <row r="346">
      <c r="A346" s="5" t="s">
        <v>7256</v>
      </c>
      <c r="B346" s="5" t="s">
        <v>3522</v>
      </c>
      <c r="C346" s="5" t="s">
        <v>3523</v>
      </c>
      <c r="D346" s="28" t="s">
        <v>4339</v>
      </c>
      <c r="F346" s="59">
        <v>45911.356354166666</v>
      </c>
      <c r="G346" s="5" t="str">
        <f>IFERROR(__xludf.DUMMYFUNCTION("LET(
  refItem, TO_TEXT(D346),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IF(ISBLANK(D346),"""", IF(IFERROR(latestMutation,"""")=""OUT"", latestCust, ""AKGREADY"")
))"),"17a8e612")</f>
        <v>17a8e612</v>
      </c>
    </row>
    <row r="347">
      <c r="B347" s="5" t="s">
        <v>3522</v>
      </c>
      <c r="C347" s="5" t="s">
        <v>3523</v>
      </c>
      <c r="D347" s="28" t="s">
        <v>7257</v>
      </c>
      <c r="F347" s="59">
        <v>45885.82197916666</v>
      </c>
      <c r="G347" s="5" t="str">
        <f>IFERROR(__xludf.DUMMYFUNCTION("LET(
  refItem, TO_TEXT(D347),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IF(ISBLANK(D347),"""", IF(IFERROR(latestMutation,"""")=""OUT"", latestCust, ""AKGREADY"")
))"),"e86baf3b")</f>
        <v>e86baf3b</v>
      </c>
    </row>
    <row r="348">
      <c r="A348" s="10" t="s">
        <v>7258</v>
      </c>
      <c r="B348" s="5" t="s">
        <v>3522</v>
      </c>
      <c r="C348" s="5" t="s">
        <v>3523</v>
      </c>
      <c r="D348" s="28" t="s">
        <v>7259</v>
      </c>
      <c r="F348" s="6">
        <v>46050.65217592593</v>
      </c>
      <c r="G348" s="5" t="str">
        <f>IFERROR(__xludf.DUMMYFUNCTION("LET(
  refItem, TO_TEXT(D348),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IF(ISBLANK(D348),"""", IF(IFERROR(latestMutation,"""")=""OUT"", latestCust, ""AKGREADY"")
))"),"e86baf3b")</f>
        <v>e86baf3b</v>
      </c>
    </row>
    <row r="349">
      <c r="A349" s="10" t="s">
        <v>7260</v>
      </c>
      <c r="B349" s="5" t="s">
        <v>3522</v>
      </c>
      <c r="C349" s="5" t="s">
        <v>3523</v>
      </c>
      <c r="D349" s="28" t="s">
        <v>7261</v>
      </c>
      <c r="F349" s="6">
        <v>46050.70486111111</v>
      </c>
      <c r="G349" s="5" t="str">
        <f>IFERROR(__xludf.DUMMYFUNCTION("LET(
  refItem, TO_TEXT(D349),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IF(ISBLANK(D349),"""", IF(IFERROR(latestMutation,"""")=""OUT"", latestCust, ""AKGREADY"")
))"),"AKGREADY")</f>
        <v>AKGREADY</v>
      </c>
    </row>
    <row r="350">
      <c r="A350" s="10" t="s">
        <v>7262</v>
      </c>
      <c r="B350" s="5" t="s">
        <v>3522</v>
      </c>
      <c r="C350" s="5" t="s">
        <v>3523</v>
      </c>
      <c r="D350" s="28" t="s">
        <v>7263</v>
      </c>
      <c r="F350" s="6">
        <v>46050.705104166664</v>
      </c>
      <c r="G350" s="5" t="str">
        <f>IFERROR(__xludf.DUMMYFUNCTION("LET(
  refItem, TO_TEXT(D350),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IF(ISBLANK(D350),"""", IF(IFERROR(latestMutation,"""")=""OUT"", latestCust, ""AKGREADY"")
))"),"e86baf3b")</f>
        <v>e86baf3b</v>
      </c>
    </row>
    <row r="351">
      <c r="A351" s="5" t="s">
        <v>7264</v>
      </c>
      <c r="B351" s="5" t="s">
        <v>3522</v>
      </c>
      <c r="C351" s="5" t="s">
        <v>3523</v>
      </c>
      <c r="D351" s="28" t="s">
        <v>4433</v>
      </c>
      <c r="F351" s="59">
        <v>45911.36079861111</v>
      </c>
      <c r="G351" s="5" t="str">
        <f>IFERROR(__xludf.DUMMYFUNCTION("LET(
  refItem, TO_TEXT(D351),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IF(ISBLANK(D351),"""", IF(IFERROR(latestMutation,"""")=""OUT"", latestCust, ""AKGREADY"")
))"),"AKGREADY")</f>
        <v>AKGREADY</v>
      </c>
    </row>
    <row r="352">
      <c r="A352" s="2" t="s">
        <v>7228</v>
      </c>
      <c r="B352" s="5" t="s">
        <v>3522</v>
      </c>
      <c r="C352" s="5" t="s">
        <v>3523</v>
      </c>
      <c r="D352" s="28" t="s">
        <v>7265</v>
      </c>
      <c r="F352" s="6">
        <v>46053.58516203704</v>
      </c>
      <c r="G352" s="5" t="str">
        <f>IFERROR(__xludf.DUMMYFUNCTION("LET(
  refItem, TO_TEXT(D352),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IF(ISBLANK(D352),"""", IF(IFERROR(latestMutation,"""")=""OUT"", latestCust, ""AKGREADY"")
))"),"AKGREADY")</f>
        <v>AKGREADY</v>
      </c>
    </row>
    <row r="353">
      <c r="A353" s="5" t="s">
        <v>7266</v>
      </c>
      <c r="B353" s="5" t="s">
        <v>3522</v>
      </c>
      <c r="C353" s="5" t="s">
        <v>3523</v>
      </c>
      <c r="D353" s="28" t="s">
        <v>4298</v>
      </c>
      <c r="F353" s="59">
        <v>45922.61408564815</v>
      </c>
      <c r="G353" s="5" t="str">
        <f>IFERROR(__xludf.DUMMYFUNCTION("LET(
  refItem, TO_TEXT(D353),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IF(ISBLANK(D353),"""", IF(IFERROR(latestMutation,"""")=""OUT"", latestCust, ""AKGREADY"")
))"),"9e5d8274")</f>
        <v>9e5d8274</v>
      </c>
    </row>
    <row r="354">
      <c r="A354" s="2" t="s">
        <v>7228</v>
      </c>
      <c r="B354" s="5" t="s">
        <v>3522</v>
      </c>
      <c r="C354" s="5" t="s">
        <v>3523</v>
      </c>
      <c r="D354" s="28" t="s">
        <v>7267</v>
      </c>
      <c r="F354" s="6">
        <v>46053.588483796295</v>
      </c>
      <c r="G354" s="5" t="str">
        <f>IFERROR(__xludf.DUMMYFUNCTION("LET(
  refItem, TO_TEXT(D354),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IF(ISBLANK(D354),"""", IF(IFERROR(latestMutation,"""")=""OUT"", latestCust, ""AKGREADY"")
))"),"AKGREADY")</f>
        <v>AKGREADY</v>
      </c>
    </row>
    <row r="355">
      <c r="A355" s="5" t="s">
        <v>7268</v>
      </c>
      <c r="B355" s="5" t="s">
        <v>3522</v>
      </c>
      <c r="C355" s="5" t="s">
        <v>3523</v>
      </c>
      <c r="D355" s="28" t="s">
        <v>5967</v>
      </c>
      <c r="F355" s="59">
        <v>45899.40894675926</v>
      </c>
      <c r="G355" s="5" t="str">
        <f>IFERROR(__xludf.DUMMYFUNCTION("LET(
  refItem, TO_TEXT(D355),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IF(ISBLANK(D355),"""", IF(IFERROR(latestMutation,"""")=""OUT"", latestCust, ""AKGREADY"")
))"),"AKGREADY")</f>
        <v>AKGREADY</v>
      </c>
    </row>
    <row r="356">
      <c r="B356" s="5" t="s">
        <v>3522</v>
      </c>
      <c r="C356" s="5" t="s">
        <v>3523</v>
      </c>
      <c r="D356" s="28" t="s">
        <v>4376</v>
      </c>
      <c r="F356" s="59">
        <v>45948.57690972222</v>
      </c>
      <c r="G356" s="5" t="str">
        <f>IFERROR(__xludf.DUMMYFUNCTION("LET(
  refItem, TO_TEXT(D356),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IF(ISBLANK(D356),"""", IF(IFERROR(latestMutation,"""")=""OUT"", latestCust, ""AKGREADY"")
))"),"e86baf3b")</f>
        <v>e86baf3b</v>
      </c>
    </row>
    <row r="357">
      <c r="A357" s="5" t="s">
        <v>7269</v>
      </c>
      <c r="B357" s="5" t="s">
        <v>3522</v>
      </c>
      <c r="C357" s="5" t="s">
        <v>3523</v>
      </c>
      <c r="D357" s="28" t="s">
        <v>4330</v>
      </c>
      <c r="F357" s="59">
        <v>45896.65969907407</v>
      </c>
      <c r="G357" s="5" t="str">
        <f>IFERROR(__xludf.DUMMYFUNCTION("LET(
  refItem, TO_TEXT(D357),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IF(ISBLANK(D357),"""", IF(IFERROR(latestMutation,"""")=""OUT"", latestCust, ""AKGREADY"")
))"),"17a8e612")</f>
        <v>17a8e612</v>
      </c>
    </row>
    <row r="358">
      <c r="A358" s="10" t="s">
        <v>7270</v>
      </c>
      <c r="B358" s="5" t="s">
        <v>3522</v>
      </c>
      <c r="C358" s="5" t="s">
        <v>3523</v>
      </c>
      <c r="D358" s="28" t="s">
        <v>6138</v>
      </c>
      <c r="F358" s="6">
        <v>46030.51903935185</v>
      </c>
      <c r="G358" s="5" t="str">
        <f>IFERROR(__xludf.DUMMYFUNCTION("LET(
  refItem, TO_TEXT(D358),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IF(ISBLANK(D358),"""", IF(IFERROR(latestMutation,"""")=""OUT"", latestCust, ""AKGREADY"")
))"),"17a8e612")</f>
        <v>17a8e612</v>
      </c>
    </row>
    <row r="359">
      <c r="A359" s="5" t="s">
        <v>7271</v>
      </c>
      <c r="B359" s="5" t="s">
        <v>3522</v>
      </c>
      <c r="C359" s="5" t="s">
        <v>3523</v>
      </c>
      <c r="D359" s="28" t="s">
        <v>6624</v>
      </c>
      <c r="F359" s="59">
        <v>45899.408541666664</v>
      </c>
      <c r="G359" s="5" t="str">
        <f>IFERROR(__xludf.DUMMYFUNCTION("LET(
  refItem, TO_TEXT(D359),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IF(ISBLANK(D359),"""", IF(IFERROR(latestMutation,"""")=""OUT"", latestCust, ""AKGREADY"")
))"),"370c84d1")</f>
        <v>370c84d1</v>
      </c>
    </row>
    <row r="360">
      <c r="A360" s="2" t="s">
        <v>7228</v>
      </c>
      <c r="B360" s="5" t="s">
        <v>3522</v>
      </c>
      <c r="C360" s="5" t="s">
        <v>3523</v>
      </c>
      <c r="D360" s="28" t="s">
        <v>4965</v>
      </c>
      <c r="F360" s="6">
        <v>46053.58902777778</v>
      </c>
      <c r="G360" s="5" t="str">
        <f>IFERROR(__xludf.DUMMYFUNCTION("LET(
  refItem, TO_TEXT(D360),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IF(ISBLANK(D360),"""", IF(IFERROR(latestMutation,"""")=""OUT"", latestCust, ""AKGREADY"")
))"),"AKGREADY")</f>
        <v>AKGREADY</v>
      </c>
    </row>
    <row r="361">
      <c r="A361" s="5" t="s">
        <v>7272</v>
      </c>
      <c r="B361" s="5" t="s">
        <v>3522</v>
      </c>
      <c r="C361" s="5" t="s">
        <v>3523</v>
      </c>
      <c r="D361" s="28" t="s">
        <v>4634</v>
      </c>
      <c r="F361" s="59">
        <v>45922.61424768518</v>
      </c>
      <c r="G361" s="5" t="str">
        <f>IFERROR(__xludf.DUMMYFUNCTION("LET(
  refItem, TO_TEXT(D361),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IF(ISBLANK(D361),"""", IF(IFERROR(latestMutation,"""")=""OUT"", latestCust, ""AKGREADY"")
))"),"0fb2135d")</f>
        <v>0fb2135d</v>
      </c>
    </row>
    <row r="362">
      <c r="A362" s="5" t="s">
        <v>7273</v>
      </c>
      <c r="B362" s="5" t="s">
        <v>3522</v>
      </c>
      <c r="C362" s="5" t="s">
        <v>3523</v>
      </c>
      <c r="D362" s="28" t="s">
        <v>7274</v>
      </c>
      <c r="F362" s="59">
        <v>45922.61440972222</v>
      </c>
      <c r="G362" s="5" t="str">
        <f>IFERROR(__xludf.DUMMYFUNCTION("LET(
  refItem, TO_TEXT(D362),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IF(ISBLANK(D362),"""", IF(IFERROR(latestMutation,"""")=""OUT"", latestCust, ""AKGREADY"")
))"),"e86baf3b")</f>
        <v>e86baf3b</v>
      </c>
    </row>
    <row r="363">
      <c r="A363" s="2" t="s">
        <v>7228</v>
      </c>
      <c r="B363" s="5" t="s">
        <v>3522</v>
      </c>
      <c r="C363" s="5" t="s">
        <v>3523</v>
      </c>
      <c r="D363" s="28" t="s">
        <v>7275</v>
      </c>
      <c r="F363" s="6">
        <v>46053.58482638889</v>
      </c>
      <c r="G363" s="5" t="str">
        <f>IFERROR(__xludf.DUMMYFUNCTION("LET(
  refItem, TO_TEXT(D363),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IF(ISBLANK(D363),"""", IF(IFERROR(latestMutation,"""")=""OUT"", latestCust, ""AKGREADY"")
))"),"AKGREADY")</f>
        <v>AKGREADY</v>
      </c>
    </row>
    <row r="364">
      <c r="A364" s="5" t="s">
        <v>7276</v>
      </c>
      <c r="B364" s="5" t="s">
        <v>3522</v>
      </c>
      <c r="C364" s="5" t="s">
        <v>3523</v>
      </c>
      <c r="D364" s="28" t="s">
        <v>4910</v>
      </c>
      <c r="F364" s="59">
        <v>45899.409108796295</v>
      </c>
      <c r="G364" s="5" t="str">
        <f>IFERROR(__xludf.DUMMYFUNCTION("LET(
  refItem, TO_TEXT(D364),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IF(ISBLANK(D364),"""", IF(IFERROR(latestMutation,"""")=""OUT"", latestCust, ""AKGREADY"")
))"),"17a8e612")</f>
        <v>17a8e612</v>
      </c>
    </row>
    <row r="365">
      <c r="A365" s="2" t="s">
        <v>7220</v>
      </c>
      <c r="B365" s="57" t="s">
        <v>3522</v>
      </c>
      <c r="C365" s="5" t="s">
        <v>3523</v>
      </c>
      <c r="D365" s="28" t="s">
        <v>5740</v>
      </c>
      <c r="F365" s="6">
        <v>46053.58712962963</v>
      </c>
      <c r="G365" s="5" t="str">
        <f>IFERROR(__xludf.DUMMYFUNCTION("LET(
  refItem, TO_TEXT(D365),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IF(ISBLANK(D365),"""", IF(IFERROR(latestMutation,"""")=""OUT"", latestCust, ""AKGREADY"")
))"),"AKGREADY")</f>
        <v>AKGREADY</v>
      </c>
    </row>
    <row r="366">
      <c r="A366" s="5" t="s">
        <v>7277</v>
      </c>
      <c r="B366" s="5" t="s">
        <v>3522</v>
      </c>
      <c r="C366" s="5" t="s">
        <v>3523</v>
      </c>
      <c r="D366" s="28" t="s">
        <v>7278</v>
      </c>
      <c r="F366" s="59">
        <v>45912.63730324074</v>
      </c>
      <c r="G366" s="5" t="str">
        <f>IFERROR(__xludf.DUMMYFUNCTION("LET(
  refItem, TO_TEXT(D366),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IF(ISBLANK(D366),"""", IF(IFERROR(latestMutation,"""")=""OUT"", latestCust, ""AKGREADY"")
))"),"e86baf3b")</f>
        <v>e86baf3b</v>
      </c>
    </row>
    <row r="367">
      <c r="B367" s="5" t="s">
        <v>3522</v>
      </c>
      <c r="C367" s="5" t="s">
        <v>3523</v>
      </c>
      <c r="D367" s="28" t="s">
        <v>7279</v>
      </c>
      <c r="F367" s="59">
        <v>45884.49172453704</v>
      </c>
      <c r="G367" s="5" t="str">
        <f>IFERROR(__xludf.DUMMYFUNCTION("LET(
  refItem, TO_TEXT(D367),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IF(ISBLANK(D367),"""", IF(IFERROR(latestMutation,"""")=""OUT"", latestCust, ""AKGREADY"")
))"),"AKGREADY")</f>
        <v>AKGREADY</v>
      </c>
    </row>
    <row r="368">
      <c r="A368" s="5" t="s">
        <v>7280</v>
      </c>
      <c r="B368" s="5" t="s">
        <v>3522</v>
      </c>
      <c r="C368" s="5" t="s">
        <v>3523</v>
      </c>
      <c r="D368" s="28" t="s">
        <v>4493</v>
      </c>
      <c r="F368" s="59">
        <v>45922.61462962963</v>
      </c>
      <c r="G368" s="5" t="str">
        <f>IFERROR(__xludf.DUMMYFUNCTION("LET(
  refItem, TO_TEXT(D368),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IF(ISBLANK(D368),"""", IF(IFERROR(latestMutation,"""")=""OUT"", latestCust, ""AKGREADY"")
))"),"AKGREADY")</f>
        <v>AKGREADY</v>
      </c>
    </row>
    <row r="369">
      <c r="A369" s="2" t="s">
        <v>7228</v>
      </c>
      <c r="B369" s="5" t="s">
        <v>3522</v>
      </c>
      <c r="C369" s="5" t="s">
        <v>3523</v>
      </c>
      <c r="D369" s="28" t="s">
        <v>7281</v>
      </c>
      <c r="F369" s="6">
        <v>46053.586064814815</v>
      </c>
      <c r="G369" s="5" t="str">
        <f>IFERROR(__xludf.DUMMYFUNCTION("LET(
  refItem, TO_TEXT(D369),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IF(ISBLANK(D369),"""", IF(IFERROR(latestMutation,"""")=""OUT"", latestCust, ""AKGREADY"")
))"),"AKGREADY")</f>
        <v>AKGREADY</v>
      </c>
    </row>
    <row r="370">
      <c r="A370" s="5" t="s">
        <v>7282</v>
      </c>
      <c r="B370" s="5" t="s">
        <v>3522</v>
      </c>
      <c r="C370" s="5" t="s">
        <v>3523</v>
      </c>
      <c r="D370" s="28" t="s">
        <v>4607</v>
      </c>
      <c r="F370" s="59">
        <v>45899.40938657407</v>
      </c>
      <c r="G370" s="5" t="str">
        <f>IFERROR(__xludf.DUMMYFUNCTION("LET(
  refItem, TO_TEXT(D370),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IF(ISBLANK(D370),"""", IF(IFERROR(latestMutation,"""")=""OUT"", latestCust, ""AKGREADY"")
))"),"AKGREADY")</f>
        <v>AKGREADY</v>
      </c>
    </row>
    <row r="371">
      <c r="A371" s="10" t="s">
        <v>7283</v>
      </c>
      <c r="B371" s="5" t="s">
        <v>3522</v>
      </c>
      <c r="C371" s="5" t="s">
        <v>3523</v>
      </c>
      <c r="D371" s="28" t="s">
        <v>6694</v>
      </c>
      <c r="F371" s="6">
        <v>46050.65189814815</v>
      </c>
      <c r="G371" s="5" t="str">
        <f>IFERROR(__xludf.DUMMYFUNCTION("LET(
  refItem, TO_TEXT(D371),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IF(ISBLANK(D371),"""", IF(IFERROR(latestMutation,"""")=""OUT"", latestCust, ""AKGREADY"")
))"),"AKGREADY")</f>
        <v>AKGREADY</v>
      </c>
    </row>
    <row r="372">
      <c r="A372" s="2" t="s">
        <v>7228</v>
      </c>
      <c r="B372" s="5" t="s">
        <v>3522</v>
      </c>
      <c r="C372" s="5" t="s">
        <v>3523</v>
      </c>
      <c r="D372" s="28" t="s">
        <v>7284</v>
      </c>
      <c r="F372" s="6">
        <v>46053.58865740741</v>
      </c>
      <c r="G372" s="5" t="str">
        <f>IFERROR(__xludf.DUMMYFUNCTION("LET(
  refItem, TO_TEXT(D372),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IF(ISBLANK(D372),"""", IF(IFERROR(latestMutation,"""")=""OUT"", latestCust, ""AKGREADY"")
))"),"AKGREADY")</f>
        <v>AKGREADY</v>
      </c>
    </row>
    <row r="373">
      <c r="A373" s="10" t="s">
        <v>7285</v>
      </c>
      <c r="B373" s="5" t="s">
        <v>3522</v>
      </c>
      <c r="C373" s="5" t="s">
        <v>3523</v>
      </c>
      <c r="D373" s="28" t="s">
        <v>4555</v>
      </c>
      <c r="F373" s="6">
        <v>46072.4296875</v>
      </c>
      <c r="G373" s="5" t="str">
        <f>IFERROR(__xludf.DUMMYFUNCTION("LET(
  refItem, TO_TEXT(D373),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IF(ISBLANK(D373),"""", IF(IFERROR(latestMutation,"""")=""OUT"", latestCust, ""AKGREADY"")
))"),"01158be1")</f>
        <v>01158be1</v>
      </c>
    </row>
    <row r="374">
      <c r="A374" s="5" t="s">
        <v>7286</v>
      </c>
      <c r="B374" s="5" t="s">
        <v>3522</v>
      </c>
      <c r="C374" s="5" t="s">
        <v>3523</v>
      </c>
      <c r="D374" s="28" t="s">
        <v>7287</v>
      </c>
      <c r="F374" s="59">
        <v>45899.40923611111</v>
      </c>
      <c r="G374" s="5" t="str">
        <f>IFERROR(__xludf.DUMMYFUNCTION("LET(
  refItem, TO_TEXT(D374),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IF(ISBLANK(D374),"""", IF(IFERROR(latestMutation,"""")=""OUT"", latestCust, ""AKGREADY"")
))"),"AKGREADY")</f>
        <v>AKGREADY</v>
      </c>
    </row>
    <row r="375">
      <c r="A375" s="5" t="s">
        <v>7288</v>
      </c>
      <c r="B375" s="5" t="s">
        <v>3522</v>
      </c>
      <c r="C375" s="5" t="s">
        <v>3523</v>
      </c>
      <c r="D375" s="28" t="s">
        <v>7289</v>
      </c>
      <c r="F375" s="59">
        <v>45975.58368055556</v>
      </c>
      <c r="G375" s="5" t="str">
        <f>IFERROR(__xludf.DUMMYFUNCTION("LET(
  refItem, TO_TEXT(D375),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IF(ISBLANK(D375),"""", IF(IFERROR(latestMutation,"""")=""OUT"", latestCust, ""AKGREADY"")
))"),"e86baf3b")</f>
        <v>e86baf3b</v>
      </c>
    </row>
    <row r="376">
      <c r="B376" s="5" t="s">
        <v>3522</v>
      </c>
      <c r="C376" s="5" t="s">
        <v>3523</v>
      </c>
      <c r="D376" s="28" t="s">
        <v>6173</v>
      </c>
      <c r="F376" s="59">
        <v>45884.489652777775</v>
      </c>
      <c r="G376" s="5" t="str">
        <f>IFERROR(__xludf.DUMMYFUNCTION("LET(
  refItem, TO_TEXT(D376),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IF(ISBLANK(D376),"""", IF(IFERROR(latestMutation,"""")=""OUT"", latestCust, ""AKGREADY"")
))"),"e86baf3b")</f>
        <v>e86baf3b</v>
      </c>
    </row>
    <row r="377">
      <c r="A377" s="5" t="s">
        <v>7290</v>
      </c>
      <c r="B377" s="5" t="s">
        <v>3522</v>
      </c>
      <c r="C377" s="5" t="s">
        <v>3523</v>
      </c>
      <c r="D377" s="28" t="s">
        <v>7291</v>
      </c>
      <c r="F377" s="59">
        <v>45896.65857638889</v>
      </c>
      <c r="G377" s="5" t="str">
        <f>IFERROR(__xludf.DUMMYFUNCTION("LET(
  refItem, TO_TEXT(D377),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IF(ISBLANK(D377),"""", IF(IFERROR(latestMutation,"""")=""OUT"", latestCust, ""AKGREADY"")
))"),"e86baf3b")</f>
        <v>e86baf3b</v>
      </c>
    </row>
    <row r="378">
      <c r="A378" s="5" t="s">
        <v>7292</v>
      </c>
      <c r="B378" s="5" t="s">
        <v>3522</v>
      </c>
      <c r="C378" s="5" t="s">
        <v>3523</v>
      </c>
      <c r="D378" s="28" t="s">
        <v>7293</v>
      </c>
      <c r="F378" s="59">
        <v>45922.61355324074</v>
      </c>
      <c r="G378" s="5" t="str">
        <f>IFERROR(__xludf.DUMMYFUNCTION("LET(
  refItem, TO_TEXT(D378),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IF(ISBLANK(D378),"""", IF(IFERROR(latestMutation,"""")=""OUT"", latestCust, ""AKGREADY"")
))"),"e86baf3b")</f>
        <v>e86baf3b</v>
      </c>
    </row>
    <row r="379">
      <c r="A379" s="5" t="s">
        <v>7294</v>
      </c>
      <c r="B379" s="5" t="s">
        <v>3522</v>
      </c>
      <c r="C379" s="5" t="s">
        <v>3523</v>
      </c>
      <c r="D379" s="28" t="s">
        <v>7295</v>
      </c>
      <c r="F379" s="59">
        <v>45896.65726851852</v>
      </c>
      <c r="G379" s="5" t="str">
        <f>IFERROR(__xludf.DUMMYFUNCTION("LET(
  refItem, TO_TEXT(D379),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IF(ISBLANK(D379),"""", IF(IFERROR(latestMutation,"""")=""OUT"", latestCust, ""AKGREADY"")
))"),"e86baf3b")</f>
        <v>e86baf3b</v>
      </c>
    </row>
    <row r="380">
      <c r="A380" s="5" t="s">
        <v>7296</v>
      </c>
      <c r="B380" s="5" t="s">
        <v>3522</v>
      </c>
      <c r="C380" s="5" t="s">
        <v>3523</v>
      </c>
      <c r="D380" s="28" t="s">
        <v>7297</v>
      </c>
      <c r="F380" s="59">
        <v>45896.65740740741</v>
      </c>
      <c r="G380" s="5" t="str">
        <f>IFERROR(__xludf.DUMMYFUNCTION("LET(
  refItem, TO_TEXT(D380),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IF(ISBLANK(D380),"""", IF(IFERROR(latestMutation,"""")=""OUT"", latestCust, ""AKGREADY"")
))"),"17a8e612")</f>
        <v>17a8e612</v>
      </c>
    </row>
    <row r="381">
      <c r="A381" s="2" t="s">
        <v>7228</v>
      </c>
      <c r="B381" s="5" t="s">
        <v>3522</v>
      </c>
      <c r="C381" s="5" t="s">
        <v>3523</v>
      </c>
      <c r="D381" s="28" t="s">
        <v>7298</v>
      </c>
      <c r="F381" s="6">
        <v>46053.589594907404</v>
      </c>
      <c r="G381" s="5" t="str">
        <f>IFERROR(__xludf.DUMMYFUNCTION("LET(
  refItem, TO_TEXT(D381),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IF(ISBLANK(D381),"""", IF(IFERROR(latestMutation,"""")=""OUT"", latestCust, ""AKGREADY"")
))"),"AKGREADY")</f>
        <v>AKGREADY</v>
      </c>
    </row>
    <row r="382">
      <c r="B382" s="57" t="s">
        <v>3522</v>
      </c>
      <c r="C382" s="5" t="s">
        <v>3523</v>
      </c>
      <c r="D382" s="28" t="s">
        <v>7299</v>
      </c>
      <c r="F382" s="59">
        <v>45980.41670138889</v>
      </c>
      <c r="G382" s="5" t="str">
        <f>IFERROR(__xludf.DUMMYFUNCTION("LET(
  refItem, TO_TEXT(D382),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IF(ISBLANK(D382),"""", IF(IFERROR(latestMutation,"""")=""OUT"", latestCust, ""AKGREADY"")
))"),"e86baf3b")</f>
        <v>e86baf3b</v>
      </c>
    </row>
    <row r="383">
      <c r="A383" s="10" t="s">
        <v>7300</v>
      </c>
      <c r="B383" s="5" t="s">
        <v>3522</v>
      </c>
      <c r="C383" s="5" t="s">
        <v>3523</v>
      </c>
      <c r="D383" s="28" t="s">
        <v>6273</v>
      </c>
      <c r="F383" s="6">
        <v>46030.52045138889</v>
      </c>
      <c r="G383" s="5" t="str">
        <f>IFERROR(__xludf.DUMMYFUNCTION("LET(
  refItem, TO_TEXT(D383),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IF(ISBLANK(D383),"""", IF(IFERROR(latestMutation,"""")=""OUT"", latestCust, ""AKGREADY"")
))"),"17a8e612")</f>
        <v>17a8e612</v>
      </c>
    </row>
    <row r="384">
      <c r="A384" s="5" t="s">
        <v>7301</v>
      </c>
      <c r="B384" s="5" t="s">
        <v>3522</v>
      </c>
      <c r="C384" s="5" t="s">
        <v>3523</v>
      </c>
      <c r="D384" s="28" t="s">
        <v>7302</v>
      </c>
      <c r="F384" s="59">
        <v>45922.61337962963</v>
      </c>
      <c r="G384" s="5" t="str">
        <f>IFERROR(__xludf.DUMMYFUNCTION("LET(
  refItem, TO_TEXT(D384),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IF(ISBLANK(D384),"""", IF(IFERROR(latestMutation,"""")=""OUT"", latestCust, ""AKGREADY"")
))"),"AKGREADY")</f>
        <v>AKGREADY</v>
      </c>
    </row>
    <row r="385">
      <c r="A385" s="2" t="s">
        <v>7228</v>
      </c>
      <c r="B385" s="5" t="s">
        <v>3522</v>
      </c>
      <c r="C385" s="5" t="s">
        <v>3523</v>
      </c>
      <c r="D385" s="28" t="s">
        <v>7303</v>
      </c>
      <c r="F385" s="6">
        <v>46053.588842592595</v>
      </c>
      <c r="G385" s="5" t="str">
        <f>IFERROR(__xludf.DUMMYFUNCTION("LET(
  refItem, TO_TEXT(D385),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IF(ISBLANK(D385),"""", IF(IFERROR(latestMutation,"""")=""OUT"", latestCust, ""AKGREADY"")
))"),"AKGREADY")</f>
        <v>AKGREADY</v>
      </c>
    </row>
    <row r="386">
      <c r="A386" s="2" t="s">
        <v>7228</v>
      </c>
      <c r="B386" s="5" t="s">
        <v>3522</v>
      </c>
      <c r="C386" s="5" t="s">
        <v>3523</v>
      </c>
      <c r="D386" s="28" t="s">
        <v>4561</v>
      </c>
      <c r="F386" s="6">
        <v>46053.585960648146</v>
      </c>
      <c r="G386" s="5" t="str">
        <f>IFERROR(__xludf.DUMMYFUNCTION("LET(
  refItem, TO_TEXT(D386),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IF(ISBLANK(D386),"""", IF(IFERROR(latestMutation,"""")=""OUT"", latestCust, ""AKGREADY"")
))"),"AKGREADY")</f>
        <v>AKGREADY</v>
      </c>
    </row>
    <row r="387">
      <c r="A387" s="5" t="s">
        <v>7304</v>
      </c>
      <c r="B387" s="5" t="s">
        <v>3522</v>
      </c>
      <c r="C387" s="5" t="s">
        <v>3523</v>
      </c>
      <c r="D387" s="28" t="s">
        <v>6436</v>
      </c>
      <c r="F387" s="59">
        <v>45911.36059027778</v>
      </c>
      <c r="G387" s="5" t="str">
        <f>IFERROR(__xludf.DUMMYFUNCTION("LET(
  refItem, TO_TEXT(D387),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IF(ISBLANK(D387),"""", IF(IFERROR(latestMutation,"""")=""OUT"", latestCust, ""AKGREADY"")
))"),"e86baf3b")</f>
        <v>e86baf3b</v>
      </c>
    </row>
    <row r="388">
      <c r="A388" s="10" t="s">
        <v>7305</v>
      </c>
      <c r="B388" s="5" t="s">
        <v>3522</v>
      </c>
      <c r="C388" s="5" t="s">
        <v>3523</v>
      </c>
      <c r="D388" s="28" t="s">
        <v>7306</v>
      </c>
      <c r="F388" s="6">
        <v>46030.518738425926</v>
      </c>
      <c r="G388" s="5" t="str">
        <f>IFERROR(__xludf.DUMMYFUNCTION("LET(
  refItem, TO_TEXT(D388),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IF(ISBLANK(D388),"""", IF(IFERROR(latestMutation,"""")=""OUT"", latestCust, ""AKGREADY"")
))"),"e86baf3b")</f>
        <v>e86baf3b</v>
      </c>
    </row>
    <row r="389">
      <c r="A389" s="2" t="s">
        <v>7228</v>
      </c>
      <c r="B389" s="5" t="s">
        <v>3522</v>
      </c>
      <c r="C389" s="5" t="s">
        <v>3523</v>
      </c>
      <c r="D389" s="28" t="s">
        <v>7307</v>
      </c>
      <c r="F389" s="6">
        <v>46053.58377314815</v>
      </c>
      <c r="G389" s="5" t="str">
        <f>IFERROR(__xludf.DUMMYFUNCTION("LET(
  refItem, TO_TEXT(D389),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IF(ISBLANK(D389),"""", IF(IFERROR(latestMutation,"""")=""OUT"", latestCust, ""AKGREADY"")
))"),"AKGREADY")</f>
        <v>AKGREADY</v>
      </c>
    </row>
    <row r="390">
      <c r="A390" s="2" t="s">
        <v>7228</v>
      </c>
      <c r="B390" s="5" t="s">
        <v>3522</v>
      </c>
      <c r="C390" s="5" t="s">
        <v>3523</v>
      </c>
      <c r="D390" s="28" t="s">
        <v>7308</v>
      </c>
      <c r="F390" s="6">
        <v>46053.584965277776</v>
      </c>
      <c r="G390" s="5" t="str">
        <f>IFERROR(__xludf.DUMMYFUNCTION("LET(
  refItem, TO_TEXT(D390),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IF(ISBLANK(D390),"""", IF(IFERROR(latestMutation,"""")=""OUT"", latestCust, ""AKGREADY"")
))"),"AKGREADY")</f>
        <v>AKGREADY</v>
      </c>
    </row>
    <row r="391">
      <c r="A391" s="5" t="s">
        <v>7309</v>
      </c>
      <c r="B391" s="5" t="s">
        <v>3522</v>
      </c>
      <c r="C391" s="5" t="s">
        <v>3523</v>
      </c>
      <c r="D391" s="28" t="s">
        <v>6435</v>
      </c>
      <c r="F391" s="59">
        <v>45966.70863425926</v>
      </c>
      <c r="G391" s="5" t="str">
        <f>IFERROR(__xludf.DUMMYFUNCTION("LET(
  refItem, TO_TEXT(D391),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IF(ISBLANK(D391),"""", IF(IFERROR(latestMutation,"""")=""OUT"", latestCust, ""AKGREADY"")
))"),"e86baf3b")</f>
        <v>e86baf3b</v>
      </c>
    </row>
    <row r="392">
      <c r="A392" s="5" t="s">
        <v>7310</v>
      </c>
      <c r="B392" s="5" t="s">
        <v>3522</v>
      </c>
      <c r="C392" s="5" t="s">
        <v>3523</v>
      </c>
      <c r="D392" s="28" t="s">
        <v>7311</v>
      </c>
      <c r="F392" s="59">
        <v>45960.47957175926</v>
      </c>
      <c r="G392" s="5" t="str">
        <f>IFERROR(__xludf.DUMMYFUNCTION("LET(
  refItem, TO_TEXT(D392),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IF(ISBLANK(D392),"""", IF(IFERROR(latestMutation,"""")=""OUT"", latestCust, ""AKGREADY"")
))"),"e86baf3b")</f>
        <v>e86baf3b</v>
      </c>
    </row>
    <row r="393">
      <c r="B393" s="5" t="s">
        <v>3522</v>
      </c>
      <c r="C393" s="5" t="s">
        <v>3523</v>
      </c>
      <c r="D393" s="28" t="s">
        <v>7312</v>
      </c>
      <c r="F393" s="59">
        <v>45922.60456018519</v>
      </c>
      <c r="G393" s="5" t="str">
        <f>IFERROR(__xludf.DUMMYFUNCTION("LET(
  refItem, TO_TEXT(D393),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IF(ISBLANK(D393),"""", IF(IFERROR(latestMutation,"""")=""OUT"", latestCust, ""AKGREADY"")
))"),"AKGREADY")</f>
        <v>AKGREADY</v>
      </c>
    </row>
    <row r="394">
      <c r="A394" s="2" t="s">
        <v>7228</v>
      </c>
      <c r="B394" s="5" t="s">
        <v>3522</v>
      </c>
      <c r="C394" s="5" t="s">
        <v>3523</v>
      </c>
      <c r="D394" s="28" t="s">
        <v>7313</v>
      </c>
      <c r="F394" s="6">
        <v>46053.58545138889</v>
      </c>
      <c r="G394" s="5" t="str">
        <f>IFERROR(__xludf.DUMMYFUNCTION("LET(
  refItem, TO_TEXT(D394),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IF(ISBLANK(D394),"""", IF(IFERROR(latestMutation,"""")=""OUT"", latestCust, ""AKGREADY"")
))"),"AKGREADY")</f>
        <v>AKGREADY</v>
      </c>
    </row>
    <row r="395">
      <c r="A395" s="2" t="s">
        <v>7252</v>
      </c>
      <c r="B395" s="5" t="s">
        <v>3522</v>
      </c>
      <c r="C395" s="5" t="s">
        <v>3523</v>
      </c>
      <c r="D395" s="28" t="s">
        <v>7314</v>
      </c>
      <c r="F395" s="6">
        <v>46053.58783564815</v>
      </c>
      <c r="G395" s="5" t="str">
        <f>IFERROR(__xludf.DUMMYFUNCTION("LET(
  refItem, TO_TEXT(D395),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IF(ISBLANK(D395),"""", IF(IFERROR(latestMutation,"""")=""OUT"", latestCust, ""AKGREADY"")
))"),"AKGREADY")</f>
        <v>AKGREADY</v>
      </c>
    </row>
    <row r="396">
      <c r="A396" s="2" t="s">
        <v>7252</v>
      </c>
      <c r="B396" s="5" t="s">
        <v>3522</v>
      </c>
      <c r="C396" s="5" t="s">
        <v>3523</v>
      </c>
      <c r="D396" s="28" t="s">
        <v>4852</v>
      </c>
      <c r="F396" s="6">
        <v>46053.58795138889</v>
      </c>
      <c r="G396" s="5" t="str">
        <f>IFERROR(__xludf.DUMMYFUNCTION("LET(
  refItem, TO_TEXT(D396),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IF(ISBLANK(D396),"""", IF(IFERROR(latestMutation,"""")=""OUT"", latestCust, ""AKGREADY"")
))"),"AKGREADY")</f>
        <v>AKGREADY</v>
      </c>
    </row>
    <row r="397">
      <c r="A397" s="2" t="s">
        <v>7252</v>
      </c>
      <c r="B397" s="5" t="s">
        <v>3522</v>
      </c>
      <c r="C397" s="5" t="s">
        <v>3523</v>
      </c>
      <c r="D397" s="28" t="s">
        <v>7315</v>
      </c>
      <c r="F397" s="6">
        <v>46053.588055555556</v>
      </c>
      <c r="G397" s="5" t="str">
        <f>IFERROR(__xludf.DUMMYFUNCTION("LET(
  refItem, TO_TEXT(D397),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IF(ISBLANK(D397),"""", IF(IFERROR(latestMutation,"""")=""OUT"", latestCust, ""AKGREADY"")
))"),"AKGREADY")</f>
        <v>AKGREADY</v>
      </c>
    </row>
    <row r="398">
      <c r="A398" s="2" t="s">
        <v>7252</v>
      </c>
      <c r="B398" s="5" t="s">
        <v>3522</v>
      </c>
      <c r="C398" s="5" t="s">
        <v>3523</v>
      </c>
      <c r="D398" s="28" t="s">
        <v>5391</v>
      </c>
      <c r="F398" s="6">
        <v>46053.588171296295</v>
      </c>
      <c r="G398" s="5" t="str">
        <f>IFERROR(__xludf.DUMMYFUNCTION("LET(
  refItem, TO_TEXT(D398),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IF(ISBLANK(D398),"""", IF(IFERROR(latestMutation,"""")=""OUT"", latestCust, ""AKGREADY"")
))"),"AKGREADY")</f>
        <v>AKGREADY</v>
      </c>
    </row>
    <row r="399">
      <c r="A399" s="10" t="s">
        <v>7316</v>
      </c>
      <c r="B399" s="2" t="s">
        <v>3486</v>
      </c>
      <c r="C399" s="2" t="s">
        <v>3487</v>
      </c>
      <c r="D399" s="28" t="s">
        <v>7317</v>
      </c>
      <c r="E399" s="5" t="s">
        <v>7106</v>
      </c>
      <c r="F399" s="6">
        <v>46081.62716435185</v>
      </c>
      <c r="G399" s="5" t="str">
        <f>IFERROR(__xludf.DUMMYFUNCTION("LET(
  refItem, TO_TEXT(D399),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IF(ISBLANK(D399),"""", IF(IFERROR(latestMutation,"""")=""OUT"", latestCust, ""AKGREADY"")
))"),"e86baf3b")</f>
        <v>e86baf3b</v>
      </c>
    </row>
    <row r="400">
      <c r="B400" s="5" t="s">
        <v>3516</v>
      </c>
      <c r="C400" s="5" t="s">
        <v>3517</v>
      </c>
      <c r="D400" s="28" t="s">
        <v>4450</v>
      </c>
      <c r="F400" s="59">
        <v>45875.52744212963</v>
      </c>
      <c r="G400" s="5" t="str">
        <f>IFERROR(__xludf.DUMMYFUNCTION("LET(
  refItem, TO_TEXT(D400),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IF(ISBLANK(D400),"""", IF(IFERROR(latestMutation,"""")=""OUT"", latestCust, ""AKGREADY"")
))"),"AKGREADY")</f>
        <v>AKGREADY</v>
      </c>
    </row>
    <row r="401">
      <c r="B401" s="5" t="s">
        <v>3516</v>
      </c>
      <c r="C401" s="5" t="s">
        <v>3517</v>
      </c>
      <c r="D401" s="28" t="s">
        <v>4156</v>
      </c>
      <c r="F401" s="59">
        <v>45994.625925925924</v>
      </c>
      <c r="G401" s="5" t="str">
        <f>IFERROR(__xludf.DUMMYFUNCTION("LET(
  refItem, TO_TEXT(D401),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IF(ISBLANK(D401),"""", IF(IFERROR(latestMutation,"""")=""OUT"", latestCust, ""AKGREADY"")
))"),"b2b5f2c5")</f>
        <v>b2b5f2c5</v>
      </c>
    </row>
    <row r="402">
      <c r="A402" s="5" t="s">
        <v>7318</v>
      </c>
      <c r="B402" s="5" t="s">
        <v>3516</v>
      </c>
      <c r="C402" s="5" t="s">
        <v>3517</v>
      </c>
      <c r="D402" s="28" t="s">
        <v>4389</v>
      </c>
      <c r="F402" s="59">
        <v>45922.433703703704</v>
      </c>
      <c r="G402" s="5" t="str">
        <f>IFERROR(__xludf.DUMMYFUNCTION("LET(
  refItem, TO_TEXT(D402),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IF(ISBLANK(D402),"""", IF(IFERROR(latestMutation,"""")=""OUT"", latestCust, ""AKGREADY"")
))"),"1c4d5e93")</f>
        <v>1c4d5e93</v>
      </c>
    </row>
    <row r="403">
      <c r="A403" s="5" t="s">
        <v>7319</v>
      </c>
      <c r="B403" s="5" t="s">
        <v>3516</v>
      </c>
      <c r="C403" s="5" t="s">
        <v>3517</v>
      </c>
      <c r="D403" s="28" t="s">
        <v>5751</v>
      </c>
      <c r="F403" s="59">
        <v>45898.69449074074</v>
      </c>
      <c r="G403" s="5" t="str">
        <f>IFERROR(__xludf.DUMMYFUNCTION("LET(
  refItem, TO_TEXT(D403),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IF(ISBLANK(D403),"""", IF(IFERROR(latestMutation,"""")=""OUT"", latestCust, ""AKGREADY"")
))"),"AKGREADY")</f>
        <v>AKGREADY</v>
      </c>
    </row>
    <row r="404">
      <c r="A404" s="5" t="s">
        <v>7320</v>
      </c>
      <c r="B404" s="5" t="s">
        <v>3516</v>
      </c>
      <c r="C404" s="5" t="s">
        <v>3517</v>
      </c>
      <c r="D404" s="28" t="s">
        <v>5504</v>
      </c>
      <c r="F404" s="59">
        <v>45922.43278935185</v>
      </c>
      <c r="G404" s="5" t="str">
        <f>IFERROR(__xludf.DUMMYFUNCTION("LET(
  refItem, TO_TEXT(D404),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IF(ISBLANK(D404),"""", IF(IFERROR(latestMutation,"""")=""OUT"", latestCust, ""AKGREADY"")
))"),"AKGREADY")</f>
        <v>AKGREADY</v>
      </c>
    </row>
    <row r="405">
      <c r="A405" s="10" t="s">
        <v>7321</v>
      </c>
      <c r="B405" s="5" t="s">
        <v>3516</v>
      </c>
      <c r="C405" s="5" t="s">
        <v>3517</v>
      </c>
      <c r="D405" s="28" t="s">
        <v>4755</v>
      </c>
      <c r="F405" s="6">
        <v>46049.40793981482</v>
      </c>
      <c r="G405" s="5" t="str">
        <f>IFERROR(__xludf.DUMMYFUNCTION("LET(
  refItem, TO_TEXT(D405),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IF(ISBLANK(D405),"""", IF(IFERROR(latestMutation,"""")=""OUT"", latestCust, ""AKGREADY"")
))"),"AKGREADY")</f>
        <v>AKGREADY</v>
      </c>
    </row>
    <row r="406">
      <c r="A406" s="10" t="s">
        <v>7322</v>
      </c>
      <c r="B406" s="57" t="s">
        <v>3516</v>
      </c>
      <c r="C406" s="5" t="s">
        <v>3517</v>
      </c>
      <c r="D406" s="28" t="s">
        <v>4491</v>
      </c>
      <c r="F406" s="6">
        <v>46034.564479166664</v>
      </c>
      <c r="G406" s="5" t="str">
        <f>IFERROR(__xludf.DUMMYFUNCTION("LET(
  refItem, TO_TEXT(D406),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IF(ISBLANK(D406),"""", IF(IFERROR(latestMutation,"""")=""OUT"", latestCust, ""AKGREADY"")
))"),"440df1db")</f>
        <v>440df1db</v>
      </c>
    </row>
    <row r="407">
      <c r="A407" s="5" t="s">
        <v>7323</v>
      </c>
      <c r="B407" s="5" t="s">
        <v>3516</v>
      </c>
      <c r="C407" s="5" t="s">
        <v>3517</v>
      </c>
      <c r="D407" s="28" t="s">
        <v>4498</v>
      </c>
      <c r="F407" s="59">
        <v>45934.48974537037</v>
      </c>
      <c r="G407" s="5" t="str">
        <f>IFERROR(__xludf.DUMMYFUNCTION("LET(
  refItem, TO_TEXT(D407),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IF(ISBLANK(D407),"""", IF(IFERROR(latestMutation,"""")=""OUT"", latestCust, ""AKGREADY"")
))"),"98c84274")</f>
        <v>98c84274</v>
      </c>
    </row>
    <row r="408">
      <c r="B408" s="5" t="s">
        <v>3516</v>
      </c>
      <c r="C408" s="5" t="s">
        <v>3517</v>
      </c>
      <c r="D408" s="28" t="s">
        <v>4153</v>
      </c>
      <c r="G408" s="5" t="str">
        <f>IFERROR(__xludf.DUMMYFUNCTION("LET(
  refItem, TO_TEXT(D408),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IF(ISBLANK(D408),"""", IF(IFERROR(latestMutation,"""")=""OUT"", latestCust, ""AKGREADY"")
))"),"e86baf3b")</f>
        <v>e86baf3b</v>
      </c>
    </row>
    <row r="409">
      <c r="A409" s="5" t="s">
        <v>7324</v>
      </c>
      <c r="B409" s="57" t="s">
        <v>3516</v>
      </c>
      <c r="C409" s="5" t="s">
        <v>3517</v>
      </c>
      <c r="D409" s="28" t="s">
        <v>4967</v>
      </c>
      <c r="F409" s="59">
        <v>45966.43152777778</v>
      </c>
      <c r="G409" s="5" t="str">
        <f>IFERROR(__xludf.DUMMYFUNCTION("LET(
  refItem, TO_TEXT(D409),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IF(ISBLANK(D409),"""", IF(IFERROR(latestMutation,"""")=""OUT"", latestCust, ""AKGREADY"")
))"),"AKGREADY")</f>
        <v>AKGREADY</v>
      </c>
    </row>
    <row r="410">
      <c r="B410" s="5" t="s">
        <v>3516</v>
      </c>
      <c r="C410" s="5" t="s">
        <v>3517</v>
      </c>
      <c r="D410" s="28" t="s">
        <v>4495</v>
      </c>
      <c r="F410" s="59">
        <v>45946.61754629629</v>
      </c>
      <c r="G410" s="5" t="str">
        <f>IFERROR(__xludf.DUMMYFUNCTION("LET(
  refItem, TO_TEXT(D410),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IF(ISBLANK(D410),"""", IF(IFERROR(latestMutation,"""")=""OUT"", latestCust, ""AKGREADY"")
))"),"AKGREADY")</f>
        <v>AKGREADY</v>
      </c>
    </row>
    <row r="411">
      <c r="A411" s="5" t="s">
        <v>7325</v>
      </c>
      <c r="B411" s="5" t="s">
        <v>3516</v>
      </c>
      <c r="C411" s="5" t="s">
        <v>3517</v>
      </c>
      <c r="D411" s="28" t="s">
        <v>5336</v>
      </c>
      <c r="F411" s="59">
        <v>45934.48961805556</v>
      </c>
      <c r="G411" s="5" t="str">
        <f>IFERROR(__xludf.DUMMYFUNCTION("LET(
  refItem, TO_TEXT(D411),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IF(ISBLANK(D411),"""", IF(IFERROR(latestMutation,"""")=""OUT"", latestCust, ""AKGREADY"")
))"),"7b9d8eba")</f>
        <v>7b9d8eba</v>
      </c>
    </row>
    <row r="412">
      <c r="A412" s="10" t="s">
        <v>7326</v>
      </c>
      <c r="B412" s="5" t="s">
        <v>3516</v>
      </c>
      <c r="C412" s="5" t="s">
        <v>3517</v>
      </c>
      <c r="D412" s="28" t="s">
        <v>4408</v>
      </c>
      <c r="F412" s="6">
        <v>46049.40663194445</v>
      </c>
      <c r="G412" s="5" t="str">
        <f>IFERROR(__xludf.DUMMYFUNCTION("LET(
  refItem, TO_TEXT(D412),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IF(ISBLANK(D412),"""", IF(IFERROR(latestMutation,"""")=""OUT"", latestCust, ""AKGREADY"")
))"),"1c4d5e93")</f>
        <v>1c4d5e93</v>
      </c>
    </row>
    <row r="413">
      <c r="A413" s="10" t="s">
        <v>7327</v>
      </c>
      <c r="B413" s="5" t="s">
        <v>3516</v>
      </c>
      <c r="C413" s="5" t="s">
        <v>3517</v>
      </c>
      <c r="D413" s="28" t="s">
        <v>4505</v>
      </c>
      <c r="F413" s="6">
        <v>46050.36269675926</v>
      </c>
      <c r="G413" s="5" t="str">
        <f>IFERROR(__xludf.DUMMYFUNCTION("LET(
  refItem, TO_TEXT(D413),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IF(ISBLANK(D413),"""", IF(IFERROR(latestMutation,"""")=""OUT"", latestCust, ""AKGREADY"")
))"),"AKGREADY")</f>
        <v>AKGREADY</v>
      </c>
    </row>
    <row r="414">
      <c r="B414" s="5" t="s">
        <v>3516</v>
      </c>
      <c r="C414" s="5" t="s">
        <v>3517</v>
      </c>
      <c r="D414" s="28" t="s">
        <v>4272</v>
      </c>
      <c r="G414" s="5" t="str">
        <f>IFERROR(__xludf.DUMMYFUNCTION("LET(
  refItem, TO_TEXT(D414),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IF(ISBLANK(D414),"""", IF(IFERROR(latestMutation,"""")=""OUT"", latestCust, ""AKGREADY"")
))"),"1c4d5e93")</f>
        <v>1c4d5e93</v>
      </c>
    </row>
    <row r="415">
      <c r="B415" s="57" t="s">
        <v>3516</v>
      </c>
      <c r="C415" s="5" t="s">
        <v>3517</v>
      </c>
      <c r="D415" s="28" t="s">
        <v>4621</v>
      </c>
      <c r="F415" s="59">
        <v>45898.69472222222</v>
      </c>
      <c r="G415" s="5" t="str">
        <f>IFERROR(__xludf.DUMMYFUNCTION("LET(
  refItem, TO_TEXT(D415),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IF(ISBLANK(D415),"""", IF(IFERROR(latestMutation,"""")=""OUT"", latestCust, ""AKGREADY"")
))"),"AKGREADY")</f>
        <v>AKGREADY</v>
      </c>
    </row>
    <row r="416">
      <c r="B416" s="5" t="s">
        <v>3516</v>
      </c>
      <c r="C416" s="5" t="s">
        <v>3517</v>
      </c>
      <c r="D416" s="28" t="s">
        <v>6630</v>
      </c>
      <c r="G416" s="5" t="str">
        <f>IFERROR(__xludf.DUMMYFUNCTION("LET(
  refItem, TO_TEXT(D416),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IF(ISBLANK(D416),"""", IF(IFERROR(latestMutation,"""")=""OUT"", latestCust, ""AKGREADY"")
))"),"8ea74d81")</f>
        <v>8ea74d81</v>
      </c>
    </row>
    <row r="417">
      <c r="A417" s="10" t="s">
        <v>7328</v>
      </c>
      <c r="B417" s="5" t="s">
        <v>3516</v>
      </c>
      <c r="C417" s="5" t="s">
        <v>3517</v>
      </c>
      <c r="D417" s="28" t="s">
        <v>4391</v>
      </c>
      <c r="F417" s="6">
        <v>46049.40775462963</v>
      </c>
      <c r="G417" s="5" t="str">
        <f>IFERROR(__xludf.DUMMYFUNCTION("LET(
  refItem, TO_TEXT(D417),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IF(ISBLANK(D417),"""", IF(IFERROR(latestMutation,"""")=""OUT"", latestCust, ""AKGREADY"")
))"),"1c4d5e93")</f>
        <v>1c4d5e93</v>
      </c>
    </row>
    <row r="418">
      <c r="B418" s="5" t="s">
        <v>3516</v>
      </c>
      <c r="C418" s="5" t="s">
        <v>3517</v>
      </c>
      <c r="D418" s="28" t="s">
        <v>7329</v>
      </c>
      <c r="G418" s="5" t="str">
        <f>IFERROR(__xludf.DUMMYFUNCTION("LET(
  refItem, TO_TEXT(D418),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IF(ISBLANK(D418),"""", IF(IFERROR(latestMutation,"""")=""OUT"", latestCust, ""AKGREADY"")
))"),"e86baf3b")</f>
        <v>e86baf3b</v>
      </c>
    </row>
    <row r="419">
      <c r="A419" s="10" t="s">
        <v>7330</v>
      </c>
      <c r="B419" s="5" t="s">
        <v>3516</v>
      </c>
      <c r="C419" s="5" t="s">
        <v>3517</v>
      </c>
      <c r="D419" s="28" t="s">
        <v>5047</v>
      </c>
      <c r="F419" s="6">
        <v>46072.36273148148</v>
      </c>
      <c r="G419" s="5" t="str">
        <f>IFERROR(__xludf.DUMMYFUNCTION("LET(
  refItem, TO_TEXT(D419),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IF(ISBLANK(D419),"""", IF(IFERROR(latestMutation,"""")=""OUT"", latestCust, ""AKGREADY"")
))"),"63fc688a")</f>
        <v>63fc688a</v>
      </c>
    </row>
    <row r="420">
      <c r="B420" s="5" t="s">
        <v>3516</v>
      </c>
      <c r="C420" s="5" t="s">
        <v>3517</v>
      </c>
      <c r="D420" s="28" t="s">
        <v>5383</v>
      </c>
      <c r="G420" s="5" t="str">
        <f>IFERROR(__xludf.DUMMYFUNCTION("LET(
  refItem, TO_TEXT(D420),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IF(ISBLANK(D420),"""", IF(IFERROR(latestMutation,"""")=""OUT"", latestCust, ""AKGREADY"")
))"),"b2b5f2c5")</f>
        <v>b2b5f2c5</v>
      </c>
    </row>
    <row r="421">
      <c r="B421" s="5" t="s">
        <v>3516</v>
      </c>
      <c r="C421" s="5" t="s">
        <v>3517</v>
      </c>
      <c r="D421" s="28" t="s">
        <v>4582</v>
      </c>
      <c r="G421" s="5" t="str">
        <f>IFERROR(__xludf.DUMMYFUNCTION("LET(
  refItem, TO_TEXT(D421),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IF(ISBLANK(D421),"""", IF(IFERROR(latestMutation,"""")=""OUT"", latestCust, ""AKGREADY"")
))"),"8ea74d81")</f>
        <v>8ea74d81</v>
      </c>
    </row>
    <row r="422">
      <c r="A422" s="10" t="s">
        <v>7331</v>
      </c>
      <c r="B422" s="5" t="s">
        <v>3516</v>
      </c>
      <c r="C422" s="5" t="s">
        <v>3517</v>
      </c>
      <c r="D422" s="28" t="s">
        <v>4588</v>
      </c>
      <c r="F422" s="6">
        <v>46065.56886574074</v>
      </c>
      <c r="G422" s="5" t="str">
        <f>IFERROR(__xludf.DUMMYFUNCTION("LET(
  refItem, TO_TEXT(D422),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IF(ISBLANK(D422),"""", IF(IFERROR(latestMutation,"""")=""OUT"", latestCust, ""AKGREADY"")
))"),"ec231cc9")</f>
        <v>ec231cc9</v>
      </c>
    </row>
    <row r="423">
      <c r="A423" s="5" t="s">
        <v>7332</v>
      </c>
      <c r="B423" s="5" t="s">
        <v>3516</v>
      </c>
      <c r="C423" s="5" t="s">
        <v>3517</v>
      </c>
      <c r="D423" s="28" t="s">
        <v>4584</v>
      </c>
      <c r="F423" s="59">
        <v>45898.69483796296</v>
      </c>
      <c r="G423" s="5" t="str">
        <f>IFERROR(__xludf.DUMMYFUNCTION("LET(
  refItem, TO_TEXT(D423),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IF(ISBLANK(D423),"""", IF(IFERROR(latestMutation,"""")=""OUT"", latestCust, ""AKGREADY"")
))"),"b2b5f2c5")</f>
        <v>b2b5f2c5</v>
      </c>
    </row>
    <row r="424">
      <c r="B424" s="5" t="s">
        <v>3516</v>
      </c>
      <c r="C424" s="5" t="s">
        <v>3517</v>
      </c>
      <c r="D424" s="28" t="s">
        <v>4775</v>
      </c>
      <c r="G424" s="5" t="str">
        <f>IFERROR(__xludf.DUMMYFUNCTION("LET(
  refItem, TO_TEXT(D424),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IF(ISBLANK(D424),"""", IF(IFERROR(latestMutation,"""")=""OUT"", latestCust, ""AKGREADY"")
))"),"b218b89b")</f>
        <v>b218b89b</v>
      </c>
    </row>
    <row r="425">
      <c r="A425" s="10" t="s">
        <v>7333</v>
      </c>
      <c r="B425" s="5" t="s">
        <v>3516</v>
      </c>
      <c r="C425" s="5" t="s">
        <v>3517</v>
      </c>
      <c r="D425" s="28" t="s">
        <v>4720</v>
      </c>
      <c r="F425" s="6">
        <v>46063.52137731481</v>
      </c>
      <c r="G425" s="5" t="str">
        <f>IFERROR(__xludf.DUMMYFUNCTION("LET(
  refItem, TO_TEXT(D425),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IF(ISBLANK(D425),"""", IF(IFERROR(latestMutation,"""")=""OUT"", latestCust, ""AKGREADY"")
))"),"63fc688a")</f>
        <v>63fc688a</v>
      </c>
    </row>
    <row r="426">
      <c r="A426" s="10" t="s">
        <v>7334</v>
      </c>
      <c r="B426" s="5" t="s">
        <v>3516</v>
      </c>
      <c r="C426" s="5" t="s">
        <v>3517</v>
      </c>
      <c r="D426" s="28" t="s">
        <v>4941</v>
      </c>
      <c r="F426" s="6">
        <v>46056.555659722224</v>
      </c>
      <c r="G426" s="5" t="str">
        <f>IFERROR(__xludf.DUMMYFUNCTION("LET(
  refItem, TO_TEXT(D426),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IF(ISBLANK(D426),"""", IF(IFERROR(latestMutation,"""")=""OUT"", latestCust, ""AKGREADY"")
))"),"7b9d8eba")</f>
        <v>7b9d8eba</v>
      </c>
    </row>
    <row r="427">
      <c r="A427" s="10" t="s">
        <v>7335</v>
      </c>
      <c r="B427" s="57" t="s">
        <v>3516</v>
      </c>
      <c r="C427" s="5" t="s">
        <v>3517</v>
      </c>
      <c r="D427" s="28" t="s">
        <v>4636</v>
      </c>
      <c r="F427" s="6">
        <v>46049.406493055554</v>
      </c>
      <c r="G427" s="5" t="str">
        <f>IFERROR(__xludf.DUMMYFUNCTION("LET(
  refItem, TO_TEXT(D427),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IF(ISBLANK(D427),"""", IF(IFERROR(latestMutation,"""")=""OUT"", latestCust, ""AKGREADY"")
))"),"63fc688a")</f>
        <v>63fc688a</v>
      </c>
    </row>
    <row r="428">
      <c r="A428" s="10" t="s">
        <v>7336</v>
      </c>
      <c r="B428" s="57" t="s">
        <v>3516</v>
      </c>
      <c r="C428" s="5" t="s">
        <v>3517</v>
      </c>
      <c r="D428" s="28" t="s">
        <v>4948</v>
      </c>
      <c r="F428" s="6">
        <v>46050.705555555556</v>
      </c>
      <c r="G428" s="5" t="str">
        <f>IFERROR(__xludf.DUMMYFUNCTION("LET(
  refItem, TO_TEXT(D428),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IF(ISBLANK(D428),"""", IF(IFERROR(latestMutation,"""")=""OUT"", latestCust, ""AKGREADY"")
))"),"f7243d00")</f>
        <v>f7243d00</v>
      </c>
    </row>
    <row r="429">
      <c r="A429" s="10" t="s">
        <v>7337</v>
      </c>
      <c r="B429" s="57" t="s">
        <v>3516</v>
      </c>
      <c r="C429" s="5" t="s">
        <v>3517</v>
      </c>
      <c r="D429" s="28" t="s">
        <v>4812</v>
      </c>
      <c r="F429" s="6">
        <v>46052.67894675926</v>
      </c>
      <c r="G429" s="5" t="str">
        <f>IFERROR(__xludf.DUMMYFUNCTION("LET(
  refItem, TO_TEXT(D429),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IF(ISBLANK(D429),"""", IF(IFERROR(latestMutation,"""")=""OUT"", latestCust, ""AKGREADY"")
))"),"b218b89b")</f>
        <v>b218b89b</v>
      </c>
    </row>
    <row r="430">
      <c r="B430" s="57" t="s">
        <v>3516</v>
      </c>
      <c r="C430" s="5" t="s">
        <v>3517</v>
      </c>
      <c r="D430" s="28" t="s">
        <v>4671</v>
      </c>
      <c r="F430" s="59">
        <v>45890.493842592594</v>
      </c>
      <c r="G430" s="5" t="str">
        <f>IFERROR(__xludf.DUMMYFUNCTION("LET(
  refItem, TO_TEXT(D430),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IF(ISBLANK(D430),"""", IF(IFERROR(latestMutation,"""")=""OUT"", latestCust, ""AKGREADY"")
))"),"b218b89b")</f>
        <v>b218b89b</v>
      </c>
    </row>
    <row r="431">
      <c r="B431" s="57" t="s">
        <v>3516</v>
      </c>
      <c r="C431" s="5" t="s">
        <v>3517</v>
      </c>
      <c r="D431" s="28" t="s">
        <v>4662</v>
      </c>
      <c r="F431" s="59">
        <v>45888.56384259259</v>
      </c>
      <c r="G431" s="5" t="str">
        <f>IFERROR(__xludf.DUMMYFUNCTION("LET(
  refItem, TO_TEXT(D431),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IF(ISBLANK(D431),"""", IF(IFERROR(latestMutation,"""")=""OUT"", latestCust, ""AKGREADY"")
))"),"98c84274")</f>
        <v>98c84274</v>
      </c>
    </row>
    <row r="432">
      <c r="B432" s="57" t="s">
        <v>3516</v>
      </c>
      <c r="C432" s="5" t="s">
        <v>3517</v>
      </c>
      <c r="D432" s="28" t="s">
        <v>4667</v>
      </c>
      <c r="F432" s="59">
        <v>45888.56400462963</v>
      </c>
      <c r="G432" s="5" t="str">
        <f>IFERROR(__xludf.DUMMYFUNCTION("LET(
  refItem, TO_TEXT(D432),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IF(ISBLANK(D432),"""", IF(IFERROR(latestMutation,"""")=""OUT"", latestCust, ""AKGREADY"")
))"),"AKGREADY")</f>
        <v>AKGREADY</v>
      </c>
    </row>
    <row r="433">
      <c r="A433" s="10" t="s">
        <v>7338</v>
      </c>
      <c r="B433" s="57" t="s">
        <v>3516</v>
      </c>
      <c r="C433" s="5" t="s">
        <v>3517</v>
      </c>
      <c r="D433" s="28" t="s">
        <v>4733</v>
      </c>
      <c r="F433" s="6">
        <v>46050.705405092594</v>
      </c>
      <c r="G433" s="5" t="str">
        <f>IFERROR(__xludf.DUMMYFUNCTION("LET(
  refItem, TO_TEXT(D433),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IF(ISBLANK(D433),"""", IF(IFERROR(latestMutation,"""")=""OUT"", latestCust, ""AKGREADY"")
))"),"AKGREADY")</f>
        <v>AKGREADY</v>
      </c>
    </row>
    <row r="434">
      <c r="A434" s="10" t="s">
        <v>7339</v>
      </c>
      <c r="B434" s="57" t="s">
        <v>3516</v>
      </c>
      <c r="C434" s="5" t="s">
        <v>3517</v>
      </c>
      <c r="D434" s="28" t="s">
        <v>4700</v>
      </c>
      <c r="F434" s="6">
        <v>46066.438784722224</v>
      </c>
      <c r="G434" s="5" t="str">
        <f>IFERROR(__xludf.DUMMYFUNCTION("LET(
  refItem, TO_TEXT(D434),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IF(ISBLANK(D434),"""", IF(IFERROR(latestMutation,"""")=""OUT"", latestCust, ""AKGREADY"")
))"),"63fc688a")</f>
        <v>63fc688a</v>
      </c>
    </row>
    <row r="435">
      <c r="B435" s="57" t="s">
        <v>3516</v>
      </c>
      <c r="C435" s="5" t="s">
        <v>3517</v>
      </c>
      <c r="D435" s="28" t="s">
        <v>7340</v>
      </c>
      <c r="F435" s="59">
        <v>45954.458182870374</v>
      </c>
      <c r="G435" s="5" t="str">
        <f>IFERROR(__xludf.DUMMYFUNCTION("LET(
  refItem, TO_TEXT(D435),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IF(ISBLANK(D435),"""", IF(IFERROR(latestMutation,"""")=""OUT"", latestCust, ""AKGREADY"")
))"),"9e66ced9")</f>
        <v>9e66ced9</v>
      </c>
    </row>
    <row r="436">
      <c r="A436" s="10" t="s">
        <v>7341</v>
      </c>
      <c r="B436" s="57" t="s">
        <v>3516</v>
      </c>
      <c r="C436" s="5" t="s">
        <v>3517</v>
      </c>
      <c r="D436" s="28" t="s">
        <v>5871</v>
      </c>
      <c r="F436" s="6">
        <v>46049.407326388886</v>
      </c>
      <c r="G436" s="5" t="str">
        <f>IFERROR(__xludf.DUMMYFUNCTION("LET(
  refItem, TO_TEXT(D436),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IF(ISBLANK(D436),"""", IF(IFERROR(latestMutation,"""")=""OUT"", latestCust, ""AKGREADY"")
))"),"1c4d5e93")</f>
        <v>1c4d5e93</v>
      </c>
    </row>
    <row r="437">
      <c r="A437" s="10" t="s">
        <v>7342</v>
      </c>
      <c r="B437" s="57" t="s">
        <v>3516</v>
      </c>
      <c r="C437" s="5" t="s">
        <v>3517</v>
      </c>
      <c r="D437" s="28" t="s">
        <v>5805</v>
      </c>
      <c r="F437" s="6">
        <v>46066.43806712963</v>
      </c>
      <c r="G437" s="5" t="str">
        <f>IFERROR(__xludf.DUMMYFUNCTION("LET(
  refItem, TO_TEXT(D437),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IF(ISBLANK(D437),"""", IF(IFERROR(latestMutation,"""")=""OUT"", latestCust, ""AKGREADY"")
))"),"AKGREADY")</f>
        <v>AKGREADY</v>
      </c>
    </row>
    <row r="438">
      <c r="B438" s="57" t="s">
        <v>3516</v>
      </c>
      <c r="C438" s="5" t="s">
        <v>3517</v>
      </c>
      <c r="D438" s="28" t="s">
        <v>5174</v>
      </c>
      <c r="F438" s="59">
        <v>45957.3755787037</v>
      </c>
      <c r="G438" s="5" t="str">
        <f>IFERROR(__xludf.DUMMYFUNCTION("LET(
  refItem, TO_TEXT(D438),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IF(ISBLANK(D438),"""", IF(IFERROR(latestMutation,"""")=""OUT"", latestCust, ""AKGREADY"")
))"),"440df1db")</f>
        <v>440df1db</v>
      </c>
    </row>
    <row r="439">
      <c r="B439" s="57" t="s">
        <v>3516</v>
      </c>
      <c r="C439" s="5" t="s">
        <v>3517</v>
      </c>
      <c r="D439" s="28" t="s">
        <v>5189</v>
      </c>
      <c r="F439" s="59">
        <v>45958.460324074076</v>
      </c>
      <c r="G439" s="5" t="str">
        <f>IFERROR(__xludf.DUMMYFUNCTION("LET(
  refItem, TO_TEXT(D439),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IF(ISBLANK(D439),"""", IF(IFERROR(latestMutation,"""")=""OUT"", latestCust, ""AKGREADY"")
))"),"9e66ced9")</f>
        <v>9e66ced9</v>
      </c>
    </row>
    <row r="440">
      <c r="A440" s="10" t="s">
        <v>7343</v>
      </c>
      <c r="B440" s="57" t="s">
        <v>3516</v>
      </c>
      <c r="C440" s="5" t="s">
        <v>3517</v>
      </c>
      <c r="D440" s="28" t="s">
        <v>6094</v>
      </c>
      <c r="F440" s="6">
        <v>46066.568391203706</v>
      </c>
      <c r="G440" s="5" t="str">
        <f>IFERROR(__xludf.DUMMYFUNCTION("LET(
  refItem, TO_TEXT(D440),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IF(ISBLANK(D440),"""", IF(IFERROR(latestMutation,"""")=""OUT"", latestCust, ""AKGREADY"")
))"),"4ec68cf6")</f>
        <v>4ec68cf6</v>
      </c>
    </row>
    <row r="441">
      <c r="A441" s="10" t="s">
        <v>7344</v>
      </c>
      <c r="B441" s="57" t="s">
        <v>3516</v>
      </c>
      <c r="C441" s="5" t="s">
        <v>3517</v>
      </c>
      <c r="D441" s="28" t="s">
        <v>5344</v>
      </c>
      <c r="F441" s="6">
        <v>46072.36224537037</v>
      </c>
      <c r="G441" s="5" t="str">
        <f>IFERROR(__xludf.DUMMYFUNCTION("LET(
  refItem, TO_TEXT(D441),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IF(ISBLANK(D441),"""", IF(IFERROR(latestMutation,"""")=""OUT"", latestCust, ""AKGREADY"")
))"),"98c84274")</f>
        <v>98c84274</v>
      </c>
    </row>
    <row r="442">
      <c r="A442" s="10" t="s">
        <v>7345</v>
      </c>
      <c r="B442" s="57" t="s">
        <v>3516</v>
      </c>
      <c r="C442" s="5" t="s">
        <v>3517</v>
      </c>
      <c r="D442" s="28" t="s">
        <v>6120</v>
      </c>
      <c r="F442" s="6">
        <v>46066.43785879629</v>
      </c>
      <c r="G442" s="5" t="str">
        <f>IFERROR(__xludf.DUMMYFUNCTION("LET(
  refItem, TO_TEXT(D442),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IF(ISBLANK(D442),"""", IF(IFERROR(latestMutation,"""")=""OUT"", latestCust, ""AKGREADY"")
))"),"AKGREADY")</f>
        <v>AKGREADY</v>
      </c>
    </row>
    <row r="443">
      <c r="B443" s="57" t="s">
        <v>3516</v>
      </c>
      <c r="C443" s="5" t="s">
        <v>3517</v>
      </c>
      <c r="D443" s="28" t="s">
        <v>7346</v>
      </c>
      <c r="F443" s="59">
        <v>45978.62351851852</v>
      </c>
      <c r="G443" s="5" t="str">
        <f>IFERROR(__xludf.DUMMYFUNCTION("LET(
  refItem, TO_TEXT(D443),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IF(ISBLANK(D443),"""", IF(IFERROR(latestMutation,"""")=""OUT"", latestCust, ""AKGREADY"")
))"),"9e66ced9")</f>
        <v>9e66ced9</v>
      </c>
    </row>
    <row r="444">
      <c r="A444" s="10" t="s">
        <v>7347</v>
      </c>
      <c r="B444" s="57" t="s">
        <v>3516</v>
      </c>
      <c r="C444" s="5" t="s">
        <v>3517</v>
      </c>
      <c r="D444" s="28" t="s">
        <v>7348</v>
      </c>
      <c r="F444" s="6">
        <v>46072.36261574074</v>
      </c>
      <c r="G444" s="5" t="str">
        <f>IFERROR(__xludf.DUMMYFUNCTION("LET(
  refItem, TO_TEXT(D444),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IF(ISBLANK(D444),"""", IF(IFERROR(latestMutation,"""")=""OUT"", latestCust, ""AKGREADY"")
))"),"1c4d5e93")</f>
        <v>1c4d5e93</v>
      </c>
    </row>
    <row r="445">
      <c r="A445" s="10" t="s">
        <v>7349</v>
      </c>
      <c r="B445" s="57" t="s">
        <v>3516</v>
      </c>
      <c r="C445" s="5" t="s">
        <v>3517</v>
      </c>
      <c r="D445" s="28" t="s">
        <v>5471</v>
      </c>
      <c r="F445" s="6">
        <v>46052.67859953704</v>
      </c>
      <c r="G445" s="5" t="str">
        <f>IFERROR(__xludf.DUMMYFUNCTION("LET(
  refItem, TO_TEXT(D445),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IF(ISBLANK(D445),"""", IF(IFERROR(latestMutation,"""")=""OUT"", latestCust, ""AKGREADY"")
))"),"440df1db")</f>
        <v>440df1db</v>
      </c>
    </row>
    <row r="446">
      <c r="B446" s="57" t="s">
        <v>3516</v>
      </c>
      <c r="C446" s="5" t="s">
        <v>3517</v>
      </c>
      <c r="D446" s="28" t="s">
        <v>5331</v>
      </c>
      <c r="F446" s="59">
        <v>45981.67675925926</v>
      </c>
      <c r="G446" s="5" t="str">
        <f>IFERROR(__xludf.DUMMYFUNCTION("LET(
  refItem, TO_TEXT(D446),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IF(ISBLANK(D446),"""", IF(IFERROR(latestMutation,"""")=""OUT"", latestCust, ""AKGREADY"")
))"),"1c4d5e93")</f>
        <v>1c4d5e93</v>
      </c>
    </row>
    <row r="447">
      <c r="A447" s="10" t="s">
        <v>7350</v>
      </c>
      <c r="B447" s="57" t="s">
        <v>3516</v>
      </c>
      <c r="C447" s="5" t="s">
        <v>3517</v>
      </c>
      <c r="D447" s="28" t="s">
        <v>5653</v>
      </c>
      <c r="F447" s="6">
        <v>46049.40835648148</v>
      </c>
      <c r="G447" s="5" t="str">
        <f>IFERROR(__xludf.DUMMYFUNCTION("LET(
  refItem, TO_TEXT(D447),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IF(ISBLANK(D447),"""", IF(IFERROR(latestMutation,"""")=""OUT"", latestCust, ""AKGREADY"")
))"),"ec231cc9")</f>
        <v>ec231cc9</v>
      </c>
    </row>
    <row r="448">
      <c r="A448" s="10" t="s">
        <v>7351</v>
      </c>
      <c r="B448" s="57" t="s">
        <v>3516</v>
      </c>
      <c r="C448" s="5" t="s">
        <v>3517</v>
      </c>
      <c r="D448" s="28" t="s">
        <v>5319</v>
      </c>
      <c r="F448" s="6">
        <v>46046.53907407408</v>
      </c>
      <c r="G448" s="5" t="str">
        <f>IFERROR(__xludf.DUMMYFUNCTION("LET(
  refItem, TO_TEXT(D448),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IF(ISBLANK(D448),"""", IF(IFERROR(latestMutation,"""")=""OUT"", latestCust, ""AKGREADY"")
))"),"440df1db")</f>
        <v>440df1db</v>
      </c>
    </row>
    <row r="449">
      <c r="A449" s="8" t="s">
        <v>7352</v>
      </c>
      <c r="B449" s="57" t="s">
        <v>3516</v>
      </c>
      <c r="C449" s="5" t="s">
        <v>3517</v>
      </c>
      <c r="D449" s="28" t="s">
        <v>5788</v>
      </c>
      <c r="F449" s="6">
        <v>46049.40855324074</v>
      </c>
      <c r="G449" s="5" t="str">
        <f>IFERROR(__xludf.DUMMYFUNCTION("LET(
  refItem, TO_TEXT(D449),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IF(ISBLANK(D449),"""", IF(IFERROR(latestMutation,"""")=""OUT"", latestCust, ""AKGREADY"")
))"),"AKGREADY")</f>
        <v>AKGREADY</v>
      </c>
    </row>
    <row r="450">
      <c r="A450" s="8" t="s">
        <v>7353</v>
      </c>
      <c r="B450" s="57" t="s">
        <v>3516</v>
      </c>
      <c r="C450" s="5" t="s">
        <v>3517</v>
      </c>
      <c r="D450" s="28" t="s">
        <v>6244</v>
      </c>
      <c r="F450" s="6">
        <v>46081.41740740741</v>
      </c>
      <c r="G450" s="5" t="str">
        <f>IFERROR(__xludf.DUMMYFUNCTION("LET(
  refItem, TO_TEXT(D450),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IF(ISBLANK(D450),"""", IF(IFERROR(latestMutation,"""")=""OUT"", latestCust, ""AKGREADY"")
))"),"b2b5f2c5")</f>
        <v>b2b5f2c5</v>
      </c>
    </row>
    <row r="451">
      <c r="A451" s="28" t="s">
        <v>7354</v>
      </c>
      <c r="B451" s="57" t="s">
        <v>3516</v>
      </c>
      <c r="C451" s="5" t="s">
        <v>3517</v>
      </c>
      <c r="D451" s="28" t="s">
        <v>6514</v>
      </c>
      <c r="F451" s="59">
        <v>46001.47788194445</v>
      </c>
      <c r="G451" s="5" t="str">
        <f>IFERROR(__xludf.DUMMYFUNCTION("LET(
  refItem, TO_TEXT(D451),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IF(ISBLANK(D451),"""", IF(IFERROR(latestMutation,"""")=""OUT"", latestCust, ""AKGREADY"")
))"),"63fc688a")</f>
        <v>63fc688a</v>
      </c>
    </row>
    <row r="452">
      <c r="A452" s="8" t="s">
        <v>7355</v>
      </c>
      <c r="B452" s="5" t="s">
        <v>3516</v>
      </c>
      <c r="C452" s="5" t="s">
        <v>3517</v>
      </c>
      <c r="D452" s="28" t="s">
        <v>6042</v>
      </c>
      <c r="F452" s="6">
        <v>46058.37635416666</v>
      </c>
      <c r="G452" s="5" t="str">
        <f>IFERROR(__xludf.DUMMYFUNCTION("LET(
  refItem, TO_TEXT(D452),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IF(ISBLANK(D452),"""", IF(IFERROR(latestMutation,"""")=""OUT"", latestCust, ""AKGREADY"")
))"),"7b9d8eba")</f>
        <v>7b9d8eba</v>
      </c>
    </row>
    <row r="453">
      <c r="A453" s="5" t="s">
        <v>7356</v>
      </c>
      <c r="B453" s="5" t="s">
        <v>3516</v>
      </c>
      <c r="C453" s="5" t="s">
        <v>3517</v>
      </c>
      <c r="D453" s="28" t="s">
        <v>7357</v>
      </c>
      <c r="F453" s="59">
        <v>46001.47864583333</v>
      </c>
      <c r="G453" s="5" t="str">
        <f>IFERROR(__xludf.DUMMYFUNCTION("LET(
  refItem, TO_TEXT(D453),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IF(ISBLANK(D453),"""", IF(IFERROR(latestMutation,"""")=""OUT"", latestCust, ""AKGREADY"")
))"),"e86baf3b")</f>
        <v>e86baf3b</v>
      </c>
    </row>
    <row r="454">
      <c r="A454" s="10" t="s">
        <v>7358</v>
      </c>
      <c r="B454" s="5" t="s">
        <v>3516</v>
      </c>
      <c r="C454" s="5" t="s">
        <v>3517</v>
      </c>
      <c r="D454" s="28" t="s">
        <v>7359</v>
      </c>
      <c r="F454" s="6">
        <v>46072.362488425926</v>
      </c>
      <c r="G454" s="5" t="str">
        <f>IFERROR(__xludf.DUMMYFUNCTION("LET(
  refItem, TO_TEXT(D454),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IF(ISBLANK(D454),"""", IF(IFERROR(latestMutation,"""")=""OUT"", latestCust, ""AKGREADY"")
))"),"AKGREADY")</f>
        <v>AKGREADY</v>
      </c>
    </row>
    <row r="455">
      <c r="A455" s="10" t="s">
        <v>7360</v>
      </c>
      <c r="B455" s="5" t="s">
        <v>3516</v>
      </c>
      <c r="C455" s="5" t="s">
        <v>3517</v>
      </c>
      <c r="D455" s="28" t="s">
        <v>7361</v>
      </c>
      <c r="F455" s="6">
        <v>46063.521215277775</v>
      </c>
      <c r="G455" s="5" t="str">
        <f>IFERROR(__xludf.DUMMYFUNCTION("LET(
  refItem, TO_TEXT(D455),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IF(ISBLANK(D455),"""", IF(IFERROR(latestMutation,"""")=""OUT"", latestCust, ""AKGREADY"")
))"),"1c4d5e93")</f>
        <v>1c4d5e93</v>
      </c>
    </row>
    <row r="456">
      <c r="A456" s="10" t="s">
        <v>7362</v>
      </c>
      <c r="B456" s="5" t="s">
        <v>3516</v>
      </c>
      <c r="C456" s="5" t="s">
        <v>3517</v>
      </c>
      <c r="D456" s="28" t="s">
        <v>6023</v>
      </c>
      <c r="F456" s="6">
        <v>46056.555925925924</v>
      </c>
      <c r="G456" s="5" t="str">
        <f>IFERROR(__xludf.DUMMYFUNCTION("LET(
  refItem, TO_TEXT(D456),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IF(ISBLANK(D456),"""", IF(IFERROR(latestMutation,"""")=""OUT"", latestCust, ""AKGREADY"")
))"),"b218b89b")</f>
        <v>b218b89b</v>
      </c>
    </row>
    <row r="457">
      <c r="A457" s="10" t="s">
        <v>7363</v>
      </c>
      <c r="B457" s="5" t="s">
        <v>3516</v>
      </c>
      <c r="C457" s="5" t="s">
        <v>3517</v>
      </c>
      <c r="D457" s="28" t="s">
        <v>5649</v>
      </c>
      <c r="F457" s="6">
        <v>46049.40675925926</v>
      </c>
      <c r="G457" s="5" t="str">
        <f>IFERROR(__xludf.DUMMYFUNCTION("LET(
  refItem, TO_TEXT(D457),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IF(ISBLANK(D457),"""", IF(IFERROR(latestMutation,"""")=""OUT"", latestCust, ""AKGREADY"")
))"),"98c84274")</f>
        <v>98c84274</v>
      </c>
    </row>
    <row r="458">
      <c r="A458" s="5" t="s">
        <v>7364</v>
      </c>
      <c r="B458" s="5" t="s">
        <v>3516</v>
      </c>
      <c r="C458" s="5" t="s">
        <v>3517</v>
      </c>
      <c r="D458" s="28" t="s">
        <v>7365</v>
      </c>
      <c r="F458" s="59">
        <v>46001.480729166666</v>
      </c>
      <c r="G458" s="5" t="str">
        <f>IFERROR(__xludf.DUMMYFUNCTION("LET(
  refItem, TO_TEXT(D458),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IF(ISBLANK(D458),"""", IF(IFERROR(latestMutation,"""")=""OUT"", latestCust, ""AKGREADY"")
))"),"e86baf3b")</f>
        <v>e86baf3b</v>
      </c>
    </row>
    <row r="459">
      <c r="A459" s="5" t="s">
        <v>7366</v>
      </c>
      <c r="B459" s="5" t="s">
        <v>3516</v>
      </c>
      <c r="C459" s="5" t="s">
        <v>3517</v>
      </c>
      <c r="D459" s="28" t="s">
        <v>7367</v>
      </c>
      <c r="F459" s="59">
        <v>46001.4809837963</v>
      </c>
      <c r="G459" s="5" t="str">
        <f>IFERROR(__xludf.DUMMYFUNCTION("LET(
  refItem, TO_TEXT(D459),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IF(ISBLANK(D459),"""", IF(IFERROR(latestMutation,"""")=""OUT"", latestCust, ""AKGREADY"")
))"),"e86baf3b")</f>
        <v>e86baf3b</v>
      </c>
    </row>
    <row r="460">
      <c r="A460" s="5" t="s">
        <v>7368</v>
      </c>
      <c r="B460" s="5" t="s">
        <v>3516</v>
      </c>
      <c r="C460" s="5" t="s">
        <v>3517</v>
      </c>
      <c r="D460" s="28" t="s">
        <v>5781</v>
      </c>
      <c r="F460" s="59">
        <v>46001.481157407405</v>
      </c>
      <c r="G460" s="5" t="str">
        <f>IFERROR(__xludf.DUMMYFUNCTION("LET(
  refItem, TO_TEXT(D460),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IF(ISBLANK(D460),"""", IF(IFERROR(latestMutation,"""")=""OUT"", latestCust, ""AKGREADY"")
))"),"b218b89b")</f>
        <v>b218b89b</v>
      </c>
    </row>
    <row r="461">
      <c r="A461" s="10" t="s">
        <v>7369</v>
      </c>
      <c r="B461" s="5" t="s">
        <v>3516</v>
      </c>
      <c r="C461" s="5" t="s">
        <v>3517</v>
      </c>
      <c r="D461" s="28" t="s">
        <v>5598</v>
      </c>
      <c r="F461" s="6">
        <v>46052.679074074076</v>
      </c>
      <c r="G461" s="5" t="str">
        <f>IFERROR(__xludf.DUMMYFUNCTION("LET(
  refItem, TO_TEXT(D461),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IF(ISBLANK(D461),"""", IF(IFERROR(latestMutation,"""")=""OUT"", latestCust, ""AKGREADY"")
))"),"63fc688a")</f>
        <v>63fc688a</v>
      </c>
    </row>
    <row r="462">
      <c r="A462" s="5" t="s">
        <v>7370</v>
      </c>
      <c r="B462" s="5" t="s">
        <v>3516</v>
      </c>
      <c r="C462" s="5" t="s">
        <v>3517</v>
      </c>
      <c r="D462" s="28" t="s">
        <v>7371</v>
      </c>
      <c r="F462" s="59">
        <v>46001.481527777774</v>
      </c>
      <c r="G462" s="5" t="str">
        <f>IFERROR(__xludf.DUMMYFUNCTION("LET(
  refItem, TO_TEXT(D462),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IF(ISBLANK(D462),"""", IF(IFERROR(latestMutation,"""")=""OUT"", latestCust, ""AKGREADY"")
))"),"e86baf3b")</f>
        <v>e86baf3b</v>
      </c>
    </row>
    <row r="463">
      <c r="A463" s="8" t="s">
        <v>7372</v>
      </c>
      <c r="B463" s="2" t="s">
        <v>3486</v>
      </c>
      <c r="C463" s="2" t="s">
        <v>3487</v>
      </c>
      <c r="D463" s="8" t="s">
        <v>6542</v>
      </c>
      <c r="F463" s="6">
        <v>46030.516863425924</v>
      </c>
      <c r="G463" s="5" t="str">
        <f>IFERROR(__xludf.DUMMYFUNCTION("LET(  refItem, TO_TEXT(D463),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IF(ISBLANK(D463),"""", IF(IFERROR(latestMutation,"""")=""OUT"", latestCust, ""AKGREADY"")))"),"514e8cd0")</f>
        <v>514e8cd0</v>
      </c>
    </row>
    <row r="464">
      <c r="A464" s="10" t="s">
        <v>7373</v>
      </c>
      <c r="B464" s="2" t="s">
        <v>3835</v>
      </c>
      <c r="C464" s="2" t="s">
        <v>3836</v>
      </c>
      <c r="D464" s="10" t="s">
        <v>5713</v>
      </c>
      <c r="F464" s="6">
        <v>46030.52118055556</v>
      </c>
      <c r="G464" s="5" t="str">
        <f>IFERROR(__xludf.DUMMYFUNCTION("LET(  refItem, TO_TEXT(D464),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IF(ISBLANK(D464),"""", IF(IFERROR(latestMutation,"""")=""OUT"", latestCust, ""AKGREADY"")))"),"a1508027")</f>
        <v>a1508027</v>
      </c>
    </row>
    <row r="465">
      <c r="A465" s="10" t="s">
        <v>7374</v>
      </c>
      <c r="B465" s="2" t="s">
        <v>3835</v>
      </c>
      <c r="C465" s="2" t="s">
        <v>3836</v>
      </c>
      <c r="D465" s="10" t="s">
        <v>7375</v>
      </c>
      <c r="F465" s="6">
        <v>46030.521678240744</v>
      </c>
      <c r="G465" s="5" t="str">
        <f>IFERROR(__xludf.DUMMYFUNCTION("LET(  refItem, TO_TEXT(D465),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IF(ISBLANK(D465),"""", IF(IFERROR(latestMutation,"""")=""OUT"", latestCust, ""AKGREADY"")))"),"6b737895")</f>
        <v>6b737895</v>
      </c>
    </row>
    <row r="466">
      <c r="A466" s="10" t="s">
        <v>7376</v>
      </c>
      <c r="B466" s="2" t="s">
        <v>4203</v>
      </c>
      <c r="C466" s="2" t="s">
        <v>4204</v>
      </c>
      <c r="D466" s="10" t="s">
        <v>7377</v>
      </c>
      <c r="F466" s="6">
        <v>46030.53508101852</v>
      </c>
      <c r="G466" s="5" t="str">
        <f>IFERROR(__xludf.DUMMYFUNCTION("LET(  refItem, TO_TEXT(D466),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IF(ISBLANK(D466),"""", IF(IFERROR(latestMutation,"""")=""OUT"", latestCust, ""AKGREADY"")))"),"de41c3e8")</f>
        <v>de41c3e8</v>
      </c>
      <c r="H466" s="2" t="s">
        <v>7378</v>
      </c>
    </row>
    <row r="467">
      <c r="A467" s="10" t="s">
        <v>7379</v>
      </c>
      <c r="B467" s="2" t="s">
        <v>4203</v>
      </c>
      <c r="C467" s="2" t="s">
        <v>4204</v>
      </c>
      <c r="D467" s="10" t="s">
        <v>6451</v>
      </c>
      <c r="F467" s="6">
        <v>46049.4087037037</v>
      </c>
      <c r="G467" s="5" t="str">
        <f>IFERROR(__xludf.DUMMYFUNCTION("LET(  refItem, TO_TEXT(D467),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IF(ISBLANK(D467),"""", IF(IFERROR(latestMutation,"""")=""OUT"", latestCust, ""AKGREADY"")))"),"AKGREADY")</f>
        <v>AKGREADY</v>
      </c>
      <c r="H467" s="2" t="s">
        <v>7378</v>
      </c>
    </row>
    <row r="468">
      <c r="A468" s="10" t="s">
        <v>7380</v>
      </c>
      <c r="B468" s="2" t="s">
        <v>4203</v>
      </c>
      <c r="C468" s="2" t="s">
        <v>4204</v>
      </c>
      <c r="D468" s="10" t="s">
        <v>7381</v>
      </c>
      <c r="F468" s="6">
        <v>46030.53559027778</v>
      </c>
      <c r="G468" s="5" t="str">
        <f>IFERROR(__xludf.DUMMYFUNCTION("LET(  refItem, TO_TEXT(D468),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IF(ISBLANK(D468),"""", IF(IFERROR(latestMutation,"""")=""OUT"", latestCust, ""AKGREADY"")))"),"AKGREADY")</f>
        <v>AKGREADY</v>
      </c>
      <c r="H468" s="2" t="s">
        <v>7378</v>
      </c>
    </row>
    <row r="469">
      <c r="A469" s="10" t="s">
        <v>7382</v>
      </c>
      <c r="B469" s="2" t="s">
        <v>4203</v>
      </c>
      <c r="C469" s="2" t="s">
        <v>4204</v>
      </c>
      <c r="D469" s="10" t="s">
        <v>6606</v>
      </c>
      <c r="F469" s="6">
        <v>46049.40880787037</v>
      </c>
      <c r="G469" s="5" t="str">
        <f>IFERROR(__xludf.DUMMYFUNCTION("LET(  refItem, TO_TEXT(D469),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IF(ISBLANK(D469),"""", IF(IFERROR(latestMutation,"""")=""OUT"", latestCust, ""AKGREADY"")))"),"58b72e0c")</f>
        <v>58b72e0c</v>
      </c>
      <c r="H469" s="2" t="s">
        <v>7378</v>
      </c>
    </row>
    <row r="470">
      <c r="A470" s="10" t="s">
        <v>7383</v>
      </c>
      <c r="B470" s="2" t="s">
        <v>4203</v>
      </c>
      <c r="C470" s="2" t="s">
        <v>4204</v>
      </c>
      <c r="D470" s="10" t="s">
        <v>7384</v>
      </c>
      <c r="F470" s="6">
        <v>46030.53618055556</v>
      </c>
      <c r="G470" s="5" t="str">
        <f>IFERROR(__xludf.DUMMYFUNCTION("LET(  refItem, TO_TEXT(D470),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IF(ISBLANK(D470),"""", IF(IFERROR(latestMutation,"""")=""OUT"", latestCust, ""AKGREADY"")))"),"de41c3e8")</f>
        <v>de41c3e8</v>
      </c>
      <c r="H470" s="2" t="s">
        <v>7378</v>
      </c>
    </row>
    <row r="471">
      <c r="A471" s="10" t="s">
        <v>7385</v>
      </c>
      <c r="B471" s="2" t="s">
        <v>4203</v>
      </c>
      <c r="C471" s="2" t="s">
        <v>4204</v>
      </c>
      <c r="D471" s="10" t="s">
        <v>7386</v>
      </c>
      <c r="F471" s="6">
        <v>46052.67935185185</v>
      </c>
      <c r="G471" s="5" t="str">
        <f>IFERROR(__xludf.DUMMYFUNCTION("LET(  refItem, TO_TEXT(D471),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IF(ISBLANK(D471),"""", IF(IFERROR(latestMutation,"""")=""OUT"", latestCust, ""AKGREADY"")))"),"4ec68cf6")</f>
        <v>4ec68cf6</v>
      </c>
      <c r="H471" s="2" t="s">
        <v>7378</v>
      </c>
    </row>
    <row r="472">
      <c r="A472" s="10" t="s">
        <v>7387</v>
      </c>
      <c r="B472" s="2" t="s">
        <v>4203</v>
      </c>
      <c r="C472" s="2" t="s">
        <v>4204</v>
      </c>
      <c r="D472" s="10" t="s">
        <v>6578</v>
      </c>
      <c r="F472" s="6">
        <v>46049.40893518519</v>
      </c>
      <c r="G472" s="5" t="str">
        <f>IFERROR(__xludf.DUMMYFUNCTION("LET(  refItem, TO_TEXT(D472),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IF(ISBLANK(D472),"""", IF(IFERROR(latestMutation,"""")=""OUT"", latestCust, ""AKGREADY"")))"),"01158be1")</f>
        <v>01158be1</v>
      </c>
      <c r="H472" s="2" t="s">
        <v>7378</v>
      </c>
    </row>
    <row r="473">
      <c r="A473" s="10" t="s">
        <v>7388</v>
      </c>
      <c r="B473" s="2" t="s">
        <v>4203</v>
      </c>
      <c r="C473" s="2" t="s">
        <v>4204</v>
      </c>
      <c r="D473" s="10" t="s">
        <v>7389</v>
      </c>
      <c r="F473" s="6">
        <v>46030.5369212963</v>
      </c>
      <c r="G473" s="5" t="str">
        <f>IFERROR(__xludf.DUMMYFUNCTION("LET(  refItem, TO_TEXT(D473),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IF(ISBLANK(D473),"""", IF(IFERROR(latestMutation,"""")=""OUT"", latestCust, ""AKGREADY"")))"),"785e0e07")</f>
        <v>785e0e07</v>
      </c>
      <c r="H473" s="2" t="s">
        <v>7378</v>
      </c>
    </row>
    <row r="474">
      <c r="A474" s="10" t="s">
        <v>7390</v>
      </c>
      <c r="B474" s="2" t="s">
        <v>3486</v>
      </c>
      <c r="C474" s="2" t="s">
        <v>3487</v>
      </c>
      <c r="D474" s="10" t="s">
        <v>7391</v>
      </c>
      <c r="F474" s="6">
        <v>46062.58069444444</v>
      </c>
      <c r="G474" s="5" t="str">
        <f>IFERROR(__xludf.DUMMYFUNCTION("LET(  refItem, TO_TEXT(D474),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IF(ISBLANK(D474),"""", IF(IFERROR(latestMutation,"""")=""OUT"", latestCust, ""AKGREADY"")))"),"01158be1")</f>
        <v>01158be1</v>
      </c>
      <c r="H474" s="2" t="s">
        <v>7378</v>
      </c>
    </row>
    <row r="475">
      <c r="A475" s="10" t="s">
        <v>7392</v>
      </c>
      <c r="B475" s="2" t="s">
        <v>3835</v>
      </c>
      <c r="C475" s="2" t="s">
        <v>3836</v>
      </c>
      <c r="D475" s="10" t="s">
        <v>5730</v>
      </c>
      <c r="F475" s="6">
        <v>46030.53936342592</v>
      </c>
      <c r="G475" s="5" t="str">
        <f>IFERROR(__xludf.DUMMYFUNCTION("LET(  refItem, TO_TEXT(D475),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IF(ISBLANK(D475),"""", IF(IFERROR(latestMutation,"""")=""OUT"", latestCust, ""AKGREADY"")))"),"52cc8b7f")</f>
        <v>52cc8b7f</v>
      </c>
    </row>
    <row r="476">
      <c r="A476" s="10" t="s">
        <v>7393</v>
      </c>
      <c r="B476" s="60" t="s">
        <v>3835</v>
      </c>
      <c r="C476" s="2" t="s">
        <v>3836</v>
      </c>
      <c r="D476" s="10" t="s">
        <v>5102</v>
      </c>
      <c r="F476" s="6">
        <v>46030.53969907408</v>
      </c>
      <c r="G476" s="5" t="str">
        <f>IFERROR(__xludf.DUMMYFUNCTION("LET(  refItem, TO_TEXT(D476),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IF(ISBLANK(D476),"""", IF(IFERROR(latestMutation,"""")=""OUT"", latestCust, ""AKGREADY"")))"),"b89c20a1")</f>
        <v>b89c20a1</v>
      </c>
    </row>
    <row r="477">
      <c r="A477" s="10" t="s">
        <v>7394</v>
      </c>
      <c r="B477" s="60" t="s">
        <v>3835</v>
      </c>
      <c r="C477" s="2" t="s">
        <v>3836</v>
      </c>
      <c r="D477" s="10" t="s">
        <v>7395</v>
      </c>
      <c r="F477" s="6">
        <v>46030.53983796296</v>
      </c>
      <c r="G477" s="5" t="str">
        <f>IFERROR(__xludf.DUMMYFUNCTION("LET(  refItem, TO_TEXT(D477),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IF(ISBLANK(D477),"""", IF(IFERROR(latestMutation,"""")=""OUT"", latestCust, ""AKGREADY"")))"),"AKGREADY")</f>
        <v>AKGREADY</v>
      </c>
    </row>
    <row r="478">
      <c r="A478" s="10" t="s">
        <v>7396</v>
      </c>
      <c r="B478" s="60" t="s">
        <v>3585</v>
      </c>
      <c r="C478" s="2" t="s">
        <v>3586</v>
      </c>
      <c r="D478" s="10" t="s">
        <v>4503</v>
      </c>
      <c r="F478" s="6">
        <v>46030.54185185185</v>
      </c>
      <c r="G478" s="5" t="str">
        <f>IFERROR(__xludf.DUMMYFUNCTION("LET(  refItem, TO_TEXT(D478),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IF(ISBLANK(D478),"""", IF(IFERROR(latestMutation,"""")=""OUT"", latestCust, ""AKGREADY"")))"),"e86baf3b")</f>
        <v>e86baf3b</v>
      </c>
      <c r="H478" s="2" t="s">
        <v>7378</v>
      </c>
    </row>
    <row r="479">
      <c r="A479" s="10" t="s">
        <v>7397</v>
      </c>
      <c r="B479" s="60" t="s">
        <v>3585</v>
      </c>
      <c r="C479" s="2" t="s">
        <v>3586</v>
      </c>
      <c r="D479" s="10" t="s">
        <v>6450</v>
      </c>
      <c r="F479" s="6">
        <v>46050.56903935185</v>
      </c>
      <c r="G479" s="5" t="str">
        <f>IFERROR(__xludf.DUMMYFUNCTION("LET(  refItem, TO_TEXT(D479),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IF(ISBLANK(D479),"""", IF(IFERROR(latestMutation,"""")=""OUT"", latestCust, ""AKGREADY"")))"),"AKGREADY")</f>
        <v>AKGREADY</v>
      </c>
      <c r="H479" s="2" t="s">
        <v>7378</v>
      </c>
    </row>
    <row r="480">
      <c r="A480" s="10" t="s">
        <v>7398</v>
      </c>
      <c r="B480" s="60" t="s">
        <v>3585</v>
      </c>
      <c r="C480" s="2" t="s">
        <v>3586</v>
      </c>
      <c r="D480" s="10" t="s">
        <v>5945</v>
      </c>
      <c r="F480" s="6">
        <v>46046.508935185186</v>
      </c>
      <c r="G480" s="5" t="str">
        <f>IFERROR(__xludf.DUMMYFUNCTION("LET(  refItem, TO_TEXT(D480),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IF(ISBLANK(D480),"""", IF(IFERROR(latestMutation,"""")=""OUT"", latestCust, ""AKGREADY"")))"),"89d46c39")</f>
        <v>89d46c39</v>
      </c>
      <c r="H480" s="2"/>
    </row>
    <row r="481">
      <c r="A481" s="10" t="s">
        <v>7399</v>
      </c>
      <c r="B481" s="60" t="s">
        <v>3585</v>
      </c>
      <c r="C481" s="2" t="s">
        <v>3586</v>
      </c>
      <c r="D481" s="10" t="s">
        <v>6200</v>
      </c>
      <c r="F481" s="6">
        <v>46050.56886574074</v>
      </c>
      <c r="G481" s="5" t="str">
        <f>IFERROR(__xludf.DUMMYFUNCTION("LET(  refItem, TO_TEXT(D481),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IF(ISBLANK(D481),"""", IF(IFERROR(latestMutation,"""")=""OUT"", latestCust, ""AKGREADY"")))"),"AKGREADY")</f>
        <v>AKGREADY</v>
      </c>
      <c r="H481" s="2" t="s">
        <v>7378</v>
      </c>
    </row>
    <row r="482">
      <c r="A482" s="10" t="s">
        <v>7400</v>
      </c>
      <c r="B482" s="60" t="s">
        <v>3585</v>
      </c>
      <c r="C482" s="2" t="s">
        <v>3586</v>
      </c>
      <c r="D482" s="10" t="s">
        <v>7401</v>
      </c>
      <c r="F482" s="6">
        <v>46050.56916666667</v>
      </c>
      <c r="G482" s="5" t="str">
        <f>IFERROR(__xludf.DUMMYFUNCTION("LET(  refItem, TO_TEXT(D482),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IF(ISBLANK(D482),"""", IF(IFERROR(latestMutation,"""")=""OUT"", latestCust, ""AKGREADY"")))"),"AKGREADY")</f>
        <v>AKGREADY</v>
      </c>
      <c r="H482" s="2" t="s">
        <v>7378</v>
      </c>
    </row>
    <row r="483">
      <c r="A483" s="10" t="s">
        <v>7402</v>
      </c>
      <c r="B483" s="60" t="s">
        <v>3585</v>
      </c>
      <c r="C483" s="2" t="s">
        <v>3586</v>
      </c>
      <c r="D483" s="10" t="s">
        <v>7403</v>
      </c>
      <c r="F483" s="6">
        <v>46050.56929398148</v>
      </c>
      <c r="G483" s="5" t="str">
        <f>IFERROR(__xludf.DUMMYFUNCTION("LET(  refItem, TO_TEXT(D483),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IF(ISBLANK(D483),"""", IF(IFERROR(latestMutation,"""")=""OUT"", latestCust, ""AKGREADY"")))"),"AKGREADY")</f>
        <v>AKGREADY</v>
      </c>
      <c r="H483" s="2" t="s">
        <v>7378</v>
      </c>
    </row>
    <row r="484">
      <c r="A484" s="10" t="s">
        <v>7404</v>
      </c>
      <c r="B484" s="60" t="s">
        <v>3585</v>
      </c>
      <c r="C484" s="2" t="s">
        <v>3586</v>
      </c>
      <c r="D484" s="10" t="s">
        <v>6263</v>
      </c>
      <c r="F484" s="6">
        <v>46050.569444444445</v>
      </c>
      <c r="G484" s="5" t="str">
        <f>IFERROR(__xludf.DUMMYFUNCTION("LET(  refItem, TO_TEXT(D484),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IF(ISBLANK(D484),"""", IF(IFERROR(latestMutation,"""")=""OUT"", latestCust, ""AKGREADY"")))"),"AKGREADY")</f>
        <v>AKGREADY</v>
      </c>
      <c r="H484" s="2" t="s">
        <v>7378</v>
      </c>
    </row>
    <row r="485">
      <c r="A485" s="10" t="s">
        <v>7405</v>
      </c>
      <c r="B485" s="60" t="s">
        <v>3486</v>
      </c>
      <c r="C485" s="2" t="s">
        <v>3487</v>
      </c>
      <c r="D485" s="10" t="s">
        <v>7406</v>
      </c>
      <c r="F485" s="6">
        <v>46072.428449074076</v>
      </c>
      <c r="G485" s="5" t="str">
        <f>IFERROR(__xludf.DUMMYFUNCTION("LET(  refItem, TO_TEXT(D485),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IF(ISBLANK(D485),"""", IF(IFERROR(latestMutation,"""")=""OUT"", latestCust, ""AKGREADY"")))"),"01158be1")</f>
        <v>01158be1</v>
      </c>
      <c r="H485" s="2"/>
    </row>
    <row r="486">
      <c r="A486" s="10" t="s">
        <v>7407</v>
      </c>
      <c r="B486" s="60" t="s">
        <v>3486</v>
      </c>
      <c r="C486" s="2" t="s">
        <v>3487</v>
      </c>
      <c r="D486" s="10" t="s">
        <v>6239</v>
      </c>
      <c r="F486" s="6">
        <v>46034.56386574074</v>
      </c>
      <c r="G486" s="5" t="str">
        <f>IFERROR(__xludf.DUMMYFUNCTION("LET(  refItem, TO_TEXT(D486),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IF(ISBLANK(D486),"""", IF(IFERROR(latestMutation,"""")=""OUT"", latestCust, ""AKGREADY"")))"),"9828dfc5")</f>
        <v>9828dfc5</v>
      </c>
      <c r="H486" s="2"/>
    </row>
    <row r="487">
      <c r="A487" s="2"/>
      <c r="B487" s="60"/>
      <c r="C487" s="2"/>
      <c r="D487" s="2"/>
      <c r="F487" s="6"/>
    </row>
    <row r="488">
      <c r="A488" s="2"/>
      <c r="B488" s="60"/>
      <c r="C488" s="2"/>
      <c r="D488" s="2"/>
      <c r="F488" s="6"/>
    </row>
    <row r="489">
      <c r="A489" s="10" t="s">
        <v>7408</v>
      </c>
      <c r="B489" s="60" t="s">
        <v>5765</v>
      </c>
      <c r="C489" s="2" t="s">
        <v>5766</v>
      </c>
      <c r="D489" s="10" t="s">
        <v>7409</v>
      </c>
      <c r="F489" s="6">
        <v>46050.65305555556</v>
      </c>
      <c r="G489" s="5" t="str">
        <f>IFERROR(__xludf.DUMMYFUNCTION("LET(  refItem, TO_TEXT(D489),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IF(ISBLANK(D489),"""", IF(IFERROR(latestMutation,"""")=""OUT"", latestCust, ""AKGREADY"")))"),"d9b2fac5")</f>
        <v>d9b2fac5</v>
      </c>
    </row>
    <row r="490">
      <c r="A490" s="10" t="s">
        <v>7410</v>
      </c>
      <c r="B490" s="60" t="s">
        <v>5765</v>
      </c>
      <c r="C490" s="2" t="s">
        <v>5766</v>
      </c>
      <c r="D490" s="10" t="s">
        <v>7411</v>
      </c>
      <c r="F490" s="6">
        <v>46050.65284722222</v>
      </c>
      <c r="G490" s="5" t="str">
        <f>IFERROR(__xludf.DUMMYFUNCTION("LET(  refItem, TO_TEXT(D490),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IF(ISBLANK(D490),"""", IF(IFERROR(latestMutation,"""")=""OUT"", latestCust, ""AKGREADY"")))"),"d9b2fac5")</f>
        <v>d9b2fac5</v>
      </c>
    </row>
    <row r="491">
      <c r="A491" s="10" t="s">
        <v>7412</v>
      </c>
      <c r="B491" s="60" t="s">
        <v>5765</v>
      </c>
      <c r="C491" s="2" t="s">
        <v>5766</v>
      </c>
      <c r="D491" s="10" t="s">
        <v>7413</v>
      </c>
      <c r="F491" s="6">
        <v>46050.65268518519</v>
      </c>
      <c r="G491" s="5" t="str">
        <f>IFERROR(__xludf.DUMMYFUNCTION("LET(  refItem, TO_TEXT(D491),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IF(ISBLANK(D491),"""", IF(IFERROR(latestMutation,"""")=""OUT"", latestCust, ""AKGREADY"")))"),"AKGREADY")</f>
        <v>AKGREADY</v>
      </c>
    </row>
    <row r="492">
      <c r="A492" s="10" t="s">
        <v>7414</v>
      </c>
      <c r="B492" s="60" t="s">
        <v>5765</v>
      </c>
      <c r="C492" s="2" t="s">
        <v>5766</v>
      </c>
      <c r="D492" s="10" t="s">
        <v>5767</v>
      </c>
      <c r="F492" s="6">
        <v>46032.483136574076</v>
      </c>
      <c r="G492" s="5" t="str">
        <f>IFERROR(__xludf.DUMMYFUNCTION("LET(  refItem, TO_TEXT(D492),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IF(ISBLANK(D492),"""", IF(IFERROR(latestMutation,"""")=""OUT"", latestCust, ""AKGREADY"")))"),"AKGREADY")</f>
        <v>AKGREADY</v>
      </c>
    </row>
    <row r="493">
      <c r="A493" s="10" t="s">
        <v>7415</v>
      </c>
      <c r="B493" s="60" t="s">
        <v>5765</v>
      </c>
      <c r="C493" s="2" t="s">
        <v>5766</v>
      </c>
      <c r="D493" s="10" t="s">
        <v>7416</v>
      </c>
      <c r="F493" s="6">
        <v>46050.65255787037</v>
      </c>
      <c r="G493" s="5" t="str">
        <f>IFERROR(__xludf.DUMMYFUNCTION("LET(  refItem, TO_TEXT(D493),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IF(ISBLANK(D493),"""", IF(IFERROR(latestMutation,"""")=""OUT"", latestCust, ""AKGREADY"")))"),"d9b2fac5")</f>
        <v>d9b2fac5</v>
      </c>
    </row>
    <row r="494">
      <c r="A494" s="10" t="s">
        <v>7417</v>
      </c>
      <c r="B494" s="60" t="s">
        <v>3493</v>
      </c>
      <c r="C494" s="2" t="s">
        <v>3494</v>
      </c>
      <c r="D494" s="2" t="s">
        <v>5817</v>
      </c>
      <c r="F494" s="6">
        <v>46032.48903935185</v>
      </c>
      <c r="G494" s="5" t="str">
        <f>IFERROR(__xludf.DUMMYFUNCTION("LET(  refItem, TO_TEXT(D494),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IF(ISBLANK(D494),"""", IF(IFERROR(latestMutation,"""")=""OUT"", latestCust, ""AKGREADY"")))"),"AKGREADY")</f>
        <v>AKGREADY</v>
      </c>
    </row>
    <row r="495">
      <c r="A495" s="10" t="s">
        <v>7418</v>
      </c>
      <c r="B495" s="60" t="s">
        <v>3493</v>
      </c>
      <c r="C495" s="2" t="s">
        <v>3494</v>
      </c>
      <c r="D495" s="2" t="s">
        <v>5783</v>
      </c>
      <c r="F495" s="6">
        <v>46032.48966435185</v>
      </c>
      <c r="G495" s="5" t="str">
        <f>IFERROR(__xludf.DUMMYFUNCTION("LET(  refItem, TO_TEXT(D495),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IF(ISBLANK(D495),"""", IF(IFERROR(latestMutation,"""")=""OUT"", latestCust, ""AKGREADY"")))"),"AKGREADY")</f>
        <v>AKGREADY</v>
      </c>
    </row>
    <row r="496">
      <c r="A496" s="10" t="s">
        <v>7419</v>
      </c>
      <c r="B496" s="2" t="s">
        <v>3493</v>
      </c>
      <c r="C496" s="2" t="s">
        <v>3494</v>
      </c>
      <c r="D496" s="2" t="s">
        <v>6195</v>
      </c>
      <c r="F496" s="6">
        <v>46032.489907407406</v>
      </c>
      <c r="G496" s="5" t="str">
        <f>IFERROR(__xludf.DUMMYFUNCTION("LET(  refItem, TO_TEXT(D496),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IF(ISBLANK(D496),"""", IF(IFERROR(latestMutation,"""")=""OUT"", latestCust, ""AKGREADY"")))"),"AKGREADY")</f>
        <v>AKGREADY</v>
      </c>
    </row>
    <row r="497">
      <c r="A497" s="10" t="s">
        <v>7420</v>
      </c>
      <c r="B497" s="2" t="s">
        <v>3493</v>
      </c>
      <c r="C497" s="2" t="s">
        <v>3494</v>
      </c>
      <c r="D497" s="2" t="s">
        <v>6090</v>
      </c>
      <c r="F497" s="6">
        <v>46032.49085648148</v>
      </c>
      <c r="G497" s="5" t="str">
        <f>IFERROR(__xludf.DUMMYFUNCTION("LET(  refItem, TO_TEXT(D497),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IF(ISBLANK(D497),"""", IF(IFERROR(latestMutation,"""")=""OUT"", latestCust, ""AKGREADY"")))"),"eec2e801")</f>
        <v>eec2e801</v>
      </c>
    </row>
    <row r="498">
      <c r="A498" s="10" t="s">
        <v>7421</v>
      </c>
      <c r="B498" s="2" t="s">
        <v>3493</v>
      </c>
      <c r="C498" s="2" t="s">
        <v>3494</v>
      </c>
      <c r="D498" s="2" t="s">
        <v>6230</v>
      </c>
      <c r="F498" s="6">
        <v>46032.491122685184</v>
      </c>
      <c r="G498" s="5" t="str">
        <f>IFERROR(__xludf.DUMMYFUNCTION("LET(  refItem, TO_TEXT(D498),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IF(ISBLANK(D498),"""", IF(IFERROR(latestMutation,"""")=""OUT"", latestCust, ""AKGREADY"")))"),"98c84274")</f>
        <v>98c84274</v>
      </c>
    </row>
    <row r="499">
      <c r="A499" s="10" t="s">
        <v>7422</v>
      </c>
      <c r="B499" s="2" t="s">
        <v>3493</v>
      </c>
      <c r="C499" s="2" t="s">
        <v>3494</v>
      </c>
      <c r="D499" s="2" t="s">
        <v>6078</v>
      </c>
      <c r="F499" s="6">
        <v>46032.491319444445</v>
      </c>
      <c r="G499" s="5" t="str">
        <f>IFERROR(__xludf.DUMMYFUNCTION("LET(  refItem, TO_TEXT(D499),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IF(ISBLANK(D499),"""", IF(IFERROR(latestMutation,"""")=""OUT"", latestCust, ""AKGREADY"")))"),"AKGREADY")</f>
        <v>AKGREADY</v>
      </c>
    </row>
    <row r="500">
      <c r="A500" s="10" t="s">
        <v>7423</v>
      </c>
      <c r="B500" s="2" t="s">
        <v>3493</v>
      </c>
      <c r="C500" s="2" t="s">
        <v>3494</v>
      </c>
      <c r="D500" s="2" t="s">
        <v>6156</v>
      </c>
      <c r="F500" s="6">
        <v>46032.491574074076</v>
      </c>
      <c r="G500" s="5" t="str">
        <f>IFERROR(__xludf.DUMMYFUNCTION("LET(  refItem, TO_TEXT(D500),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IF(ISBLANK(D500),"""", IF(IFERROR(latestMutation,"""")=""OUT"", latestCust, ""AKGREADY"")))"),"057b6b99")</f>
        <v>057b6b99</v>
      </c>
    </row>
    <row r="501">
      <c r="A501" s="10" t="s">
        <v>7424</v>
      </c>
      <c r="B501" s="2" t="s">
        <v>3493</v>
      </c>
      <c r="C501" s="2" t="s">
        <v>3494</v>
      </c>
      <c r="D501" s="2" t="s">
        <v>6395</v>
      </c>
      <c r="F501" s="6">
        <v>46032.491736111115</v>
      </c>
      <c r="G501" s="5" t="str">
        <f>IFERROR(__xludf.DUMMYFUNCTION("LET(  refItem, TO_TEXT(D501),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IF(ISBLANK(D501),"""", IF(IFERROR(latestMutation,"""")=""OUT"", latestCust, ""AKGREADY"")))"),"AKGREADY")</f>
        <v>AKGREADY</v>
      </c>
    </row>
    <row r="502">
      <c r="A502" s="10" t="s">
        <v>7425</v>
      </c>
      <c r="B502" s="2" t="s">
        <v>3493</v>
      </c>
      <c r="C502" s="2" t="s">
        <v>3494</v>
      </c>
      <c r="D502" s="2" t="s">
        <v>5857</v>
      </c>
      <c r="F502" s="6">
        <v>46032.4919212963</v>
      </c>
      <c r="G502" s="5" t="str">
        <f>IFERROR(__xludf.DUMMYFUNCTION("LET(  refItem, TO_TEXT(D502),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IF(ISBLANK(D502),"""", IF(IFERROR(latestMutation,"""")=""OUT"", latestCust, ""AKGREADY"")))"),"AKGREADY")</f>
        <v>AKGREADY</v>
      </c>
    </row>
    <row r="503">
      <c r="A503" s="2"/>
      <c r="B503" s="2"/>
      <c r="C503" s="2"/>
      <c r="D503" s="2"/>
      <c r="F503" s="6"/>
    </row>
    <row r="504">
      <c r="A504" s="10" t="s">
        <v>5730</v>
      </c>
      <c r="B504" s="2" t="s">
        <v>3547</v>
      </c>
      <c r="C504" s="2" t="s">
        <v>3548</v>
      </c>
      <c r="D504" s="2" t="s">
        <v>6165</v>
      </c>
      <c r="F504" s="6">
        <v>46032.49491898148</v>
      </c>
      <c r="G504" s="5" t="str">
        <f>IFERROR(__xludf.DUMMYFUNCTION("LET(  refItem, TO_TEXT(D504),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IF(ISBLANK(D504),"""", IF(IFERROR(latestMutation,"""")=""OUT"", latestCust, ""AKGREADY"")))"),"f7243d00")</f>
        <v>f7243d00</v>
      </c>
    </row>
    <row r="505">
      <c r="A505" s="10" t="s">
        <v>7375</v>
      </c>
      <c r="B505" s="2" t="s">
        <v>3547</v>
      </c>
      <c r="C505" s="2" t="s">
        <v>3548</v>
      </c>
      <c r="D505" s="2" t="s">
        <v>6519</v>
      </c>
      <c r="F505" s="6">
        <v>46032.49502314815</v>
      </c>
      <c r="G505" s="5" t="str">
        <f>IFERROR(__xludf.DUMMYFUNCTION("LET(  refItem, TO_TEXT(D505),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IF(ISBLANK(D505),"""", IF(IFERROR(latestMutation,"""")=""OUT"", latestCust, ""AKGREADY"")))"),"AKGREADY")</f>
        <v>AKGREADY</v>
      </c>
    </row>
    <row r="506">
      <c r="A506" s="10" t="s">
        <v>5770</v>
      </c>
      <c r="B506" s="2" t="s">
        <v>3547</v>
      </c>
      <c r="C506" s="2" t="s">
        <v>3548</v>
      </c>
      <c r="D506" s="2" t="s">
        <v>7426</v>
      </c>
      <c r="F506" s="6">
        <v>46032.49518518519</v>
      </c>
      <c r="G506" s="5" t="str">
        <f>IFERROR(__xludf.DUMMYFUNCTION("LET(  refItem, TO_TEXT(D506),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IF(ISBLANK(D506),"""", IF(IFERROR(latestMutation,"""")=""OUT"", latestCust, ""AKGREADY"")))"),"AKGREADY")</f>
        <v>AKGREADY</v>
      </c>
    </row>
    <row r="507">
      <c r="A507" s="10" t="s">
        <v>5713</v>
      </c>
      <c r="B507" s="2" t="s">
        <v>3547</v>
      </c>
      <c r="C507" s="2" t="s">
        <v>3548</v>
      </c>
      <c r="D507" s="2" t="s">
        <v>7427</v>
      </c>
      <c r="F507" s="6">
        <v>46032.495358796295</v>
      </c>
      <c r="G507" s="5" t="str">
        <f>IFERROR(__xludf.DUMMYFUNCTION("LET(  refItem, TO_TEXT(D507),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IF(ISBLANK(D507),"""", IF(IFERROR(latestMutation,"""")=""OUT"", latestCust, ""AKGREADY"")))"),"AKGREADY")</f>
        <v>AKGREADY</v>
      </c>
    </row>
    <row r="508">
      <c r="A508" s="10" t="s">
        <v>6145</v>
      </c>
      <c r="B508" s="2" t="s">
        <v>3547</v>
      </c>
      <c r="C508" s="2" t="s">
        <v>3548</v>
      </c>
      <c r="D508" s="2" t="s">
        <v>7428</v>
      </c>
      <c r="F508" s="6">
        <v>46032.49549768519</v>
      </c>
      <c r="G508" s="5" t="str">
        <f>IFERROR(__xludf.DUMMYFUNCTION("LET(  refItem, TO_TEXT(D508),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IF(ISBLANK(D508),"""", IF(IFERROR(latestMutation,"""")=""OUT"", latestCust, ""AKGREADY"")))"),"196b24da")</f>
        <v>196b24da</v>
      </c>
    </row>
    <row r="509">
      <c r="A509" s="10" t="s">
        <v>4864</v>
      </c>
      <c r="B509" s="2" t="s">
        <v>3547</v>
      </c>
      <c r="C509" s="2" t="s">
        <v>3548</v>
      </c>
      <c r="D509" s="2" t="s">
        <v>7429</v>
      </c>
      <c r="F509" s="6">
        <v>46032.49565972222</v>
      </c>
      <c r="G509" s="5" t="str">
        <f>IFERROR(__xludf.DUMMYFUNCTION("LET(  refItem, TO_TEXT(D509),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IF(ISBLANK(D509),"""", IF(IFERROR(latestMutation,"""")=""OUT"", latestCust, ""AKGREADY"")))"),"AKGREADY")</f>
        <v>AKGREADY</v>
      </c>
    </row>
    <row r="510">
      <c r="A510" s="10" t="s">
        <v>5102</v>
      </c>
      <c r="B510" s="2" t="s">
        <v>3547</v>
      </c>
      <c r="C510" s="2" t="s">
        <v>3548</v>
      </c>
      <c r="D510" s="2" t="s">
        <v>7430</v>
      </c>
      <c r="F510" s="6">
        <v>46032.49581018519</v>
      </c>
      <c r="G510" s="5" t="str">
        <f>IFERROR(__xludf.DUMMYFUNCTION("LET(  refItem, TO_TEXT(D510),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IF(ISBLANK(D510),"""", IF(IFERROR(latestMutation,"""")=""OUT"", latestCust, ""AKGREADY"")))"),"AKGREADY")</f>
        <v>AKGREADY</v>
      </c>
    </row>
    <row r="511">
      <c r="A511" s="10" t="s">
        <v>7395</v>
      </c>
      <c r="B511" s="2" t="s">
        <v>3547</v>
      </c>
      <c r="C511" s="2" t="s">
        <v>3548</v>
      </c>
      <c r="D511" s="2" t="s">
        <v>7431</v>
      </c>
      <c r="F511" s="6">
        <v>46032.49600694444</v>
      </c>
      <c r="G511" s="5" t="str">
        <f>IFERROR(__xludf.DUMMYFUNCTION("LET(  refItem, TO_TEXT(D511),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IF(ISBLANK(D511),"""", IF(IFERROR(latestMutation,"""")=""OUT"", latestCust, ""AKGREADY"")))"),"AKGREADY")</f>
        <v>AKGREADY</v>
      </c>
    </row>
    <row r="512">
      <c r="A512" s="10" t="s">
        <v>4824</v>
      </c>
      <c r="B512" s="2" t="s">
        <v>3547</v>
      </c>
      <c r="C512" s="2" t="s">
        <v>3548</v>
      </c>
      <c r="D512" s="2" t="s">
        <v>7432</v>
      </c>
      <c r="F512" s="6">
        <v>46032.49625</v>
      </c>
      <c r="G512" s="5" t="str">
        <f>IFERROR(__xludf.DUMMYFUNCTION("LET(  refItem, TO_TEXT(D512),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IF(ISBLANK(D512),"""", IF(IFERROR(latestMutation,"""")=""OUT"", latestCust, ""AKGREADY"")))"),"AKGREADY")</f>
        <v>AKGREADY</v>
      </c>
    </row>
    <row r="513">
      <c r="A513" s="10" t="s">
        <v>7433</v>
      </c>
      <c r="B513" s="2" t="s">
        <v>3547</v>
      </c>
      <c r="C513" s="2" t="s">
        <v>3548</v>
      </c>
      <c r="D513" s="2" t="s">
        <v>7434</v>
      </c>
      <c r="F513" s="6">
        <v>46032.49638888889</v>
      </c>
      <c r="G513" s="5" t="str">
        <f>IFERROR(__xludf.DUMMYFUNCTION("LET(  refItem, TO_TEXT(D513),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IF(ISBLANK(D513),"""", IF(IFERROR(latestMutation,"""")=""OUT"", latestCust, ""AKGREADY"")))"),"AKGREADY")</f>
        <v>AKGREADY</v>
      </c>
    </row>
    <row r="514">
      <c r="A514" s="10" t="s">
        <v>7435</v>
      </c>
      <c r="B514" s="2" t="s">
        <v>3547</v>
      </c>
      <c r="C514" s="2" t="s">
        <v>3548</v>
      </c>
      <c r="D514" s="2" t="s">
        <v>7436</v>
      </c>
      <c r="F514" s="6">
        <v>46032.49655092593</v>
      </c>
      <c r="G514" s="5" t="str">
        <f>IFERROR(__xludf.DUMMYFUNCTION("LET(  refItem, TO_TEXT(D514),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IF(ISBLANK(D514),"""", IF(IFERROR(latestMutation,"""")=""OUT"", latestCust, ""AKGREADY"")))"),"AKGREADY")</f>
        <v>AKGREADY</v>
      </c>
    </row>
    <row r="515">
      <c r="A515" s="10" t="s">
        <v>7437</v>
      </c>
      <c r="B515" s="2" t="s">
        <v>3486</v>
      </c>
      <c r="C515" s="2" t="s">
        <v>3487</v>
      </c>
      <c r="D515" s="10" t="s">
        <v>5830</v>
      </c>
      <c r="F515" s="6">
        <v>46032.51863425926</v>
      </c>
      <c r="G515" s="5" t="str">
        <f>IFERROR(__xludf.DUMMYFUNCTION("LET(  refItem, TO_TEXT(D515),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IF(ISBLANK(D515),"""", IF(IFERROR(latestMutation,"""")=""OUT"", latestCust, ""AKGREADY"")))"),"057b6b99")</f>
        <v>057b6b99</v>
      </c>
    </row>
    <row r="516">
      <c r="A516" s="10" t="s">
        <v>7438</v>
      </c>
      <c r="B516" s="2" t="s">
        <v>4203</v>
      </c>
      <c r="C516" s="2" t="s">
        <v>4204</v>
      </c>
      <c r="D516" s="10" t="s">
        <v>7439</v>
      </c>
      <c r="F516" s="6">
        <v>46034.6312962963</v>
      </c>
      <c r="G516" s="5" t="str">
        <f>IFERROR(__xludf.DUMMYFUNCTION("LET(  refItem, TO_TEXT(D516),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IF(ISBLANK(D516),"""", IF(IFERROR(latestMutation,"""")=""OUT"", latestCust, ""AKGREADY"")))"),"d9b2fac5")</f>
        <v>d9b2fac5</v>
      </c>
      <c r="H516" s="2" t="s">
        <v>7440</v>
      </c>
    </row>
    <row r="517">
      <c r="A517" s="10" t="s">
        <v>7441</v>
      </c>
      <c r="B517" s="2" t="s">
        <v>3486</v>
      </c>
      <c r="C517" s="2" t="s">
        <v>3487</v>
      </c>
      <c r="D517" s="10" t="s">
        <v>6232</v>
      </c>
      <c r="F517" s="6">
        <v>46046.53581018518</v>
      </c>
      <c r="G517" s="5" t="str">
        <f>IFERROR(__xludf.DUMMYFUNCTION("LET(  refItem, TO_TEXT(D517),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IF(ISBLANK(D517),"""", IF(IFERROR(latestMutation,"""")=""OUT"", latestCust, ""AKGREADY"")))"),"63fc688a")</f>
        <v>63fc688a</v>
      </c>
    </row>
    <row r="518">
      <c r="A518" s="2"/>
      <c r="B518" s="2"/>
      <c r="C518" s="2"/>
      <c r="D518" s="2"/>
      <c r="F518" s="6"/>
      <c r="H518" s="2"/>
    </row>
    <row r="519">
      <c r="A519" s="10" t="s">
        <v>7442</v>
      </c>
      <c r="B519" s="2" t="s">
        <v>4203</v>
      </c>
      <c r="C519" s="2" t="s">
        <v>4204</v>
      </c>
      <c r="D519" s="10" t="s">
        <v>4724</v>
      </c>
      <c r="F519" s="6">
        <v>46039.58204861111</v>
      </c>
      <c r="G519" s="5" t="str">
        <f>IFERROR(__xludf.DUMMYFUNCTION("LET(  refItem, TO_TEXT(D519),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IF(ISBLANK(D519),"""", IF(IFERROR(latestMutation,"""")=""OUT"", latestCust, ""AKGREADY"")))"),"dcc017cb")</f>
        <v>dcc017cb</v>
      </c>
    </row>
    <row r="520">
      <c r="A520" s="10" t="s">
        <v>7443</v>
      </c>
      <c r="B520" s="2" t="s">
        <v>3516</v>
      </c>
      <c r="C520" s="2" t="s">
        <v>3517</v>
      </c>
      <c r="D520" s="10" t="s">
        <v>6490</v>
      </c>
      <c r="F520" s="6">
        <v>46056.55440972222</v>
      </c>
      <c r="G520" s="5" t="str">
        <f>IFERROR(__xludf.DUMMYFUNCTION("LET(  refItem, TO_TEXT(D520),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IF(ISBLANK(D520),"""", IF(IFERROR(latestMutation,"""")=""OUT"", latestCust, ""AKGREADY"")))"),"1c4d5e93")</f>
        <v>1c4d5e93</v>
      </c>
      <c r="H520" s="2" t="s">
        <v>7106</v>
      </c>
    </row>
    <row r="521">
      <c r="A521" s="10" t="s">
        <v>7444</v>
      </c>
      <c r="B521" s="2" t="s">
        <v>3516</v>
      </c>
      <c r="C521" s="2" t="s">
        <v>3517</v>
      </c>
      <c r="D521" s="10" t="s">
        <v>6555</v>
      </c>
      <c r="F521" s="6">
        <v>46043.521319444444</v>
      </c>
      <c r="G521" s="5" t="str">
        <f>IFERROR(__xludf.DUMMYFUNCTION("LET(  refItem, TO_TEXT(D521),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IF(ISBLANK(D521),"""", IF(IFERROR(latestMutation,"""")=""OUT"", latestCust, ""AKGREADY"")))"),"ec231cc9")</f>
        <v>ec231cc9</v>
      </c>
      <c r="H521" s="2" t="s">
        <v>7106</v>
      </c>
    </row>
    <row r="522">
      <c r="A522" s="10" t="s">
        <v>7445</v>
      </c>
      <c r="B522" s="2" t="s">
        <v>3486</v>
      </c>
      <c r="C522" s="2" t="s">
        <v>3487</v>
      </c>
      <c r="D522" s="10" t="s">
        <v>7446</v>
      </c>
      <c r="F522" s="6">
        <v>46062.58319444444</v>
      </c>
      <c r="G522" s="5" t="str">
        <f>IFERROR(__xludf.DUMMYFUNCTION("LET(  refItem, TO_TEXT(D522),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IF(ISBLANK(D522),"""", IF(IFERROR(latestMutation,"""")=""OUT"", latestCust, ""AKGREADY"")))"),"ec231cc9")</f>
        <v>ec231cc9</v>
      </c>
      <c r="H522" s="2" t="s">
        <v>7106</v>
      </c>
    </row>
    <row r="523">
      <c r="A523" s="10" t="s">
        <v>7447</v>
      </c>
      <c r="B523" s="2" t="s">
        <v>3486</v>
      </c>
      <c r="C523" s="2" t="s">
        <v>3487</v>
      </c>
      <c r="D523" s="10" t="s">
        <v>7448</v>
      </c>
      <c r="F523" s="6">
        <v>46050.65131944444</v>
      </c>
      <c r="G523" s="5" t="str">
        <f>IFERROR(__xludf.DUMMYFUNCTION("LET(  refItem, TO_TEXT(D523),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IF(ISBLANK(D523),"""", IF(IFERROR(latestMutation,"""")=""OUT"", latestCust, ""AKGREADY"")))"),"01158be1")</f>
        <v>01158be1</v>
      </c>
      <c r="H523" s="2" t="s">
        <v>7106</v>
      </c>
    </row>
    <row r="524">
      <c r="A524" s="10" t="s">
        <v>7449</v>
      </c>
      <c r="B524" s="2" t="s">
        <v>3486</v>
      </c>
      <c r="C524" s="2" t="s">
        <v>3487</v>
      </c>
      <c r="D524" s="10" t="s">
        <v>7450</v>
      </c>
      <c r="F524" s="6">
        <v>46094.58063657407</v>
      </c>
      <c r="G524" s="5" t="str">
        <f>IFERROR(__xludf.DUMMYFUNCTION("LET(  refItem, TO_TEXT(D524),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IF(ISBLANK(D524),"""", IF(IFERROR(latestMutation,"""")=""OUT"", latestCust, ""AKGREADY"")))"),"1c4d5e93")</f>
        <v>1c4d5e93</v>
      </c>
      <c r="H524" s="2" t="s">
        <v>7106</v>
      </c>
    </row>
    <row r="525">
      <c r="A525" s="10" t="s">
        <v>7451</v>
      </c>
      <c r="B525" s="2" t="s">
        <v>3486</v>
      </c>
      <c r="C525" s="2" t="s">
        <v>3487</v>
      </c>
      <c r="D525" s="10" t="s">
        <v>6421</v>
      </c>
      <c r="F525" s="6">
        <v>46050.64976851852</v>
      </c>
      <c r="G525" s="5" t="str">
        <f>IFERROR(__xludf.DUMMYFUNCTION("LET(  refItem, TO_TEXT(D525),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IF(ISBLANK(D525),"""", IF(IFERROR(latestMutation,"""")=""OUT"", latestCust, ""AKGREADY"")))"),"01158be1")</f>
        <v>01158be1</v>
      </c>
      <c r="H525" s="2" t="s">
        <v>7106</v>
      </c>
    </row>
    <row r="526">
      <c r="A526" s="10" t="s">
        <v>7452</v>
      </c>
      <c r="B526" s="2" t="s">
        <v>3486</v>
      </c>
      <c r="C526" s="2" t="s">
        <v>3487</v>
      </c>
      <c r="D526" s="10" t="s">
        <v>6692</v>
      </c>
      <c r="F526" s="6">
        <v>46043.46258101852</v>
      </c>
      <c r="G526" s="5" t="str">
        <f>IFERROR(__xludf.DUMMYFUNCTION("LET(  refItem, TO_TEXT(D526),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IF(ISBLANK(D526),"""", IF(IFERROR(latestMutation,"""")=""OUT"", latestCust, ""AKGREADY"")))"),"514e8cd0")</f>
        <v>514e8cd0</v>
      </c>
      <c r="H526" s="2" t="s">
        <v>7106</v>
      </c>
    </row>
    <row r="527">
      <c r="A527" s="10" t="s">
        <v>7453</v>
      </c>
      <c r="B527" s="2" t="s">
        <v>3486</v>
      </c>
      <c r="C527" s="2" t="s">
        <v>3487</v>
      </c>
      <c r="D527" s="10" t="s">
        <v>5929</v>
      </c>
      <c r="F527" s="6">
        <v>46049.381064814814</v>
      </c>
      <c r="G527" s="5" t="str">
        <f>IFERROR(__xludf.DUMMYFUNCTION("LET(  refItem, TO_TEXT(D527),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IF(ISBLANK(D527),"""", IF(IFERROR(latestMutation,"""")=""OUT"", latestCust, ""AKGREADY"")))"),"63fc688a")</f>
        <v>63fc688a</v>
      </c>
      <c r="H527" s="2" t="s">
        <v>7106</v>
      </c>
    </row>
    <row r="528">
      <c r="A528" s="2"/>
      <c r="B528" s="2"/>
      <c r="C528" s="2"/>
      <c r="D528" s="2"/>
      <c r="F528" s="6"/>
      <c r="H528" s="2"/>
    </row>
    <row r="529">
      <c r="A529" s="2"/>
      <c r="B529" s="2"/>
      <c r="C529" s="2"/>
      <c r="D529" s="2"/>
      <c r="F529" s="6"/>
      <c r="H529" s="2"/>
    </row>
    <row r="530">
      <c r="A530" s="2"/>
      <c r="B530" s="2"/>
      <c r="C530" s="2"/>
      <c r="D530" s="2"/>
      <c r="F530" s="6"/>
      <c r="H530" s="2"/>
    </row>
    <row r="531">
      <c r="A531" s="10" t="s">
        <v>7454</v>
      </c>
      <c r="B531" s="2" t="s">
        <v>4203</v>
      </c>
      <c r="C531" s="2" t="s">
        <v>4204</v>
      </c>
      <c r="D531" s="10" t="s">
        <v>6449</v>
      </c>
      <c r="F531" s="6">
        <v>46044.44349537037</v>
      </c>
      <c r="G531" s="5" t="str">
        <f>IFERROR(__xludf.DUMMYFUNCTION("LET(  refItem, TO_TEXT(D531),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IF(ISBLANK(D531),"""", IF(IFERROR(latestMutation,"""")=""OUT"", latestCust, ""AKGREADY"")))"),"ec231cc9")</f>
        <v>ec231cc9</v>
      </c>
      <c r="H531" s="2" t="s">
        <v>7455</v>
      </c>
    </row>
    <row r="532">
      <c r="A532" s="10" t="s">
        <v>7456</v>
      </c>
      <c r="B532" s="2" t="s">
        <v>3516</v>
      </c>
      <c r="C532" s="2" t="s">
        <v>3517</v>
      </c>
      <c r="D532" s="10" t="s">
        <v>6622</v>
      </c>
      <c r="F532" s="6">
        <v>46046.372407407405</v>
      </c>
      <c r="G532" s="5" t="str">
        <f>IFERROR(__xludf.DUMMYFUNCTION("LET(  refItem, TO_TEXT(D532),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IF(ISBLANK(D532),"""", IF(IFERROR(latestMutation,"""")=""OUT"", latestCust, ""AKGREADY"")))"),"AKGREADY")</f>
        <v>AKGREADY</v>
      </c>
      <c r="H532" s="2" t="s">
        <v>7106</v>
      </c>
    </row>
    <row r="533">
      <c r="A533" s="10" t="s">
        <v>7457</v>
      </c>
      <c r="B533" s="2" t="s">
        <v>3516</v>
      </c>
      <c r="C533" s="2" t="s">
        <v>3517</v>
      </c>
      <c r="D533" s="10" t="s">
        <v>6053</v>
      </c>
      <c r="F533" s="6">
        <v>46052.40337962963</v>
      </c>
      <c r="G533" s="5" t="str">
        <f>IFERROR(__xludf.DUMMYFUNCTION("LET(  refItem, TO_TEXT(D533),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IF(ISBLANK(D533),"""", IF(IFERROR(latestMutation,"""")=""OUT"", latestCust, ""AKGREADY"")))"),"1c4d5e93")</f>
        <v>1c4d5e93</v>
      </c>
      <c r="H533" s="2" t="s">
        <v>7106</v>
      </c>
    </row>
    <row r="534">
      <c r="A534" s="10" t="s">
        <v>7458</v>
      </c>
      <c r="B534" s="2" t="s">
        <v>3486</v>
      </c>
      <c r="C534" s="2" t="s">
        <v>3487</v>
      </c>
      <c r="D534" s="10" t="s">
        <v>7459</v>
      </c>
      <c r="F534" s="6">
        <v>46046.533101851855</v>
      </c>
      <c r="G534" s="5" t="str">
        <f>IFERROR(__xludf.DUMMYFUNCTION("LET(  refItem, TO_TEXT(D534),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IF(ISBLANK(D534),"""", IF(IFERROR(latestMutation,"""")=""OUT"", latestCust, ""AKGREADY"")))"),"89d46c39")</f>
        <v>89d46c39</v>
      </c>
    </row>
    <row r="535">
      <c r="A535" s="10" t="s">
        <v>7460</v>
      </c>
      <c r="B535" s="2" t="s">
        <v>3486</v>
      </c>
      <c r="C535" s="2" t="s">
        <v>3487</v>
      </c>
      <c r="D535" s="10" t="s">
        <v>7461</v>
      </c>
      <c r="F535" s="6">
        <v>46046.53337962963</v>
      </c>
      <c r="G535" s="5" t="str">
        <f>IFERROR(__xludf.DUMMYFUNCTION("LET(  refItem, TO_TEXT(D535),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IF(ISBLANK(D535),"""", IF(IFERROR(latestMutation,"""")=""OUT"", latestCust, ""AKGREADY"")))"),"AKGREADY")</f>
        <v>AKGREADY</v>
      </c>
    </row>
    <row r="536">
      <c r="A536" s="10" t="s">
        <v>7462</v>
      </c>
      <c r="B536" s="2" t="s">
        <v>3486</v>
      </c>
      <c r="C536" s="2" t="s">
        <v>3487</v>
      </c>
      <c r="D536" s="10" t="s">
        <v>7463</v>
      </c>
      <c r="F536" s="6">
        <v>46046.53381944444</v>
      </c>
      <c r="G536" s="5" t="str">
        <f>IFERROR(__xludf.DUMMYFUNCTION("LET(  refItem, TO_TEXT(D536),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IF(ISBLANK(D536),"""", IF(IFERROR(latestMutation,"""")=""OUT"", latestCust, ""AKGREADY"")))"),"1c4d5e93")</f>
        <v>1c4d5e93</v>
      </c>
    </row>
    <row r="537">
      <c r="A537" s="10" t="s">
        <v>7464</v>
      </c>
      <c r="B537" s="2" t="s">
        <v>3486</v>
      </c>
      <c r="C537" s="2" t="s">
        <v>3487</v>
      </c>
      <c r="D537" s="10" t="s">
        <v>7465</v>
      </c>
      <c r="F537" s="6">
        <v>46046.534097222226</v>
      </c>
      <c r="G537" s="5" t="str">
        <f>IFERROR(__xludf.DUMMYFUNCTION("LET(  refItem, TO_TEXT(D537),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IF(ISBLANK(D537),"""", IF(IFERROR(latestMutation,"""")=""OUT"", latestCust, ""AKGREADY"")))"),"AKGREADY")</f>
        <v>AKGREADY</v>
      </c>
    </row>
    <row r="538">
      <c r="A538" s="10" t="s">
        <v>7466</v>
      </c>
      <c r="B538" s="2" t="s">
        <v>3486</v>
      </c>
      <c r="C538" s="2" t="s">
        <v>3487</v>
      </c>
      <c r="D538" s="10" t="s">
        <v>7467</v>
      </c>
      <c r="F538" s="6">
        <v>46046.5343287037</v>
      </c>
      <c r="G538" s="5" t="str">
        <f>IFERROR(__xludf.DUMMYFUNCTION("LET(  refItem, TO_TEXT(D538),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IF(ISBLANK(D538),"""", IF(IFERROR(latestMutation,"""")=""OUT"", latestCust, ""AKGREADY"")))"),"63fc688a")</f>
        <v>63fc688a</v>
      </c>
    </row>
    <row r="539">
      <c r="A539" s="10" t="s">
        <v>7468</v>
      </c>
      <c r="B539" s="2" t="s">
        <v>3486</v>
      </c>
      <c r="C539" s="2" t="s">
        <v>3487</v>
      </c>
      <c r="D539" s="10" t="s">
        <v>7469</v>
      </c>
      <c r="F539" s="6">
        <v>46046.534537037034</v>
      </c>
      <c r="G539" s="5" t="str">
        <f>IFERROR(__xludf.DUMMYFUNCTION("LET(  refItem, TO_TEXT(D539),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IF(ISBLANK(D539),"""", IF(IFERROR(latestMutation,"""")=""OUT"", latestCust, ""AKGREADY"")))"),"b2b5f2c5")</f>
        <v>b2b5f2c5</v>
      </c>
    </row>
    <row r="540">
      <c r="A540" s="10" t="s">
        <v>7470</v>
      </c>
      <c r="B540" s="2" t="s">
        <v>3486</v>
      </c>
      <c r="C540" s="2" t="s">
        <v>3487</v>
      </c>
      <c r="D540" s="10" t="s">
        <v>6169</v>
      </c>
      <c r="F540" s="6">
        <v>46046.53491898148</v>
      </c>
      <c r="G540" s="5" t="str">
        <f>IFERROR(__xludf.DUMMYFUNCTION("LET(  refItem, TO_TEXT(D540),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IF(ISBLANK(D540),"""", IF(IFERROR(latestMutation,"""")=""OUT"", latestCust, ""AKGREADY"")))"),"b218b89b")</f>
        <v>b218b89b</v>
      </c>
    </row>
    <row r="541">
      <c r="A541" s="10" t="s">
        <v>7471</v>
      </c>
      <c r="B541" s="2" t="s">
        <v>3486</v>
      </c>
      <c r="C541" s="2" t="s">
        <v>3487</v>
      </c>
      <c r="D541" s="10" t="s">
        <v>7472</v>
      </c>
      <c r="F541" s="6">
        <v>46046.53505787037</v>
      </c>
      <c r="G541" s="5" t="str">
        <f>IFERROR(__xludf.DUMMYFUNCTION("LET(  refItem, TO_TEXT(D541),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IF(ISBLANK(D541),"""", IF(IFERROR(latestMutation,"""")=""OUT"", latestCust, ""AKGREADY"")))"),"63fc688a")</f>
        <v>63fc688a</v>
      </c>
    </row>
    <row r="542">
      <c r="A542" s="10" t="s">
        <v>7473</v>
      </c>
      <c r="B542" s="2" t="s">
        <v>3486</v>
      </c>
      <c r="C542" s="2" t="s">
        <v>3487</v>
      </c>
      <c r="D542" s="10" t="s">
        <v>7474</v>
      </c>
      <c r="F542" s="6">
        <v>46046.53525462963</v>
      </c>
      <c r="G542" s="5" t="str">
        <f>IFERROR(__xludf.DUMMYFUNCTION("LET(  refItem, TO_TEXT(D542),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IF(ISBLANK(D542),"""", IF(IFERROR(latestMutation,"""")=""OUT"", latestCust, ""AKGREADY"")))"),"3b04351a")</f>
        <v>3b04351a</v>
      </c>
    </row>
    <row r="543">
      <c r="A543" s="10" t="s">
        <v>7475</v>
      </c>
      <c r="B543" s="2" t="s">
        <v>3486</v>
      </c>
      <c r="C543" s="2" t="s">
        <v>3487</v>
      </c>
      <c r="D543" s="10" t="s">
        <v>7476</v>
      </c>
      <c r="F543" s="6">
        <v>46046.53545138889</v>
      </c>
      <c r="G543" s="5" t="str">
        <f>IFERROR(__xludf.DUMMYFUNCTION("LET(  refItem, TO_TEXT(D543),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IF(ISBLANK(D543),"""", IF(IFERROR(latestMutation,"""")=""OUT"", latestCust, ""AKGREADY"")))"),"e86baf3b")</f>
        <v>e86baf3b</v>
      </c>
    </row>
    <row r="544">
      <c r="A544" s="2"/>
      <c r="B544" s="2"/>
      <c r="C544" s="2"/>
      <c r="D544" s="2"/>
      <c r="F544" s="6"/>
    </row>
    <row r="545">
      <c r="A545" s="10" t="s">
        <v>7477</v>
      </c>
      <c r="B545" s="2" t="s">
        <v>3486</v>
      </c>
      <c r="C545" s="2" t="s">
        <v>3487</v>
      </c>
      <c r="D545" s="10" t="s">
        <v>6135</v>
      </c>
      <c r="F545" s="6">
        <v>46050.43103009259</v>
      </c>
      <c r="G545" s="5" t="str">
        <f>IFERROR(__xludf.DUMMYFUNCTION("LET(  refItem, TO_TEXT(D545),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IF(ISBLANK(D545),"""", IF(IFERROR(latestMutation,"""")=""OUT"", latestCust, ""AKGREADY"")))"),"ec231cc9")</f>
        <v>ec231cc9</v>
      </c>
      <c r="H545" s="2" t="s">
        <v>7478</v>
      </c>
    </row>
    <row r="546">
      <c r="A546" s="10" t="s">
        <v>7479</v>
      </c>
      <c r="B546" s="2" t="s">
        <v>3516</v>
      </c>
      <c r="C546" s="2" t="s">
        <v>3517</v>
      </c>
      <c r="D546" s="10" t="s">
        <v>6147</v>
      </c>
      <c r="F546" s="6">
        <v>46053.593819444446</v>
      </c>
      <c r="G546" s="5" t="str">
        <f>IFERROR(__xludf.DUMMYFUNCTION("LET(  refItem, TO_TEXT(D546),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IF(ISBLANK(D546),"""", IF(IFERROR(latestMutation,"""")=""OUT"", latestCust, ""AKGREADY"")))"),"f7243d00")</f>
        <v>f7243d00</v>
      </c>
    </row>
    <row r="547">
      <c r="A547" s="10" t="s">
        <v>7480</v>
      </c>
      <c r="B547" s="2" t="s">
        <v>3516</v>
      </c>
      <c r="C547" s="2" t="s">
        <v>3517</v>
      </c>
      <c r="D547" s="10" t="s">
        <v>6325</v>
      </c>
      <c r="F547" s="6">
        <v>46053.5940625</v>
      </c>
      <c r="G547" s="5" t="str">
        <f>IFERROR(__xludf.DUMMYFUNCTION("LET(  refItem, TO_TEXT(D547),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IF(ISBLANK(D547),"""", IF(IFERROR(latestMutation,"""")=""OUT"", latestCust, ""AKGREADY"")))"),"AKGREADY")</f>
        <v>AKGREADY</v>
      </c>
    </row>
    <row r="548">
      <c r="A548" s="10" t="s">
        <v>7481</v>
      </c>
      <c r="B548" s="2" t="s">
        <v>3516</v>
      </c>
      <c r="C548" s="2" t="s">
        <v>3517</v>
      </c>
      <c r="D548" s="10" t="s">
        <v>6071</v>
      </c>
      <c r="F548" s="6">
        <v>46053.594189814816</v>
      </c>
      <c r="G548" s="5" t="str">
        <f>IFERROR(__xludf.DUMMYFUNCTION("LET(  refItem, TO_TEXT(D548),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IF(ISBLANK(D548),"""", IF(IFERROR(latestMutation,"""")=""OUT"", latestCust, ""AKGREADY"")))"),"440df1db")</f>
        <v>440df1db</v>
      </c>
    </row>
    <row r="549">
      <c r="A549" s="10" t="s">
        <v>7482</v>
      </c>
      <c r="B549" s="2" t="s">
        <v>3493</v>
      </c>
      <c r="C549" s="2" t="s">
        <v>3494</v>
      </c>
      <c r="D549" s="2" t="s">
        <v>6508</v>
      </c>
      <c r="F549" s="6">
        <v>46055.57865740741</v>
      </c>
      <c r="G549" s="5" t="str">
        <f>IFERROR(__xludf.DUMMYFUNCTION("LET(  refItem, TO_TEXT(D549),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IF(ISBLANK(D549),"""", IF(IFERROR(latestMutation,"""")=""OUT"", latestCust, ""AKGREADY"")))"),"AKGREADY")</f>
        <v>AKGREADY</v>
      </c>
    </row>
    <row r="550">
      <c r="A550" s="10" t="s">
        <v>7483</v>
      </c>
      <c r="B550" s="2" t="s">
        <v>3493</v>
      </c>
      <c r="C550" s="2" t="s">
        <v>3494</v>
      </c>
      <c r="D550" s="2" t="s">
        <v>5961</v>
      </c>
      <c r="F550" s="6">
        <v>46055.5790162037</v>
      </c>
      <c r="G550" s="5" t="str">
        <f>IFERROR(__xludf.DUMMYFUNCTION("LET(  refItem, TO_TEXT(D550),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IF(ISBLANK(D550),"""", IF(IFERROR(latestMutation,"""")=""OUT"", latestCust, ""AKGREADY"")))"),"eec2e801")</f>
        <v>eec2e801</v>
      </c>
    </row>
    <row r="551">
      <c r="A551" s="10" t="s">
        <v>7484</v>
      </c>
      <c r="B551" s="2" t="s">
        <v>3516</v>
      </c>
      <c r="C551" s="2" t="s">
        <v>3517</v>
      </c>
      <c r="D551" s="10" t="s">
        <v>6162</v>
      </c>
      <c r="F551" s="6">
        <v>46058.399305555555</v>
      </c>
      <c r="G551" s="5" t="str">
        <f>IFERROR(__xludf.DUMMYFUNCTION("LET(  refItem, TO_TEXT(D551),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IF(ISBLANK(D551),"""", IF(IFERROR(latestMutation,"""")=""OUT"", latestCust, ""AKGREADY"")))"),"f7243d00")</f>
        <v>f7243d00</v>
      </c>
    </row>
    <row r="552">
      <c r="A552" s="10" t="s">
        <v>7485</v>
      </c>
      <c r="B552" s="2" t="s">
        <v>3516</v>
      </c>
      <c r="C552" s="2" t="s">
        <v>3517</v>
      </c>
      <c r="D552" s="10" t="s">
        <v>7486</v>
      </c>
      <c r="F552" s="6">
        <v>46058.39962962963</v>
      </c>
      <c r="G552" s="5" t="str">
        <f>IFERROR(__xludf.DUMMYFUNCTION("LET(  refItem, TO_TEXT(D552),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IF(ISBLANK(D552),"""", IF(IFERROR(latestMutation,"""")=""OUT"", latestCust, ""AKGREADY"")))"),"AKGREADY")</f>
        <v>AKGREADY</v>
      </c>
    </row>
    <row r="553">
      <c r="A553" s="10" t="s">
        <v>7487</v>
      </c>
      <c r="B553" s="2" t="s">
        <v>3516</v>
      </c>
      <c r="C553" s="2" t="s">
        <v>3517</v>
      </c>
      <c r="D553" s="10" t="s">
        <v>7488</v>
      </c>
      <c r="F553" s="6">
        <v>46058.399722222224</v>
      </c>
      <c r="G553" s="5" t="str">
        <f>IFERROR(__xludf.DUMMYFUNCTION("LET(  refItem, TO_TEXT(D553),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IF(ISBLANK(D553),"""", IF(IFERROR(latestMutation,"""")=""OUT"", latestCust, ""AKGREADY"")))"),"1c4d5e93")</f>
        <v>1c4d5e93</v>
      </c>
    </row>
    <row r="554">
      <c r="A554" s="10" t="s">
        <v>7489</v>
      </c>
      <c r="B554" s="2" t="s">
        <v>3516</v>
      </c>
      <c r="C554" s="2" t="s">
        <v>3517</v>
      </c>
      <c r="D554" s="10" t="s">
        <v>6717</v>
      </c>
      <c r="F554" s="6">
        <v>46058.62296296296</v>
      </c>
      <c r="G554" s="5" t="str">
        <f>IFERROR(__xludf.DUMMYFUNCTION("LET(  refItem, TO_TEXT(D554),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IF(ISBLANK(D554),"""", IF(IFERROR(latestMutation,"""")=""OUT"", latestCust, ""AKGREADY"")))"),"AKGREADY")</f>
        <v>AKGREADY</v>
      </c>
    </row>
    <row r="555">
      <c r="A555" s="10" t="s">
        <v>7490</v>
      </c>
      <c r="B555" s="2" t="s">
        <v>3516</v>
      </c>
      <c r="C555" s="2" t="s">
        <v>3517</v>
      </c>
      <c r="D555" s="10" t="s">
        <v>6321</v>
      </c>
      <c r="F555" s="6">
        <v>46058.62306712963</v>
      </c>
      <c r="G555" s="5" t="str">
        <f>IFERROR(__xludf.DUMMYFUNCTION("LET(  refItem, TO_TEXT(D555),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IF(ISBLANK(D555),"""", IF(IFERROR(latestMutation,"""")=""OUT"", latestCust, ""AKGREADY"")))"),"b2b5f2c5")</f>
        <v>b2b5f2c5</v>
      </c>
    </row>
    <row r="556">
      <c r="A556" s="10" t="s">
        <v>7491</v>
      </c>
      <c r="B556" s="2" t="s">
        <v>3486</v>
      </c>
      <c r="C556" s="2" t="s">
        <v>3487</v>
      </c>
      <c r="D556" s="10" t="s">
        <v>7492</v>
      </c>
      <c r="F556" s="6">
        <v>46059.61585648148</v>
      </c>
      <c r="G556" s="5" t="str">
        <f>IFERROR(__xludf.DUMMYFUNCTION("LET(  refItem, TO_TEXT(D556),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IF(ISBLANK(D556),"""", IF(IFERROR(latestMutation,"""")=""OUT"", latestCust, ""AKGREADY"")))"),"AKGREADY")</f>
        <v>AKGREADY</v>
      </c>
      <c r="H556" s="2" t="s">
        <v>7493</v>
      </c>
    </row>
    <row r="557">
      <c r="A557" s="10" t="s">
        <v>7494</v>
      </c>
      <c r="B557" s="2" t="s">
        <v>3486</v>
      </c>
      <c r="C557" s="2" t="s">
        <v>3487</v>
      </c>
      <c r="D557" s="10" t="s">
        <v>7495</v>
      </c>
      <c r="F557" s="6">
        <v>46063.510879629626</v>
      </c>
      <c r="G557" s="5" t="str">
        <f>IFERROR(__xludf.DUMMYFUNCTION("LET(  refItem, TO_TEXT(D557),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IF(ISBLANK(D557),"""", IF(IFERROR(latestMutation,"""")=""OUT"", latestCust, ""AKGREADY"")))"),"d46989c9")</f>
        <v>d46989c9</v>
      </c>
    </row>
    <row r="558">
      <c r="A558" s="10" t="s">
        <v>7496</v>
      </c>
      <c r="B558" s="2" t="s">
        <v>3486</v>
      </c>
      <c r="C558" s="2" t="s">
        <v>3487</v>
      </c>
      <c r="D558" s="10" t="s">
        <v>7497</v>
      </c>
      <c r="F558" s="6">
        <v>46063.511469907404</v>
      </c>
      <c r="G558" s="5" t="str">
        <f>IFERROR(__xludf.DUMMYFUNCTION("LET(  refItem, TO_TEXT(D558),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IF(ISBLANK(D558),"""", IF(IFERROR(latestMutation,"""")=""OUT"", latestCust, ""AKGREADY"")))"),"ba97d58d")</f>
        <v>ba97d58d</v>
      </c>
    </row>
    <row r="559">
      <c r="A559" s="10" t="s">
        <v>7498</v>
      </c>
      <c r="B559" s="2" t="s">
        <v>3486</v>
      </c>
      <c r="C559" s="2" t="s">
        <v>3487</v>
      </c>
      <c r="D559" s="10" t="s">
        <v>6257</v>
      </c>
      <c r="F559" s="6">
        <v>46064.669282407405</v>
      </c>
      <c r="G559" s="5" t="str">
        <f>IFERROR(__xludf.DUMMYFUNCTION("LET(  refItem, TO_TEXT(D559),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IF(ISBLANK(D559),"""", IF(IFERROR(latestMutation,"""")=""OUT"", latestCust, ""AKGREADY"")))"),"ec231cc9")</f>
        <v>ec231cc9</v>
      </c>
    </row>
    <row r="560">
      <c r="A560" s="10" t="s">
        <v>7499</v>
      </c>
      <c r="B560" s="2" t="s">
        <v>3486</v>
      </c>
      <c r="C560" s="2" t="s">
        <v>3487</v>
      </c>
      <c r="D560" s="10" t="s">
        <v>6287</v>
      </c>
      <c r="F560" s="6">
        <v>46064.669490740744</v>
      </c>
      <c r="G560" s="5" t="str">
        <f>IFERROR(__xludf.DUMMYFUNCTION("LET(  refItem, TO_TEXT(D560),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IF(ISBLANK(D560),"""", IF(IFERROR(latestMutation,"""")=""OUT"", latestCust, ""AKGREADY"")))"),"9e66ced9")</f>
        <v>9e66ced9</v>
      </c>
    </row>
    <row r="561">
      <c r="A561" s="10" t="s">
        <v>7500</v>
      </c>
      <c r="B561" s="2" t="s">
        <v>3486</v>
      </c>
      <c r="C561" s="2" t="s">
        <v>3487</v>
      </c>
      <c r="D561" s="10" t="s">
        <v>6206</v>
      </c>
      <c r="F561" s="6">
        <v>46064.669583333336</v>
      </c>
      <c r="G561" s="5" t="str">
        <f>IFERROR(__xludf.DUMMYFUNCTION("LET(  refItem, TO_TEXT(D561),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IF(ISBLANK(D561),"""", IF(IFERROR(latestMutation,"""")=""OUT"", latestCust, ""AKGREADY"")))"),"057b6b99")</f>
        <v>057b6b99</v>
      </c>
    </row>
    <row r="562">
      <c r="A562" s="10" t="s">
        <v>7501</v>
      </c>
      <c r="B562" s="2" t="s">
        <v>3486</v>
      </c>
      <c r="C562" s="2" t="s">
        <v>3487</v>
      </c>
      <c r="D562" s="10" t="s">
        <v>7502</v>
      </c>
      <c r="F562" s="6">
        <v>46064.66976851852</v>
      </c>
      <c r="G562" s="5" t="str">
        <f>IFERROR(__xludf.DUMMYFUNCTION("LET(  refItem, TO_TEXT(D562),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IF(ISBLANK(D562),"""", IF(IFERROR(latestMutation,"""")=""OUT"", latestCust, ""AKGREADY"")))"),"9828dfc5")</f>
        <v>9828dfc5</v>
      </c>
    </row>
    <row r="563">
      <c r="A563" s="10" t="s">
        <v>7503</v>
      </c>
      <c r="B563" s="2" t="s">
        <v>3486</v>
      </c>
      <c r="C563" s="2" t="s">
        <v>3487</v>
      </c>
      <c r="D563" s="10" t="s">
        <v>6468</v>
      </c>
      <c r="F563" s="6">
        <v>46064.670127314814</v>
      </c>
      <c r="G563" s="5" t="str">
        <f>IFERROR(__xludf.DUMMYFUNCTION("LET(  refItem, TO_TEXT(D563),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IF(ISBLANK(D563),"""", IF(IFERROR(latestMutation,"""")=""OUT"", latestCust, ""AKGREADY"")))"),"b2b5f2c5")</f>
        <v>b2b5f2c5</v>
      </c>
    </row>
    <row r="564">
      <c r="A564" s="10" t="s">
        <v>7504</v>
      </c>
      <c r="B564" s="2" t="s">
        <v>3486</v>
      </c>
      <c r="C564" s="2" t="s">
        <v>3487</v>
      </c>
      <c r="D564" s="10" t="s">
        <v>7505</v>
      </c>
      <c r="F564" s="6">
        <v>46064.68230324074</v>
      </c>
      <c r="G564" s="5" t="str">
        <f>IFERROR(__xludf.DUMMYFUNCTION("LET(  refItem, TO_TEXT(D564),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IF(ISBLANK(D564),"""", IF(IFERROR(latestMutation,"""")=""OUT"", latestCust, ""AKGREADY"")))"),"785e0e07")</f>
        <v>785e0e07</v>
      </c>
    </row>
    <row r="565">
      <c r="A565" s="10" t="s">
        <v>7506</v>
      </c>
      <c r="B565" s="2" t="s">
        <v>3486</v>
      </c>
      <c r="C565" s="2" t="s">
        <v>3487</v>
      </c>
      <c r="D565" s="10" t="s">
        <v>7507</v>
      </c>
      <c r="F565" s="6">
        <v>46064.68240740741</v>
      </c>
      <c r="G565" s="5" t="str">
        <f>IFERROR(__xludf.DUMMYFUNCTION("LET(  refItem, TO_TEXT(D565),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IF(ISBLANK(D565),"""", IF(IFERROR(latestMutation,"""")=""OUT"", latestCust, ""AKGREADY"")))"),"734c6d17")</f>
        <v>734c6d17</v>
      </c>
    </row>
    <row r="566">
      <c r="A566" s="10" t="s">
        <v>7508</v>
      </c>
      <c r="B566" s="2" t="s">
        <v>3486</v>
      </c>
      <c r="C566" s="2" t="s">
        <v>3487</v>
      </c>
      <c r="D566" s="10" t="s">
        <v>7509</v>
      </c>
      <c r="F566" s="6">
        <v>46064.68252314815</v>
      </c>
      <c r="G566" s="5" t="str">
        <f>IFERROR(__xludf.DUMMYFUNCTION("LET(  refItem, TO_TEXT(D566),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IF(ISBLANK(D566),"""", IF(IFERROR(latestMutation,"""")=""OUT"", latestCust, ""AKGREADY"")))"),"58b72e0c")</f>
        <v>58b72e0c</v>
      </c>
    </row>
    <row r="567">
      <c r="A567" s="10" t="s">
        <v>7510</v>
      </c>
      <c r="B567" s="2" t="s">
        <v>3486</v>
      </c>
      <c r="C567" s="2" t="s">
        <v>3487</v>
      </c>
      <c r="D567" s="10" t="s">
        <v>7511</v>
      </c>
      <c r="F567" s="6">
        <v>46064.68262731482</v>
      </c>
      <c r="G567" s="5" t="str">
        <f>IFERROR(__xludf.DUMMYFUNCTION("LET(  refItem, TO_TEXT(D567),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IF(ISBLANK(D567),"""", IF(IFERROR(latestMutation,"""")=""OUT"", latestCust, ""AKGREADY"")))"),"734c6d17")</f>
        <v>734c6d17</v>
      </c>
    </row>
    <row r="568">
      <c r="A568" s="10" t="s">
        <v>7512</v>
      </c>
      <c r="B568" s="2" t="s">
        <v>3486</v>
      </c>
      <c r="C568" s="2" t="s">
        <v>3487</v>
      </c>
      <c r="D568" s="10" t="s">
        <v>6540</v>
      </c>
      <c r="F568" s="6">
        <v>46064.68273148148</v>
      </c>
      <c r="G568" s="5" t="str">
        <f>IFERROR(__xludf.DUMMYFUNCTION("LET(  refItem, TO_TEXT(D568),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IF(ISBLANK(D568),"""", IF(IFERROR(latestMutation,"""")=""OUT"", latestCust, ""AKGREADY"")))"),"8b765561")</f>
        <v>8b765561</v>
      </c>
    </row>
    <row r="569">
      <c r="A569" s="2" t="s">
        <v>7513</v>
      </c>
      <c r="B569" s="2" t="s">
        <v>3486</v>
      </c>
      <c r="C569" s="2" t="s">
        <v>3487</v>
      </c>
      <c r="D569" s="10" t="s">
        <v>6106</v>
      </c>
      <c r="F569" s="6">
        <v>46065.35903935185</v>
      </c>
      <c r="G569" s="5" t="str">
        <f>IFERROR(__xludf.DUMMYFUNCTION("LET(  refItem, TO_TEXT(D569),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IF(ISBLANK(D569),"""", IF(IFERROR(latestMutation,"""")=""OUT"", latestCust, ""AKGREADY"")))"),"ec231cc9")</f>
        <v>ec231cc9</v>
      </c>
      <c r="H569" s="2" t="s">
        <v>7514</v>
      </c>
    </row>
    <row r="570">
      <c r="A570" s="10" t="s">
        <v>7515</v>
      </c>
      <c r="B570" s="2" t="s">
        <v>3486</v>
      </c>
      <c r="C570" s="2" t="s">
        <v>3487</v>
      </c>
      <c r="D570" s="10" t="s">
        <v>7516</v>
      </c>
      <c r="F570" s="6">
        <v>46065.65476851852</v>
      </c>
      <c r="G570" s="5" t="str">
        <f>IFERROR(__xludf.DUMMYFUNCTION("LET(  refItem, TO_TEXT(D570),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IF(ISBLANK(D570),"""", IF(IFERROR(latestMutation,"""")=""OUT"", latestCust, ""AKGREADY"")))"),"AKGREADY")</f>
        <v>AKGREADY</v>
      </c>
    </row>
    <row r="571">
      <c r="A571" s="10" t="s">
        <v>7517</v>
      </c>
      <c r="B571" s="2" t="s">
        <v>3486</v>
      </c>
      <c r="C571" s="2" t="s">
        <v>3487</v>
      </c>
      <c r="D571" s="10" t="s">
        <v>6503</v>
      </c>
      <c r="F571" s="6">
        <v>46065.65487268518</v>
      </c>
      <c r="G571" s="5" t="str">
        <f>IFERROR(__xludf.DUMMYFUNCTION("LET(  refItem, TO_TEXT(D571),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IF(ISBLANK(D571),"""", IF(IFERROR(latestMutation,"""")=""OUT"", latestCust, ""AKGREADY"")))"),"02c693f1")</f>
        <v>02c693f1</v>
      </c>
    </row>
    <row r="572">
      <c r="A572" s="10" t="s">
        <v>7518</v>
      </c>
      <c r="B572" s="2" t="s">
        <v>3486</v>
      </c>
      <c r="C572" s="2" t="s">
        <v>3487</v>
      </c>
      <c r="D572" s="10" t="s">
        <v>7519</v>
      </c>
      <c r="F572" s="6">
        <v>46065.65498842593</v>
      </c>
      <c r="G572" s="5" t="str">
        <f>IFERROR(__xludf.DUMMYFUNCTION("LET(  refItem, TO_TEXT(D572),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IF(ISBLANK(D572),"""", IF(IFERROR(latestMutation,"""")=""OUT"", latestCust, ""AKGREADY"")))"),"3bcd7fe6")</f>
        <v>3bcd7fe6</v>
      </c>
    </row>
    <row r="573">
      <c r="A573" s="10" t="s">
        <v>7520</v>
      </c>
      <c r="B573" s="2" t="s">
        <v>3486</v>
      </c>
      <c r="C573" s="2" t="s">
        <v>3487</v>
      </c>
      <c r="D573" s="10" t="s">
        <v>6331</v>
      </c>
      <c r="F573" s="6">
        <v>46065.65509259259</v>
      </c>
      <c r="G573" s="5" t="str">
        <f>IFERROR(__xludf.DUMMYFUNCTION("LET(  refItem, TO_TEXT(D573),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IF(ISBLANK(D573),"""", IF(IFERROR(latestMutation,"""")=""OUT"", latestCust, ""AKGREADY"")))"),"3b04351a")</f>
        <v>3b04351a</v>
      </c>
    </row>
    <row r="574">
      <c r="A574" s="10" t="s">
        <v>7521</v>
      </c>
      <c r="B574" s="2" t="s">
        <v>3486</v>
      </c>
      <c r="C574" s="2" t="s">
        <v>3487</v>
      </c>
      <c r="D574" s="10" t="s">
        <v>7522</v>
      </c>
      <c r="F574" s="6">
        <v>46065.65521990741</v>
      </c>
      <c r="G574" s="5" t="str">
        <f>IFERROR(__xludf.DUMMYFUNCTION("LET(  refItem, TO_TEXT(D574),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IF(ISBLANK(D574),"""", IF(IFERROR(latestMutation,"""")=""OUT"", latestCust, ""AKGREADY"")))"),"785e0e07")</f>
        <v>785e0e07</v>
      </c>
    </row>
    <row r="575">
      <c r="A575" s="10" t="s">
        <v>7523</v>
      </c>
      <c r="B575" s="2" t="s">
        <v>3486</v>
      </c>
      <c r="C575" s="2" t="s">
        <v>3487</v>
      </c>
      <c r="D575" s="10" t="s">
        <v>7524</v>
      </c>
      <c r="F575" s="6">
        <v>46065.6553125</v>
      </c>
      <c r="G575" s="5" t="str">
        <f>IFERROR(__xludf.DUMMYFUNCTION("LET(  refItem, TO_TEXT(D575),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IF(ISBLANK(D575),"""", IF(IFERROR(latestMutation,"""")=""OUT"", latestCust, ""AKGREADY"")))"),"3b04351a")</f>
        <v>3b04351a</v>
      </c>
    </row>
    <row r="576">
      <c r="A576" s="10" t="s">
        <v>7525</v>
      </c>
      <c r="B576" s="2" t="s">
        <v>3486</v>
      </c>
      <c r="C576" s="2" t="s">
        <v>3487</v>
      </c>
      <c r="D576" s="10" t="s">
        <v>7526</v>
      </c>
      <c r="F576" s="6">
        <v>46066.413564814815</v>
      </c>
      <c r="G576" s="5" t="str">
        <f>IFERROR(__xludf.DUMMYFUNCTION("LET(  refItem, TO_TEXT(D576),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IF(ISBLANK(D576),"""", IF(IFERROR(latestMutation,"""")=""OUT"", latestCust, ""AKGREADY"")))"),"4ec68cf6")</f>
        <v>4ec68cf6</v>
      </c>
    </row>
    <row r="577">
      <c r="A577" s="10" t="s">
        <v>7527</v>
      </c>
      <c r="B577" s="2" t="s">
        <v>3486</v>
      </c>
      <c r="C577" s="2" t="s">
        <v>3487</v>
      </c>
      <c r="D577" s="10" t="s">
        <v>6524</v>
      </c>
      <c r="F577" s="6">
        <v>46066.41370370371</v>
      </c>
      <c r="G577" s="5" t="str">
        <f>IFERROR(__xludf.DUMMYFUNCTION("LET(  refItem, TO_TEXT(D577),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IF(ISBLANK(D577),"""", IF(IFERROR(latestMutation,"""")=""OUT"", latestCust, ""AKGREADY"")))"),"9828dfc5")</f>
        <v>9828dfc5</v>
      </c>
    </row>
    <row r="578">
      <c r="A578" s="10" t="s">
        <v>7528</v>
      </c>
      <c r="B578" s="2" t="s">
        <v>3486</v>
      </c>
      <c r="C578" s="2" t="s">
        <v>3487</v>
      </c>
      <c r="D578" s="10" t="s">
        <v>7529</v>
      </c>
      <c r="F578" s="6">
        <v>46066.41380787037</v>
      </c>
      <c r="G578" s="5" t="str">
        <f>IFERROR(__xludf.DUMMYFUNCTION("LET(  refItem, TO_TEXT(D578),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IF(ISBLANK(D578),"""", IF(IFERROR(latestMutation,"""")=""OUT"", latestCust, ""AKGREADY"")))"),"AKGREADY")</f>
        <v>AKGREADY</v>
      </c>
    </row>
    <row r="579">
      <c r="A579" s="10" t="s">
        <v>7530</v>
      </c>
      <c r="B579" s="2" t="s">
        <v>3486</v>
      </c>
      <c r="C579" s="2" t="s">
        <v>3487</v>
      </c>
      <c r="D579" s="10" t="s">
        <v>7531</v>
      </c>
      <c r="F579" s="6">
        <v>46066.41390046296</v>
      </c>
      <c r="G579" s="5" t="str">
        <f>IFERROR(__xludf.DUMMYFUNCTION("LET(  refItem, TO_TEXT(D579),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IF(ISBLANK(D579),"""", IF(IFERROR(latestMutation,"""")=""OUT"", latestCust, ""AKGREADY"")))"),"b2b5f2c5")</f>
        <v>b2b5f2c5</v>
      </c>
    </row>
    <row r="580">
      <c r="A580" s="10" t="s">
        <v>7532</v>
      </c>
      <c r="B580" s="2" t="s">
        <v>3486</v>
      </c>
      <c r="C580" s="2" t="s">
        <v>3487</v>
      </c>
      <c r="D580" s="10" t="s">
        <v>7533</v>
      </c>
      <c r="F580" s="6">
        <v>46066.413981481484</v>
      </c>
      <c r="G580" s="5" t="str">
        <f>IFERROR(__xludf.DUMMYFUNCTION("LET(  refItem, TO_TEXT(D580),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IF(ISBLANK(D580),"""", IF(IFERROR(latestMutation,"""")=""OUT"", latestCust, ""AKGREADY"")))"),"58b72e0c")</f>
        <v>58b72e0c</v>
      </c>
    </row>
    <row r="581">
      <c r="A581" s="10" t="s">
        <v>7534</v>
      </c>
      <c r="B581" s="2" t="s">
        <v>3486</v>
      </c>
      <c r="C581" s="2" t="s">
        <v>3487</v>
      </c>
      <c r="D581" s="10" t="s">
        <v>7535</v>
      </c>
      <c r="F581" s="6">
        <v>46066.4140625</v>
      </c>
      <c r="G581" s="5" t="str">
        <f>IFERROR(__xludf.DUMMYFUNCTION("LET(  refItem, TO_TEXT(D581),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IF(ISBLANK(D581),"""", IF(IFERROR(latestMutation,"""")=""OUT"", latestCust, ""AKGREADY"")))"),"63fc688a")</f>
        <v>63fc688a</v>
      </c>
    </row>
    <row r="582">
      <c r="A582" s="10" t="s">
        <v>7536</v>
      </c>
      <c r="B582" s="2" t="s">
        <v>3486</v>
      </c>
      <c r="C582" s="2" t="s">
        <v>3487</v>
      </c>
      <c r="D582" s="10" t="s">
        <v>7537</v>
      </c>
      <c r="F582" s="6">
        <v>46066.41416666667</v>
      </c>
      <c r="G582" s="5" t="str">
        <f>IFERROR(__xludf.DUMMYFUNCTION("LET(  refItem, TO_TEXT(D582),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IF(ISBLANK(D582),"""", IF(IFERROR(latestMutation,"""")=""OUT"", latestCust, ""AKGREADY"")))"),"057b6b99")</f>
        <v>057b6b99</v>
      </c>
    </row>
    <row r="583">
      <c r="A583" s="10" t="s">
        <v>7538</v>
      </c>
      <c r="B583" s="2" t="s">
        <v>3486</v>
      </c>
      <c r="C583" s="2" t="s">
        <v>3487</v>
      </c>
      <c r="D583" s="10" t="s">
        <v>7539</v>
      </c>
      <c r="F583" s="6">
        <v>46066.4143287037</v>
      </c>
      <c r="G583" s="5" t="str">
        <f>IFERROR(__xludf.DUMMYFUNCTION("LET(  refItem, TO_TEXT(D583),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IF(ISBLANK(D583),"""", IF(IFERROR(latestMutation,"""")=""OUT"", latestCust, ""AKGREADY"")))"),"63fc688a")</f>
        <v>63fc688a</v>
      </c>
    </row>
    <row r="584">
      <c r="A584" s="10" t="s">
        <v>7540</v>
      </c>
      <c r="B584" s="2" t="s">
        <v>3486</v>
      </c>
      <c r="C584" s="2" t="s">
        <v>3487</v>
      </c>
      <c r="D584" s="10" t="s">
        <v>7541</v>
      </c>
      <c r="F584" s="6">
        <v>46066.41442129629</v>
      </c>
      <c r="G584" s="5" t="str">
        <f>IFERROR(__xludf.DUMMYFUNCTION("LET(  refItem, TO_TEXT(D584),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IF(ISBLANK(D584),"""", IF(IFERROR(latestMutation,"""")=""OUT"", latestCust, ""AKGREADY"")))"),"1c4d5e93")</f>
        <v>1c4d5e93</v>
      </c>
    </row>
    <row r="585">
      <c r="A585" s="10" t="s">
        <v>7542</v>
      </c>
      <c r="B585" s="2" t="s">
        <v>4203</v>
      </c>
      <c r="C585" s="2" t="s">
        <v>4204</v>
      </c>
      <c r="D585" s="10" t="s">
        <v>6388</v>
      </c>
      <c r="F585" s="6">
        <v>46119.52607638889</v>
      </c>
      <c r="G585" s="5" t="str">
        <f>IFERROR(__xludf.DUMMYFUNCTION("LET(  refItem, TO_TEXT(D585),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IF(ISBLANK(D585),"""", IF(IFERROR(latestMutation,"""")=""OUT"", latestCust, ""AKGREADY"")))"),"01158be1")</f>
        <v>01158be1</v>
      </c>
    </row>
    <row r="586">
      <c r="A586" s="10" t="s">
        <v>7543</v>
      </c>
      <c r="B586" s="2" t="s">
        <v>3486</v>
      </c>
      <c r="C586" s="2" t="s">
        <v>3487</v>
      </c>
      <c r="D586" s="10" t="s">
        <v>7544</v>
      </c>
      <c r="F586" s="6">
        <v>46074.40719907408</v>
      </c>
      <c r="G586" s="5" t="str">
        <f>IFERROR(__xludf.DUMMYFUNCTION("LET(  refItem, TO_TEXT(D586),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IF(ISBLANK(D586),"""", IF(IFERROR(latestMutation,"""")=""OUT"", latestCust, ""AKGREADY"")))"),"AKGREADY")</f>
        <v>AKGREADY</v>
      </c>
    </row>
    <row r="587">
      <c r="A587" s="2" t="s">
        <v>7545</v>
      </c>
      <c r="B587" s="2" t="s">
        <v>3486</v>
      </c>
      <c r="C587" s="2" t="s">
        <v>3487</v>
      </c>
      <c r="D587" s="10" t="s">
        <v>3731</v>
      </c>
      <c r="F587" s="6">
        <v>46078.34972222222</v>
      </c>
      <c r="G587" s="5" t="str">
        <f>IFERROR(__xludf.DUMMYFUNCTION("LET(  refItem, TO_TEXT(D587),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IF(ISBLANK(D587),"""", IF(IFERROR(latestMutation,"""")=""OUT"", latestCust, ""AKGREADY"")))"),"ce83e171")</f>
        <v>ce83e171</v>
      </c>
    </row>
    <row r="588">
      <c r="A588" s="2" t="s">
        <v>7546</v>
      </c>
      <c r="B588" s="2" t="s">
        <v>3486</v>
      </c>
      <c r="C588" s="2" t="s">
        <v>3487</v>
      </c>
      <c r="D588" s="10" t="s">
        <v>7547</v>
      </c>
      <c r="F588" s="6">
        <v>46084.36246527778</v>
      </c>
      <c r="G588" s="5" t="str">
        <f>IFERROR(__xludf.DUMMYFUNCTION("LET(  refItem, TO_TEXT(D588),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IF(ISBLANK(D588),"""", IF(IFERROR(latestMutation,"""")=""OUT"", latestCust, ""AKGREADY"")))"),"AKGREADY")</f>
        <v>AKGREADY</v>
      </c>
    </row>
    <row r="589">
      <c r="A589" s="2" t="s">
        <v>7545</v>
      </c>
      <c r="B589" s="2" t="s">
        <v>4203</v>
      </c>
      <c r="C589" s="2" t="s">
        <v>4204</v>
      </c>
      <c r="D589" s="10" t="s">
        <v>6382</v>
      </c>
      <c r="F589" s="6">
        <v>46088.669803240744</v>
      </c>
      <c r="G589" s="5" t="str">
        <f>IFERROR(__xludf.DUMMYFUNCTION("LET(  refItem, TO_TEXT(D589),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IF(ISBLANK(D589),"""", IF(IFERROR(latestMutation,"""")=""OUT"", latestCust, ""AKGREADY"")))"),"9828dfc5")</f>
        <v>9828dfc5</v>
      </c>
    </row>
    <row r="590">
      <c r="A590" s="2" t="s">
        <v>7545</v>
      </c>
      <c r="B590" s="2" t="s">
        <v>4203</v>
      </c>
      <c r="C590" s="2" t="s">
        <v>4204</v>
      </c>
      <c r="D590" s="10" t="s">
        <v>7548</v>
      </c>
      <c r="F590" s="6">
        <v>46092.410833333335</v>
      </c>
      <c r="G590" s="5" t="str">
        <f>IFERROR(__xludf.DUMMYFUNCTION("LET(  refItem, TO_TEXT(D590),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IF(ISBLANK(D590),"""", IF(IFERROR(latestMutation,"""")=""OUT"", latestCust, ""AKGREADY"")))"),"9828dfc5")</f>
        <v>9828dfc5</v>
      </c>
    </row>
    <row r="591">
      <c r="A591" s="2" t="s">
        <v>7545</v>
      </c>
      <c r="B591" s="2" t="s">
        <v>4203</v>
      </c>
      <c r="C591" s="2" t="s">
        <v>4204</v>
      </c>
      <c r="D591" s="10" t="s">
        <v>7549</v>
      </c>
      <c r="F591" s="6">
        <v>46092.41112268518</v>
      </c>
      <c r="G591" s="5" t="str">
        <f>IFERROR(__xludf.DUMMYFUNCTION("LET(  refItem, TO_TEXT(D591),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IF(ISBLANK(D591),"""", IF(IFERROR(latestMutation,"""")=""OUT"", latestCust, ""AKGREADY"")))"),"AKGREADY")</f>
        <v>AKGREADY</v>
      </c>
    </row>
    <row r="592">
      <c r="A592" s="2" t="s">
        <v>7545</v>
      </c>
      <c r="B592" s="2" t="s">
        <v>4203</v>
      </c>
      <c r="C592" s="2" t="s">
        <v>4204</v>
      </c>
      <c r="D592" s="10" t="s">
        <v>7550</v>
      </c>
      <c r="F592" s="6">
        <v>46092.446863425925</v>
      </c>
      <c r="G592" s="5" t="str">
        <f>IFERROR(__xludf.DUMMYFUNCTION("LET(  refItem, TO_TEXT(D592),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IF(ISBLANK(D592),"""", IF(IFERROR(latestMutation,"""")=""OUT"", latestCust, ""AKGREADY"")))"),"01158be1")</f>
        <v>01158be1</v>
      </c>
    </row>
    <row r="593">
      <c r="A593" s="2" t="s">
        <v>7545</v>
      </c>
      <c r="B593" s="2" t="s">
        <v>4203</v>
      </c>
      <c r="C593" s="2" t="s">
        <v>4204</v>
      </c>
      <c r="D593" s="10" t="s">
        <v>6461</v>
      </c>
      <c r="F593" s="6">
        <v>46092.44712962963</v>
      </c>
      <c r="G593" s="5" t="str">
        <f>IFERROR(__xludf.DUMMYFUNCTION("LET(  refItem, TO_TEXT(D593),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IF(ISBLANK(D593),"""", IF(IFERROR(latestMutation,"""")=""OUT"", latestCust, ""AKGREADY"")))"),"01158be1")</f>
        <v>01158be1</v>
      </c>
    </row>
    <row r="594">
      <c r="A594" s="2" t="s">
        <v>7545</v>
      </c>
      <c r="B594" s="2" t="s">
        <v>4203</v>
      </c>
      <c r="C594" s="2" t="s">
        <v>4204</v>
      </c>
      <c r="D594" s="10" t="s">
        <v>7551</v>
      </c>
      <c r="F594" s="6">
        <v>46092.44730324074</v>
      </c>
      <c r="G594" s="5" t="str">
        <f>IFERROR(__xludf.DUMMYFUNCTION("LET(  refItem, TO_TEXT(D594),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IF(ISBLANK(D594),"""", IF(IFERROR(latestMutation,"""")=""OUT"", latestCust, ""AKGREADY"")))"),"63fc688a")</f>
        <v>63fc688a</v>
      </c>
    </row>
    <row r="595">
      <c r="A595" s="2" t="s">
        <v>7545</v>
      </c>
      <c r="B595" s="2" t="s">
        <v>4203</v>
      </c>
      <c r="C595" s="2" t="s">
        <v>4204</v>
      </c>
      <c r="D595" s="10" t="s">
        <v>6500</v>
      </c>
      <c r="F595" s="6">
        <v>46092.44741898148</v>
      </c>
      <c r="G595" s="5" t="str">
        <f>IFERROR(__xludf.DUMMYFUNCTION("LET(  refItem, TO_TEXT(D595),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IF(ISBLANK(D595),"""", IF(IFERROR(latestMutation,"""")=""OUT"", latestCust, ""AKGREADY"")))"),"057b6b99")</f>
        <v>057b6b99</v>
      </c>
    </row>
    <row r="596">
      <c r="A596" s="10" t="s">
        <v>7552</v>
      </c>
      <c r="B596" s="2" t="s">
        <v>4203</v>
      </c>
      <c r="C596" s="2" t="s">
        <v>4204</v>
      </c>
      <c r="D596" s="10" t="s">
        <v>7553</v>
      </c>
      <c r="F596" s="6">
        <v>46109.69314814815</v>
      </c>
      <c r="G596" s="5" t="str">
        <f>IFERROR(__xludf.DUMMYFUNCTION("LET(  refItem, TO_TEXT(D596),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IF(ISBLANK(D596),"""", IF(IFERROR(latestMutation,"""")=""OUT"", latestCust, ""AKGREADY"")))"),"AKGREADY")</f>
        <v>AKGREADY</v>
      </c>
    </row>
    <row r="597">
      <c r="A597" s="2" t="s">
        <v>7545</v>
      </c>
      <c r="B597" s="2" t="s">
        <v>4203</v>
      </c>
      <c r="C597" s="2" t="s">
        <v>4204</v>
      </c>
      <c r="D597" s="10" t="s">
        <v>7554</v>
      </c>
      <c r="F597" s="6">
        <v>46092.44766203704</v>
      </c>
      <c r="G597" s="5" t="str">
        <f>IFERROR(__xludf.DUMMYFUNCTION("LET(  refItem, TO_TEXT(D597),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IF(ISBLANK(D597),"""", IF(IFERROR(latestMutation,"""")=""OUT"", latestCust, ""AKGREADY"")))"),"9e5d8274")</f>
        <v>9e5d8274</v>
      </c>
    </row>
    <row r="598">
      <c r="A598" s="2" t="s">
        <v>7545</v>
      </c>
      <c r="B598" s="2" t="s">
        <v>4203</v>
      </c>
      <c r="C598" s="2" t="s">
        <v>4204</v>
      </c>
      <c r="D598" s="10" t="s">
        <v>6489</v>
      </c>
      <c r="F598" s="6">
        <v>46092.44799768519</v>
      </c>
      <c r="G598" s="5" t="str">
        <f>IFERROR(__xludf.DUMMYFUNCTION("LET(  refItem, TO_TEXT(D598),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IF(ISBLANK(D598),"""", IF(IFERROR(latestMutation,"""")=""OUT"", latestCust, ""AKGREADY"")))"),"AKGREADY")</f>
        <v>AKGREADY</v>
      </c>
    </row>
    <row r="599">
      <c r="A599" s="2" t="s">
        <v>7545</v>
      </c>
      <c r="B599" s="2" t="s">
        <v>4203</v>
      </c>
      <c r="C599" s="2" t="s">
        <v>4204</v>
      </c>
      <c r="D599" s="10" t="s">
        <v>7555</v>
      </c>
      <c r="F599" s="6">
        <v>46092.44810185185</v>
      </c>
      <c r="G599" s="5" t="str">
        <f>IFERROR(__xludf.DUMMYFUNCTION("LET(  refItem, TO_TEXT(D599),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IF(ISBLANK(D599),"""", IF(IFERROR(latestMutation,"""")=""OUT"", latestCust, ""AKGREADY"")))"),"d9b2fac5")</f>
        <v>d9b2fac5</v>
      </c>
    </row>
    <row r="600">
      <c r="A600" s="2" t="s">
        <v>7556</v>
      </c>
      <c r="B600" s="2" t="s">
        <v>3585</v>
      </c>
      <c r="C600" s="2" t="s">
        <v>3586</v>
      </c>
      <c r="D600" s="10" t="s">
        <v>5468</v>
      </c>
      <c r="F600" s="6">
        <v>46092.69119212963</v>
      </c>
      <c r="G600" s="5" t="str">
        <f>IFERROR(__xludf.DUMMYFUNCTION("LET(  refItem, TO_TEXT(D600),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IF(ISBLANK(D600),"""", IF(IFERROR(latestMutation,"""")=""OUT"", latestCust, ""AKGREADY"")))"),"AKGREADY")</f>
        <v>AKGREADY</v>
      </c>
    </row>
    <row r="601">
      <c r="A601" s="2" t="s">
        <v>7556</v>
      </c>
      <c r="B601" s="2" t="s">
        <v>3585</v>
      </c>
      <c r="C601" s="2" t="s">
        <v>3586</v>
      </c>
      <c r="D601" s="10" t="s">
        <v>3613</v>
      </c>
      <c r="F601" s="6">
        <v>46092.69136574074</v>
      </c>
      <c r="G601" s="5" t="str">
        <f>IFERROR(__xludf.DUMMYFUNCTION("LET(  refItem, TO_TEXT(D601),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IF(ISBLANK(D601),"""", IF(IFERROR(latestMutation,"""")=""OUT"", latestCust, ""AKGREADY"")))"),"AKGREADY")</f>
        <v>AKGREADY</v>
      </c>
    </row>
    <row r="602">
      <c r="A602" s="2" t="s">
        <v>7545</v>
      </c>
      <c r="B602" s="2" t="s">
        <v>5765</v>
      </c>
      <c r="C602" s="2" t="s">
        <v>5766</v>
      </c>
      <c r="D602" s="10" t="s">
        <v>7557</v>
      </c>
      <c r="F602" s="6">
        <v>46095.4597337963</v>
      </c>
      <c r="G602" s="5" t="str">
        <f>IFERROR(__xludf.DUMMYFUNCTION("LET(  refItem, TO_TEXT(D602),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IF(ISBLANK(D602),"""", IF(IFERROR(latestMutation,"""")=""OUT"", latestCust, ""AKGREADY"")))"),"AKGREADY")</f>
        <v>AKGREADY</v>
      </c>
    </row>
    <row r="603">
      <c r="A603" s="2" t="s">
        <v>7545</v>
      </c>
      <c r="B603" s="2" t="s">
        <v>5765</v>
      </c>
      <c r="C603" s="2" t="s">
        <v>5766</v>
      </c>
      <c r="D603" s="10" t="s">
        <v>7558</v>
      </c>
      <c r="F603" s="6">
        <v>46095.46063657408</v>
      </c>
      <c r="G603" s="5" t="str">
        <f>IFERROR(__xludf.DUMMYFUNCTION("LET(  refItem, TO_TEXT(D603),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IF(ISBLANK(D603),"""", IF(IFERROR(latestMutation,"""")=""OUT"", latestCust, ""AKGREADY"")))"),"AKGREADY")</f>
        <v>AKGREADY</v>
      </c>
    </row>
    <row r="604">
      <c r="A604" s="2" t="s">
        <v>7545</v>
      </c>
      <c r="B604" s="2" t="s">
        <v>5765</v>
      </c>
      <c r="C604" s="2" t="s">
        <v>5766</v>
      </c>
      <c r="D604" s="10" t="s">
        <v>7559</v>
      </c>
      <c r="F604" s="6">
        <v>46095.46074074074</v>
      </c>
      <c r="G604" s="5" t="str">
        <f>IFERROR(__xludf.DUMMYFUNCTION("LET(  refItem, TO_TEXT(D604),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IF(ISBLANK(D604),"""", IF(IFERROR(latestMutation,"""")=""OUT"", latestCust, ""AKGREADY"")))"),"AKGREADY")</f>
        <v>AKGREADY</v>
      </c>
    </row>
    <row r="605">
      <c r="A605" s="2" t="s">
        <v>7545</v>
      </c>
      <c r="B605" s="2" t="s">
        <v>5765</v>
      </c>
      <c r="C605" s="2" t="s">
        <v>5766</v>
      </c>
      <c r="D605" s="10" t="s">
        <v>7560</v>
      </c>
      <c r="F605" s="6">
        <v>46095.46082175926</v>
      </c>
      <c r="G605" s="5" t="str">
        <f>IFERROR(__xludf.DUMMYFUNCTION("LET(  refItem, TO_TEXT(D605),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IF(ISBLANK(D605),"""", IF(IFERROR(latestMutation,"""")=""OUT"", latestCust, ""AKGREADY"")))"),"AKGREADY")</f>
        <v>AKGREADY</v>
      </c>
    </row>
    <row r="606">
      <c r="A606" s="2" t="s">
        <v>7545</v>
      </c>
      <c r="B606" s="2" t="s">
        <v>5765</v>
      </c>
      <c r="C606" s="2" t="s">
        <v>5766</v>
      </c>
      <c r="D606" s="10" t="s">
        <v>7561</v>
      </c>
      <c r="F606" s="6">
        <v>46095.460914351854</v>
      </c>
      <c r="G606" s="5" t="str">
        <f>IFERROR(__xludf.DUMMYFUNCTION("LET(  refItem, TO_TEXT(D606),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IF(ISBLANK(D606),"""", IF(IFERROR(latestMutation,"""")=""OUT"", latestCust, ""AKGREADY"")))"),"AKGREADY")</f>
        <v>AKGREADY</v>
      </c>
    </row>
    <row r="607">
      <c r="A607" s="2" t="s">
        <v>7545</v>
      </c>
      <c r="B607" s="2" t="s">
        <v>5765</v>
      </c>
      <c r="C607" s="2" t="s">
        <v>5766</v>
      </c>
      <c r="D607" s="10" t="s">
        <v>7562</v>
      </c>
      <c r="F607" s="6">
        <v>46095.461018518516</v>
      </c>
      <c r="G607" s="5" t="str">
        <f>IFERROR(__xludf.DUMMYFUNCTION("LET(  refItem, TO_TEXT(D607),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IF(ISBLANK(D607),"""", IF(IFERROR(latestMutation,"""")=""OUT"", latestCust, ""AKGREADY"")))"),"AKGREADY")</f>
        <v>AKGREADY</v>
      </c>
    </row>
    <row r="608">
      <c r="A608" s="2" t="s">
        <v>7545</v>
      </c>
      <c r="B608" s="2" t="s">
        <v>5765</v>
      </c>
      <c r="C608" s="2" t="s">
        <v>5766</v>
      </c>
      <c r="D608" s="10" t="s">
        <v>7563</v>
      </c>
      <c r="F608" s="6">
        <v>46095.46111111111</v>
      </c>
      <c r="G608" s="5" t="str">
        <f>IFERROR(__xludf.DUMMYFUNCTION("LET(  refItem, TO_TEXT(D608),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IF(ISBLANK(D608),"""", IF(IFERROR(latestMutation,"""")=""OUT"", latestCust, ""AKGREADY"")))"),"AKGREADY")</f>
        <v>AKGREADY</v>
      </c>
    </row>
    <row r="609">
      <c r="A609" s="2" t="s">
        <v>7545</v>
      </c>
      <c r="B609" s="2" t="s">
        <v>5765</v>
      </c>
      <c r="C609" s="2" t="s">
        <v>5766</v>
      </c>
      <c r="D609" s="10" t="s">
        <v>7564</v>
      </c>
      <c r="F609" s="6">
        <v>46095.4612037037</v>
      </c>
      <c r="G609" s="5" t="str">
        <f>IFERROR(__xludf.DUMMYFUNCTION("LET(  refItem, TO_TEXT(D609),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IF(ISBLANK(D609),"""", IF(IFERROR(latestMutation,"""")=""OUT"", latestCust, ""AKGREADY"")))"),"17a8e612")</f>
        <v>17a8e612</v>
      </c>
    </row>
    <row r="610">
      <c r="A610" s="2" t="s">
        <v>7545</v>
      </c>
      <c r="B610" s="2" t="s">
        <v>5765</v>
      </c>
      <c r="C610" s="2" t="s">
        <v>5766</v>
      </c>
      <c r="D610" s="10" t="s">
        <v>7565</v>
      </c>
      <c r="F610" s="6">
        <v>46095.46131944445</v>
      </c>
      <c r="G610" s="5" t="str">
        <f>IFERROR(__xludf.DUMMYFUNCTION("LET(  refItem, TO_TEXT(D610),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IF(ISBLANK(D610),"""", IF(IFERROR(latestMutation,"""")=""OUT"", latestCust, ""AKGREADY"")))"),"17a8e612")</f>
        <v>17a8e612</v>
      </c>
    </row>
    <row r="611">
      <c r="A611" s="2" t="s">
        <v>7545</v>
      </c>
      <c r="B611" s="2" t="s">
        <v>5765</v>
      </c>
      <c r="C611" s="2" t="s">
        <v>5766</v>
      </c>
      <c r="D611" s="10" t="s">
        <v>7566</v>
      </c>
      <c r="F611" s="6">
        <v>46095.46141203704</v>
      </c>
      <c r="G611" s="5" t="str">
        <f>IFERROR(__xludf.DUMMYFUNCTION("LET(  refItem, TO_TEXT(D611),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IF(ISBLANK(D611),"""", IF(IFERROR(latestMutation,"""")=""OUT"", latestCust, ""AKGREADY"")))"),"AKGREADY")</f>
        <v>AKGREADY</v>
      </c>
    </row>
    <row r="612">
      <c r="A612" s="2" t="s">
        <v>6902</v>
      </c>
      <c r="B612" s="2" t="s">
        <v>3486</v>
      </c>
      <c r="C612" s="2" t="s">
        <v>3487</v>
      </c>
      <c r="D612" s="10" t="s">
        <v>7567</v>
      </c>
      <c r="F612" s="6">
        <v>46106.36849537037</v>
      </c>
      <c r="G612" s="5" t="str">
        <f>IFERROR(__xludf.DUMMYFUNCTION("LET(  refItem, TO_TEXT(D612),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IF(ISBLANK(D612),"""", IF(IFERROR(latestMutation,"""")=""OUT"", latestCust, ""AKGREADY"")))"),"9e66ced9")</f>
        <v>9e66ced9</v>
      </c>
    </row>
    <row r="613">
      <c r="A613" s="2" t="s">
        <v>7568</v>
      </c>
      <c r="B613" s="2" t="s">
        <v>3522</v>
      </c>
      <c r="C613" s="2" t="s">
        <v>3523</v>
      </c>
      <c r="D613" s="10" t="s">
        <v>4476</v>
      </c>
      <c r="F613" s="6">
        <v>46129.40420138889</v>
      </c>
      <c r="G613" s="5" t="str">
        <f>IFERROR(__xludf.DUMMYFUNCTION("LET(  refItem, TO_TEXT(D613),  logDates, inventoryLog!$C:$C,  logCust, inventoryLog!$D:$D,  logMut, inventoryLog!$H:$H,  logItems, inventoryLog!$K:$K,  matches, FILTER({logDates, logCust, logMut}, REGEXMATCH(TO_TEXT(logItems), ""\b""&amp;refItem&amp;""\b"")),  so"&amp;"rted, SORT(matches, 1, FALSE),  latestMutation, INDEX(sorted, 1, 3),  latestCust, INDEX(sorted, 1, 2),  IF(ISBLANK(D613),"""", IF(IFERROR(latestMutation,"""")=""OUT"", latestCust, ""AKGREADY"")))"),"AKGREADY")</f>
        <v>AKGREADY</v>
      </c>
    </row>
    <row r="614">
      <c r="G614" s="5" t="str">
        <f>IFERROR(__xludf.DUMMYFUNCTION("LET(
  refItem, TO_TEXT(D614),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IF(ISBLANK(D614),"""", IF(IFERROR(latestMutation,"""")=""OUT"", latestCust, ""AKGREADY"")
))"),"")</f>
        <v/>
      </c>
    </row>
    <row r="615">
      <c r="G615" s="5" t="str">
        <f>IFERROR(__xludf.DUMMYFUNCTION("LET(
  refItem, TO_TEXT(D615),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IF(ISBLANK(D615),"""", IF(IFERROR(latestMutation,"""")=""OUT"", latestCust, ""AKGREADY"")
))"),"")</f>
        <v/>
      </c>
    </row>
    <row r="616">
      <c r="G616" s="5" t="str">
        <f>IFERROR(__xludf.DUMMYFUNCTION("LET(
  refItem, TO_TEXT(D616),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IF(ISBLANK(D616),"""", IF(IFERROR(latestMutation,"""")=""OUT"", latestCust, ""AKGREADY"")
))"),"")</f>
        <v/>
      </c>
    </row>
    <row r="617">
      <c r="G617" s="5" t="str">
        <f>IFERROR(__xludf.DUMMYFUNCTION("LET(
  refItem, TO_TEXT(D617),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IF(ISBLANK(D617),"""", IF(IFERROR(latestMutation,"""")=""OUT"", latestCust, ""AKGREADY"")
))"),"")</f>
        <v/>
      </c>
    </row>
    <row r="618">
      <c r="G618" s="5" t="str">
        <f>IFERROR(__xludf.DUMMYFUNCTION("LET(
  refItem, TO_TEXT(D618),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IF(ISBLANK(D618),"""", IF(IFERROR(latestMutation,"""")=""OUT"", latestCust, ""AKGREADY"")
))"),"")</f>
        <v/>
      </c>
    </row>
    <row r="619">
      <c r="G619" s="5" t="str">
        <f>IFERROR(__xludf.DUMMYFUNCTION("LET(
  refItem, TO_TEXT(D619),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IF(ISBLANK(D619),"""", IF(IFERROR(latestMutation,"""")=""OUT"", latestCust, ""AKGREADY"")
))"),"")</f>
        <v/>
      </c>
    </row>
    <row r="620">
      <c r="G620" s="5" t="str">
        <f>IFERROR(__xludf.DUMMYFUNCTION("LET(
  refItem, TO_TEXT(D620),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IF(ISBLANK(D620),"""", IF(IFERROR(latestMutation,"""")=""OUT"", latestCust, ""AKGREADY"")
))"),"")</f>
        <v/>
      </c>
    </row>
    <row r="621">
      <c r="G621" s="5" t="str">
        <f>IFERROR(__xludf.DUMMYFUNCTION("LET(
  refItem, TO_TEXT(D621),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IF(ISBLANK(D621),"""", IF(IFERROR(latestMutation,"""")=""OUT"", latestCust, ""AKGREADY"")
))"),"")</f>
        <v/>
      </c>
    </row>
    <row r="622">
      <c r="G622" s="5" t="str">
        <f>IFERROR(__xludf.DUMMYFUNCTION("LET(
  refItem, TO_TEXT(D622),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IF(ISBLANK(D622),"""", IF(IFERROR(latestMutation,"""")=""OUT"", latestCust, ""AKGREADY"")
))"),"")</f>
        <v/>
      </c>
    </row>
    <row r="623">
      <c r="G623" s="5" t="str">
        <f>IFERROR(__xludf.DUMMYFUNCTION("LET(
  refItem, TO_TEXT(D623),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IF(ISBLANK(D623),"""", IF(IFERROR(latestMutation,"""")=""OUT"", latestCust, ""AKGREADY"")
))"),"")</f>
        <v/>
      </c>
    </row>
    <row r="624">
      <c r="G624" s="5" t="str">
        <f>IFERROR(__xludf.DUMMYFUNCTION("LET(
  refItem, TO_TEXT(D624),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IF(ISBLANK(D624),"""", IF(IFERROR(latestMutation,"""")=""OUT"", latestCust, ""AKGREADY"")
))"),"")</f>
        <v/>
      </c>
    </row>
    <row r="625">
      <c r="G625" s="5" t="str">
        <f>IFERROR(__xludf.DUMMYFUNCTION("LET(
  refItem, TO_TEXT(D625),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IF(ISBLANK(D625),"""", IF(IFERROR(latestMutation,"""")=""OUT"", latestCust, ""AKGREADY"")
))"),"")</f>
        <v/>
      </c>
    </row>
    <row r="626">
      <c r="G626" s="5" t="str">
        <f>IFERROR(__xludf.DUMMYFUNCTION("LET(
  refItem, TO_TEXT(D626),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IF(ISBLANK(D626),"""", IF(IFERROR(latestMutation,"""")=""OUT"", latestCust, ""AKGREADY"")
))"),"")</f>
        <v/>
      </c>
    </row>
    <row r="627">
      <c r="G627" s="5" t="str">
        <f>IFERROR(__xludf.DUMMYFUNCTION("LET(
  refItem, TO_TEXT(D627),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IF(ISBLANK(D627),"""", IF(IFERROR(latestMutation,"""")=""OUT"", latestCust, ""AKGREADY"")
))"),"")</f>
        <v/>
      </c>
    </row>
    <row r="628">
      <c r="G628" s="5" t="str">
        <f>IFERROR(__xludf.DUMMYFUNCTION("LET(
  refItem, TO_TEXT(D628),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IF(ISBLANK(D628),"""", IF(IFERROR(latestMutation,"""")=""OUT"", latestCust, ""AKGREADY"")
))"),"")</f>
        <v/>
      </c>
    </row>
    <row r="629">
      <c r="G629" s="5" t="str">
        <f>IFERROR(__xludf.DUMMYFUNCTION("LET(
  refItem, TO_TEXT(D629),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IF(ISBLANK(D629),"""", IF(IFERROR(latestMutation,"""")=""OUT"", latestCust, ""AKGREADY"")
))"),"")</f>
        <v/>
      </c>
    </row>
    <row r="630">
      <c r="G630" s="5" t="str">
        <f>IFERROR(__xludf.DUMMYFUNCTION("LET(
  refItem, TO_TEXT(D630),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IF(ISBLANK(D630),"""", IF(IFERROR(latestMutation,"""")=""OUT"", latestCust, ""AKGREADY"")
))"),"")</f>
        <v/>
      </c>
    </row>
    <row r="631">
      <c r="G631" s="5" t="str">
        <f>IFERROR(__xludf.DUMMYFUNCTION("LET(
  refItem, TO_TEXT(D631),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IF(ISBLANK(D631),"""", IF(IFERROR(latestMutation,"""")=""OUT"", latestCust, ""AKGREADY"")
))"),"")</f>
        <v/>
      </c>
    </row>
    <row r="632">
      <c r="G632" s="5" t="str">
        <f>IFERROR(__xludf.DUMMYFUNCTION("LET(
  refItem, TO_TEXT(D632),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IF(ISBLANK(D632),"""", IF(IFERROR(latestMutation,"""")=""OUT"", latestCust, ""AKGREADY"")
))"),"")</f>
        <v/>
      </c>
    </row>
    <row r="633">
      <c r="G633" s="5" t="str">
        <f>IFERROR(__xludf.DUMMYFUNCTION("LET(
  refItem, TO_TEXT(D633),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IF(ISBLANK(D633),"""", IF(IFERROR(latestMutation,"""")=""OUT"", latestCust, ""AKGREADY"")
))"),"")</f>
        <v/>
      </c>
    </row>
    <row r="634">
      <c r="G634" s="5" t="str">
        <f>IFERROR(__xludf.DUMMYFUNCTION("LET(
  refItem, TO_TEXT(D634),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IF(ISBLANK(D634),"""", IF(IFERROR(latestMutation,"""")=""OUT"", latestCust, ""AKGREADY"")
))"),"")</f>
        <v/>
      </c>
    </row>
    <row r="635">
      <c r="G635" s="5" t="str">
        <f>IFERROR(__xludf.DUMMYFUNCTION("LET(
  refItem, TO_TEXT(D635),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IF(ISBLANK(D635),"""", IF(IFERROR(latestMutation,"""")=""OUT"", latestCust, ""AKGREADY"")
))"),"")</f>
        <v/>
      </c>
    </row>
    <row r="636">
      <c r="G636" s="5" t="str">
        <f>IFERROR(__xludf.DUMMYFUNCTION("LET(
  refItem, TO_TEXT(D636),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IF(ISBLANK(D636),"""", IF(IFERROR(latestMutation,"""")=""OUT"", latestCust, ""AKGREADY"")
))"),"")</f>
        <v/>
      </c>
    </row>
    <row r="637">
      <c r="G637" s="5" t="str">
        <f>IFERROR(__xludf.DUMMYFUNCTION("LET(
  refItem, TO_TEXT(D637),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IF(ISBLANK(D637),"""", IF(IFERROR(latestMutation,"""")=""OUT"", latestCust, ""AKGREADY"")
))"),"")</f>
        <v/>
      </c>
    </row>
    <row r="638">
      <c r="G638" s="5" t="str">
        <f>IFERROR(__xludf.DUMMYFUNCTION("LET(
  refItem, TO_TEXT(D638),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IF(ISBLANK(D638),"""", IF(IFERROR(latestMutation,"""")=""OUT"", latestCust, ""AKGREADY"")
))"),"")</f>
        <v/>
      </c>
    </row>
    <row r="639">
      <c r="G639" s="5" t="str">
        <f>IFERROR(__xludf.DUMMYFUNCTION("LET(
  refItem, TO_TEXT(D639),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IF(ISBLANK(D639),"""", IF(IFERROR(latestMutation,"""")=""OUT"", latestCust, ""AKGREADY"")
))"),"")</f>
        <v/>
      </c>
    </row>
    <row r="640">
      <c r="G640" s="5" t="str">
        <f>IFERROR(__xludf.DUMMYFUNCTION("LET(
  refItem, TO_TEXT(D640),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IF(ISBLANK(D640),"""", IF(IFERROR(latestMutation,"""")=""OUT"", latestCust, ""AKGREADY"")
))"),"")</f>
        <v/>
      </c>
    </row>
    <row r="641">
      <c r="G641" s="5" t="str">
        <f>IFERROR(__xludf.DUMMYFUNCTION("LET(
  refItem, TO_TEXT(D641),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IF(ISBLANK(D641),"""", IF(IFERROR(latestMutation,"""")=""OUT"", latestCust, ""AKGREADY"")
))"),"")</f>
        <v/>
      </c>
    </row>
    <row r="642">
      <c r="G642" s="5" t="str">
        <f>IFERROR(__xludf.DUMMYFUNCTION("LET(
  refItem, TO_TEXT(D642),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IF(ISBLANK(D642),"""", IF(IFERROR(latestMutation,"""")=""OUT"", latestCust, ""AKGREADY"")
))"),"")</f>
        <v/>
      </c>
    </row>
    <row r="643">
      <c r="G643" s="5" t="str">
        <f>IFERROR(__xludf.DUMMYFUNCTION("LET(
  refItem, TO_TEXT(D643),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IF(ISBLANK(D643),"""", IF(IFERROR(latestMutation,"""")=""OUT"", latestCust, ""AKGREADY"")
))"),"")</f>
        <v/>
      </c>
    </row>
    <row r="644">
      <c r="G644" s="5" t="str">
        <f>IFERROR(__xludf.DUMMYFUNCTION("LET(
  refItem, TO_TEXT(D644),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IF(ISBLANK(D644),"""", IF(IFERROR(latestMutation,"""")=""OUT"", latestCust, ""AKGREADY"")
))"),"")</f>
        <v/>
      </c>
    </row>
    <row r="645">
      <c r="G645" s="5" t="str">
        <f>IFERROR(__xludf.DUMMYFUNCTION("LET(
  refItem, TO_TEXT(D645),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IF(ISBLANK(D645),"""", IF(IFERROR(latestMutation,"""")=""OUT"", latestCust, ""AKGREADY"")
))"),"")</f>
        <v/>
      </c>
    </row>
    <row r="646">
      <c r="G646" s="5" t="str">
        <f>IFERROR(__xludf.DUMMYFUNCTION("LET(
  refItem, TO_TEXT(D646),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IF(ISBLANK(D646),"""", IF(IFERROR(latestMutation,"""")=""OUT"", latestCust, ""AKGREADY"")
))"),"")</f>
        <v/>
      </c>
    </row>
    <row r="647">
      <c r="G647" s="5" t="str">
        <f>IFERROR(__xludf.DUMMYFUNCTION("LET(
  refItem, TO_TEXT(D647),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IF(ISBLANK(D647),"""", IF(IFERROR(latestMutation,"""")=""OUT"", latestCust, ""AKGREADY"")
))"),"")</f>
        <v/>
      </c>
    </row>
    <row r="648">
      <c r="G648" s="5" t="str">
        <f>IFERROR(__xludf.DUMMYFUNCTION("LET(
  refItem, TO_TEXT(D648),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IF(ISBLANK(D648),"""", IF(IFERROR(latestMutation,"""")=""OUT"", latestCust, ""AKGREADY"")
))"),"")</f>
        <v/>
      </c>
    </row>
    <row r="649">
      <c r="G649" s="5" t="str">
        <f>IFERROR(__xludf.DUMMYFUNCTION("LET(
  refItem, TO_TEXT(D649),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IF(ISBLANK(D649),"""", IF(IFERROR(latestMutation,"""")=""OUT"", latestCust, ""AKGREADY"")
))"),"")</f>
        <v/>
      </c>
    </row>
    <row r="650">
      <c r="G650" s="5" t="str">
        <f>IFERROR(__xludf.DUMMYFUNCTION("LET(
  refItem, TO_TEXT(D650),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IF(ISBLANK(D650),"""", IF(IFERROR(latestMutation,"""")=""OUT"", latestCust, ""AKGREADY"")
))"),"")</f>
        <v/>
      </c>
    </row>
    <row r="651">
      <c r="G651" s="5" t="str">
        <f>IFERROR(__xludf.DUMMYFUNCTION("LET(
  refItem, TO_TEXT(D651),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IF(ISBLANK(D651),"""", IF(IFERROR(latestMutation,"""")=""OUT"", latestCust, ""AKGREADY"")
))"),"")</f>
        <v/>
      </c>
    </row>
    <row r="652">
      <c r="G652" s="5" t="str">
        <f>IFERROR(__xludf.DUMMYFUNCTION("LET(
  refItem, TO_TEXT(D652),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IF(ISBLANK(D652),"""", IF(IFERROR(latestMutation,"""")=""OUT"", latestCust, ""AKGREADY"")
))"),"")</f>
        <v/>
      </c>
    </row>
    <row r="653">
      <c r="G653" s="5" t="str">
        <f>IFERROR(__xludf.DUMMYFUNCTION("LET(
  refItem, TO_TEXT(D653),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IF(ISBLANK(D653),"""", IF(IFERROR(latestMutation,"""")=""OUT"", latestCust, ""AKGREADY"")
))"),"")</f>
        <v/>
      </c>
    </row>
    <row r="654">
      <c r="G654" s="5" t="str">
        <f>IFERROR(__xludf.DUMMYFUNCTION("LET(
  refItem, TO_TEXT(D654),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IF(ISBLANK(D654),"""", IF(IFERROR(latestMutation,"""")=""OUT"", latestCust, ""AKGREADY"")
))"),"")</f>
        <v/>
      </c>
    </row>
    <row r="655">
      <c r="G655" s="5" t="str">
        <f>IFERROR(__xludf.DUMMYFUNCTION("LET(
  refItem, TO_TEXT(D655),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IF(ISBLANK(D655),"""", IF(IFERROR(latestMutation,"""")=""OUT"", latestCust, ""AKGREADY"")
))"),"")</f>
        <v/>
      </c>
    </row>
    <row r="656">
      <c r="G656" s="5" t="str">
        <f>IFERROR(__xludf.DUMMYFUNCTION("LET(
  refItem, TO_TEXT(D656),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IF(ISBLANK(D656),"""", IF(IFERROR(latestMutation,"""")=""OUT"", latestCust, ""AKGREADY"")
))"),"")</f>
        <v/>
      </c>
    </row>
    <row r="657">
      <c r="G657" s="5" t="str">
        <f>IFERROR(__xludf.DUMMYFUNCTION("LET(
  refItem, TO_TEXT(D657),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IF(ISBLANK(D657),"""", IF(IFERROR(latestMutation,"""")=""OUT"", latestCust, ""AKGREADY"")
))"),"")</f>
        <v/>
      </c>
    </row>
    <row r="658">
      <c r="G658" s="5" t="str">
        <f>IFERROR(__xludf.DUMMYFUNCTION("LET(
  refItem, TO_TEXT(D658),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IF(ISBLANK(D658),"""", IF(IFERROR(latestMutation,"""")=""OUT"", latestCust, ""AKGREADY"")
))"),"")</f>
        <v/>
      </c>
    </row>
    <row r="659">
      <c r="G659" s="5" t="str">
        <f>IFERROR(__xludf.DUMMYFUNCTION("LET(
  refItem, TO_TEXT(D659),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IF(ISBLANK(D659),"""", IF(IFERROR(latestMutation,"""")=""OUT"", latestCust, ""AKGREADY"")
))"),"")</f>
        <v/>
      </c>
    </row>
    <row r="660">
      <c r="G660" s="5" t="str">
        <f>IFERROR(__xludf.DUMMYFUNCTION("LET(
  refItem, TO_TEXT(D660),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IF(ISBLANK(D660),"""", IF(IFERROR(latestMutation,"""")=""OUT"", latestCust, ""AKGREADY"")
))"),"")</f>
        <v/>
      </c>
    </row>
    <row r="661">
      <c r="G661" s="5" t="str">
        <f>IFERROR(__xludf.DUMMYFUNCTION("LET(
  refItem, TO_TEXT(D661),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IF(ISBLANK(D661),"""", IF(IFERROR(latestMutation,"""")=""OUT"", latestCust, ""AKGREADY"")
))"),"")</f>
        <v/>
      </c>
    </row>
    <row r="662">
      <c r="G662" s="5" t="str">
        <f>IFERROR(__xludf.DUMMYFUNCTION("LET(
  refItem, TO_TEXT(D662),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IF(ISBLANK(D662),"""", IF(IFERROR(latestMutation,"""")=""OUT"", latestCust, ""AKGREADY"")
))"),"")</f>
        <v/>
      </c>
    </row>
    <row r="663">
      <c r="G663" s="5" t="str">
        <f>IFERROR(__xludf.DUMMYFUNCTION("LET(
  refItem, TO_TEXT(D663),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IF(ISBLANK(D663),"""", IF(IFERROR(latestMutation,"""")=""OUT"", latestCust, ""AKGREADY"")
))"),"")</f>
        <v/>
      </c>
    </row>
    <row r="664">
      <c r="G664" s="5" t="str">
        <f>IFERROR(__xludf.DUMMYFUNCTION("LET(
  refItem, TO_TEXT(D664),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IF(ISBLANK(D664),"""", IF(IFERROR(latestMutation,"""")=""OUT"", latestCust, ""AKGREADY"")
))"),"")</f>
        <v/>
      </c>
    </row>
    <row r="665">
      <c r="G665" s="5" t="str">
        <f>IFERROR(__xludf.DUMMYFUNCTION("LET(
  refItem, TO_TEXT(D665),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IF(ISBLANK(D665),"""", IF(IFERROR(latestMutation,"""")=""OUT"", latestCust, ""AKGREADY"")
))"),"")</f>
        <v/>
      </c>
    </row>
    <row r="666">
      <c r="G666" s="5" t="str">
        <f>IFERROR(__xludf.DUMMYFUNCTION("LET(
  refItem, TO_TEXT(D666),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IF(ISBLANK(D666),"""", IF(IFERROR(latestMutation,"""")=""OUT"", latestCust, ""AKGREADY"")
))"),"")</f>
        <v/>
      </c>
    </row>
    <row r="667">
      <c r="G667" s="5" t="str">
        <f>IFERROR(__xludf.DUMMYFUNCTION("LET(
  refItem, TO_TEXT(D667),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IF(ISBLANK(D667),"""", IF(IFERROR(latestMutation,"""")=""OUT"", latestCust, ""AKGREADY"")
))"),"")</f>
        <v/>
      </c>
    </row>
    <row r="668">
      <c r="G668" s="5" t="str">
        <f>IFERROR(__xludf.DUMMYFUNCTION("LET(
  refItem, TO_TEXT(D668),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IF(ISBLANK(D668),"""", IF(IFERROR(latestMutation,"""")=""OUT"", latestCust, ""AKGREADY"")
))"),"")</f>
        <v/>
      </c>
    </row>
    <row r="669">
      <c r="G669" s="5" t="str">
        <f>IFERROR(__xludf.DUMMYFUNCTION("LET(
  refItem, TO_TEXT(D669),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IF(ISBLANK(D669),"""", IF(IFERROR(latestMutation,"""")=""OUT"", latestCust, ""AKGREADY"")
))"),"")</f>
        <v/>
      </c>
    </row>
    <row r="670">
      <c r="G670" s="5" t="str">
        <f>IFERROR(__xludf.DUMMYFUNCTION("LET(
  refItem, TO_TEXT(D670),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IF(ISBLANK(D670),"""", IF(IFERROR(latestMutation,"""")=""OUT"", latestCust, ""AKGREADY"")
))"),"")</f>
        <v/>
      </c>
    </row>
    <row r="671">
      <c r="G671" s="5" t="str">
        <f>IFERROR(__xludf.DUMMYFUNCTION("LET(
  refItem, TO_TEXT(D671),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IF(ISBLANK(D671),"""", IF(IFERROR(latestMutation,"""")=""OUT"", latestCust, ""AKGREADY"")
))"),"")</f>
        <v/>
      </c>
    </row>
    <row r="672">
      <c r="G672" s="5" t="str">
        <f>IFERROR(__xludf.DUMMYFUNCTION("LET(
  refItem, TO_TEXT(D672),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IF(ISBLANK(D672),"""", IF(IFERROR(latestMutation,"""")=""OUT"", latestCust, ""AKGREADY"")
))"),"")</f>
        <v/>
      </c>
    </row>
    <row r="673">
      <c r="G673" s="5" t="str">
        <f>IFERROR(__xludf.DUMMYFUNCTION("LET(
  refItem, TO_TEXT(D673),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IF(ISBLANK(D673),"""", IF(IFERROR(latestMutation,"""")=""OUT"", latestCust, ""AKGREADY"")
))"),"")</f>
        <v/>
      </c>
    </row>
    <row r="674">
      <c r="G674" s="5" t="str">
        <f>IFERROR(__xludf.DUMMYFUNCTION("LET(
  refItem, TO_TEXT(D674),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IF(ISBLANK(D674),"""", IF(IFERROR(latestMutation,"""")=""OUT"", latestCust, ""AKGREADY"")
))"),"")</f>
        <v/>
      </c>
    </row>
    <row r="675">
      <c r="G675" s="5" t="str">
        <f>IFERROR(__xludf.DUMMYFUNCTION("LET(
  refItem, TO_TEXT(D675),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IF(ISBLANK(D675),"""", IF(IFERROR(latestMutation,"""")=""OUT"", latestCust, ""AKGREADY"")
))"),"")</f>
        <v/>
      </c>
    </row>
    <row r="676">
      <c r="G676" s="5" t="str">
        <f>IFERROR(__xludf.DUMMYFUNCTION("LET(
  refItem, TO_TEXT(D676),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IF(ISBLANK(D676),"""", IF(IFERROR(latestMutation,"""")=""OUT"", latestCust, ""AKGREADY"")
))"),"")</f>
        <v/>
      </c>
    </row>
    <row r="677">
      <c r="G677" s="5" t="str">
        <f>IFERROR(__xludf.DUMMYFUNCTION("LET(
  refItem, TO_TEXT(D677),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IF(ISBLANK(D677),"""", IF(IFERROR(latestMutation,"""")=""OUT"", latestCust, ""AKGREADY"")
))"),"")</f>
        <v/>
      </c>
    </row>
    <row r="678">
      <c r="G678" s="5" t="str">
        <f>IFERROR(__xludf.DUMMYFUNCTION("LET(
  refItem, TO_TEXT(D678),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IF(ISBLANK(D678),"""", IF(IFERROR(latestMutation,"""")=""OUT"", latestCust, ""AKGREADY"")
))"),"")</f>
        <v/>
      </c>
    </row>
    <row r="679">
      <c r="G679" s="5" t="str">
        <f>IFERROR(__xludf.DUMMYFUNCTION("LET(
  refItem, TO_TEXT(D679),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IF(ISBLANK(D679),"""", IF(IFERROR(latestMutation,"""")=""OUT"", latestCust, ""AKGREADY"")
))"),"")</f>
        <v/>
      </c>
    </row>
    <row r="680">
      <c r="G680" s="5" t="str">
        <f>IFERROR(__xludf.DUMMYFUNCTION("LET(
  refItem, TO_TEXT(D680),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IF(ISBLANK(D680),"""", IF(IFERROR(latestMutation,"""")=""OUT"", latestCust, ""AKGREADY"")
))"),"")</f>
        <v/>
      </c>
    </row>
    <row r="681">
      <c r="G681" s="5" t="str">
        <f>IFERROR(__xludf.DUMMYFUNCTION("LET(
  refItem, TO_TEXT(D681),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IF(ISBLANK(D681),"""", IF(IFERROR(latestMutation,"""")=""OUT"", latestCust, ""AKGREADY"")
))"),"")</f>
        <v/>
      </c>
    </row>
    <row r="682">
      <c r="G682" s="5" t="str">
        <f>IFERROR(__xludf.DUMMYFUNCTION("LET(
  refItem, TO_TEXT(D682),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IF(ISBLANK(D682),"""", IF(IFERROR(latestMutation,"""")=""OUT"", latestCust, ""AKGREADY"")
))"),"")</f>
        <v/>
      </c>
    </row>
    <row r="683">
      <c r="G683" s="5" t="str">
        <f>IFERROR(__xludf.DUMMYFUNCTION("LET(
  refItem, TO_TEXT(D683),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IF(ISBLANK(D683),"""", IF(IFERROR(latestMutation,"""")=""OUT"", latestCust, ""AKGREADY"")
))"),"")</f>
        <v/>
      </c>
    </row>
    <row r="684">
      <c r="G684" s="5" t="str">
        <f>IFERROR(__xludf.DUMMYFUNCTION("LET(
  refItem, TO_TEXT(D684),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IF(ISBLANK(D684),"""", IF(IFERROR(latestMutation,"""")=""OUT"", latestCust, ""AKGREADY"")
))"),"")</f>
        <v/>
      </c>
    </row>
    <row r="685">
      <c r="G685" s="5" t="str">
        <f>IFERROR(__xludf.DUMMYFUNCTION("LET(
  refItem, TO_TEXT(D685),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IF(ISBLANK(D685),"""", IF(IFERROR(latestMutation,"""")=""OUT"", latestCust, ""AKGREADY"")
))"),"")</f>
        <v/>
      </c>
    </row>
    <row r="686">
      <c r="G686" s="5" t="str">
        <f>IFERROR(__xludf.DUMMYFUNCTION("LET(
  refItem, TO_TEXT(D686),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IF(ISBLANK(D686),"""", IF(IFERROR(latestMutation,"""")=""OUT"", latestCust, ""AKGREADY"")
))"),"")</f>
        <v/>
      </c>
    </row>
    <row r="687">
      <c r="G687" s="5" t="str">
        <f>IFERROR(__xludf.DUMMYFUNCTION("LET(
  refItem, TO_TEXT(D687),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IF(ISBLANK(D687),"""", IF(IFERROR(latestMutation,"""")=""OUT"", latestCust, ""AKGREADY"")
))"),"")</f>
        <v/>
      </c>
    </row>
    <row r="688">
      <c r="G688" s="5" t="str">
        <f>IFERROR(__xludf.DUMMYFUNCTION("LET(
  refItem, TO_TEXT(D688),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IF(ISBLANK(D688),"""", IF(IFERROR(latestMutation,"""")=""OUT"", latestCust, ""AKGREADY"")
))"),"")</f>
        <v/>
      </c>
    </row>
    <row r="689">
      <c r="G689" s="5" t="str">
        <f>IFERROR(__xludf.DUMMYFUNCTION("LET(
  refItem, TO_TEXT(D689),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IF(ISBLANK(D689),"""", IF(IFERROR(latestMutation,"""")=""OUT"", latestCust, ""AKGREADY"")
))"),"")</f>
        <v/>
      </c>
    </row>
    <row r="690">
      <c r="G690" s="5" t="str">
        <f>IFERROR(__xludf.DUMMYFUNCTION("LET(
  refItem, TO_TEXT(D690),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IF(ISBLANK(D690),"""", IF(IFERROR(latestMutation,"""")=""OUT"", latestCust, ""AKGREADY"")
))"),"")</f>
        <v/>
      </c>
    </row>
    <row r="691">
      <c r="G691" s="5" t="str">
        <f>IFERROR(__xludf.DUMMYFUNCTION("LET(
  refItem, TO_TEXT(D691),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IF(ISBLANK(D691),"""", IF(IFERROR(latestMutation,"""")=""OUT"", latestCust, ""AKGREADY"")
))"),"")</f>
        <v/>
      </c>
    </row>
    <row r="692">
      <c r="G692" s="5" t="str">
        <f>IFERROR(__xludf.DUMMYFUNCTION("LET(
  refItem, TO_TEXT(D692),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IF(ISBLANK(D692),"""", IF(IFERROR(latestMutation,"""")=""OUT"", latestCust, ""AKGREADY"")
))"),"")</f>
        <v/>
      </c>
    </row>
    <row r="693">
      <c r="G693" s="5" t="str">
        <f>IFERROR(__xludf.DUMMYFUNCTION("LET(
  refItem, TO_TEXT(D693),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IF(ISBLANK(D693),"""", IF(IFERROR(latestMutation,"""")=""OUT"", latestCust, ""AKGREADY"")
))"),"")</f>
        <v/>
      </c>
    </row>
    <row r="694">
      <c r="G694" s="5" t="str">
        <f>IFERROR(__xludf.DUMMYFUNCTION("LET(
  refItem, TO_TEXT(D694),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IF(ISBLANK(D694),"""", IF(IFERROR(latestMutation,"""")=""OUT"", latestCust, ""AKGREADY"")
))"),"")</f>
        <v/>
      </c>
    </row>
    <row r="695">
      <c r="G695" s="5" t="str">
        <f>IFERROR(__xludf.DUMMYFUNCTION("LET(
  refItem, TO_TEXT(D695),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IF(ISBLANK(D695),"""", IF(IFERROR(latestMutation,"""")=""OUT"", latestCust, ""AKGREADY"")
))"),"")</f>
        <v/>
      </c>
    </row>
    <row r="696">
      <c r="G696" s="5" t="str">
        <f>IFERROR(__xludf.DUMMYFUNCTION("LET(
  refItem, TO_TEXT(D696),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IF(ISBLANK(D696),"""", IF(IFERROR(latestMutation,"""")=""OUT"", latestCust, ""AKGREADY"")
))"),"")</f>
        <v/>
      </c>
    </row>
    <row r="697">
      <c r="G697" s="5" t="str">
        <f>IFERROR(__xludf.DUMMYFUNCTION("LET(
  refItem, TO_TEXT(D697),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IF(ISBLANK(D697),"""", IF(IFERROR(latestMutation,"""")=""OUT"", latestCust, ""AKGREADY"")
))"),"")</f>
        <v/>
      </c>
    </row>
    <row r="698">
      <c r="G698" s="5" t="str">
        <f>IFERROR(__xludf.DUMMYFUNCTION("LET(
  refItem, TO_TEXT(D698),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IF(ISBLANK(D698),"""", IF(IFERROR(latestMutation,"""")=""OUT"", latestCust, ""AKGREADY"")
))"),"")</f>
        <v/>
      </c>
    </row>
    <row r="699">
      <c r="G699" s="5" t="str">
        <f>IFERROR(__xludf.DUMMYFUNCTION("LET(
  refItem, TO_TEXT(D699),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IF(ISBLANK(D699),"""", IF(IFERROR(latestMutation,"""")=""OUT"", latestCust, ""AKGREADY"")
))"),"")</f>
        <v/>
      </c>
    </row>
    <row r="700">
      <c r="G700" s="5" t="str">
        <f>IFERROR(__xludf.DUMMYFUNCTION("LET(
  refItem, TO_TEXT(D700),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IF(ISBLANK(D700),"""", IF(IFERROR(latestMutation,"""")=""OUT"", latestCust, ""AKGREADY"")
))"),"")</f>
        <v/>
      </c>
    </row>
    <row r="701">
      <c r="G701" s="5" t="str">
        <f>IFERROR(__xludf.DUMMYFUNCTION("LET(
  refItem, TO_TEXT(D701),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IF(ISBLANK(D701),"""", IF(IFERROR(latestMutation,"""")=""OUT"", latestCust, ""AKGREADY"")
))"),"")</f>
        <v/>
      </c>
    </row>
    <row r="702">
      <c r="G702" s="5" t="str">
        <f>IFERROR(__xludf.DUMMYFUNCTION("LET(
  refItem, TO_TEXT(D702),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IF(ISBLANK(D702),"""", IF(IFERROR(latestMutation,"""")=""OUT"", latestCust, ""AKGREADY"")
))"),"")</f>
        <v/>
      </c>
    </row>
    <row r="703">
      <c r="G703" s="5" t="str">
        <f>IFERROR(__xludf.DUMMYFUNCTION("LET(
  refItem, TO_TEXT(D703),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IF(ISBLANK(D703),"""", IF(IFERROR(latestMutation,"""")=""OUT"", latestCust, ""AKGREADY"")
))"),"")</f>
        <v/>
      </c>
    </row>
    <row r="704">
      <c r="G704" s="5" t="str">
        <f>IFERROR(__xludf.DUMMYFUNCTION("LET(
  refItem, TO_TEXT(D704),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IF(ISBLANK(D704),"""", IF(IFERROR(latestMutation,"""")=""OUT"", latestCust, ""AKGREADY"")
))"),"")</f>
        <v/>
      </c>
    </row>
    <row r="705">
      <c r="G705" s="5" t="str">
        <f>IFERROR(__xludf.DUMMYFUNCTION("LET(
  refItem, TO_TEXT(D705),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IF(ISBLANK(D705),"""", IF(IFERROR(latestMutation,"""")=""OUT"", latestCust, ""AKGREADY"")
))"),"")</f>
        <v/>
      </c>
    </row>
    <row r="706">
      <c r="G706" s="5" t="str">
        <f>IFERROR(__xludf.DUMMYFUNCTION("LET(
  refItem, TO_TEXT(D706),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IF(ISBLANK(D706),"""", IF(IFERROR(latestMutation,"""")=""OUT"", latestCust, ""AKGREADY"")
))"),"")</f>
        <v/>
      </c>
    </row>
    <row r="707">
      <c r="G707" s="5" t="str">
        <f>IFERROR(__xludf.DUMMYFUNCTION("LET(
  refItem, TO_TEXT(D707),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IF(ISBLANK(D707),"""", IF(IFERROR(latestMutation,"""")=""OUT"", latestCust, ""AKGREADY"")
))"),"")</f>
        <v/>
      </c>
    </row>
    <row r="708">
      <c r="G708" s="5" t="str">
        <f>IFERROR(__xludf.DUMMYFUNCTION("LET(
  refItem, TO_TEXT(D708),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IF(ISBLANK(D708),"""", IF(IFERROR(latestMutation,"""")=""OUT"", latestCust, ""AKGREADY"")
))"),"")</f>
        <v/>
      </c>
    </row>
    <row r="709">
      <c r="G709" s="5" t="str">
        <f>IFERROR(__xludf.DUMMYFUNCTION("LET(
  refItem, TO_TEXT(D709),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IF(ISBLANK(D709),"""", IF(IFERROR(latestMutation,"""")=""OUT"", latestCust, ""AKGREADY"")
))"),"")</f>
        <v/>
      </c>
    </row>
    <row r="710">
      <c r="G710" s="5" t="str">
        <f>IFERROR(__xludf.DUMMYFUNCTION("LET(
  refItem, TO_TEXT(D710),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IF(ISBLANK(D710),"""", IF(IFERROR(latestMutation,"""")=""OUT"", latestCust, ""AKGREADY"")
))"),"")</f>
        <v/>
      </c>
    </row>
    <row r="711">
      <c r="G711" s="5" t="str">
        <f>IFERROR(__xludf.DUMMYFUNCTION("LET(
  refItem, TO_TEXT(D711),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IF(ISBLANK(D711),"""", IF(IFERROR(latestMutation,"""")=""OUT"", latestCust, ""AKGREADY"")
))"),"")</f>
        <v/>
      </c>
    </row>
    <row r="712">
      <c r="G712" s="5" t="str">
        <f>IFERROR(__xludf.DUMMYFUNCTION("LET(
  refItem, TO_TEXT(D712),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IF(ISBLANK(D712),"""", IF(IFERROR(latestMutation,"""")=""OUT"", latestCust, ""AKGREADY"")
))"),"")</f>
        <v/>
      </c>
    </row>
    <row r="713">
      <c r="G713" s="5" t="str">
        <f>IFERROR(__xludf.DUMMYFUNCTION("LET(
  refItem, TO_TEXT(D713),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IF(ISBLANK(D713),"""", IF(IFERROR(latestMutation,"""")=""OUT"", latestCust, ""AKGREADY"")
))"),"")</f>
        <v/>
      </c>
    </row>
    <row r="714">
      <c r="G714" s="5" t="str">
        <f>IFERROR(__xludf.DUMMYFUNCTION("LET(
  refItem, TO_TEXT(D714),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IF(ISBLANK(D714),"""", IF(IFERROR(latestMutation,"""")=""OUT"", latestCust, ""AKGREADY"")
))"),"")</f>
        <v/>
      </c>
    </row>
    <row r="715">
      <c r="G715" s="5" t="str">
        <f>IFERROR(__xludf.DUMMYFUNCTION("LET(
  refItem, TO_TEXT(D715),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IF(ISBLANK(D715),"""", IF(IFERROR(latestMutation,"""")=""OUT"", latestCust, ""AKGREADY"")
))"),"")</f>
        <v/>
      </c>
    </row>
    <row r="716">
      <c r="G716" s="5" t="str">
        <f>IFERROR(__xludf.DUMMYFUNCTION("LET(
  refItem, TO_TEXT(D716),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IF(ISBLANK(D716),"""", IF(IFERROR(latestMutation,"""")=""OUT"", latestCust, ""AKGREADY"")
))"),"")</f>
        <v/>
      </c>
    </row>
    <row r="717">
      <c r="G717" s="5" t="str">
        <f>IFERROR(__xludf.DUMMYFUNCTION("LET(
  refItem, TO_TEXT(D717),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IF(ISBLANK(D717),"""", IF(IFERROR(latestMutation,"""")=""OUT"", latestCust, ""AKGREADY"")
))"),"")</f>
        <v/>
      </c>
    </row>
    <row r="718">
      <c r="G718" s="5" t="str">
        <f>IFERROR(__xludf.DUMMYFUNCTION("LET(
  refItem, TO_TEXT(D718),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IF(ISBLANK(D718),"""", IF(IFERROR(latestMutation,"""")=""OUT"", latestCust, ""AKGREADY"")
))"),"")</f>
        <v/>
      </c>
    </row>
    <row r="719">
      <c r="G719" s="5" t="str">
        <f>IFERROR(__xludf.DUMMYFUNCTION("LET(
  refItem, TO_TEXT(D719),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IF(ISBLANK(D719),"""", IF(IFERROR(latestMutation,"""")=""OUT"", latestCust, ""AKGREADY"")
))"),"")</f>
        <v/>
      </c>
    </row>
    <row r="720">
      <c r="G720" s="5" t="str">
        <f>IFERROR(__xludf.DUMMYFUNCTION("LET(
  refItem, TO_TEXT(D720),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IF(ISBLANK(D720),"""", IF(IFERROR(latestMutation,"""")=""OUT"", latestCust, ""AKGREADY"")
))"),"")</f>
        <v/>
      </c>
    </row>
    <row r="721">
      <c r="G721" s="5" t="str">
        <f>IFERROR(__xludf.DUMMYFUNCTION("LET(
  refItem, TO_TEXT(D721),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IF(ISBLANK(D721),"""", IF(IFERROR(latestMutation,"""")=""OUT"", latestCust, ""AKGREADY"")
))"),"")</f>
        <v/>
      </c>
    </row>
    <row r="722">
      <c r="G722" s="5" t="str">
        <f>IFERROR(__xludf.DUMMYFUNCTION("LET(
  refItem, TO_TEXT(D722),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IF(ISBLANK(D722),"""", IF(IFERROR(latestMutation,"""")=""OUT"", latestCust, ""AKGREADY"")
))"),"")</f>
        <v/>
      </c>
    </row>
    <row r="723">
      <c r="G723" s="5" t="str">
        <f>IFERROR(__xludf.DUMMYFUNCTION("LET(
  refItem, TO_TEXT(D723),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IF(ISBLANK(D723),"""", IF(IFERROR(latestMutation,"""")=""OUT"", latestCust, ""AKGREADY"")
))"),"")</f>
        <v/>
      </c>
    </row>
    <row r="724">
      <c r="G724" s="5" t="str">
        <f>IFERROR(__xludf.DUMMYFUNCTION("LET(
  refItem, TO_TEXT(D724),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IF(ISBLANK(D724),"""", IF(IFERROR(latestMutation,"""")=""OUT"", latestCust, ""AKGREADY"")
))"),"")</f>
        <v/>
      </c>
    </row>
    <row r="725">
      <c r="G725" s="5" t="str">
        <f>IFERROR(__xludf.DUMMYFUNCTION("LET(
  refItem, TO_TEXT(D725),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IF(ISBLANK(D725),"""", IF(IFERROR(latestMutation,"""")=""OUT"", latestCust, ""AKGREADY"")
))"),"")</f>
        <v/>
      </c>
    </row>
    <row r="726">
      <c r="G726" s="5" t="str">
        <f>IFERROR(__xludf.DUMMYFUNCTION("LET(
  refItem, TO_TEXT(D726),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IF(ISBLANK(D726),"""", IF(IFERROR(latestMutation,"""")=""OUT"", latestCust, ""AKGREADY"")
))"),"")</f>
        <v/>
      </c>
    </row>
    <row r="727">
      <c r="G727" s="5" t="str">
        <f>IFERROR(__xludf.DUMMYFUNCTION("LET(
  refItem, TO_TEXT(D727),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IF(ISBLANK(D727),"""", IF(IFERROR(latestMutation,"""")=""OUT"", latestCust, ""AKGREADY"")
))"),"")</f>
        <v/>
      </c>
    </row>
    <row r="728">
      <c r="G728" s="5" t="str">
        <f>IFERROR(__xludf.DUMMYFUNCTION("LET(
  refItem, TO_TEXT(D728),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IF(ISBLANK(D728),"""", IF(IFERROR(latestMutation,"""")=""OUT"", latestCust, ""AKGREADY"")
))"),"")</f>
        <v/>
      </c>
    </row>
    <row r="729">
      <c r="G729" s="5" t="str">
        <f>IFERROR(__xludf.DUMMYFUNCTION("LET(
  refItem, TO_TEXT(D729),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IF(ISBLANK(D729),"""", IF(IFERROR(latestMutation,"""")=""OUT"", latestCust, ""AKGREADY"")
))"),"")</f>
        <v/>
      </c>
    </row>
    <row r="730">
      <c r="G730" s="5" t="str">
        <f>IFERROR(__xludf.DUMMYFUNCTION("LET(
  refItem, TO_TEXT(D730),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IF(ISBLANK(D730),"""", IF(IFERROR(latestMutation,"""")=""OUT"", latestCust, ""AKGREADY"")
))"),"")</f>
        <v/>
      </c>
    </row>
    <row r="731">
      <c r="G731" s="5" t="str">
        <f>IFERROR(__xludf.DUMMYFUNCTION("LET(
  refItem, TO_TEXT(D731),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IF(ISBLANK(D731),"""", IF(IFERROR(latestMutation,"""")=""OUT"", latestCust, ""AKGREADY"")
))"),"")</f>
        <v/>
      </c>
    </row>
    <row r="732">
      <c r="G732" s="5" t="str">
        <f>IFERROR(__xludf.DUMMYFUNCTION("LET(
  refItem, TO_TEXT(D732),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IF(ISBLANK(D732),"""", IF(IFERROR(latestMutation,"""")=""OUT"", latestCust, ""AKGREADY"")
))"),"")</f>
        <v/>
      </c>
    </row>
    <row r="733">
      <c r="G733" s="5" t="str">
        <f>IFERROR(__xludf.DUMMYFUNCTION("LET(
  refItem, TO_TEXT(D733),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IF(ISBLANK(D733),"""", IF(IFERROR(latestMutation,"""")=""OUT"", latestCust, ""AKGREADY"")
))"),"")</f>
        <v/>
      </c>
    </row>
    <row r="734">
      <c r="G734" s="5" t="str">
        <f>IFERROR(__xludf.DUMMYFUNCTION("LET(
  refItem, TO_TEXT(D734),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IF(ISBLANK(D734),"""", IF(IFERROR(latestMutation,"""")=""OUT"", latestCust, ""AKGREADY"")
))"),"")</f>
        <v/>
      </c>
    </row>
    <row r="735">
      <c r="G735" s="5" t="str">
        <f>IFERROR(__xludf.DUMMYFUNCTION("LET(
  refItem, TO_TEXT(D735),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IF(ISBLANK(D735),"""", IF(IFERROR(latestMutation,"""")=""OUT"", latestCust, ""AKGREADY"")
))"),"")</f>
        <v/>
      </c>
    </row>
    <row r="736">
      <c r="G736" s="5" t="str">
        <f>IFERROR(__xludf.DUMMYFUNCTION("LET(
  refItem, TO_TEXT(D736),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IF(ISBLANK(D736),"""", IF(IFERROR(latestMutation,"""")=""OUT"", latestCust, ""AKGREADY"")
))"),"")</f>
        <v/>
      </c>
    </row>
    <row r="737">
      <c r="G737" s="5" t="str">
        <f>IFERROR(__xludf.DUMMYFUNCTION("LET(
  refItem, TO_TEXT(D737),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IF(ISBLANK(D737),"""", IF(IFERROR(latestMutation,"""")=""OUT"", latestCust, ""AKGREADY"")
))"),"")</f>
        <v/>
      </c>
    </row>
    <row r="738">
      <c r="G738" s="5" t="str">
        <f>IFERROR(__xludf.DUMMYFUNCTION("LET(
  refItem, TO_TEXT(D738),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IF(ISBLANK(D738),"""", IF(IFERROR(latestMutation,"""")=""OUT"", latestCust, ""AKGREADY"")
))"),"")</f>
        <v/>
      </c>
    </row>
    <row r="739">
      <c r="G739" s="5" t="str">
        <f>IFERROR(__xludf.DUMMYFUNCTION("LET(
  refItem, TO_TEXT(D739),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IF(ISBLANK(D739),"""", IF(IFERROR(latestMutation,"""")=""OUT"", latestCust, ""AKGREADY"")
))"),"")</f>
        <v/>
      </c>
    </row>
    <row r="740">
      <c r="G740" s="5" t="str">
        <f>IFERROR(__xludf.DUMMYFUNCTION("LET(
  refItem, TO_TEXT(D740),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IF(ISBLANK(D740),"""", IF(IFERROR(latestMutation,"""")=""OUT"", latestCust, ""AKGREADY"")
))"),"")</f>
        <v/>
      </c>
    </row>
    <row r="741">
      <c r="G741" s="5" t="str">
        <f>IFERROR(__xludf.DUMMYFUNCTION("LET(
  refItem, TO_TEXT(D741),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IF(ISBLANK(D741),"""", IF(IFERROR(latestMutation,"""")=""OUT"", latestCust, ""AKGREADY"")
))"),"")</f>
        <v/>
      </c>
    </row>
    <row r="742">
      <c r="G742" s="5" t="str">
        <f>IFERROR(__xludf.DUMMYFUNCTION("LET(
  refItem, TO_TEXT(D742),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IF(ISBLANK(D742),"""", IF(IFERROR(latestMutation,"""")=""OUT"", latestCust, ""AKGREADY"")
))"),"")</f>
        <v/>
      </c>
    </row>
    <row r="743">
      <c r="G743" s="5" t="str">
        <f>IFERROR(__xludf.DUMMYFUNCTION("LET(
  refItem, TO_TEXT(D743),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IF(ISBLANK(D743),"""", IF(IFERROR(latestMutation,"""")=""OUT"", latestCust, ""AKGREADY"")
))"),"")</f>
        <v/>
      </c>
    </row>
    <row r="744">
      <c r="G744" s="5" t="str">
        <f>IFERROR(__xludf.DUMMYFUNCTION("LET(
  refItem, TO_TEXT(D744),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IF(ISBLANK(D744),"""", IF(IFERROR(latestMutation,"""")=""OUT"", latestCust, ""AKGREADY"")
))"),"")</f>
        <v/>
      </c>
    </row>
    <row r="745">
      <c r="G745" s="5" t="str">
        <f>IFERROR(__xludf.DUMMYFUNCTION("LET(
  refItem, TO_TEXT(D745),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IF(ISBLANK(D745),"""", IF(IFERROR(latestMutation,"""")=""OUT"", latestCust, ""AKGREADY"")
))"),"")</f>
        <v/>
      </c>
    </row>
    <row r="746">
      <c r="G746" s="5" t="str">
        <f>IFERROR(__xludf.DUMMYFUNCTION("LET(
  refItem, TO_TEXT(D746),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IF(ISBLANK(D746),"""", IF(IFERROR(latestMutation,"""")=""OUT"", latestCust, ""AKGREADY"")
))"),"")</f>
        <v/>
      </c>
    </row>
    <row r="747">
      <c r="G747" s="5" t="str">
        <f>IFERROR(__xludf.DUMMYFUNCTION("LET(
  refItem, TO_TEXT(D747),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IF(ISBLANK(D747),"""", IF(IFERROR(latestMutation,"""")=""OUT"", latestCust, ""AKGREADY"")
))"),"")</f>
        <v/>
      </c>
    </row>
    <row r="748">
      <c r="G748" s="5" t="str">
        <f>IFERROR(__xludf.DUMMYFUNCTION("LET(
  refItem, TO_TEXT(D748),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IF(ISBLANK(D748),"""", IF(IFERROR(latestMutation,"""")=""OUT"", latestCust, ""AKGREADY"")
))"),"")</f>
        <v/>
      </c>
    </row>
    <row r="749">
      <c r="G749" s="5" t="str">
        <f>IFERROR(__xludf.DUMMYFUNCTION("LET(
  refItem, TO_TEXT(D749),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IF(ISBLANK(D749),"""", IF(IFERROR(latestMutation,"""")=""OUT"", latestCust, ""AKGREADY"")
))"),"")</f>
        <v/>
      </c>
    </row>
    <row r="750">
      <c r="G750" s="5" t="str">
        <f>IFERROR(__xludf.DUMMYFUNCTION("LET(
  refItem, TO_TEXT(D750),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IF(ISBLANK(D750),"""", IF(IFERROR(latestMutation,"""")=""OUT"", latestCust, ""AKGREADY"")
))"),"")</f>
        <v/>
      </c>
    </row>
    <row r="751">
      <c r="G751" s="5" t="str">
        <f>IFERROR(__xludf.DUMMYFUNCTION("LET(
  refItem, TO_TEXT(D751),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IF(ISBLANK(D751),"""", IF(IFERROR(latestMutation,"""")=""OUT"", latestCust, ""AKGREADY"")
))"),"")</f>
        <v/>
      </c>
    </row>
    <row r="752">
      <c r="G752" s="5" t="str">
        <f>IFERROR(__xludf.DUMMYFUNCTION("LET(
  refItem, TO_TEXT(D752),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IF(ISBLANK(D752),"""", IF(IFERROR(latestMutation,"""")=""OUT"", latestCust, ""AKGREADY"")
))"),"")</f>
        <v/>
      </c>
    </row>
    <row r="753">
      <c r="G753" s="5" t="str">
        <f>IFERROR(__xludf.DUMMYFUNCTION("LET(
  refItem, TO_TEXT(D753),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IF(ISBLANK(D753),"""", IF(IFERROR(latestMutation,"""")=""OUT"", latestCust, ""AKGREADY"")
))"),"")</f>
        <v/>
      </c>
    </row>
    <row r="754">
      <c r="G754" s="5" t="str">
        <f>IFERROR(__xludf.DUMMYFUNCTION("LET(
  refItem, TO_TEXT(D754),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IF(ISBLANK(D754),"""", IF(IFERROR(latestMutation,"""")=""OUT"", latestCust, ""AKGREADY"")
))"),"")</f>
        <v/>
      </c>
    </row>
    <row r="755">
      <c r="G755" s="5" t="str">
        <f>IFERROR(__xludf.DUMMYFUNCTION("LET(
  refItem, TO_TEXT(D755),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IF(ISBLANK(D755),"""", IF(IFERROR(latestMutation,"""")=""OUT"", latestCust, ""AKGREADY"")
))"),"")</f>
        <v/>
      </c>
    </row>
    <row r="756">
      <c r="G756" s="5" t="str">
        <f>IFERROR(__xludf.DUMMYFUNCTION("LET(
  refItem, TO_TEXT(D756),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IF(ISBLANK(D756),"""", IF(IFERROR(latestMutation,"""")=""OUT"", latestCust, ""AKGREADY"")
))"),"")</f>
        <v/>
      </c>
    </row>
    <row r="757">
      <c r="G757" s="5" t="str">
        <f>IFERROR(__xludf.DUMMYFUNCTION("LET(
  refItem, TO_TEXT(D757),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IF(ISBLANK(D757),"""", IF(IFERROR(latestMutation,"""")=""OUT"", latestCust, ""AKGREADY"")
))"),"")</f>
        <v/>
      </c>
    </row>
    <row r="758">
      <c r="G758" s="5" t="str">
        <f>IFERROR(__xludf.DUMMYFUNCTION("LET(
  refItem, TO_TEXT(D758),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IF(ISBLANK(D758),"""", IF(IFERROR(latestMutation,"""")=""OUT"", latestCust, ""AKGREADY"")
))"),"")</f>
        <v/>
      </c>
    </row>
    <row r="759">
      <c r="G759" s="5" t="str">
        <f>IFERROR(__xludf.DUMMYFUNCTION("LET(
  refItem, TO_TEXT(D759),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IF(ISBLANK(D759),"""", IF(IFERROR(latestMutation,"""")=""OUT"", latestCust, ""AKGREADY"")
))"),"")</f>
        <v/>
      </c>
    </row>
    <row r="760">
      <c r="G760" s="5" t="str">
        <f>IFERROR(__xludf.DUMMYFUNCTION("LET(
  refItem, TO_TEXT(D760),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IF(ISBLANK(D760),"""", IF(IFERROR(latestMutation,"""")=""OUT"", latestCust, ""AKGREADY"")
))"),"")</f>
        <v/>
      </c>
    </row>
    <row r="761">
      <c r="G761" s="5" t="str">
        <f>IFERROR(__xludf.DUMMYFUNCTION("LET(
  refItem, TO_TEXT(D761),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IF(ISBLANK(D761),"""", IF(IFERROR(latestMutation,"""")=""OUT"", latestCust, ""AKGREADY"")
))"),"")</f>
        <v/>
      </c>
    </row>
    <row r="762">
      <c r="G762" s="5" t="str">
        <f>IFERROR(__xludf.DUMMYFUNCTION("LET(
  refItem, TO_TEXT(D762),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IF(ISBLANK(D762),"""", IF(IFERROR(latestMutation,"""")=""OUT"", latestCust, ""AKGREADY"")
))"),"")</f>
        <v/>
      </c>
    </row>
    <row r="763">
      <c r="G763" s="5" t="str">
        <f>IFERROR(__xludf.DUMMYFUNCTION("LET(
  refItem, TO_TEXT(D763),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IF(ISBLANK(D763),"""", IF(IFERROR(latestMutation,"""")=""OUT"", latestCust, ""AKGREADY"")
))"),"")</f>
        <v/>
      </c>
    </row>
    <row r="764">
      <c r="G764" s="5" t="str">
        <f>IFERROR(__xludf.DUMMYFUNCTION("LET(
  refItem, TO_TEXT(D764),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IF(ISBLANK(D764),"""", IF(IFERROR(latestMutation,"""")=""OUT"", latestCust, ""AKGREADY"")
))"),"")</f>
        <v/>
      </c>
    </row>
    <row r="765">
      <c r="G765" s="5" t="str">
        <f>IFERROR(__xludf.DUMMYFUNCTION("LET(
  refItem, TO_TEXT(D765),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IF(ISBLANK(D765),"""", IF(IFERROR(latestMutation,"""")=""OUT"", latestCust, ""AKGREADY"")
))"),"")</f>
        <v/>
      </c>
    </row>
    <row r="766">
      <c r="G766" s="5" t="str">
        <f>IFERROR(__xludf.DUMMYFUNCTION("LET(
  refItem, TO_TEXT(D766),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IF(ISBLANK(D766),"""", IF(IFERROR(latestMutation,"""")=""OUT"", latestCust, ""AKGREADY"")
))"),"")</f>
        <v/>
      </c>
    </row>
    <row r="767">
      <c r="G767" s="5" t="str">
        <f>IFERROR(__xludf.DUMMYFUNCTION("LET(
  refItem, TO_TEXT(D767),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IF(ISBLANK(D767),"""", IF(IFERROR(latestMutation,"""")=""OUT"", latestCust, ""AKGREADY"")
))"),"")</f>
        <v/>
      </c>
    </row>
    <row r="768">
      <c r="G768" s="5" t="str">
        <f>IFERROR(__xludf.DUMMYFUNCTION("LET(
  refItem, TO_TEXT(D768),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IF(ISBLANK(D768),"""", IF(IFERROR(latestMutation,"""")=""OUT"", latestCust, ""AKGREADY"")
))"),"")</f>
        <v/>
      </c>
    </row>
    <row r="769">
      <c r="G769" s="5" t="str">
        <f>IFERROR(__xludf.DUMMYFUNCTION("LET(
  refItem, TO_TEXT(D769),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IF(ISBLANK(D769),"""", IF(IFERROR(latestMutation,"""")=""OUT"", latestCust, ""AKGREADY"")
))"),"")</f>
        <v/>
      </c>
    </row>
    <row r="770">
      <c r="G770" s="5" t="str">
        <f>IFERROR(__xludf.DUMMYFUNCTION("LET(
  refItem, TO_TEXT(D770),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IF(ISBLANK(D770),"""", IF(IFERROR(latestMutation,"""")=""OUT"", latestCust, ""AKGREADY"")
))"),"")</f>
        <v/>
      </c>
    </row>
    <row r="771">
      <c r="G771" s="5" t="str">
        <f>IFERROR(__xludf.DUMMYFUNCTION("LET(
  refItem, TO_TEXT(D771),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IF(ISBLANK(D771),"""", IF(IFERROR(latestMutation,"""")=""OUT"", latestCust, ""AKGREADY"")
))"),"")</f>
        <v/>
      </c>
    </row>
    <row r="772">
      <c r="G772" s="5" t="str">
        <f>IFERROR(__xludf.DUMMYFUNCTION("LET(
  refItem, TO_TEXT(D772),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IF(ISBLANK(D772),"""", IF(IFERROR(latestMutation,"""")=""OUT"", latestCust, ""AKGREADY"")
))"),"")</f>
        <v/>
      </c>
    </row>
    <row r="773">
      <c r="G773" s="5" t="str">
        <f>IFERROR(__xludf.DUMMYFUNCTION("LET(
  refItem, TO_TEXT(D773),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IF(ISBLANK(D773),"""", IF(IFERROR(latestMutation,"""")=""OUT"", latestCust, ""AKGREADY"")
))"),"")</f>
        <v/>
      </c>
    </row>
    <row r="774">
      <c r="G774" s="5" t="str">
        <f>IFERROR(__xludf.DUMMYFUNCTION("LET(
  refItem, TO_TEXT(D774),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IF(ISBLANK(D774),"""", IF(IFERROR(latestMutation,"""")=""OUT"", latestCust, ""AKGREADY"")
))"),"")</f>
        <v/>
      </c>
    </row>
    <row r="775">
      <c r="G775" s="5" t="str">
        <f>IFERROR(__xludf.DUMMYFUNCTION("LET(
  refItem, TO_TEXT(D775),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IF(ISBLANK(D775),"""", IF(IFERROR(latestMutation,"""")=""OUT"", latestCust, ""AKGREADY"")
))"),"")</f>
        <v/>
      </c>
    </row>
    <row r="776">
      <c r="G776" s="5" t="str">
        <f>IFERROR(__xludf.DUMMYFUNCTION("LET(
  refItem, TO_TEXT(D776),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IF(ISBLANK(D776),"""", IF(IFERROR(latestMutation,"""")=""OUT"", latestCust, ""AKGREADY"")
))"),"")</f>
        <v/>
      </c>
    </row>
    <row r="777">
      <c r="G777" s="5" t="str">
        <f>IFERROR(__xludf.DUMMYFUNCTION("LET(
  refItem, TO_TEXT(D777),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IF(ISBLANK(D777),"""", IF(IFERROR(latestMutation,"""")=""OUT"", latestCust, ""AKGREADY"")
))"),"")</f>
        <v/>
      </c>
    </row>
    <row r="778">
      <c r="G778" s="5" t="str">
        <f>IFERROR(__xludf.DUMMYFUNCTION("LET(
  refItem, TO_TEXT(D778),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IF(ISBLANK(D778),"""", IF(IFERROR(latestMutation,"""")=""OUT"", latestCust, ""AKGREADY"")
))"),"")</f>
        <v/>
      </c>
    </row>
    <row r="779">
      <c r="G779" s="5" t="str">
        <f>IFERROR(__xludf.DUMMYFUNCTION("LET(
  refItem, TO_TEXT(D779),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IF(ISBLANK(D779),"""", IF(IFERROR(latestMutation,"""")=""OUT"", latestCust, ""AKGREADY"")
))"),"")</f>
        <v/>
      </c>
    </row>
    <row r="780">
      <c r="G780" s="5" t="str">
        <f>IFERROR(__xludf.DUMMYFUNCTION("LET(
  refItem, TO_TEXT(D780),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IF(ISBLANK(D780),"""", IF(IFERROR(latestMutation,"""")=""OUT"", latestCust, ""AKGREADY"")
))"),"")</f>
        <v/>
      </c>
    </row>
    <row r="781">
      <c r="G781" s="5" t="str">
        <f>IFERROR(__xludf.DUMMYFUNCTION("LET(
  refItem, TO_TEXT(D781),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IF(ISBLANK(D781),"""", IF(IFERROR(latestMutation,"""")=""OUT"", latestCust, ""AKGREADY"")
))"),"")</f>
        <v/>
      </c>
    </row>
    <row r="782">
      <c r="G782" s="5" t="str">
        <f>IFERROR(__xludf.DUMMYFUNCTION("LET(
  refItem, TO_TEXT(D782),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IF(ISBLANK(D782),"""", IF(IFERROR(latestMutation,"""")=""OUT"", latestCust, ""AKGREADY"")
))"),"")</f>
        <v/>
      </c>
    </row>
    <row r="783">
      <c r="G783" s="5" t="str">
        <f>IFERROR(__xludf.DUMMYFUNCTION("LET(
  refItem, TO_TEXT(D783),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IF(ISBLANK(D783),"""", IF(IFERROR(latestMutation,"""")=""OUT"", latestCust, ""AKGREADY"")
))"),"")</f>
        <v/>
      </c>
    </row>
    <row r="784">
      <c r="G784" s="5" t="str">
        <f>IFERROR(__xludf.DUMMYFUNCTION("LET(
  refItem, TO_TEXT(D784),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IF(ISBLANK(D784),"""", IF(IFERROR(latestMutation,"""")=""OUT"", latestCust, ""AKGREADY"")
))"),"")</f>
        <v/>
      </c>
    </row>
    <row r="785">
      <c r="G785" s="5" t="str">
        <f>IFERROR(__xludf.DUMMYFUNCTION("LET(
  refItem, TO_TEXT(D785),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IF(ISBLANK(D785),"""", IF(IFERROR(latestMutation,"""")=""OUT"", latestCust, ""AKGREADY"")
))"),"")</f>
        <v/>
      </c>
    </row>
    <row r="786">
      <c r="G786" s="5" t="str">
        <f>IFERROR(__xludf.DUMMYFUNCTION("LET(
  refItem, TO_TEXT(D786),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IF(ISBLANK(D786),"""", IF(IFERROR(latestMutation,"""")=""OUT"", latestCust, ""AKGREADY"")
))"),"")</f>
        <v/>
      </c>
    </row>
    <row r="787">
      <c r="G787" s="5" t="str">
        <f>IFERROR(__xludf.DUMMYFUNCTION("LET(
  refItem, TO_TEXT(D787),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IF(ISBLANK(D787),"""", IF(IFERROR(latestMutation,"""")=""OUT"", latestCust, ""AKGREADY"")
))"),"")</f>
        <v/>
      </c>
    </row>
    <row r="788">
      <c r="G788" s="5" t="str">
        <f>IFERROR(__xludf.DUMMYFUNCTION("LET(
  refItem, TO_TEXT(D788),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IF(ISBLANK(D788),"""", IF(IFERROR(latestMutation,"""")=""OUT"", latestCust, ""AKGREADY"")
))"),"")</f>
        <v/>
      </c>
    </row>
    <row r="789">
      <c r="G789" s="5" t="str">
        <f>IFERROR(__xludf.DUMMYFUNCTION("LET(
  refItem, TO_TEXT(D789),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IF(ISBLANK(D789),"""", IF(IFERROR(latestMutation,"""")=""OUT"", latestCust, ""AKGREADY"")
))"),"")</f>
        <v/>
      </c>
    </row>
    <row r="790">
      <c r="G790" s="5" t="str">
        <f>IFERROR(__xludf.DUMMYFUNCTION("LET(
  refItem, TO_TEXT(D790),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IF(ISBLANK(D790),"""", IF(IFERROR(latestMutation,"""")=""OUT"", latestCust, ""AKGREADY"")
))"),"")</f>
        <v/>
      </c>
    </row>
    <row r="791">
      <c r="G791" s="5" t="str">
        <f>IFERROR(__xludf.DUMMYFUNCTION("LET(
  refItem, TO_TEXT(D791),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IF(ISBLANK(D791),"""", IF(IFERROR(latestMutation,"""")=""OUT"", latestCust, ""AKGREADY"")
))"),"")</f>
        <v/>
      </c>
    </row>
    <row r="792">
      <c r="G792" s="5" t="str">
        <f>IFERROR(__xludf.DUMMYFUNCTION("LET(
  refItem, TO_TEXT(D792),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IF(ISBLANK(D792),"""", IF(IFERROR(latestMutation,"""")=""OUT"", latestCust, ""AKGREADY"")
))"),"")</f>
        <v/>
      </c>
    </row>
    <row r="793">
      <c r="G793" s="5" t="str">
        <f>IFERROR(__xludf.DUMMYFUNCTION("LET(
  refItem, TO_TEXT(D793),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IF(ISBLANK(D793),"""", IF(IFERROR(latestMutation,"""")=""OUT"", latestCust, ""AKGREADY"")
))"),"")</f>
        <v/>
      </c>
    </row>
    <row r="794">
      <c r="G794" s="5" t="str">
        <f>IFERROR(__xludf.DUMMYFUNCTION("LET(
  refItem, TO_TEXT(D794),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IF(ISBLANK(D794),"""", IF(IFERROR(latestMutation,"""")=""OUT"", latestCust, ""AKGREADY"")
))"),"")</f>
        <v/>
      </c>
    </row>
    <row r="795">
      <c r="G795" s="5" t="str">
        <f>IFERROR(__xludf.DUMMYFUNCTION("LET(
  refItem, TO_TEXT(D795),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IF(ISBLANK(D795),"""", IF(IFERROR(latestMutation,"""")=""OUT"", latestCust, ""AKGREADY"")
))"),"")</f>
        <v/>
      </c>
    </row>
    <row r="796">
      <c r="G796" s="5" t="str">
        <f>IFERROR(__xludf.DUMMYFUNCTION("LET(
  refItem, TO_TEXT(D796),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IF(ISBLANK(D796),"""", IF(IFERROR(latestMutation,"""")=""OUT"", latestCust, ""AKGREADY"")
))"),"")</f>
        <v/>
      </c>
    </row>
    <row r="797">
      <c r="G797" s="5" t="str">
        <f>IFERROR(__xludf.DUMMYFUNCTION("LET(
  refItem, TO_TEXT(D797),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IF(ISBLANK(D797),"""", IF(IFERROR(latestMutation,"""")=""OUT"", latestCust, ""AKGREADY"")
))"),"")</f>
        <v/>
      </c>
    </row>
    <row r="798">
      <c r="G798" s="5" t="str">
        <f>IFERROR(__xludf.DUMMYFUNCTION("LET(
  refItem, TO_TEXT(D798),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IF(ISBLANK(D798),"""", IF(IFERROR(latestMutation,"""")=""OUT"", latestCust, ""AKGREADY"")
))"),"")</f>
        <v/>
      </c>
    </row>
    <row r="799">
      <c r="G799" s="5" t="str">
        <f>IFERROR(__xludf.DUMMYFUNCTION("LET(
  refItem, TO_TEXT(D799),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IF(ISBLANK(D799),"""", IF(IFERROR(latestMutation,"""")=""OUT"", latestCust, ""AKGREADY"")
))"),"")</f>
        <v/>
      </c>
    </row>
    <row r="800">
      <c r="G800" s="5" t="str">
        <f>IFERROR(__xludf.DUMMYFUNCTION("LET(
  refItem, TO_TEXT(D800),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IF(ISBLANK(D800),"""", IF(IFERROR(latestMutation,"""")=""OUT"", latestCust, ""AKGREADY"")
))"),"")</f>
        <v/>
      </c>
    </row>
    <row r="801">
      <c r="G801" s="5" t="str">
        <f>IFERROR(__xludf.DUMMYFUNCTION("LET(
  refItem, TO_TEXT(D801),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IF(ISBLANK(D801),"""", IF(IFERROR(latestMutation,"""")=""OUT"", latestCust, ""AKGREADY"")
))"),"")</f>
        <v/>
      </c>
    </row>
    <row r="802">
      <c r="G802" s="5" t="str">
        <f>IFERROR(__xludf.DUMMYFUNCTION("LET(
  refItem, TO_TEXT(D802),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IF(ISBLANK(D802),"""", IF(IFERROR(latestMutation,"""")=""OUT"", latestCust, ""AKGREADY"")
))"),"")</f>
        <v/>
      </c>
    </row>
    <row r="803">
      <c r="G803" s="5" t="str">
        <f>IFERROR(__xludf.DUMMYFUNCTION("LET(
  refItem, TO_TEXT(D803),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IF(ISBLANK(D803),"""", IF(IFERROR(latestMutation,"""")=""OUT"", latestCust, ""AKGREADY"")
))"),"")</f>
        <v/>
      </c>
    </row>
    <row r="804">
      <c r="G804" s="5" t="str">
        <f>IFERROR(__xludf.DUMMYFUNCTION("LET(
  refItem, TO_TEXT(D804),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IF(ISBLANK(D804),"""", IF(IFERROR(latestMutation,"""")=""OUT"", latestCust, ""AKGREADY"")
))"),"")</f>
        <v/>
      </c>
    </row>
    <row r="805">
      <c r="G805" s="5" t="str">
        <f>IFERROR(__xludf.DUMMYFUNCTION("LET(
  refItem, TO_TEXT(D805),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IF(ISBLANK(D805),"""", IF(IFERROR(latestMutation,"""")=""OUT"", latestCust, ""AKGREADY"")
))"),"")</f>
        <v/>
      </c>
    </row>
    <row r="806">
      <c r="G806" s="5" t="str">
        <f>IFERROR(__xludf.DUMMYFUNCTION("LET(
  refItem, TO_TEXT(D806),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IF(ISBLANK(D806),"""", IF(IFERROR(latestMutation,"""")=""OUT"", latestCust, ""AKGREADY"")
))"),"")</f>
        <v/>
      </c>
    </row>
    <row r="807">
      <c r="G807" s="5" t="str">
        <f>IFERROR(__xludf.DUMMYFUNCTION("LET(
  refItem, TO_TEXT(D807),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IF(ISBLANK(D807),"""", IF(IFERROR(latestMutation,"""")=""OUT"", latestCust, ""AKGREADY"")
))"),"")</f>
        <v/>
      </c>
    </row>
    <row r="808">
      <c r="G808" s="5" t="str">
        <f>IFERROR(__xludf.DUMMYFUNCTION("LET(
  refItem, TO_TEXT(D808),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IF(ISBLANK(D808),"""", IF(IFERROR(latestMutation,"""")=""OUT"", latestCust, ""AKGREADY"")
))"),"")</f>
        <v/>
      </c>
    </row>
    <row r="809">
      <c r="G809" s="5" t="str">
        <f>IFERROR(__xludf.DUMMYFUNCTION("LET(
  refItem, TO_TEXT(D809),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IF(ISBLANK(D809),"""", IF(IFERROR(latestMutation,"""")=""OUT"", latestCust, ""AKGREADY"")
))"),"")</f>
        <v/>
      </c>
    </row>
    <row r="810">
      <c r="G810" s="5" t="str">
        <f>IFERROR(__xludf.DUMMYFUNCTION("LET(
  refItem, TO_TEXT(D810),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IF(ISBLANK(D810),"""", IF(IFERROR(latestMutation,"""")=""OUT"", latestCust, ""AKGREADY"")
))"),"")</f>
        <v/>
      </c>
    </row>
    <row r="811">
      <c r="G811" s="5" t="str">
        <f>IFERROR(__xludf.DUMMYFUNCTION("LET(
  refItem, TO_TEXT(D811),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IF(ISBLANK(D811),"""", IF(IFERROR(latestMutation,"""")=""OUT"", latestCust, ""AKGREADY"")
))"),"")</f>
        <v/>
      </c>
    </row>
    <row r="812">
      <c r="G812" s="5" t="str">
        <f>IFERROR(__xludf.DUMMYFUNCTION("LET(
  refItem, TO_TEXT(D812),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IF(ISBLANK(D812),"""", IF(IFERROR(latestMutation,"""")=""OUT"", latestCust, ""AKGREADY"")
))"),"")</f>
        <v/>
      </c>
    </row>
    <row r="813">
      <c r="G813" s="5" t="str">
        <f>IFERROR(__xludf.DUMMYFUNCTION("LET(
  refItem, TO_TEXT(D813),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IF(ISBLANK(D813),"""", IF(IFERROR(latestMutation,"""")=""OUT"", latestCust, ""AKGREADY"")
))"),"")</f>
        <v/>
      </c>
    </row>
    <row r="814">
      <c r="G814" s="5" t="str">
        <f>IFERROR(__xludf.DUMMYFUNCTION("LET(
  refItem, TO_TEXT(D814),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IF(ISBLANK(D814),"""", IF(IFERROR(latestMutation,"""")=""OUT"", latestCust, ""AKGREADY"")
))"),"")</f>
        <v/>
      </c>
    </row>
    <row r="815">
      <c r="G815" s="5" t="str">
        <f>IFERROR(__xludf.DUMMYFUNCTION("LET(
  refItem, TO_TEXT(D815),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IF(ISBLANK(D815),"""", IF(IFERROR(latestMutation,"""")=""OUT"", latestCust, ""AKGREADY"")
))"),"")</f>
        <v/>
      </c>
    </row>
    <row r="816">
      <c r="G816" s="5" t="str">
        <f>IFERROR(__xludf.DUMMYFUNCTION("LET(
  refItem, TO_TEXT(D816),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IF(ISBLANK(D816),"""", IF(IFERROR(latestMutation,"""")=""OUT"", latestCust, ""AKGREADY"")
))"),"")</f>
        <v/>
      </c>
    </row>
    <row r="817">
      <c r="G817" s="5" t="str">
        <f>IFERROR(__xludf.DUMMYFUNCTION("LET(
  refItem, TO_TEXT(D817),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IF(ISBLANK(D817),"""", IF(IFERROR(latestMutation,"""")=""OUT"", latestCust, ""AKGREADY"")
))"),"")</f>
        <v/>
      </c>
    </row>
    <row r="818">
      <c r="G818" s="5" t="str">
        <f>IFERROR(__xludf.DUMMYFUNCTION("LET(
  refItem, TO_TEXT(D818),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IF(ISBLANK(D818),"""", IF(IFERROR(latestMutation,"""")=""OUT"", latestCust, ""AKGREADY"")
))"),"")</f>
        <v/>
      </c>
    </row>
    <row r="819">
      <c r="G819" s="5" t="str">
        <f>IFERROR(__xludf.DUMMYFUNCTION("LET(
  refItem, TO_TEXT(D819),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IF(ISBLANK(D819),"""", IF(IFERROR(latestMutation,"""")=""OUT"", latestCust, ""AKGREADY"")
))"),"")</f>
        <v/>
      </c>
    </row>
    <row r="820">
      <c r="G820" s="5" t="str">
        <f>IFERROR(__xludf.DUMMYFUNCTION("LET(
  refItem, TO_TEXT(D820),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IF(ISBLANK(D820),"""", IF(IFERROR(latestMutation,"""")=""OUT"", latestCust, ""AKGREADY"")
))"),"")</f>
        <v/>
      </c>
    </row>
    <row r="821">
      <c r="G821" s="5" t="str">
        <f>IFERROR(__xludf.DUMMYFUNCTION("LET(
  refItem, TO_TEXT(D821),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IF(ISBLANK(D821),"""", IF(IFERROR(latestMutation,"""")=""OUT"", latestCust, ""AKGREADY"")
))"),"")</f>
        <v/>
      </c>
    </row>
    <row r="822">
      <c r="G822" s="5" t="str">
        <f>IFERROR(__xludf.DUMMYFUNCTION("LET(
  refItem, TO_TEXT(D822),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IF(ISBLANK(D822),"""", IF(IFERROR(latestMutation,"""")=""OUT"", latestCust, ""AKGREADY"")
))"),"")</f>
        <v/>
      </c>
    </row>
    <row r="823">
      <c r="G823" s="5" t="str">
        <f>IFERROR(__xludf.DUMMYFUNCTION("LET(
  refItem, TO_TEXT(D823),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IF(ISBLANK(D823),"""", IF(IFERROR(latestMutation,"""")=""OUT"", latestCust, ""AKGREADY"")
))"),"")</f>
        <v/>
      </c>
    </row>
    <row r="824">
      <c r="G824" s="5" t="str">
        <f>IFERROR(__xludf.DUMMYFUNCTION("LET(
  refItem, TO_TEXT(D824),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IF(ISBLANK(D824),"""", IF(IFERROR(latestMutation,"""")=""OUT"", latestCust, ""AKGREADY"")
))"),"")</f>
        <v/>
      </c>
    </row>
    <row r="825">
      <c r="G825" s="5" t="str">
        <f>IFERROR(__xludf.DUMMYFUNCTION("LET(
  refItem, TO_TEXT(D825),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IF(ISBLANK(D825),"""", IF(IFERROR(latestMutation,"""")=""OUT"", latestCust, ""AKGREADY"")
))"),"")</f>
        <v/>
      </c>
    </row>
    <row r="826">
      <c r="G826" s="5" t="str">
        <f>IFERROR(__xludf.DUMMYFUNCTION("LET(
  refItem, TO_TEXT(D826),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IF(ISBLANK(D826),"""", IF(IFERROR(latestMutation,"""")=""OUT"", latestCust, ""AKGREADY"")
))"),"")</f>
        <v/>
      </c>
    </row>
    <row r="827">
      <c r="G827" s="5" t="str">
        <f>IFERROR(__xludf.DUMMYFUNCTION("LET(
  refItem, TO_TEXT(D827),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IF(ISBLANK(D827),"""", IF(IFERROR(latestMutation,"""")=""OUT"", latestCust, ""AKGREADY"")
))"),"")</f>
        <v/>
      </c>
    </row>
    <row r="828">
      <c r="G828" s="5" t="str">
        <f>IFERROR(__xludf.DUMMYFUNCTION("LET(
  refItem, TO_TEXT(D828),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IF(ISBLANK(D828),"""", IF(IFERROR(latestMutation,"""")=""OUT"", latestCust, ""AKGREADY"")
))"),"")</f>
        <v/>
      </c>
    </row>
    <row r="829">
      <c r="G829" s="5" t="str">
        <f>IFERROR(__xludf.DUMMYFUNCTION("LET(
  refItem, TO_TEXT(D829),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IF(ISBLANK(D829),"""", IF(IFERROR(latestMutation,"""")=""OUT"", latestCust, ""AKGREADY"")
))"),"")</f>
        <v/>
      </c>
    </row>
    <row r="830">
      <c r="G830" s="5" t="str">
        <f>IFERROR(__xludf.DUMMYFUNCTION("LET(
  refItem, TO_TEXT(D830),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IF(ISBLANK(D830),"""", IF(IFERROR(latestMutation,"""")=""OUT"", latestCust, ""AKGREADY"")
))"),"")</f>
        <v/>
      </c>
    </row>
    <row r="831">
      <c r="G831" s="5" t="str">
        <f>IFERROR(__xludf.DUMMYFUNCTION("LET(
  refItem, TO_TEXT(D831),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IF(ISBLANK(D831),"""", IF(IFERROR(latestMutation,"""")=""OUT"", latestCust, ""AKGREADY"")
))"),"")</f>
        <v/>
      </c>
    </row>
    <row r="832">
      <c r="G832" s="5" t="str">
        <f>IFERROR(__xludf.DUMMYFUNCTION("LET(
  refItem, TO_TEXT(D832),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IF(ISBLANK(D832),"""", IF(IFERROR(latestMutation,"""")=""OUT"", latestCust, ""AKGREADY"")
))"),"")</f>
        <v/>
      </c>
    </row>
    <row r="833">
      <c r="G833" s="5" t="str">
        <f>IFERROR(__xludf.DUMMYFUNCTION("LET(
  refItem, TO_TEXT(D833),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IF(ISBLANK(D833),"""", IF(IFERROR(latestMutation,"""")=""OUT"", latestCust, ""AKGREADY"")
))"),"")</f>
        <v/>
      </c>
    </row>
    <row r="834">
      <c r="G834" s="5" t="str">
        <f>IFERROR(__xludf.DUMMYFUNCTION("LET(
  refItem, TO_TEXT(D834),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IF(ISBLANK(D834),"""", IF(IFERROR(latestMutation,"""")=""OUT"", latestCust, ""AKGREADY"")
))"),"")</f>
        <v/>
      </c>
    </row>
    <row r="835">
      <c r="G835" s="5" t="str">
        <f>IFERROR(__xludf.DUMMYFUNCTION("LET(
  refItem, TO_TEXT(D835),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IF(ISBLANK(D835),"""", IF(IFERROR(latestMutation,"""")=""OUT"", latestCust, ""AKGREADY"")
))"),"")</f>
        <v/>
      </c>
    </row>
    <row r="836">
      <c r="G836" s="5" t="str">
        <f>IFERROR(__xludf.DUMMYFUNCTION("LET(
  refItem, TO_TEXT(D836),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IF(ISBLANK(D836),"""", IF(IFERROR(latestMutation,"""")=""OUT"", latestCust, ""AKGREADY"")
))"),"")</f>
        <v/>
      </c>
    </row>
    <row r="837">
      <c r="G837" s="5" t="str">
        <f>IFERROR(__xludf.DUMMYFUNCTION("LET(
  refItem, TO_TEXT(D837),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IF(ISBLANK(D837),"""", IF(IFERROR(latestMutation,"""")=""OUT"", latestCust, ""AKGREADY"")
))"),"")</f>
        <v/>
      </c>
    </row>
    <row r="838">
      <c r="G838" s="5" t="str">
        <f>IFERROR(__xludf.DUMMYFUNCTION("LET(
  refItem, TO_TEXT(D838),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IF(ISBLANK(D838),"""", IF(IFERROR(latestMutation,"""")=""OUT"", latestCust, ""AKGREADY"")
))"),"")</f>
        <v/>
      </c>
    </row>
    <row r="839">
      <c r="G839" s="5" t="str">
        <f>IFERROR(__xludf.DUMMYFUNCTION("LET(
  refItem, TO_TEXT(D839),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IF(ISBLANK(D839),"""", IF(IFERROR(latestMutation,"""")=""OUT"", latestCust, ""AKGREADY"")
))"),"")</f>
        <v/>
      </c>
    </row>
    <row r="840">
      <c r="G840" s="5" t="str">
        <f>IFERROR(__xludf.DUMMYFUNCTION("LET(
  refItem, TO_TEXT(D840),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IF(ISBLANK(D840),"""", IF(IFERROR(latestMutation,"""")=""OUT"", latestCust, ""AKGREADY"")
))"),"")</f>
        <v/>
      </c>
    </row>
    <row r="841">
      <c r="G841" s="5" t="str">
        <f>IFERROR(__xludf.DUMMYFUNCTION("LET(
  refItem, TO_TEXT(D841),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IF(ISBLANK(D841),"""", IF(IFERROR(latestMutation,"""")=""OUT"", latestCust, ""AKGREADY"")
))"),"")</f>
        <v/>
      </c>
    </row>
    <row r="842">
      <c r="G842" s="5" t="str">
        <f>IFERROR(__xludf.DUMMYFUNCTION("LET(
  refItem, TO_TEXT(D842),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IF(ISBLANK(D842),"""", IF(IFERROR(latestMutation,"""")=""OUT"", latestCust, ""AKGREADY"")
))"),"")</f>
        <v/>
      </c>
    </row>
    <row r="843">
      <c r="G843" s="5" t="str">
        <f>IFERROR(__xludf.DUMMYFUNCTION("LET(
  refItem, TO_TEXT(D843),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IF(ISBLANK(D843),"""", IF(IFERROR(latestMutation,"""")=""OUT"", latestCust, ""AKGREADY"")
))"),"")</f>
        <v/>
      </c>
    </row>
    <row r="844">
      <c r="G844" s="5" t="str">
        <f>IFERROR(__xludf.DUMMYFUNCTION("LET(
  refItem, TO_TEXT(D844),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IF(ISBLANK(D844),"""", IF(IFERROR(latestMutation,"""")=""OUT"", latestCust, ""AKGREADY"")
))"),"")</f>
        <v/>
      </c>
    </row>
    <row r="845">
      <c r="G845" s="5" t="str">
        <f>IFERROR(__xludf.DUMMYFUNCTION("LET(
  refItem, TO_TEXT(D845),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IF(ISBLANK(D845),"""", IF(IFERROR(latestMutation,"""")=""OUT"", latestCust, ""AKGREADY"")
))"),"")</f>
        <v/>
      </c>
    </row>
    <row r="846">
      <c r="G846" s="5" t="str">
        <f>IFERROR(__xludf.DUMMYFUNCTION("LET(
  refItem, TO_TEXT(D846),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IF(ISBLANK(D846),"""", IF(IFERROR(latestMutation,"""")=""OUT"", latestCust, ""AKGREADY"")
))"),"")</f>
        <v/>
      </c>
    </row>
    <row r="847">
      <c r="G847" s="5" t="str">
        <f>IFERROR(__xludf.DUMMYFUNCTION("LET(
  refItem, TO_TEXT(D847),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IF(ISBLANK(D847),"""", IF(IFERROR(latestMutation,"""")=""OUT"", latestCust, ""AKGREADY"")
))"),"")</f>
        <v/>
      </c>
    </row>
    <row r="848">
      <c r="G848" s="5" t="str">
        <f>IFERROR(__xludf.DUMMYFUNCTION("LET(
  refItem, TO_TEXT(D848),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IF(ISBLANK(D848),"""", IF(IFERROR(latestMutation,"""")=""OUT"", latestCust, ""AKGREADY"")
))"),"")</f>
        <v/>
      </c>
    </row>
    <row r="849">
      <c r="G849" s="5" t="str">
        <f>IFERROR(__xludf.DUMMYFUNCTION("LET(
  refItem, TO_TEXT(D849),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IF(ISBLANK(D849),"""", IF(IFERROR(latestMutation,"""")=""OUT"", latestCust, ""AKGREADY"")
))"),"")</f>
        <v/>
      </c>
    </row>
    <row r="850">
      <c r="G850" s="5" t="str">
        <f>IFERROR(__xludf.DUMMYFUNCTION("LET(
  refItem, TO_TEXT(D850),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IF(ISBLANK(D850),"""", IF(IFERROR(latestMutation,"""")=""OUT"", latestCust, ""AKGREADY"")
))"),"")</f>
        <v/>
      </c>
    </row>
    <row r="851">
      <c r="G851" s="5" t="str">
        <f>IFERROR(__xludf.DUMMYFUNCTION("LET(
  refItem, TO_TEXT(D851),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IF(ISBLANK(D851),"""", IF(IFERROR(latestMutation,"""")=""OUT"", latestCust, ""AKGREADY"")
))"),"")</f>
        <v/>
      </c>
    </row>
    <row r="852">
      <c r="G852" s="5" t="str">
        <f>IFERROR(__xludf.DUMMYFUNCTION("LET(
  refItem, TO_TEXT(D852),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IF(ISBLANK(D852),"""", IF(IFERROR(latestMutation,"""")=""OUT"", latestCust, ""AKGREADY"")
))"),"")</f>
        <v/>
      </c>
    </row>
    <row r="853">
      <c r="G853" s="5" t="str">
        <f>IFERROR(__xludf.DUMMYFUNCTION("LET(
  refItem, TO_TEXT(D853),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IF(ISBLANK(D853),"""", IF(IFERROR(latestMutation,"""")=""OUT"", latestCust, ""AKGREADY"")
))"),"")</f>
        <v/>
      </c>
    </row>
    <row r="854">
      <c r="G854" s="5" t="str">
        <f>IFERROR(__xludf.DUMMYFUNCTION("LET(
  refItem, TO_TEXT(D854),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IF(ISBLANK(D854),"""", IF(IFERROR(latestMutation,"""")=""OUT"", latestCust, ""AKGREADY"")
))"),"")</f>
        <v/>
      </c>
    </row>
    <row r="855">
      <c r="G855" s="5" t="str">
        <f>IFERROR(__xludf.DUMMYFUNCTION("LET(
  refItem, TO_TEXT(D855),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IF(ISBLANK(D855),"""", IF(IFERROR(latestMutation,"""")=""OUT"", latestCust, ""AKGREADY"")
))"),"")</f>
        <v/>
      </c>
    </row>
    <row r="856">
      <c r="G856" s="5" t="str">
        <f>IFERROR(__xludf.DUMMYFUNCTION("LET(
  refItem, TO_TEXT(D856),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IF(ISBLANK(D856),"""", IF(IFERROR(latestMutation,"""")=""OUT"", latestCust, ""AKGREADY"")
))"),"")</f>
        <v/>
      </c>
    </row>
    <row r="857">
      <c r="G857" s="5" t="str">
        <f>IFERROR(__xludf.DUMMYFUNCTION("LET(
  refItem, TO_TEXT(D857),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IF(ISBLANK(D857),"""", IF(IFERROR(latestMutation,"""")=""OUT"", latestCust, ""AKGREADY"")
))"),"")</f>
        <v/>
      </c>
    </row>
    <row r="858">
      <c r="G858" s="5" t="str">
        <f>IFERROR(__xludf.DUMMYFUNCTION("LET(
  refItem, TO_TEXT(D858),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IF(ISBLANK(D858),"""", IF(IFERROR(latestMutation,"""")=""OUT"", latestCust, ""AKGREADY"")
))"),"")</f>
        <v/>
      </c>
    </row>
    <row r="859">
      <c r="G859" s="5" t="str">
        <f>IFERROR(__xludf.DUMMYFUNCTION("LET(
  refItem, TO_TEXT(D859),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IF(ISBLANK(D859),"""", IF(IFERROR(latestMutation,"""")=""OUT"", latestCust, ""AKGREADY"")
))"),"")</f>
        <v/>
      </c>
    </row>
    <row r="860">
      <c r="G860" s="5" t="str">
        <f>IFERROR(__xludf.DUMMYFUNCTION("LET(
  refItem, TO_TEXT(D860),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IF(ISBLANK(D860),"""", IF(IFERROR(latestMutation,"""")=""OUT"", latestCust, ""AKGREADY"")
))"),"")</f>
        <v/>
      </c>
    </row>
    <row r="861">
      <c r="G861" s="5" t="str">
        <f>IFERROR(__xludf.DUMMYFUNCTION("LET(
  refItem, TO_TEXT(D861),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IF(ISBLANK(D861),"""", IF(IFERROR(latestMutation,"""")=""OUT"", latestCust, ""AKGREADY"")
))"),"")</f>
        <v/>
      </c>
    </row>
    <row r="862">
      <c r="G862" s="5" t="str">
        <f>IFERROR(__xludf.DUMMYFUNCTION("LET(
  refItem, TO_TEXT(D862),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IF(ISBLANK(D862),"""", IF(IFERROR(latestMutation,"""")=""OUT"", latestCust, ""AKGREADY"")
))"),"")</f>
        <v/>
      </c>
    </row>
    <row r="863">
      <c r="G863" s="5" t="str">
        <f>IFERROR(__xludf.DUMMYFUNCTION("LET(
  refItem, TO_TEXT(D863),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IF(ISBLANK(D863),"""", IF(IFERROR(latestMutation,"""")=""OUT"", latestCust, ""AKGREADY"")
))"),"")</f>
        <v/>
      </c>
    </row>
    <row r="864">
      <c r="G864" s="5" t="str">
        <f>IFERROR(__xludf.DUMMYFUNCTION("LET(
  refItem, TO_TEXT(D864),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IF(ISBLANK(D864),"""", IF(IFERROR(latestMutation,"""")=""OUT"", latestCust, ""AKGREADY"")
))"),"")</f>
        <v/>
      </c>
    </row>
    <row r="865">
      <c r="G865" s="5" t="str">
        <f>IFERROR(__xludf.DUMMYFUNCTION("LET(
  refItem, TO_TEXT(D865),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IF(ISBLANK(D865),"""", IF(IFERROR(latestMutation,"""")=""OUT"", latestCust, ""AKGREADY"")
))"),"")</f>
        <v/>
      </c>
    </row>
    <row r="866">
      <c r="G866" s="5" t="str">
        <f>IFERROR(__xludf.DUMMYFUNCTION("LET(
  refItem, TO_TEXT(D866),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IF(ISBLANK(D866),"""", IF(IFERROR(latestMutation,"""")=""OUT"", latestCust, ""AKGREADY"")
))"),"")</f>
        <v/>
      </c>
    </row>
    <row r="867">
      <c r="G867" s="5" t="str">
        <f>IFERROR(__xludf.DUMMYFUNCTION("LET(
  refItem, TO_TEXT(D867),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IF(ISBLANK(D867),"""", IF(IFERROR(latestMutation,"""")=""OUT"", latestCust, ""AKGREADY"")
))"),"")</f>
        <v/>
      </c>
    </row>
    <row r="868">
      <c r="G868" s="5" t="str">
        <f>IFERROR(__xludf.DUMMYFUNCTION("LET(
  refItem, TO_TEXT(D868),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IF(ISBLANK(D868),"""", IF(IFERROR(latestMutation,"""")=""OUT"", latestCust, ""AKGREADY"")
))"),"")</f>
        <v/>
      </c>
    </row>
    <row r="869">
      <c r="G869" s="5" t="str">
        <f>IFERROR(__xludf.DUMMYFUNCTION("LET(
  refItem, TO_TEXT(D869),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IF(ISBLANK(D869),"""", IF(IFERROR(latestMutation,"""")=""OUT"", latestCust, ""AKGREADY"")
))"),"")</f>
        <v/>
      </c>
    </row>
    <row r="870">
      <c r="G870" s="5" t="str">
        <f>IFERROR(__xludf.DUMMYFUNCTION("LET(
  refItem, TO_TEXT(D870),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IF(ISBLANK(D870),"""", IF(IFERROR(latestMutation,"""")=""OUT"", latestCust, ""AKGREADY"")
))"),"")</f>
        <v/>
      </c>
    </row>
    <row r="871">
      <c r="G871" s="5" t="str">
        <f>IFERROR(__xludf.DUMMYFUNCTION("LET(
  refItem, TO_TEXT(D871),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IF(ISBLANK(D871),"""", IF(IFERROR(latestMutation,"""")=""OUT"", latestCust, ""AKGREADY"")
))"),"")</f>
        <v/>
      </c>
    </row>
    <row r="872">
      <c r="G872" s="5" t="str">
        <f>IFERROR(__xludf.DUMMYFUNCTION("LET(
  refItem, TO_TEXT(D872),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IF(ISBLANK(D872),"""", IF(IFERROR(latestMutation,"""")=""OUT"", latestCust, ""AKGREADY"")
))"),"")</f>
        <v/>
      </c>
    </row>
    <row r="873">
      <c r="G873" s="5" t="str">
        <f>IFERROR(__xludf.DUMMYFUNCTION("LET(
  refItem, TO_TEXT(D873),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IF(ISBLANK(D873),"""", IF(IFERROR(latestMutation,"""")=""OUT"", latestCust, ""AKGREADY"")
))"),"")</f>
        <v/>
      </c>
    </row>
    <row r="874">
      <c r="G874" s="5" t="str">
        <f>IFERROR(__xludf.DUMMYFUNCTION("LET(
  refItem, TO_TEXT(D874),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IF(ISBLANK(D874),"""", IF(IFERROR(latestMutation,"""")=""OUT"", latestCust, ""AKGREADY"")
))"),"")</f>
        <v/>
      </c>
    </row>
    <row r="875">
      <c r="G875" s="5" t="str">
        <f>IFERROR(__xludf.DUMMYFUNCTION("LET(
  refItem, TO_TEXT(D875),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IF(ISBLANK(D875),"""", IF(IFERROR(latestMutation,"""")=""OUT"", latestCust, ""AKGREADY"")
))"),"")</f>
        <v/>
      </c>
    </row>
    <row r="876">
      <c r="G876" s="5" t="str">
        <f>IFERROR(__xludf.DUMMYFUNCTION("LET(
  refItem, TO_TEXT(D876),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IF(ISBLANK(D876),"""", IF(IFERROR(latestMutation,"""")=""OUT"", latestCust, ""AKGREADY"")
))"),"")</f>
        <v/>
      </c>
    </row>
    <row r="877">
      <c r="G877" s="5" t="str">
        <f>IFERROR(__xludf.DUMMYFUNCTION("LET(
  refItem, TO_TEXT(D877),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IF(ISBLANK(D877),"""", IF(IFERROR(latestMutation,"""")=""OUT"", latestCust, ""AKGREADY"")
))"),"")</f>
        <v/>
      </c>
    </row>
    <row r="878">
      <c r="G878" s="5" t="str">
        <f>IFERROR(__xludf.DUMMYFUNCTION("LET(
  refItem, TO_TEXT(D878),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IF(ISBLANK(D878),"""", IF(IFERROR(latestMutation,"""")=""OUT"", latestCust, ""AKGREADY"")
))"),"")</f>
        <v/>
      </c>
    </row>
    <row r="879">
      <c r="G879" s="5" t="str">
        <f>IFERROR(__xludf.DUMMYFUNCTION("LET(
  refItem, TO_TEXT(D879),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IF(ISBLANK(D879),"""", IF(IFERROR(latestMutation,"""")=""OUT"", latestCust, ""AKGREADY"")
))"),"")</f>
        <v/>
      </c>
    </row>
    <row r="880">
      <c r="G880" s="5" t="str">
        <f>IFERROR(__xludf.DUMMYFUNCTION("LET(
  refItem, TO_TEXT(D880),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IF(ISBLANK(D880),"""", IF(IFERROR(latestMutation,"""")=""OUT"", latestCust, ""AKGREADY"")
))"),"")</f>
        <v/>
      </c>
    </row>
    <row r="881">
      <c r="G881" s="5" t="str">
        <f>IFERROR(__xludf.DUMMYFUNCTION("LET(
  refItem, TO_TEXT(D881),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IF(ISBLANK(D881),"""", IF(IFERROR(latestMutation,"""")=""OUT"", latestCust, ""AKGREADY"")
))"),"")</f>
        <v/>
      </c>
    </row>
    <row r="882">
      <c r="G882" s="5" t="str">
        <f>IFERROR(__xludf.DUMMYFUNCTION("LET(
  refItem, TO_TEXT(D882),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IF(ISBLANK(D882),"""", IF(IFERROR(latestMutation,"""")=""OUT"", latestCust, ""AKGREADY"")
))"),"")</f>
        <v/>
      </c>
    </row>
    <row r="883">
      <c r="G883" s="5" t="str">
        <f>IFERROR(__xludf.DUMMYFUNCTION("LET(
  refItem, TO_TEXT(D883),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IF(ISBLANK(D883),"""", IF(IFERROR(latestMutation,"""")=""OUT"", latestCust, ""AKGREADY"")
))"),"")</f>
        <v/>
      </c>
    </row>
    <row r="884">
      <c r="G884" s="5" t="str">
        <f>IFERROR(__xludf.DUMMYFUNCTION("LET(
  refItem, TO_TEXT(D884),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IF(ISBLANK(D884),"""", IF(IFERROR(latestMutation,"""")=""OUT"", latestCust, ""AKGREADY"")
))"),"")</f>
        <v/>
      </c>
    </row>
    <row r="885">
      <c r="G885" s="5" t="str">
        <f>IFERROR(__xludf.DUMMYFUNCTION("LET(
  refItem, TO_TEXT(D885),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IF(ISBLANK(D885),"""", IF(IFERROR(latestMutation,"""")=""OUT"", latestCust, ""AKGREADY"")
))"),"")</f>
        <v/>
      </c>
    </row>
    <row r="886">
      <c r="G886" s="5" t="str">
        <f>IFERROR(__xludf.DUMMYFUNCTION("LET(
  refItem, TO_TEXT(D886),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IF(ISBLANK(D886),"""", IF(IFERROR(latestMutation,"""")=""OUT"", latestCust, ""AKGREADY"")
))"),"")</f>
        <v/>
      </c>
    </row>
    <row r="887">
      <c r="G887" s="5" t="str">
        <f>IFERROR(__xludf.DUMMYFUNCTION("LET(
  refItem, TO_TEXT(D887),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IF(ISBLANK(D887),"""", IF(IFERROR(latestMutation,"""")=""OUT"", latestCust, ""AKGREADY"")
))"),"")</f>
        <v/>
      </c>
    </row>
    <row r="888">
      <c r="G888" s="5" t="str">
        <f>IFERROR(__xludf.DUMMYFUNCTION("LET(
  refItem, TO_TEXT(D888),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IF(ISBLANK(D888),"""", IF(IFERROR(latestMutation,"""")=""OUT"", latestCust, ""AKGREADY"")
))"),"")</f>
        <v/>
      </c>
    </row>
    <row r="889">
      <c r="G889" s="5" t="str">
        <f>IFERROR(__xludf.DUMMYFUNCTION("LET(
  refItem, TO_TEXT(D889),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IF(ISBLANK(D889),"""", IF(IFERROR(latestMutation,"""")=""OUT"", latestCust, ""AKGREADY"")
))"),"")</f>
        <v/>
      </c>
    </row>
    <row r="890">
      <c r="G890" s="5" t="str">
        <f>IFERROR(__xludf.DUMMYFUNCTION("LET(
  refItem, TO_TEXT(D890),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IF(ISBLANK(D890),"""", IF(IFERROR(latestMutation,"""")=""OUT"", latestCust, ""AKGREADY"")
))"),"")</f>
        <v/>
      </c>
    </row>
    <row r="891">
      <c r="G891" s="5" t="str">
        <f>IFERROR(__xludf.DUMMYFUNCTION("LET(
  refItem, TO_TEXT(D891),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IF(ISBLANK(D891),"""", IF(IFERROR(latestMutation,"""")=""OUT"", latestCust, ""AKGREADY"")
))"),"")</f>
        <v/>
      </c>
    </row>
    <row r="892">
      <c r="G892" s="5" t="str">
        <f>IFERROR(__xludf.DUMMYFUNCTION("LET(
  refItem, TO_TEXT(D892),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IF(ISBLANK(D892),"""", IF(IFERROR(latestMutation,"""")=""OUT"", latestCust, ""AKGREADY"")
))"),"")</f>
        <v/>
      </c>
    </row>
    <row r="893">
      <c r="G893" s="5" t="str">
        <f>IFERROR(__xludf.DUMMYFUNCTION("LET(
  refItem, TO_TEXT(D893),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IF(ISBLANK(D893),"""", IF(IFERROR(latestMutation,"""")=""OUT"", latestCust, ""AKGREADY"")
))"),"")</f>
        <v/>
      </c>
    </row>
    <row r="894">
      <c r="G894" s="5" t="str">
        <f>IFERROR(__xludf.DUMMYFUNCTION("LET(
  refItem, TO_TEXT(D894),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IF(ISBLANK(D894),"""", IF(IFERROR(latestMutation,"""")=""OUT"", latestCust, ""AKGREADY"")
))"),"")</f>
        <v/>
      </c>
    </row>
    <row r="895">
      <c r="G895" s="5" t="str">
        <f>IFERROR(__xludf.DUMMYFUNCTION("LET(
  refItem, TO_TEXT(D895),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IF(ISBLANK(D895),"""", IF(IFERROR(latestMutation,"""")=""OUT"", latestCust, ""AKGREADY"")
))"),"")</f>
        <v/>
      </c>
    </row>
    <row r="896">
      <c r="G896" s="5" t="str">
        <f>IFERROR(__xludf.DUMMYFUNCTION("LET(
  refItem, TO_TEXT(D896),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IF(ISBLANK(D896),"""", IF(IFERROR(latestMutation,"""")=""OUT"", latestCust, ""AKGREADY"")
))"),"")</f>
        <v/>
      </c>
    </row>
    <row r="897">
      <c r="G897" s="5" t="str">
        <f>IFERROR(__xludf.DUMMYFUNCTION("LET(
  refItem, TO_TEXT(D897),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IF(ISBLANK(D897),"""", IF(IFERROR(latestMutation,"""")=""OUT"", latestCust, ""AKGREADY"")
))"),"")</f>
        <v/>
      </c>
    </row>
    <row r="898">
      <c r="G898" s="5" t="str">
        <f>IFERROR(__xludf.DUMMYFUNCTION("LET(
  refItem, TO_TEXT(D898),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IF(ISBLANK(D898),"""", IF(IFERROR(latestMutation,"""")=""OUT"", latestCust, ""AKGREADY"")
))"),"")</f>
        <v/>
      </c>
    </row>
    <row r="899">
      <c r="G899" s="5" t="str">
        <f>IFERROR(__xludf.DUMMYFUNCTION("LET(
  refItem, TO_TEXT(D899),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IF(ISBLANK(D899),"""", IF(IFERROR(latestMutation,"""")=""OUT"", latestCust, ""AKGREADY"")
))"),"")</f>
        <v/>
      </c>
    </row>
    <row r="900">
      <c r="G900" s="5" t="str">
        <f>IFERROR(__xludf.DUMMYFUNCTION("LET(
  refItem, TO_TEXT(D900),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IF(ISBLANK(D900),"""", IF(IFERROR(latestMutation,"""")=""OUT"", latestCust, ""AKGREADY"")
))"),"")</f>
        <v/>
      </c>
    </row>
    <row r="901">
      <c r="G901" s="5" t="str">
        <f>IFERROR(__xludf.DUMMYFUNCTION("LET(
  refItem, TO_TEXT(D901),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IF(ISBLANK(D901),"""", IF(IFERROR(latestMutation,"""")=""OUT"", latestCust, ""AKGREADY"")
))"),"")</f>
        <v/>
      </c>
    </row>
    <row r="902">
      <c r="G902" s="5" t="str">
        <f>IFERROR(__xludf.DUMMYFUNCTION("LET(
  refItem, TO_TEXT(D902),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IF(ISBLANK(D902),"""", IF(IFERROR(latestMutation,"""")=""OUT"", latestCust, ""AKGREADY"")
))"),"")</f>
        <v/>
      </c>
    </row>
    <row r="903">
      <c r="G903" s="5" t="str">
        <f>IFERROR(__xludf.DUMMYFUNCTION("LET(
  refItem, TO_TEXT(D903),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IF(ISBLANK(D903),"""", IF(IFERROR(latestMutation,"""")=""OUT"", latestCust, ""AKGREADY"")
))"),"")</f>
        <v/>
      </c>
    </row>
    <row r="904">
      <c r="G904" s="5" t="str">
        <f>IFERROR(__xludf.DUMMYFUNCTION("LET(
  refItem, TO_TEXT(D904),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IF(ISBLANK(D904),"""", IF(IFERROR(latestMutation,"""")=""OUT"", latestCust, ""AKGREADY"")
))"),"")</f>
        <v/>
      </c>
    </row>
    <row r="905">
      <c r="G905" s="5" t="str">
        <f>IFERROR(__xludf.DUMMYFUNCTION("LET(
  refItem, TO_TEXT(D905),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IF(ISBLANK(D905),"""", IF(IFERROR(latestMutation,"""")=""OUT"", latestCust, ""AKGREADY"")
))"),"")</f>
        <v/>
      </c>
    </row>
    <row r="906">
      <c r="G906" s="5" t="str">
        <f>IFERROR(__xludf.DUMMYFUNCTION("LET(
  refItem, TO_TEXT(D906),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IF(ISBLANK(D906),"""", IF(IFERROR(latestMutation,"""")=""OUT"", latestCust, ""AKGREADY"")
))"),"")</f>
        <v/>
      </c>
    </row>
    <row r="907">
      <c r="G907" s="5" t="str">
        <f>IFERROR(__xludf.DUMMYFUNCTION("LET(
  refItem, TO_TEXT(D907),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IF(ISBLANK(D907),"""", IF(IFERROR(latestMutation,"""")=""OUT"", latestCust, ""AKGREADY"")
))"),"")</f>
        <v/>
      </c>
    </row>
    <row r="908">
      <c r="G908" s="5" t="str">
        <f>IFERROR(__xludf.DUMMYFUNCTION("LET(
  refItem, TO_TEXT(D908),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IF(ISBLANK(D908),"""", IF(IFERROR(latestMutation,"""")=""OUT"", latestCust, ""AKGREADY"")
))"),"")</f>
        <v/>
      </c>
    </row>
    <row r="909">
      <c r="G909" s="5" t="str">
        <f>IFERROR(__xludf.DUMMYFUNCTION("LET(
  refItem, TO_TEXT(D909),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IF(ISBLANK(D909),"""", IF(IFERROR(latestMutation,"""")=""OUT"", latestCust, ""AKGREADY"")
))"),"")</f>
        <v/>
      </c>
    </row>
    <row r="910">
      <c r="G910" s="5" t="str">
        <f>IFERROR(__xludf.DUMMYFUNCTION("LET(
  refItem, TO_TEXT(D910),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IF(ISBLANK(D910),"""", IF(IFERROR(latestMutation,"""")=""OUT"", latestCust, ""AKGREADY"")
))"),"")</f>
        <v/>
      </c>
    </row>
    <row r="911">
      <c r="G911" s="5" t="str">
        <f>IFERROR(__xludf.DUMMYFUNCTION("LET(
  refItem, TO_TEXT(D911),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IF(ISBLANK(D911),"""", IF(IFERROR(latestMutation,"""")=""OUT"", latestCust, ""AKGREADY"")
))"),"")</f>
        <v/>
      </c>
    </row>
    <row r="912">
      <c r="G912" s="5" t="str">
        <f>IFERROR(__xludf.DUMMYFUNCTION("LET(
  refItem, TO_TEXT(D912),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IF(ISBLANK(D912),"""", IF(IFERROR(latestMutation,"""")=""OUT"", latestCust, ""AKGREADY"")
))"),"")</f>
        <v/>
      </c>
    </row>
    <row r="913">
      <c r="G913" s="5" t="str">
        <f>IFERROR(__xludf.DUMMYFUNCTION("LET(
  refItem, TO_TEXT(D913),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IF(ISBLANK(D913),"""", IF(IFERROR(latestMutation,"""")=""OUT"", latestCust, ""AKGREADY"")
))"),"")</f>
        <v/>
      </c>
    </row>
    <row r="914">
      <c r="G914" s="5" t="str">
        <f>IFERROR(__xludf.DUMMYFUNCTION("LET(
  refItem, TO_TEXT(D914),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IF(ISBLANK(D914),"""", IF(IFERROR(latestMutation,"""")=""OUT"", latestCust, ""AKGREADY"")
))"),"")</f>
        <v/>
      </c>
    </row>
    <row r="915">
      <c r="G915" s="5" t="str">
        <f>IFERROR(__xludf.DUMMYFUNCTION("LET(
  refItem, TO_TEXT(D915),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IF(ISBLANK(D915),"""", IF(IFERROR(latestMutation,"""")=""OUT"", latestCust, ""AKGREADY"")
))"),"")</f>
        <v/>
      </c>
    </row>
    <row r="916">
      <c r="G916" s="5" t="str">
        <f>IFERROR(__xludf.DUMMYFUNCTION("LET(
  refItem, TO_TEXT(D916),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IF(ISBLANK(D916),"""", IF(IFERROR(latestMutation,"""")=""OUT"", latestCust, ""AKGREADY"")
))"),"")</f>
        <v/>
      </c>
    </row>
    <row r="917">
      <c r="G917" s="5" t="str">
        <f>IFERROR(__xludf.DUMMYFUNCTION("LET(
  refItem, TO_TEXT(D917),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IF(ISBLANK(D917),"""", IF(IFERROR(latestMutation,"""")=""OUT"", latestCust, ""AKGREADY"")
))"),"")</f>
        <v/>
      </c>
    </row>
    <row r="918">
      <c r="G918" s="5" t="str">
        <f>IFERROR(__xludf.DUMMYFUNCTION("LET(
  refItem, TO_TEXT(D918),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IF(ISBLANK(D918),"""", IF(IFERROR(latestMutation,"""")=""OUT"", latestCust, ""AKGREADY"")
))"),"")</f>
        <v/>
      </c>
    </row>
    <row r="919">
      <c r="G919" s="5" t="str">
        <f>IFERROR(__xludf.DUMMYFUNCTION("LET(
  refItem, TO_TEXT(D919),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IF(ISBLANK(D919),"""", IF(IFERROR(latestMutation,"""")=""OUT"", latestCust, ""AKGREADY"")
))"),"")</f>
        <v/>
      </c>
    </row>
    <row r="920">
      <c r="G920" s="5" t="str">
        <f>IFERROR(__xludf.DUMMYFUNCTION("LET(
  refItem, TO_TEXT(D920),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IF(ISBLANK(D920),"""", IF(IFERROR(latestMutation,"""")=""OUT"", latestCust, ""AKGREADY"")
))"),"")</f>
        <v/>
      </c>
    </row>
    <row r="921">
      <c r="G921" s="5" t="str">
        <f>IFERROR(__xludf.DUMMYFUNCTION("LET(
  refItem, TO_TEXT(D921),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IF(ISBLANK(D921),"""", IF(IFERROR(latestMutation,"""")=""OUT"", latestCust, ""AKGREADY"")
))"),"")</f>
        <v/>
      </c>
    </row>
    <row r="922">
      <c r="G922" s="5" t="str">
        <f>IFERROR(__xludf.DUMMYFUNCTION("LET(
  refItem, TO_TEXT(D922),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IF(ISBLANK(D922),"""", IF(IFERROR(latestMutation,"""")=""OUT"", latestCust, ""AKGREADY"")
))"),"")</f>
        <v/>
      </c>
    </row>
    <row r="923">
      <c r="G923" s="5" t="str">
        <f>IFERROR(__xludf.DUMMYFUNCTION("LET(
  refItem, TO_TEXT(D923),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IF(ISBLANK(D923),"""", IF(IFERROR(latestMutation,"""")=""OUT"", latestCust, ""AKGREADY"")
))"),"")</f>
        <v/>
      </c>
    </row>
    <row r="924">
      <c r="G924" s="5" t="str">
        <f>IFERROR(__xludf.DUMMYFUNCTION("LET(
  refItem, TO_TEXT(D924),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IF(ISBLANK(D924),"""", IF(IFERROR(latestMutation,"""")=""OUT"", latestCust, ""AKGREADY"")
))"),"")</f>
        <v/>
      </c>
    </row>
    <row r="925">
      <c r="G925" s="5" t="str">
        <f>IFERROR(__xludf.DUMMYFUNCTION("LET(
  refItem, TO_TEXT(D925),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IF(ISBLANK(D925),"""", IF(IFERROR(latestMutation,"""")=""OUT"", latestCust, ""AKGREADY"")
))"),"")</f>
        <v/>
      </c>
    </row>
    <row r="926">
      <c r="G926" s="5" t="str">
        <f>IFERROR(__xludf.DUMMYFUNCTION("LET(
  refItem, TO_TEXT(D926),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IF(ISBLANK(D926),"""", IF(IFERROR(latestMutation,"""")=""OUT"", latestCust, ""AKGREADY"")
))"),"")</f>
        <v/>
      </c>
    </row>
    <row r="927">
      <c r="G927" s="5" t="str">
        <f>IFERROR(__xludf.DUMMYFUNCTION("LET(
  refItem, TO_TEXT(D927),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IF(ISBLANK(D927),"""", IF(IFERROR(latestMutation,"""")=""OUT"", latestCust, ""AKGREADY"")
))"),"")</f>
        <v/>
      </c>
    </row>
    <row r="928">
      <c r="G928" s="5" t="str">
        <f>IFERROR(__xludf.DUMMYFUNCTION("LET(
  refItem, TO_TEXT(D928),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IF(ISBLANK(D928),"""", IF(IFERROR(latestMutation,"""")=""OUT"", latestCust, ""AKGREADY"")
))"),"")</f>
        <v/>
      </c>
    </row>
    <row r="929">
      <c r="G929" s="5" t="str">
        <f>IFERROR(__xludf.DUMMYFUNCTION("LET(
  refItem, TO_TEXT(D929),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IF(ISBLANK(D929),"""", IF(IFERROR(latestMutation,"""")=""OUT"", latestCust, ""AKGREADY"")
))"),"")</f>
        <v/>
      </c>
    </row>
    <row r="930">
      <c r="G930" s="5" t="str">
        <f>IFERROR(__xludf.DUMMYFUNCTION("LET(
  refItem, TO_TEXT(D930),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IF(ISBLANK(D930),"""", IF(IFERROR(latestMutation,"""")=""OUT"", latestCust, ""AKGREADY"")
))"),"")</f>
        <v/>
      </c>
    </row>
    <row r="931">
      <c r="G931" s="5" t="str">
        <f>IFERROR(__xludf.DUMMYFUNCTION("LET(
  refItem, TO_TEXT(D931),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IF(ISBLANK(D931),"""", IF(IFERROR(latestMutation,"""")=""OUT"", latestCust, ""AKGREADY"")
))"),"")</f>
        <v/>
      </c>
    </row>
    <row r="932">
      <c r="G932" s="5" t="str">
        <f>IFERROR(__xludf.DUMMYFUNCTION("LET(
  refItem, TO_TEXT(D932),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IF(ISBLANK(D932),"""", IF(IFERROR(latestMutation,"""")=""OUT"", latestCust, ""AKGREADY"")
))"),"")</f>
        <v/>
      </c>
    </row>
    <row r="933">
      <c r="G933" s="5" t="str">
        <f>IFERROR(__xludf.DUMMYFUNCTION("LET(
  refItem, TO_TEXT(D933),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IF(ISBLANK(D933),"""", IF(IFERROR(latestMutation,"""")=""OUT"", latestCust, ""AKGREADY"")
))"),"")</f>
        <v/>
      </c>
    </row>
    <row r="934">
      <c r="G934" s="5" t="str">
        <f>IFERROR(__xludf.DUMMYFUNCTION("LET(
  refItem, TO_TEXT(D934),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IF(ISBLANK(D934),"""", IF(IFERROR(latestMutation,"""")=""OUT"", latestCust, ""AKGREADY"")
))"),"")</f>
        <v/>
      </c>
    </row>
    <row r="935">
      <c r="G935" s="5" t="str">
        <f>IFERROR(__xludf.DUMMYFUNCTION("LET(
  refItem, TO_TEXT(D935),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IF(ISBLANK(D935),"""", IF(IFERROR(latestMutation,"""")=""OUT"", latestCust, ""AKGREADY"")
))"),"")</f>
        <v/>
      </c>
    </row>
    <row r="936">
      <c r="G936" s="5" t="str">
        <f>IFERROR(__xludf.DUMMYFUNCTION("LET(
  refItem, TO_TEXT(D936),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IF(ISBLANK(D936),"""", IF(IFERROR(latestMutation,"""")=""OUT"", latestCust, ""AKGREADY"")
))"),"")</f>
        <v/>
      </c>
    </row>
    <row r="937">
      <c r="G937" s="5" t="str">
        <f>IFERROR(__xludf.DUMMYFUNCTION("LET(
  refItem, TO_TEXT(D937),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IF(ISBLANK(D937),"""", IF(IFERROR(latestMutation,"""")=""OUT"", latestCust, ""AKGREADY"")
))"),"")</f>
        <v/>
      </c>
    </row>
    <row r="938">
      <c r="G938" s="5" t="str">
        <f>IFERROR(__xludf.DUMMYFUNCTION("LET(
  refItem, TO_TEXT(D938),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IF(ISBLANK(D938),"""", IF(IFERROR(latestMutation,"""")=""OUT"", latestCust, ""AKGREADY"")
))"),"")</f>
        <v/>
      </c>
    </row>
    <row r="939">
      <c r="G939" s="5" t="str">
        <f>IFERROR(__xludf.DUMMYFUNCTION("LET(
  refItem, TO_TEXT(D939),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IF(ISBLANK(D939),"""", IF(IFERROR(latestMutation,"""")=""OUT"", latestCust, ""AKGREADY"")
))"),"")</f>
        <v/>
      </c>
    </row>
    <row r="940">
      <c r="G940" s="5" t="str">
        <f>IFERROR(__xludf.DUMMYFUNCTION("LET(
  refItem, TO_TEXT(D940),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IF(ISBLANK(D940),"""", IF(IFERROR(latestMutation,"""")=""OUT"", latestCust, ""AKGREADY"")
))"),"")</f>
        <v/>
      </c>
    </row>
    <row r="941">
      <c r="G941" s="5" t="str">
        <f>IFERROR(__xludf.DUMMYFUNCTION("LET(
  refItem, TO_TEXT(D941),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IF(ISBLANK(D941),"""", IF(IFERROR(latestMutation,"""")=""OUT"", latestCust, ""AKGREADY"")
))"),"")</f>
        <v/>
      </c>
    </row>
    <row r="942">
      <c r="G942" s="5" t="str">
        <f>IFERROR(__xludf.DUMMYFUNCTION("LET(
  refItem, TO_TEXT(D942),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IF(ISBLANK(D942),"""", IF(IFERROR(latestMutation,"""")=""OUT"", latestCust, ""AKGREADY"")
))"),"")</f>
        <v/>
      </c>
    </row>
    <row r="943">
      <c r="G943" s="5" t="str">
        <f>IFERROR(__xludf.DUMMYFUNCTION("LET(
  refItem, TO_TEXT(D943),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IF(ISBLANK(D943),"""", IF(IFERROR(latestMutation,"""")=""OUT"", latestCust, ""AKGREADY"")
))"),"")</f>
        <v/>
      </c>
    </row>
    <row r="944">
      <c r="G944" s="5" t="str">
        <f>IFERROR(__xludf.DUMMYFUNCTION("LET(
  refItem, TO_TEXT(D944),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IF(ISBLANK(D944),"""", IF(IFERROR(latestMutation,"""")=""OUT"", latestCust, ""AKGREADY"")
))"),"")</f>
        <v/>
      </c>
    </row>
    <row r="945">
      <c r="G945" s="5" t="str">
        <f>IFERROR(__xludf.DUMMYFUNCTION("LET(
  refItem, TO_TEXT(D945),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IF(ISBLANK(D945),"""", IF(IFERROR(latestMutation,"""")=""OUT"", latestCust, ""AKGREADY"")
))"),"")</f>
        <v/>
      </c>
    </row>
    <row r="946">
      <c r="G946" s="5" t="str">
        <f>IFERROR(__xludf.DUMMYFUNCTION("LET(
  refItem, TO_TEXT(D946),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IF(ISBLANK(D946),"""", IF(IFERROR(latestMutation,"""")=""OUT"", latestCust, ""AKGREADY"")
))"),"")</f>
        <v/>
      </c>
    </row>
    <row r="947">
      <c r="G947" s="5" t="str">
        <f>IFERROR(__xludf.DUMMYFUNCTION("LET(
  refItem, TO_TEXT(D947),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IF(ISBLANK(D947),"""", IF(IFERROR(latestMutation,"""")=""OUT"", latestCust, ""AKGREADY"")
))"),"")</f>
        <v/>
      </c>
    </row>
    <row r="948">
      <c r="G948" s="5" t="str">
        <f>IFERROR(__xludf.DUMMYFUNCTION("LET(
  refItem, TO_TEXT(D948),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IF(ISBLANK(D948),"""", IF(IFERROR(latestMutation,"""")=""OUT"", latestCust, ""AKGREADY"")
))"),"")</f>
        <v/>
      </c>
    </row>
    <row r="949">
      <c r="G949" s="5" t="str">
        <f>IFERROR(__xludf.DUMMYFUNCTION("LET(
  refItem, TO_TEXT(D949),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IF(ISBLANK(D949),"""", IF(IFERROR(latestMutation,"""")=""OUT"", latestCust, ""AKGREADY"")
))"),"")</f>
        <v/>
      </c>
    </row>
    <row r="950">
      <c r="G950" s="5" t="str">
        <f>IFERROR(__xludf.DUMMYFUNCTION("LET(
  refItem, TO_TEXT(D950),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IF(ISBLANK(D950),"""", IF(IFERROR(latestMutation,"""")=""OUT"", latestCust, ""AKGREADY"")
))"),"")</f>
        <v/>
      </c>
    </row>
    <row r="951">
      <c r="G951" s="5" t="str">
        <f>IFERROR(__xludf.DUMMYFUNCTION("LET(
  refItem, TO_TEXT(D951),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IF(ISBLANK(D951),"""", IF(IFERROR(latestMutation,"""")=""OUT"", latestCust, ""AKGREADY"")
))"),"")</f>
        <v/>
      </c>
    </row>
    <row r="952">
      <c r="G952" s="5" t="str">
        <f>IFERROR(__xludf.DUMMYFUNCTION("LET(
  refItem, TO_TEXT(D952),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IF(ISBLANK(D952),"""", IF(IFERROR(latestMutation,"""")=""OUT"", latestCust, ""AKGREADY"")
))"),"")</f>
        <v/>
      </c>
    </row>
    <row r="953">
      <c r="G953" s="5" t="str">
        <f>IFERROR(__xludf.DUMMYFUNCTION("LET(
  refItem, TO_TEXT(D953),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IF(ISBLANK(D953),"""", IF(IFERROR(latestMutation,"""")=""OUT"", latestCust, ""AKGREADY"")
))"),"")</f>
        <v/>
      </c>
    </row>
    <row r="954">
      <c r="G954" s="5" t="str">
        <f>IFERROR(__xludf.DUMMYFUNCTION("LET(
  refItem, TO_TEXT(D954),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IF(ISBLANK(D954),"""", IF(IFERROR(latestMutation,"""")=""OUT"", latestCust, ""AKGREADY"")
))"),"")</f>
        <v/>
      </c>
    </row>
    <row r="955">
      <c r="G955" s="5" t="str">
        <f>IFERROR(__xludf.DUMMYFUNCTION("LET(
  refItem, TO_TEXT(D955),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IF(ISBLANK(D955),"""", IF(IFERROR(latestMutation,"""")=""OUT"", latestCust, ""AKGREADY"")
))"),"")</f>
        <v/>
      </c>
    </row>
    <row r="956">
      <c r="G956" s="5" t="str">
        <f>IFERROR(__xludf.DUMMYFUNCTION("LET(
  refItem, TO_TEXT(D956),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IF(ISBLANK(D956),"""", IF(IFERROR(latestMutation,"""")=""OUT"", latestCust, ""AKGREADY"")
))"),"")</f>
        <v/>
      </c>
    </row>
    <row r="957">
      <c r="G957" s="5" t="str">
        <f>IFERROR(__xludf.DUMMYFUNCTION("LET(
  refItem, TO_TEXT(D957),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IF(ISBLANK(D957),"""", IF(IFERROR(latestMutation,"""")=""OUT"", latestCust, ""AKGREADY"")
))"),"")</f>
        <v/>
      </c>
    </row>
    <row r="958">
      <c r="G958" s="5" t="str">
        <f>IFERROR(__xludf.DUMMYFUNCTION("LET(
  refItem, TO_TEXT(D958),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IF(ISBLANK(D958),"""", IF(IFERROR(latestMutation,"""")=""OUT"", latestCust, ""AKGREADY"")
))"),"")</f>
        <v/>
      </c>
    </row>
    <row r="959">
      <c r="G959" s="5" t="str">
        <f>IFERROR(__xludf.DUMMYFUNCTION("LET(
  refItem, TO_TEXT(D959),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IF(ISBLANK(D959),"""", IF(IFERROR(latestMutation,"""")=""OUT"", latestCust, ""AKGREADY"")
))"),"")</f>
        <v/>
      </c>
    </row>
    <row r="960">
      <c r="G960" s="5" t="str">
        <f>IFERROR(__xludf.DUMMYFUNCTION("LET(
  refItem, TO_TEXT(D960),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IF(ISBLANK(D960),"""", IF(IFERROR(latestMutation,"""")=""OUT"", latestCust, ""AKGREADY"")
))"),"")</f>
        <v/>
      </c>
    </row>
    <row r="961">
      <c r="G961" s="5" t="str">
        <f>IFERROR(__xludf.DUMMYFUNCTION("LET(
  refItem, TO_TEXT(D961),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IF(ISBLANK(D961),"""", IF(IFERROR(latestMutation,"""")=""OUT"", latestCust, ""AKGREADY"")
))"),"")</f>
        <v/>
      </c>
    </row>
    <row r="962">
      <c r="G962" s="5" t="str">
        <f>IFERROR(__xludf.DUMMYFUNCTION("LET(
  refItem, TO_TEXT(D962),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IF(ISBLANK(D962),"""", IF(IFERROR(latestMutation,"""")=""OUT"", latestCust, ""AKGREADY"")
))"),"")</f>
        <v/>
      </c>
    </row>
    <row r="963">
      <c r="G963" s="5" t="str">
        <f>IFERROR(__xludf.DUMMYFUNCTION("LET(
  refItem, TO_TEXT(D963),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IF(ISBLANK(D963),"""", IF(IFERROR(latestMutation,"""")=""OUT"", latestCust, ""AKGREADY"")
))"),"")</f>
        <v/>
      </c>
    </row>
    <row r="964">
      <c r="G964" s="5" t="str">
        <f>IFERROR(__xludf.DUMMYFUNCTION("LET(
  refItem, TO_TEXT(D964),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IF(ISBLANK(D964),"""", IF(IFERROR(latestMutation,"""")=""OUT"", latestCust, ""AKGREADY"")
))"),"")</f>
        <v/>
      </c>
    </row>
    <row r="965">
      <c r="G965" s="5" t="str">
        <f>IFERROR(__xludf.DUMMYFUNCTION("LET(
  refItem, TO_TEXT(D965),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IF(ISBLANK(D965),"""", IF(IFERROR(latestMutation,"""")=""OUT"", latestCust, ""AKGREADY"")
))"),"")</f>
        <v/>
      </c>
    </row>
    <row r="966">
      <c r="G966" s="5" t="str">
        <f>IFERROR(__xludf.DUMMYFUNCTION("LET(
  refItem, TO_TEXT(D966),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IF(ISBLANK(D966),"""", IF(IFERROR(latestMutation,"""")=""OUT"", latestCust, ""AKGREADY"")
))"),"")</f>
        <v/>
      </c>
    </row>
    <row r="967">
      <c r="G967" s="5" t="str">
        <f>IFERROR(__xludf.DUMMYFUNCTION("LET(
  refItem, TO_TEXT(D967),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IF(ISBLANK(D967),"""", IF(IFERROR(latestMutation,"""")=""OUT"", latestCust, ""AKGREADY"")
))"),"")</f>
        <v/>
      </c>
    </row>
    <row r="968">
      <c r="G968" s="5" t="str">
        <f>IFERROR(__xludf.DUMMYFUNCTION("LET(
  refItem, TO_TEXT(D968),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IF(ISBLANK(D968),"""", IF(IFERROR(latestMutation,"""")=""OUT"", latestCust, ""AKGREADY"")
))"),"")</f>
        <v/>
      </c>
    </row>
    <row r="969">
      <c r="G969" s="5" t="str">
        <f>IFERROR(__xludf.DUMMYFUNCTION("LET(
  refItem, TO_TEXT(D969),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IF(ISBLANK(D969),"""", IF(IFERROR(latestMutation,"""")=""OUT"", latestCust, ""AKGREADY"")
))"),"")</f>
        <v/>
      </c>
    </row>
    <row r="970">
      <c r="G970" s="5" t="str">
        <f>IFERROR(__xludf.DUMMYFUNCTION("LET(
  refItem, TO_TEXT(D970),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IF(ISBLANK(D970),"""", IF(IFERROR(latestMutation,"""")=""OUT"", latestCust, ""AKGREADY"")
))"),"")</f>
        <v/>
      </c>
    </row>
    <row r="971">
      <c r="G971" s="5" t="str">
        <f>IFERROR(__xludf.DUMMYFUNCTION("LET(
  refItem, TO_TEXT(D971),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IF(ISBLANK(D971),"""", IF(IFERROR(latestMutation,"""")=""OUT"", latestCust, ""AKGREADY"")
))"),"")</f>
        <v/>
      </c>
    </row>
    <row r="972">
      <c r="G972" s="5" t="str">
        <f>IFERROR(__xludf.DUMMYFUNCTION("LET(
  refItem, TO_TEXT(D972),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IF(ISBLANK(D972),"""", IF(IFERROR(latestMutation,"""")=""OUT"", latestCust, ""AKGREADY"")
))"),"")</f>
        <v/>
      </c>
    </row>
    <row r="973">
      <c r="G973" s="5" t="str">
        <f>IFERROR(__xludf.DUMMYFUNCTION("LET(
  refItem, TO_TEXT(D973),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IF(ISBLANK(D973),"""", IF(IFERROR(latestMutation,"""")=""OUT"", latestCust, ""AKGREADY"")
))"),"")</f>
        <v/>
      </c>
    </row>
    <row r="974">
      <c r="G974" s="5" t="str">
        <f>IFERROR(__xludf.DUMMYFUNCTION("LET(
  refItem, TO_TEXT(D974),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IF(ISBLANK(D974),"""", IF(IFERROR(latestMutation,"""")=""OUT"", latestCust, ""AKGREADY"")
))"),"")</f>
        <v/>
      </c>
    </row>
    <row r="975">
      <c r="G975" s="5" t="str">
        <f>IFERROR(__xludf.DUMMYFUNCTION("LET(
  refItem, TO_TEXT(D975),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IF(ISBLANK(D975),"""", IF(IFERROR(latestMutation,"""")=""OUT"", latestCust, ""AKGREADY"")
))"),"")</f>
        <v/>
      </c>
    </row>
    <row r="976">
      <c r="G976" s="5" t="str">
        <f>IFERROR(__xludf.DUMMYFUNCTION("LET(
  refItem, TO_TEXT(D976),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IF(ISBLANK(D976),"""", IF(IFERROR(latestMutation,"""")=""OUT"", latestCust, ""AKGREADY"")
))"),"")</f>
        <v/>
      </c>
    </row>
    <row r="977">
      <c r="G977" s="5" t="str">
        <f>IFERROR(__xludf.DUMMYFUNCTION("LET(
  refItem, TO_TEXT(D977),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IF(ISBLANK(D977),"""", IF(IFERROR(latestMutation,"""")=""OUT"", latestCust, ""AKGREADY"")
))"),"")</f>
        <v/>
      </c>
    </row>
    <row r="978">
      <c r="G978" s="5" t="str">
        <f>IFERROR(__xludf.DUMMYFUNCTION("LET(
  refItem, TO_TEXT(D978),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IF(ISBLANK(D978),"""", IF(IFERROR(latestMutation,"""")=""OUT"", latestCust, ""AKGREADY"")
))"),"")</f>
        <v/>
      </c>
    </row>
    <row r="979">
      <c r="G979" s="5" t="str">
        <f>IFERROR(__xludf.DUMMYFUNCTION("LET(
  refItem, TO_TEXT(D979),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IF(ISBLANK(D979),"""", IF(IFERROR(latestMutation,"""")=""OUT"", latestCust, ""AKGREADY"")
))"),"")</f>
        <v/>
      </c>
    </row>
    <row r="980">
      <c r="G980" s="5" t="str">
        <f>IFERROR(__xludf.DUMMYFUNCTION("LET(
  refItem, TO_TEXT(D980),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IF(ISBLANK(D980),"""", IF(IFERROR(latestMutation,"""")=""OUT"", latestCust, ""AKGREADY"")
))"),"")</f>
        <v/>
      </c>
    </row>
    <row r="981">
      <c r="G981" s="5" t="str">
        <f>IFERROR(__xludf.DUMMYFUNCTION("LET(
  refItem, TO_TEXT(D981),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IF(ISBLANK(D981),"""", IF(IFERROR(latestMutation,"""")=""OUT"", latestCust, ""AKGREADY"")
))"),"")</f>
        <v/>
      </c>
    </row>
    <row r="982">
      <c r="G982" s="5" t="str">
        <f>IFERROR(__xludf.DUMMYFUNCTION("LET(
  refItem, TO_TEXT(D982),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IF(ISBLANK(D982),"""", IF(IFERROR(latestMutation,"""")=""OUT"", latestCust, ""AKGREADY"")
))"),"")</f>
        <v/>
      </c>
    </row>
    <row r="983">
      <c r="G983" s="5" t="str">
        <f>IFERROR(__xludf.DUMMYFUNCTION("LET(
  refItem, TO_TEXT(D983),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IF(ISBLANK(D983),"""", IF(IFERROR(latestMutation,"""")=""OUT"", latestCust, ""AKGREADY"")
))"),"")</f>
        <v/>
      </c>
    </row>
    <row r="984">
      <c r="G984" s="5" t="str">
        <f>IFERROR(__xludf.DUMMYFUNCTION("LET(
  refItem, TO_TEXT(D984),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IF(ISBLANK(D984),"""", IF(IFERROR(latestMutation,"""")=""OUT"", latestCust, ""AKGREADY"")
))"),"")</f>
        <v/>
      </c>
    </row>
    <row r="985">
      <c r="G985" s="5" t="str">
        <f>IFERROR(__xludf.DUMMYFUNCTION("LET(
  refItem, TO_TEXT(D985),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IF(ISBLANK(D985),"""", IF(IFERROR(latestMutation,"""")=""OUT"", latestCust, ""AKGREADY"")
))"),"")</f>
        <v/>
      </c>
    </row>
    <row r="986">
      <c r="G986" s="5" t="str">
        <f>IFERROR(__xludf.DUMMYFUNCTION("LET(
  refItem, TO_TEXT(D986),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IF(ISBLANK(D986),"""", IF(IFERROR(latestMutation,"""")=""OUT"", latestCust, ""AKGREADY"")
))"),"")</f>
        <v/>
      </c>
    </row>
    <row r="987">
      <c r="G987" s="5" t="str">
        <f>IFERROR(__xludf.DUMMYFUNCTION("LET(
  refItem, TO_TEXT(D987),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IF(ISBLANK(D987),"""", IF(IFERROR(latestMutation,"""")=""OUT"", latestCust, ""AKGREADY"")
))"),"")</f>
        <v/>
      </c>
    </row>
    <row r="988">
      <c r="G988" s="5" t="str">
        <f>IFERROR(__xludf.DUMMYFUNCTION("LET(
  refItem, TO_TEXT(D988),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IF(ISBLANK(D988),"""", IF(IFERROR(latestMutation,"""")=""OUT"", latestCust, ""AKGREADY"")
))"),"")</f>
        <v/>
      </c>
    </row>
    <row r="989">
      <c r="G989" s="5" t="str">
        <f>IFERROR(__xludf.DUMMYFUNCTION("LET(
  refItem, TO_TEXT(D989),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IF(ISBLANK(D989),"""", IF(IFERROR(latestMutation,"""")=""OUT"", latestCust, ""AKGREADY"")
))"),"")</f>
        <v/>
      </c>
    </row>
    <row r="990">
      <c r="G990" s="5" t="str">
        <f>IFERROR(__xludf.DUMMYFUNCTION("LET(
  refItem, TO_TEXT(D990),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IF(ISBLANK(D990),"""", IF(IFERROR(latestMutation,"""")=""OUT"", latestCust, ""AKGREADY"")
))"),"")</f>
        <v/>
      </c>
    </row>
    <row r="991">
      <c r="G991" s="5" t="str">
        <f>IFERROR(__xludf.DUMMYFUNCTION("LET(
  refItem, TO_TEXT(D991),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IF(ISBLANK(D991),"""", IF(IFERROR(latestMutation,"""")=""OUT"", latestCust, ""AKGREADY"")
))"),"")</f>
        <v/>
      </c>
    </row>
    <row r="992">
      <c r="G992" s="5" t="str">
        <f>IFERROR(__xludf.DUMMYFUNCTION("LET(
  refItem, TO_TEXT(D992),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IF(ISBLANK(D992),"""", IF(IFERROR(latestMutation,"""")=""OUT"", latestCust, ""AKGREADY"")
))"),"")</f>
        <v/>
      </c>
    </row>
    <row r="993">
      <c r="G993" s="5" t="str">
        <f>IFERROR(__xludf.DUMMYFUNCTION("LET(
  refItem, TO_TEXT(D993),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IF(ISBLANK(D993),"""", IF(IFERROR(latestMutation,"""")=""OUT"", latestCust, ""AKGREADY"")
))"),"")</f>
        <v/>
      </c>
    </row>
    <row r="994">
      <c r="G994" s="5" t="str">
        <f>IFERROR(__xludf.DUMMYFUNCTION("LET(
  refItem, TO_TEXT(D994),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IF(ISBLANK(D994),"""", IF(IFERROR(latestMutation,"""")=""OUT"", latestCust, ""AKGREADY"")
))"),"")</f>
        <v/>
      </c>
    </row>
    <row r="995">
      <c r="G995" s="5" t="str">
        <f>IFERROR(__xludf.DUMMYFUNCTION("LET(
  refItem, TO_TEXT(D995),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IF(ISBLANK(D995),"""", IF(IFERROR(latestMutation,"""")=""OUT"", latestCust, ""AKGREADY"")
))"),"")</f>
        <v/>
      </c>
    </row>
    <row r="996">
      <c r="G996" s="5" t="str">
        <f>IFERROR(__xludf.DUMMYFUNCTION("LET(
  refItem, TO_TEXT(D996),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IF(ISBLANK(D996),"""", IF(IFERROR(latestMutation,"""")=""OUT"", latestCust, ""AKGREADY"")
))"),"")</f>
        <v/>
      </c>
    </row>
    <row r="997">
      <c r="G997" s="5" t="str">
        <f>IFERROR(__xludf.DUMMYFUNCTION("LET(
  refItem, TO_TEXT(D997),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IF(ISBLANK(D997),"""", IF(IFERROR(latestMutation,"""")=""OUT"", latestCust, ""AKGREADY"")
))"),"")</f>
        <v/>
      </c>
    </row>
    <row r="998">
      <c r="G998" s="5" t="str">
        <f>IFERROR(__xludf.DUMMYFUNCTION("LET(
  refItem, TO_TEXT(D998),
  logDates, inventoryLog!$C:$C,
  logCust, inventoryLog!$D:$D,
  logMut, inventoryLog!$H:$H,
  logItems, inventoryLog!$K:$K,
  matches, FILTER({logDates, logCust, logMut}, REGEXMATCH(TO_TEXT(logItems), ""\b""&amp;refItem&amp;""\b"""&amp;")),
  sorted, SORT(matches, 1, FALSE),
  latestMutation, INDEX(sorted, 1, 3),
  latestCust, INDEX(sorted, 1, 2),
  IF(ISBLANK(D998),"""", IF(IFERROR(latestMutation,"""")=""OUT"", latestCust, ""AKGREADY"")
))"),"")</f>
        <v/>
      </c>
    </row>
  </sheetData>
  <autoFilter ref="$A$1:$AB$998">
    <sortState ref="A1:AB998">
      <sortCondition ref="D1:D998"/>
    </sortState>
  </autoFilter>
  <conditionalFormatting sqref="D1:D998">
    <cfRule type="expression" dxfId="5" priority="1">
      <formula>COUNTIF(D:D, D1)&gt;1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3477</v>
      </c>
      <c r="B1" s="2" t="s">
        <v>3478</v>
      </c>
      <c r="C1" s="2" t="s">
        <v>2</v>
      </c>
      <c r="D1" s="2" t="s">
        <v>3</v>
      </c>
      <c r="E1" s="2" t="s">
        <v>7569</v>
      </c>
    </row>
    <row r="2">
      <c r="A2" s="2" t="s">
        <v>3486</v>
      </c>
      <c r="B2" s="2" t="s">
        <v>3487</v>
      </c>
      <c r="C2" s="2" t="s">
        <v>55</v>
      </c>
      <c r="D2" s="2" t="s">
        <v>56</v>
      </c>
      <c r="E2" s="2">
        <v>60000.0</v>
      </c>
    </row>
    <row r="3">
      <c r="A3" s="2" t="s">
        <v>4203</v>
      </c>
      <c r="B3" s="2" t="s">
        <v>4204</v>
      </c>
      <c r="C3" s="2" t="s">
        <v>55</v>
      </c>
      <c r="D3" s="2" t="s">
        <v>56</v>
      </c>
      <c r="E3" s="2">
        <v>60000.0</v>
      </c>
    </row>
    <row r="4">
      <c r="A4" s="2" t="s">
        <v>3547</v>
      </c>
      <c r="B4" s="2" t="s">
        <v>3548</v>
      </c>
      <c r="C4" s="2" t="s">
        <v>55</v>
      </c>
      <c r="D4" s="2" t="s">
        <v>56</v>
      </c>
      <c r="E4" s="2">
        <v>1000000.0</v>
      </c>
    </row>
    <row r="5">
      <c r="A5" s="2" t="s">
        <v>3486</v>
      </c>
      <c r="B5" s="2" t="s">
        <v>3487</v>
      </c>
      <c r="C5" s="2" t="s">
        <v>28</v>
      </c>
      <c r="D5" s="2" t="s">
        <v>29</v>
      </c>
      <c r="E5" s="2">
        <v>60000.0</v>
      </c>
    </row>
    <row r="6">
      <c r="A6" s="2" t="s">
        <v>3516</v>
      </c>
      <c r="B6" s="2" t="s">
        <v>3517</v>
      </c>
      <c r="C6" s="2" t="s">
        <v>28</v>
      </c>
      <c r="D6" s="2" t="s">
        <v>29</v>
      </c>
      <c r="E6" s="2">
        <v>160000.0</v>
      </c>
    </row>
    <row r="7">
      <c r="A7" s="2" t="s">
        <v>3493</v>
      </c>
      <c r="B7" s="2" t="s">
        <v>3494</v>
      </c>
      <c r="C7" s="2" t="s">
        <v>28</v>
      </c>
      <c r="D7" s="2" t="s">
        <v>29</v>
      </c>
      <c r="E7" s="2">
        <v>225000.0</v>
      </c>
    </row>
    <row r="8">
      <c r="A8" s="2" t="s">
        <v>3486</v>
      </c>
      <c r="B8" s="2" t="s">
        <v>3487</v>
      </c>
      <c r="C8" s="2" t="s">
        <v>45</v>
      </c>
      <c r="D8" s="2" t="s">
        <v>46</v>
      </c>
      <c r="E8" s="2">
        <v>60000.0</v>
      </c>
    </row>
    <row r="9">
      <c r="A9" s="2" t="s">
        <v>3522</v>
      </c>
      <c r="B9" s="2" t="s">
        <v>3523</v>
      </c>
      <c r="C9" s="2" t="s">
        <v>45</v>
      </c>
      <c r="D9" s="2" t="s">
        <v>46</v>
      </c>
      <c r="E9" s="2">
        <v>200000.0</v>
      </c>
    </row>
    <row r="10">
      <c r="A10" s="2" t="s">
        <v>3516</v>
      </c>
      <c r="B10" s="2" t="s">
        <v>3517</v>
      </c>
      <c r="C10" s="2" t="s">
        <v>45</v>
      </c>
      <c r="D10" s="2" t="s">
        <v>46</v>
      </c>
      <c r="E10" s="2">
        <v>180000.0</v>
      </c>
    </row>
    <row r="11">
      <c r="A11" s="2" t="s">
        <v>3493</v>
      </c>
      <c r="B11" s="2" t="s">
        <v>3494</v>
      </c>
      <c r="C11" s="2" t="s">
        <v>45</v>
      </c>
      <c r="D11" s="2" t="s">
        <v>46</v>
      </c>
      <c r="E11" s="2">
        <v>210000.0</v>
      </c>
    </row>
    <row r="12">
      <c r="A12" s="2" t="s">
        <v>3486</v>
      </c>
      <c r="B12" s="2" t="s">
        <v>3487</v>
      </c>
      <c r="C12" s="2" t="s">
        <v>49</v>
      </c>
      <c r="D12" s="2" t="s">
        <v>50</v>
      </c>
      <c r="E12" s="2">
        <v>60000.0</v>
      </c>
    </row>
    <row r="13">
      <c r="A13" s="2" t="s">
        <v>3486</v>
      </c>
      <c r="B13" s="2" t="s">
        <v>3487</v>
      </c>
      <c r="C13" s="2" t="s">
        <v>13</v>
      </c>
      <c r="D13" s="2" t="s">
        <v>14</v>
      </c>
      <c r="E13" s="2">
        <v>55000.0</v>
      </c>
    </row>
    <row r="14">
      <c r="A14" s="2" t="s">
        <v>3486</v>
      </c>
      <c r="B14" s="2" t="s">
        <v>3487</v>
      </c>
      <c r="C14" s="2" t="s">
        <v>20</v>
      </c>
      <c r="D14" s="2" t="s">
        <v>21</v>
      </c>
      <c r="E14" s="2">
        <v>60000.0</v>
      </c>
    </row>
    <row r="15">
      <c r="A15" s="2" t="s">
        <v>3493</v>
      </c>
      <c r="B15" s="2" t="s">
        <v>3494</v>
      </c>
      <c r="C15" s="2" t="s">
        <v>20</v>
      </c>
      <c r="D15" s="2" t="s">
        <v>21</v>
      </c>
      <c r="E15" s="2">
        <v>210000.0</v>
      </c>
    </row>
    <row r="16">
      <c r="A16" s="2" t="s">
        <v>3522</v>
      </c>
      <c r="B16" s="2" t="s">
        <v>3523</v>
      </c>
      <c r="C16" s="2" t="s">
        <v>75</v>
      </c>
      <c r="D16" s="2" t="s">
        <v>76</v>
      </c>
      <c r="E16" s="2">
        <v>270000.0</v>
      </c>
    </row>
    <row r="17">
      <c r="A17" s="2" t="s">
        <v>3486</v>
      </c>
      <c r="B17" s="2" t="s">
        <v>3487</v>
      </c>
      <c r="C17" s="2" t="s">
        <v>91</v>
      </c>
      <c r="D17" s="2" t="s">
        <v>92</v>
      </c>
      <c r="E17" s="2">
        <v>70000.0</v>
      </c>
    </row>
    <row r="18">
      <c r="A18" s="2" t="s">
        <v>3486</v>
      </c>
      <c r="B18" s="2" t="s">
        <v>3487</v>
      </c>
      <c r="C18" s="2" t="s">
        <v>109</v>
      </c>
      <c r="D18" s="2" t="s">
        <v>110</v>
      </c>
      <c r="E18" s="2">
        <v>60000.0</v>
      </c>
    </row>
    <row r="19">
      <c r="A19" s="2" t="s">
        <v>3522</v>
      </c>
      <c r="B19" s="2" t="s">
        <v>3523</v>
      </c>
      <c r="C19" s="2" t="s">
        <v>109</v>
      </c>
      <c r="D19" s="2" t="s">
        <v>110</v>
      </c>
      <c r="E19" s="2">
        <v>215000.0</v>
      </c>
    </row>
    <row r="20">
      <c r="A20" s="2" t="s">
        <v>3516</v>
      </c>
      <c r="B20" s="2" t="s">
        <v>3517</v>
      </c>
      <c r="C20" s="2" t="s">
        <v>109</v>
      </c>
      <c r="D20" s="2" t="s">
        <v>110</v>
      </c>
      <c r="E20" s="2">
        <v>180000.0</v>
      </c>
    </row>
    <row r="21">
      <c r="A21" s="2" t="s">
        <v>3486</v>
      </c>
      <c r="B21" s="2" t="s">
        <v>3487</v>
      </c>
      <c r="C21" s="2">
        <v>3.7175874E7</v>
      </c>
      <c r="D21" s="2" t="s">
        <v>115</v>
      </c>
      <c r="E21" s="2">
        <v>45045.04505</v>
      </c>
    </row>
    <row r="22">
      <c r="A22" s="2" t="s">
        <v>3516</v>
      </c>
      <c r="B22" s="2" t="s">
        <v>3517</v>
      </c>
      <c r="C22" s="2">
        <v>3.7175874E7</v>
      </c>
      <c r="D22" s="2" t="s">
        <v>115</v>
      </c>
      <c r="E22" s="2">
        <v>140000.0</v>
      </c>
    </row>
    <row r="23">
      <c r="A23" s="2" t="s">
        <v>3585</v>
      </c>
      <c r="B23" s="2" t="s">
        <v>3586</v>
      </c>
      <c r="C23" s="2">
        <v>3.7175874E7</v>
      </c>
      <c r="D23" s="2" t="s">
        <v>115</v>
      </c>
      <c r="E23" s="2">
        <v>360360.3604</v>
      </c>
    </row>
    <row r="24">
      <c r="A24" s="2" t="s">
        <v>3486</v>
      </c>
      <c r="B24" s="2" t="s">
        <v>3487</v>
      </c>
      <c r="C24" s="2" t="s">
        <v>122</v>
      </c>
      <c r="D24" s="2" t="s">
        <v>123</v>
      </c>
      <c r="E24" s="2">
        <v>70000.0</v>
      </c>
    </row>
    <row r="25">
      <c r="A25" s="2" t="s">
        <v>3493</v>
      </c>
      <c r="B25" s="2" t="s">
        <v>3494</v>
      </c>
      <c r="C25" s="2" t="s">
        <v>122</v>
      </c>
      <c r="D25" s="2" t="s">
        <v>123</v>
      </c>
      <c r="E25" s="2">
        <v>215000.0</v>
      </c>
    </row>
    <row r="26">
      <c r="A26" s="2" t="s">
        <v>3486</v>
      </c>
      <c r="B26" s="2" t="s">
        <v>3487</v>
      </c>
      <c r="C26" s="2" t="s">
        <v>126</v>
      </c>
      <c r="D26" s="2" t="s">
        <v>127</v>
      </c>
      <c r="E26" s="2">
        <v>45045.04505</v>
      </c>
    </row>
    <row r="27">
      <c r="A27" s="2" t="s">
        <v>3585</v>
      </c>
      <c r="B27" s="2" t="s">
        <v>3586</v>
      </c>
      <c r="C27" s="2" t="s">
        <v>126</v>
      </c>
      <c r="D27" s="2" t="s">
        <v>127</v>
      </c>
      <c r="E27" s="2">
        <v>360360.3604</v>
      </c>
    </row>
    <row r="28">
      <c r="A28" s="2" t="s">
        <v>3486</v>
      </c>
      <c r="B28" s="2" t="s">
        <v>3487</v>
      </c>
      <c r="C28" s="2" t="s">
        <v>131</v>
      </c>
      <c r="D28" s="2" t="s">
        <v>132</v>
      </c>
      <c r="E28" s="2">
        <v>60000.0</v>
      </c>
    </row>
    <row r="29">
      <c r="A29" s="2" t="s">
        <v>3516</v>
      </c>
      <c r="B29" s="2" t="s">
        <v>3517</v>
      </c>
      <c r="C29" s="2" t="s">
        <v>131</v>
      </c>
      <c r="D29" s="2" t="s">
        <v>132</v>
      </c>
      <c r="E29" s="2">
        <v>180000.0</v>
      </c>
    </row>
    <row r="30">
      <c r="A30" s="2" t="s">
        <v>3486</v>
      </c>
      <c r="B30" s="2" t="s">
        <v>3487</v>
      </c>
      <c r="C30" s="2" t="s">
        <v>149</v>
      </c>
      <c r="D30" s="2" t="s">
        <v>150</v>
      </c>
      <c r="E30" s="2">
        <v>65000.0</v>
      </c>
    </row>
    <row r="31">
      <c r="A31" s="2" t="s">
        <v>3522</v>
      </c>
      <c r="B31" s="2" t="s">
        <v>3523</v>
      </c>
      <c r="C31" s="2" t="s">
        <v>149</v>
      </c>
      <c r="D31" s="2" t="s">
        <v>150</v>
      </c>
      <c r="E31" s="2">
        <v>190000.0</v>
      </c>
    </row>
    <row r="32">
      <c r="A32" s="2" t="s">
        <v>3516</v>
      </c>
      <c r="B32" s="2" t="s">
        <v>3517</v>
      </c>
      <c r="C32" s="2" t="s">
        <v>149</v>
      </c>
      <c r="D32" s="2" t="s">
        <v>150</v>
      </c>
      <c r="E32" s="2">
        <v>167000.0</v>
      </c>
    </row>
    <row r="33">
      <c r="A33" s="2" t="s">
        <v>3547</v>
      </c>
      <c r="B33" s="2" t="s">
        <v>3548</v>
      </c>
      <c r="C33" s="2" t="s">
        <v>149</v>
      </c>
      <c r="D33" s="2" t="s">
        <v>150</v>
      </c>
      <c r="E33" s="2">
        <v>1300000.0</v>
      </c>
    </row>
    <row r="34">
      <c r="A34" s="2" t="s">
        <v>3486</v>
      </c>
      <c r="B34" s="2" t="s">
        <v>3487</v>
      </c>
      <c r="C34" s="2" t="s">
        <v>169</v>
      </c>
      <c r="D34" s="2" t="s">
        <v>170</v>
      </c>
      <c r="E34" s="2">
        <v>60000.0</v>
      </c>
    </row>
    <row r="35">
      <c r="A35" s="2" t="s">
        <v>3522</v>
      </c>
      <c r="B35" s="2" t="s">
        <v>3523</v>
      </c>
      <c r="C35" s="2" t="s">
        <v>169</v>
      </c>
      <c r="D35" s="2" t="s">
        <v>170</v>
      </c>
      <c r="E35" s="2">
        <v>225000.0</v>
      </c>
    </row>
    <row r="36">
      <c r="A36" s="2" t="s">
        <v>3493</v>
      </c>
      <c r="B36" s="2" t="s">
        <v>3494</v>
      </c>
      <c r="C36" s="2" t="s">
        <v>169</v>
      </c>
      <c r="D36" s="2" t="s">
        <v>170</v>
      </c>
      <c r="E36" s="2">
        <v>215000.0</v>
      </c>
    </row>
    <row r="37">
      <c r="A37" s="2" t="s">
        <v>3585</v>
      </c>
      <c r="B37" s="2" t="s">
        <v>3586</v>
      </c>
      <c r="C37" s="2" t="s">
        <v>169</v>
      </c>
      <c r="D37" s="2" t="s">
        <v>170</v>
      </c>
      <c r="E37" s="2">
        <v>435000.0</v>
      </c>
    </row>
    <row r="38">
      <c r="A38" s="2" t="s">
        <v>3486</v>
      </c>
      <c r="B38" s="2" t="s">
        <v>3487</v>
      </c>
      <c r="C38" s="2" t="s">
        <v>6740</v>
      </c>
      <c r="D38" s="2" t="s">
        <v>6741</v>
      </c>
      <c r="E38" s="2">
        <v>67567.56757</v>
      </c>
    </row>
    <row r="39">
      <c r="A39" s="2" t="s">
        <v>3486</v>
      </c>
      <c r="B39" s="2" t="s">
        <v>3487</v>
      </c>
      <c r="C39" s="2" t="s">
        <v>6743</v>
      </c>
      <c r="D39" s="2" t="s">
        <v>6744</v>
      </c>
      <c r="E39" s="2">
        <v>60000.0</v>
      </c>
    </row>
    <row r="40">
      <c r="A40" s="2" t="s">
        <v>3493</v>
      </c>
      <c r="B40" s="2" t="s">
        <v>3494</v>
      </c>
      <c r="C40" s="2" t="s">
        <v>6743</v>
      </c>
      <c r="D40" s="2" t="s">
        <v>6744</v>
      </c>
      <c r="E40" s="2">
        <v>215000.0</v>
      </c>
    </row>
    <row r="41">
      <c r="A41" s="2" t="s">
        <v>3547</v>
      </c>
      <c r="B41" s="2" t="s">
        <v>3548</v>
      </c>
      <c r="C41" s="2" t="s">
        <v>6743</v>
      </c>
      <c r="D41" s="2" t="s">
        <v>6744</v>
      </c>
      <c r="E41" s="2">
        <v>900000.0</v>
      </c>
    </row>
    <row r="42">
      <c r="A42" s="2" t="s">
        <v>3486</v>
      </c>
      <c r="B42" s="2" t="s">
        <v>3487</v>
      </c>
      <c r="C42" s="2" t="s">
        <v>283</v>
      </c>
      <c r="D42" s="2" t="s">
        <v>284</v>
      </c>
      <c r="E42" s="2">
        <v>1351351.351</v>
      </c>
    </row>
    <row r="43">
      <c r="A43" s="2" t="s">
        <v>3516</v>
      </c>
      <c r="B43" s="2" t="s">
        <v>3517</v>
      </c>
      <c r="C43" s="2" t="s">
        <v>283</v>
      </c>
      <c r="D43" s="2" t="s">
        <v>284</v>
      </c>
      <c r="E43" s="2">
        <v>1531531.53</v>
      </c>
    </row>
    <row r="44">
      <c r="A44" s="2" t="s">
        <v>3493</v>
      </c>
      <c r="B44" s="2" t="s">
        <v>3494</v>
      </c>
      <c r="C44" s="2" t="s">
        <v>283</v>
      </c>
      <c r="D44" s="2" t="s">
        <v>284</v>
      </c>
      <c r="E44" s="2">
        <v>193693.69</v>
      </c>
    </row>
    <row r="45">
      <c r="A45" s="2" t="s">
        <v>3486</v>
      </c>
      <c r="B45" s="2" t="s">
        <v>3487</v>
      </c>
      <c r="C45" s="2" t="s">
        <v>305</v>
      </c>
      <c r="D45" s="2" t="s">
        <v>306</v>
      </c>
      <c r="E45" s="2">
        <v>47297.2973</v>
      </c>
    </row>
    <row r="46">
      <c r="A46" s="2" t="s">
        <v>4203</v>
      </c>
      <c r="B46" s="2" t="s">
        <v>4204</v>
      </c>
      <c r="C46" s="2" t="s">
        <v>305</v>
      </c>
      <c r="D46" s="2" t="s">
        <v>306</v>
      </c>
      <c r="E46" s="2">
        <v>47297.2973</v>
      </c>
    </row>
    <row r="47">
      <c r="A47" s="2" t="s">
        <v>3486</v>
      </c>
      <c r="B47" s="2" t="s">
        <v>3487</v>
      </c>
      <c r="C47" s="2" t="s">
        <v>3250</v>
      </c>
      <c r="D47" s="2" t="s">
        <v>3251</v>
      </c>
      <c r="E47" s="2">
        <v>55000.0</v>
      </c>
    </row>
    <row r="48">
      <c r="A48" s="2" t="s">
        <v>3516</v>
      </c>
      <c r="B48" s="2" t="s">
        <v>3517</v>
      </c>
      <c r="C48" s="2" t="s">
        <v>3250</v>
      </c>
      <c r="D48" s="2" t="s">
        <v>3251</v>
      </c>
      <c r="E48" s="2">
        <v>180000.0</v>
      </c>
    </row>
    <row r="49">
      <c r="A49" s="2" t="s">
        <v>3493</v>
      </c>
      <c r="B49" s="2" t="s">
        <v>3494</v>
      </c>
      <c r="C49" s="2" t="s">
        <v>3250</v>
      </c>
      <c r="D49" s="2" t="s">
        <v>3251</v>
      </c>
      <c r="E49" s="2">
        <v>200000.0</v>
      </c>
    </row>
    <row r="50">
      <c r="A50" s="2" t="s">
        <v>3506</v>
      </c>
      <c r="B50" s="2" t="s">
        <v>3507</v>
      </c>
      <c r="C50" s="2" t="s">
        <v>3250</v>
      </c>
      <c r="D50" s="2" t="s">
        <v>3251</v>
      </c>
      <c r="E50" s="2">
        <v>55000.0</v>
      </c>
    </row>
    <row r="51">
      <c r="A51" s="2" t="s">
        <v>4045</v>
      </c>
      <c r="B51" s="2" t="s">
        <v>4046</v>
      </c>
      <c r="C51" s="2" t="s">
        <v>3250</v>
      </c>
      <c r="D51" s="2" t="s">
        <v>3251</v>
      </c>
      <c r="E51" s="2">
        <v>160000.0</v>
      </c>
    </row>
    <row r="52">
      <c r="A52" s="2" t="s">
        <v>3486</v>
      </c>
      <c r="B52" s="2" t="s">
        <v>3487</v>
      </c>
      <c r="C52" s="2" t="s">
        <v>320</v>
      </c>
      <c r="D52" s="2" t="s">
        <v>321</v>
      </c>
      <c r="E52" s="2">
        <v>70000.0</v>
      </c>
    </row>
    <row r="53">
      <c r="A53" s="2" t="s">
        <v>3585</v>
      </c>
      <c r="B53" s="2" t="s">
        <v>3586</v>
      </c>
      <c r="C53" s="2" t="s">
        <v>320</v>
      </c>
      <c r="D53" s="2" t="s">
        <v>321</v>
      </c>
      <c r="E53" s="2">
        <v>450000.0</v>
      </c>
    </row>
    <row r="54">
      <c r="A54" s="2" t="s">
        <v>3486</v>
      </c>
      <c r="B54" s="2" t="s">
        <v>3487</v>
      </c>
      <c r="C54" s="2" t="s">
        <v>6747</v>
      </c>
      <c r="D54" s="2" t="s">
        <v>6748</v>
      </c>
      <c r="E54" s="2">
        <v>45000.0</v>
      </c>
    </row>
    <row r="55">
      <c r="A55" s="2" t="s">
        <v>3486</v>
      </c>
      <c r="B55" s="2" t="s">
        <v>3487</v>
      </c>
      <c r="C55" s="2" t="s">
        <v>345</v>
      </c>
      <c r="D55" s="2" t="s">
        <v>346</v>
      </c>
      <c r="E55" s="2">
        <v>45045.045</v>
      </c>
    </row>
    <row r="56">
      <c r="A56" s="2" t="s">
        <v>3522</v>
      </c>
      <c r="B56" s="2" t="s">
        <v>3523</v>
      </c>
      <c r="C56" s="2" t="s">
        <v>345</v>
      </c>
      <c r="D56" s="2" t="s">
        <v>346</v>
      </c>
      <c r="E56" s="2">
        <v>220000.0</v>
      </c>
    </row>
    <row r="57">
      <c r="A57" s="2" t="s">
        <v>3516</v>
      </c>
      <c r="B57" s="2" t="s">
        <v>3517</v>
      </c>
      <c r="C57" s="2" t="s">
        <v>349</v>
      </c>
      <c r="D57" s="2" t="s">
        <v>350</v>
      </c>
      <c r="E57" s="2">
        <v>167000.0</v>
      </c>
    </row>
    <row r="58">
      <c r="A58" s="2" t="s">
        <v>3547</v>
      </c>
      <c r="B58" s="2" t="s">
        <v>3548</v>
      </c>
      <c r="C58" s="2" t="s">
        <v>349</v>
      </c>
      <c r="D58" s="2" t="s">
        <v>350</v>
      </c>
      <c r="E58" s="2">
        <v>909909.9099</v>
      </c>
    </row>
    <row r="59">
      <c r="A59" s="2" t="s">
        <v>3486</v>
      </c>
      <c r="B59" s="2" t="s">
        <v>3487</v>
      </c>
      <c r="C59" s="2" t="s">
        <v>367</v>
      </c>
      <c r="D59" s="2" t="s">
        <v>368</v>
      </c>
      <c r="E59" s="2">
        <v>60000.0</v>
      </c>
    </row>
    <row r="60">
      <c r="A60" s="2" t="s">
        <v>3493</v>
      </c>
      <c r="B60" s="2" t="s">
        <v>3494</v>
      </c>
      <c r="C60" s="2" t="s">
        <v>367</v>
      </c>
      <c r="D60" s="2" t="s">
        <v>368</v>
      </c>
      <c r="E60" s="2">
        <v>215000.0</v>
      </c>
    </row>
    <row r="61">
      <c r="A61" s="2" t="s">
        <v>3522</v>
      </c>
      <c r="B61" s="2" t="s">
        <v>3523</v>
      </c>
      <c r="C61" s="2" t="s">
        <v>373</v>
      </c>
      <c r="D61" s="2" t="s">
        <v>374</v>
      </c>
      <c r="E61" s="2">
        <v>210000.0</v>
      </c>
    </row>
    <row r="62">
      <c r="A62" s="2" t="s">
        <v>3486</v>
      </c>
      <c r="B62" s="2" t="s">
        <v>3487</v>
      </c>
      <c r="C62" s="2" t="s">
        <v>383</v>
      </c>
      <c r="D62" s="2" t="s">
        <v>384</v>
      </c>
      <c r="E62" s="2">
        <v>70000.0</v>
      </c>
    </row>
    <row r="63">
      <c r="A63" s="2" t="s">
        <v>3486</v>
      </c>
      <c r="B63" s="2" t="s">
        <v>3487</v>
      </c>
      <c r="C63" s="2" t="s">
        <v>326</v>
      </c>
      <c r="D63" s="2" t="s">
        <v>327</v>
      </c>
      <c r="E63" s="2">
        <v>45000.0</v>
      </c>
    </row>
    <row r="64">
      <c r="A64" s="2" t="s">
        <v>3522</v>
      </c>
      <c r="B64" s="2" t="s">
        <v>3523</v>
      </c>
      <c r="C64" s="2" t="s">
        <v>326</v>
      </c>
      <c r="D64" s="2" t="s">
        <v>327</v>
      </c>
      <c r="E64" s="2">
        <v>200000.0</v>
      </c>
    </row>
    <row r="65">
      <c r="A65" s="2" t="s">
        <v>3486</v>
      </c>
      <c r="B65" s="2" t="s">
        <v>3487</v>
      </c>
      <c r="C65" s="2" t="s">
        <v>213</v>
      </c>
      <c r="D65" s="2" t="s">
        <v>214</v>
      </c>
      <c r="E65" s="2">
        <v>60000.0</v>
      </c>
    </row>
    <row r="66">
      <c r="A66" s="2" t="s">
        <v>3493</v>
      </c>
      <c r="B66" s="2" t="s">
        <v>3494</v>
      </c>
      <c r="C66" s="2" t="s">
        <v>213</v>
      </c>
      <c r="D66" s="2" t="s">
        <v>214</v>
      </c>
      <c r="E66" s="2">
        <v>210000.0</v>
      </c>
    </row>
    <row r="67">
      <c r="A67" s="2" t="s">
        <v>3547</v>
      </c>
      <c r="B67" s="2" t="s">
        <v>3548</v>
      </c>
      <c r="C67" s="2" t="s">
        <v>213</v>
      </c>
      <c r="D67" s="2" t="s">
        <v>214</v>
      </c>
      <c r="E67" s="2">
        <v>950000.0</v>
      </c>
    </row>
    <row r="68">
      <c r="A68" s="2" t="s">
        <v>3835</v>
      </c>
      <c r="B68" s="2" t="s">
        <v>3836</v>
      </c>
      <c r="C68" s="2" t="s">
        <v>397</v>
      </c>
      <c r="D68" s="2" t="s">
        <v>398</v>
      </c>
      <c r="E68" s="2">
        <v>60000.0</v>
      </c>
    </row>
    <row r="69">
      <c r="A69" s="2" t="s">
        <v>3910</v>
      </c>
      <c r="B69" s="2" t="s">
        <v>3911</v>
      </c>
      <c r="C69" s="2" t="s">
        <v>397</v>
      </c>
      <c r="D69" s="2" t="s">
        <v>398</v>
      </c>
      <c r="E69" s="2">
        <v>60000.0</v>
      </c>
    </row>
    <row r="70">
      <c r="A70" s="2" t="s">
        <v>3486</v>
      </c>
      <c r="B70" s="2" t="s">
        <v>3487</v>
      </c>
      <c r="C70" s="2" t="s">
        <v>392</v>
      </c>
      <c r="D70" s="2" t="s">
        <v>393</v>
      </c>
      <c r="E70" s="2">
        <v>50000.0</v>
      </c>
    </row>
    <row r="71">
      <c r="A71" s="2" t="s">
        <v>3506</v>
      </c>
      <c r="B71" s="2" t="s">
        <v>3507</v>
      </c>
      <c r="C71" s="2" t="s">
        <v>392</v>
      </c>
      <c r="D71" s="2" t="s">
        <v>393</v>
      </c>
      <c r="E71" s="2">
        <v>50000.0</v>
      </c>
    </row>
    <row r="72">
      <c r="A72" s="2" t="s">
        <v>3486</v>
      </c>
      <c r="B72" s="2" t="s">
        <v>3487</v>
      </c>
      <c r="C72" s="2" t="s">
        <v>441</v>
      </c>
      <c r="D72" s="2" t="s">
        <v>442</v>
      </c>
      <c r="E72" s="2">
        <v>60000.0</v>
      </c>
    </row>
    <row r="73">
      <c r="A73" s="2" t="s">
        <v>3493</v>
      </c>
      <c r="B73" s="2" t="s">
        <v>3494</v>
      </c>
      <c r="C73" s="2" t="s">
        <v>458</v>
      </c>
      <c r="D73" s="2" t="s">
        <v>459</v>
      </c>
      <c r="E73" s="2">
        <v>220000.0</v>
      </c>
    </row>
    <row r="74">
      <c r="A74" s="2" t="s">
        <v>3486</v>
      </c>
      <c r="B74" s="2" t="s">
        <v>3487</v>
      </c>
      <c r="C74" s="2" t="s">
        <v>464</v>
      </c>
      <c r="D74" s="2" t="s">
        <v>465</v>
      </c>
      <c r="E74" s="2">
        <v>55000.0</v>
      </c>
    </row>
    <row r="75">
      <c r="A75" s="2" t="s">
        <v>3493</v>
      </c>
      <c r="B75" s="2" t="s">
        <v>3494</v>
      </c>
      <c r="C75" s="2" t="s">
        <v>464</v>
      </c>
      <c r="D75" s="2" t="s">
        <v>465</v>
      </c>
      <c r="E75" s="2">
        <v>210000.0</v>
      </c>
    </row>
    <row r="76">
      <c r="A76" s="2" t="s">
        <v>3506</v>
      </c>
      <c r="B76" s="2" t="s">
        <v>3507</v>
      </c>
      <c r="C76" s="2" t="s">
        <v>464</v>
      </c>
      <c r="D76" s="2" t="s">
        <v>465</v>
      </c>
      <c r="E76" s="2">
        <v>55000.0</v>
      </c>
    </row>
    <row r="77">
      <c r="A77" s="2" t="s">
        <v>3486</v>
      </c>
      <c r="B77" s="2" t="s">
        <v>3487</v>
      </c>
      <c r="C77" s="2" t="s">
        <v>493</v>
      </c>
      <c r="D77" s="2" t="s">
        <v>494</v>
      </c>
      <c r="E77" s="2">
        <v>50000.0</v>
      </c>
    </row>
    <row r="78">
      <c r="A78" s="2" t="s">
        <v>3493</v>
      </c>
      <c r="B78" s="2" t="s">
        <v>3494</v>
      </c>
      <c r="C78" s="2" t="s">
        <v>493</v>
      </c>
      <c r="D78" s="2" t="s">
        <v>494</v>
      </c>
      <c r="E78" s="2">
        <v>215000.0</v>
      </c>
    </row>
    <row r="79">
      <c r="A79" s="2" t="s">
        <v>3486</v>
      </c>
      <c r="B79" s="2" t="s">
        <v>3487</v>
      </c>
      <c r="C79" s="2" t="s">
        <v>505</v>
      </c>
      <c r="D79" s="2" t="s">
        <v>506</v>
      </c>
      <c r="E79" s="2">
        <v>50000.0</v>
      </c>
    </row>
    <row r="80">
      <c r="A80" s="2" t="s">
        <v>3493</v>
      </c>
      <c r="B80" s="2" t="s">
        <v>3494</v>
      </c>
      <c r="C80" s="2" t="s">
        <v>505</v>
      </c>
      <c r="D80" s="2" t="s">
        <v>506</v>
      </c>
      <c r="E80" s="2">
        <v>200000.0</v>
      </c>
    </row>
    <row r="81">
      <c r="A81" s="2" t="s">
        <v>3506</v>
      </c>
      <c r="B81" s="2" t="s">
        <v>3507</v>
      </c>
      <c r="C81" s="2" t="s">
        <v>505</v>
      </c>
      <c r="D81" s="2" t="s">
        <v>506</v>
      </c>
      <c r="E81" s="2">
        <v>45000.0</v>
      </c>
    </row>
    <row r="82">
      <c r="A82" s="2" t="s">
        <v>3493</v>
      </c>
      <c r="B82" s="2" t="s">
        <v>3494</v>
      </c>
      <c r="C82" s="2" t="s">
        <v>552</v>
      </c>
      <c r="D82" s="2" t="s">
        <v>553</v>
      </c>
      <c r="E82" s="2">
        <v>500000.0</v>
      </c>
    </row>
    <row r="83">
      <c r="A83" s="2" t="s">
        <v>3493</v>
      </c>
      <c r="B83" s="2" t="s">
        <v>3494</v>
      </c>
      <c r="C83" s="2" t="s">
        <v>6749</v>
      </c>
      <c r="D83" s="2" t="s">
        <v>6750</v>
      </c>
      <c r="E83" s="2">
        <v>650000.0</v>
      </c>
    </row>
    <row r="84">
      <c r="A84" s="2" t="s">
        <v>3486</v>
      </c>
      <c r="B84" s="2" t="s">
        <v>3487</v>
      </c>
      <c r="C84" s="2" t="s">
        <v>654</v>
      </c>
      <c r="D84" s="2" t="s">
        <v>655</v>
      </c>
      <c r="E84" s="2">
        <v>60000.0</v>
      </c>
    </row>
    <row r="85">
      <c r="A85" s="2" t="s">
        <v>3493</v>
      </c>
      <c r="B85" s="2" t="s">
        <v>3494</v>
      </c>
      <c r="C85" s="2" t="s">
        <v>654</v>
      </c>
      <c r="D85" s="2" t="s">
        <v>655</v>
      </c>
      <c r="E85" s="2">
        <v>215000.0</v>
      </c>
    </row>
    <row r="86">
      <c r="A86" s="2" t="s">
        <v>3486</v>
      </c>
      <c r="B86" s="2" t="s">
        <v>3487</v>
      </c>
      <c r="C86" s="2" t="s">
        <v>679</v>
      </c>
      <c r="D86" s="2" t="s">
        <v>680</v>
      </c>
      <c r="E86" s="2">
        <v>65000.0</v>
      </c>
    </row>
    <row r="87">
      <c r="A87" s="2" t="s">
        <v>3493</v>
      </c>
      <c r="B87" s="2" t="s">
        <v>3494</v>
      </c>
      <c r="C87" s="2" t="s">
        <v>685</v>
      </c>
      <c r="D87" s="2" t="s">
        <v>686</v>
      </c>
      <c r="E87" s="2">
        <v>189189.19</v>
      </c>
    </row>
    <row r="88">
      <c r="A88" s="2" t="s">
        <v>3486</v>
      </c>
      <c r="B88" s="2" t="s">
        <v>3487</v>
      </c>
      <c r="C88" s="2" t="s">
        <v>786</v>
      </c>
      <c r="D88" s="2" t="s">
        <v>787</v>
      </c>
      <c r="E88" s="2">
        <v>60000.0</v>
      </c>
    </row>
    <row r="89">
      <c r="A89" s="2" t="s">
        <v>3516</v>
      </c>
      <c r="B89" s="2" t="s">
        <v>3517</v>
      </c>
      <c r="C89" s="2" t="s">
        <v>786</v>
      </c>
      <c r="D89" s="2" t="s">
        <v>787</v>
      </c>
      <c r="E89" s="2">
        <v>180000.0</v>
      </c>
    </row>
    <row r="90">
      <c r="A90" s="2" t="s">
        <v>4203</v>
      </c>
      <c r="B90" s="2" t="s">
        <v>4204</v>
      </c>
      <c r="C90" s="2" t="s">
        <v>799</v>
      </c>
      <c r="D90" s="2" t="s">
        <v>800</v>
      </c>
      <c r="E90" s="2">
        <v>60000.0</v>
      </c>
    </row>
    <row r="91">
      <c r="A91" s="2" t="s">
        <v>3493</v>
      </c>
      <c r="B91" s="2" t="s">
        <v>3494</v>
      </c>
      <c r="C91" s="2" t="s">
        <v>799</v>
      </c>
      <c r="D91" s="2" t="s">
        <v>800</v>
      </c>
      <c r="E91" s="2">
        <v>200000.0</v>
      </c>
    </row>
    <row r="92">
      <c r="A92" s="2" t="s">
        <v>3506</v>
      </c>
      <c r="B92" s="2" t="s">
        <v>3507</v>
      </c>
      <c r="C92" s="2" t="s">
        <v>812</v>
      </c>
      <c r="D92" s="2" t="s">
        <v>813</v>
      </c>
      <c r="E92" s="2">
        <v>50000.0</v>
      </c>
    </row>
    <row r="93">
      <c r="A93" s="2" t="s">
        <v>3486</v>
      </c>
      <c r="B93" s="2" t="s">
        <v>3487</v>
      </c>
      <c r="C93" s="2" t="s">
        <v>1014</v>
      </c>
      <c r="D93" s="2" t="s">
        <v>1015</v>
      </c>
      <c r="E93" s="2">
        <v>70000.0</v>
      </c>
    </row>
    <row r="94">
      <c r="A94" s="2" t="s">
        <v>4203</v>
      </c>
      <c r="B94" s="2" t="s">
        <v>4204</v>
      </c>
      <c r="C94" s="2" t="s">
        <v>1014</v>
      </c>
      <c r="D94" s="2" t="s">
        <v>1015</v>
      </c>
      <c r="E94" s="2">
        <v>70000.0</v>
      </c>
    </row>
    <row r="95">
      <c r="A95" s="2" t="s">
        <v>3486</v>
      </c>
      <c r="B95" s="2" t="s">
        <v>3487</v>
      </c>
      <c r="C95" s="2" t="s">
        <v>885</v>
      </c>
      <c r="D95" s="2" t="s">
        <v>886</v>
      </c>
      <c r="E95" s="2">
        <v>55000.0</v>
      </c>
    </row>
    <row r="96">
      <c r="A96" s="2" t="s">
        <v>4203</v>
      </c>
      <c r="B96" s="2" t="s">
        <v>4204</v>
      </c>
      <c r="C96" s="2" t="s">
        <v>885</v>
      </c>
      <c r="D96" s="2" t="s">
        <v>886</v>
      </c>
      <c r="E96" s="2">
        <v>60000.0</v>
      </c>
    </row>
    <row r="97">
      <c r="A97" s="2" t="s">
        <v>3522</v>
      </c>
      <c r="B97" s="2" t="s">
        <v>3523</v>
      </c>
      <c r="C97" s="2" t="s">
        <v>885</v>
      </c>
      <c r="D97" s="2" t="s">
        <v>886</v>
      </c>
      <c r="E97" s="2">
        <v>210000.0</v>
      </c>
    </row>
    <row r="98">
      <c r="A98" s="2" t="s">
        <v>3486</v>
      </c>
      <c r="B98" s="2" t="s">
        <v>3487</v>
      </c>
      <c r="C98" s="2" t="s">
        <v>309</v>
      </c>
      <c r="D98" s="2" t="s">
        <v>310</v>
      </c>
      <c r="E98" s="2">
        <v>55000.0</v>
      </c>
    </row>
    <row r="99">
      <c r="A99" s="2" t="s">
        <v>3516</v>
      </c>
      <c r="B99" s="2" t="s">
        <v>3517</v>
      </c>
      <c r="C99" s="2" t="s">
        <v>309</v>
      </c>
      <c r="D99" s="2" t="s">
        <v>310</v>
      </c>
      <c r="E99" s="2">
        <v>170000.0</v>
      </c>
    </row>
    <row r="100">
      <c r="A100" s="2" t="s">
        <v>3506</v>
      </c>
      <c r="B100" s="2" t="s">
        <v>3507</v>
      </c>
      <c r="C100" s="2" t="s">
        <v>309</v>
      </c>
      <c r="D100" s="2" t="s">
        <v>310</v>
      </c>
      <c r="E100" s="2">
        <v>55000.0</v>
      </c>
    </row>
    <row r="101">
      <c r="A101" s="2" t="s">
        <v>4045</v>
      </c>
      <c r="B101" s="2" t="s">
        <v>4046</v>
      </c>
      <c r="C101" s="2" t="s">
        <v>309</v>
      </c>
      <c r="D101" s="2" t="s">
        <v>310</v>
      </c>
      <c r="E101" s="2">
        <v>160000.0</v>
      </c>
    </row>
    <row r="102">
      <c r="A102" s="2" t="s">
        <v>4203</v>
      </c>
      <c r="B102" s="2" t="s">
        <v>4204</v>
      </c>
      <c r="C102" s="2" t="s">
        <v>904</v>
      </c>
      <c r="D102" s="2" t="s">
        <v>905</v>
      </c>
      <c r="E102" s="2">
        <v>70000.0</v>
      </c>
    </row>
    <row r="103">
      <c r="A103" s="2" t="s">
        <v>3522</v>
      </c>
      <c r="B103" s="2" t="s">
        <v>3523</v>
      </c>
      <c r="C103" s="2" t="s">
        <v>934</v>
      </c>
      <c r="D103" s="2" t="s">
        <v>935</v>
      </c>
      <c r="E103" s="2">
        <v>200000.0</v>
      </c>
    </row>
    <row r="104">
      <c r="A104" s="2" t="s">
        <v>3486</v>
      </c>
      <c r="B104" s="2" t="s">
        <v>3487</v>
      </c>
      <c r="C104" s="2" t="s">
        <v>943</v>
      </c>
      <c r="D104" s="2" t="s">
        <v>944</v>
      </c>
      <c r="E104" s="2">
        <v>50000.0</v>
      </c>
    </row>
    <row r="105">
      <c r="A105" s="2" t="s">
        <v>4203</v>
      </c>
      <c r="B105" s="2" t="s">
        <v>4204</v>
      </c>
      <c r="C105" s="2" t="s">
        <v>943</v>
      </c>
      <c r="D105" s="2" t="s">
        <v>944</v>
      </c>
      <c r="E105" s="2">
        <v>55000.0</v>
      </c>
    </row>
    <row r="106">
      <c r="A106" s="2" t="s">
        <v>3522</v>
      </c>
      <c r="B106" s="2" t="s">
        <v>3523</v>
      </c>
      <c r="C106" s="2" t="s">
        <v>943</v>
      </c>
      <c r="D106" s="2" t="s">
        <v>944</v>
      </c>
      <c r="E106" s="2">
        <v>210000.0</v>
      </c>
    </row>
    <row r="107">
      <c r="A107" s="2" t="s">
        <v>3516</v>
      </c>
      <c r="B107" s="2" t="s">
        <v>3517</v>
      </c>
      <c r="C107" s="2" t="s">
        <v>943</v>
      </c>
      <c r="D107" s="2" t="s">
        <v>944</v>
      </c>
      <c r="E107" s="2">
        <v>185000.0</v>
      </c>
    </row>
    <row r="108">
      <c r="A108" s="2" t="s">
        <v>3486</v>
      </c>
      <c r="B108" s="2" t="s">
        <v>3487</v>
      </c>
      <c r="C108" s="2" t="s">
        <v>951</v>
      </c>
      <c r="D108" s="2" t="s">
        <v>952</v>
      </c>
      <c r="E108" s="2">
        <v>55000.0</v>
      </c>
    </row>
    <row r="109">
      <c r="A109" s="2" t="s">
        <v>3516</v>
      </c>
      <c r="B109" s="2" t="s">
        <v>3517</v>
      </c>
      <c r="C109" s="2" t="s">
        <v>951</v>
      </c>
      <c r="D109" s="2" t="s">
        <v>952</v>
      </c>
      <c r="E109" s="2">
        <v>175000.0</v>
      </c>
    </row>
    <row r="110">
      <c r="A110" s="2" t="s">
        <v>3486</v>
      </c>
      <c r="B110" s="2" t="s">
        <v>3487</v>
      </c>
      <c r="C110" s="2" t="s">
        <v>957</v>
      </c>
      <c r="D110" s="2" t="s">
        <v>958</v>
      </c>
      <c r="E110" s="2">
        <v>50000.0</v>
      </c>
    </row>
    <row r="111">
      <c r="A111" s="2" t="s">
        <v>4203</v>
      </c>
      <c r="B111" s="2" t="s">
        <v>4204</v>
      </c>
      <c r="C111" s="2" t="s">
        <v>957</v>
      </c>
      <c r="D111" s="2" t="s">
        <v>958</v>
      </c>
      <c r="E111" s="2">
        <v>50000.0</v>
      </c>
    </row>
    <row r="112">
      <c r="A112" s="2" t="s">
        <v>3486</v>
      </c>
      <c r="B112" s="2" t="s">
        <v>3487</v>
      </c>
      <c r="C112" s="2" t="s">
        <v>1018</v>
      </c>
      <c r="D112" s="2" t="s">
        <v>1019</v>
      </c>
      <c r="E112" s="2">
        <v>60000.0</v>
      </c>
    </row>
    <row r="113">
      <c r="A113" s="2" t="s">
        <v>3522</v>
      </c>
      <c r="B113" s="2" t="s">
        <v>3523</v>
      </c>
      <c r="C113" s="2" t="s">
        <v>1018</v>
      </c>
      <c r="D113" s="2" t="s">
        <v>1019</v>
      </c>
      <c r="E113" s="2">
        <v>260000.0</v>
      </c>
    </row>
    <row r="114">
      <c r="A114" s="2" t="s">
        <v>3486</v>
      </c>
      <c r="B114" s="2" t="s">
        <v>3487</v>
      </c>
      <c r="C114" s="2" t="s">
        <v>1084</v>
      </c>
      <c r="D114" s="2" t="s">
        <v>1085</v>
      </c>
      <c r="E114" s="2">
        <v>60000.0</v>
      </c>
    </row>
    <row r="115">
      <c r="A115" s="2" t="s">
        <v>4203</v>
      </c>
      <c r="B115" s="2" t="s">
        <v>4204</v>
      </c>
      <c r="C115" s="2" t="s">
        <v>1084</v>
      </c>
      <c r="D115" s="2" t="s">
        <v>1085</v>
      </c>
      <c r="E115" s="2">
        <v>70000.0</v>
      </c>
    </row>
    <row r="116">
      <c r="A116" s="2" t="s">
        <v>3516</v>
      </c>
      <c r="B116" s="2" t="s">
        <v>3517</v>
      </c>
      <c r="C116" s="2" t="s">
        <v>1084</v>
      </c>
      <c r="D116" s="2" t="s">
        <v>1085</v>
      </c>
      <c r="E116" s="2">
        <v>210000.0</v>
      </c>
    </row>
    <row r="117">
      <c r="A117" s="2" t="s">
        <v>3486</v>
      </c>
      <c r="B117" s="2" t="s">
        <v>3487</v>
      </c>
      <c r="C117" s="2" t="s">
        <v>1183</v>
      </c>
      <c r="D117" s="2" t="s">
        <v>1184</v>
      </c>
      <c r="E117" s="2">
        <v>70000.0</v>
      </c>
    </row>
    <row r="118">
      <c r="A118" s="2" t="s">
        <v>3547</v>
      </c>
      <c r="B118" s="2" t="s">
        <v>3548</v>
      </c>
      <c r="C118" s="2" t="s">
        <v>1203</v>
      </c>
      <c r="D118" s="2" t="s">
        <v>1204</v>
      </c>
      <c r="E118" s="2">
        <v>925000.0</v>
      </c>
    </row>
    <row r="119">
      <c r="A119" s="2" t="s">
        <v>3486</v>
      </c>
      <c r="B119" s="2" t="s">
        <v>3487</v>
      </c>
      <c r="C119" s="2" t="s">
        <v>1228</v>
      </c>
      <c r="D119" s="2" t="s">
        <v>1229</v>
      </c>
      <c r="E119" s="2">
        <v>55000.0</v>
      </c>
    </row>
    <row r="120">
      <c r="A120" s="2" t="s">
        <v>3493</v>
      </c>
      <c r="B120" s="2" t="s">
        <v>3494</v>
      </c>
      <c r="C120" s="2" t="s">
        <v>1228</v>
      </c>
      <c r="D120" s="2" t="s">
        <v>1229</v>
      </c>
      <c r="E120" s="2">
        <v>210000.0</v>
      </c>
    </row>
    <row r="121">
      <c r="A121" s="2" t="s">
        <v>3547</v>
      </c>
      <c r="B121" s="2" t="s">
        <v>3548</v>
      </c>
      <c r="C121" s="2" t="s">
        <v>1228</v>
      </c>
      <c r="D121" s="2" t="s">
        <v>1229</v>
      </c>
      <c r="E121" s="2">
        <v>1100000.0</v>
      </c>
    </row>
    <row r="122">
      <c r="A122" s="2" t="s">
        <v>3506</v>
      </c>
      <c r="B122" s="2" t="s">
        <v>3507</v>
      </c>
      <c r="C122" s="2" t="s">
        <v>1228</v>
      </c>
      <c r="D122" s="2" t="s">
        <v>1229</v>
      </c>
      <c r="E122" s="2">
        <v>45000.0</v>
      </c>
    </row>
    <row r="123">
      <c r="A123" s="2" t="s">
        <v>3486</v>
      </c>
      <c r="B123" s="2" t="s">
        <v>3487</v>
      </c>
      <c r="C123" s="5" t="s">
        <v>1237</v>
      </c>
      <c r="D123" s="2" t="s">
        <v>1238</v>
      </c>
      <c r="E123" s="2">
        <v>58558.56</v>
      </c>
    </row>
    <row r="124">
      <c r="A124" s="2" t="s">
        <v>4203</v>
      </c>
      <c r="B124" s="2" t="s">
        <v>4204</v>
      </c>
      <c r="C124" s="5" t="s">
        <v>1237</v>
      </c>
      <c r="D124" s="2" t="s">
        <v>1238</v>
      </c>
      <c r="E124" s="2">
        <v>58558.56</v>
      </c>
    </row>
    <row r="125">
      <c r="A125" s="2" t="s">
        <v>3516</v>
      </c>
      <c r="B125" s="2" t="s">
        <v>3517</v>
      </c>
      <c r="C125" s="5" t="s">
        <v>1237</v>
      </c>
      <c r="D125" s="2" t="s">
        <v>1238</v>
      </c>
      <c r="E125" s="2">
        <v>189189.19</v>
      </c>
    </row>
    <row r="126">
      <c r="A126" s="2" t="s">
        <v>4203</v>
      </c>
      <c r="B126" s="2" t="s">
        <v>4204</v>
      </c>
      <c r="C126" s="2" t="s">
        <v>464</v>
      </c>
      <c r="D126" s="2" t="s">
        <v>465</v>
      </c>
      <c r="E126" s="2">
        <v>55000.0</v>
      </c>
    </row>
    <row r="127">
      <c r="A127" s="2" t="s">
        <v>3493</v>
      </c>
      <c r="B127" s="2" t="s">
        <v>3494</v>
      </c>
      <c r="C127" s="2" t="s">
        <v>309</v>
      </c>
      <c r="D127" s="2" t="s">
        <v>310</v>
      </c>
      <c r="E127" s="2">
        <v>210000.0</v>
      </c>
    </row>
    <row r="128">
      <c r="A128" s="2" t="s">
        <v>3585</v>
      </c>
      <c r="B128" s="2" t="s">
        <v>3586</v>
      </c>
      <c r="C128" s="2" t="s">
        <v>1311</v>
      </c>
      <c r="D128" s="2" t="s">
        <v>1010</v>
      </c>
      <c r="E128" s="2">
        <v>430000.0</v>
      </c>
    </row>
    <row r="129">
      <c r="A129" s="2" t="s">
        <v>3486</v>
      </c>
      <c r="B129" s="2" t="s">
        <v>3487</v>
      </c>
      <c r="C129" s="2" t="s">
        <v>1311</v>
      </c>
      <c r="D129" s="2" t="s">
        <v>1010</v>
      </c>
      <c r="E129" s="2">
        <v>80000.0</v>
      </c>
    </row>
    <row r="130">
      <c r="A130" s="2" t="s">
        <v>4622</v>
      </c>
      <c r="B130" s="2" t="s">
        <v>4623</v>
      </c>
      <c r="C130" s="2" t="s">
        <v>1311</v>
      </c>
      <c r="D130" s="2" t="s">
        <v>1010</v>
      </c>
      <c r="E130" s="2">
        <v>400000.0</v>
      </c>
    </row>
    <row r="131">
      <c r="A131" s="2" t="s">
        <v>3506</v>
      </c>
      <c r="B131" s="2" t="s">
        <v>3507</v>
      </c>
      <c r="C131" s="2" t="s">
        <v>690</v>
      </c>
      <c r="D131" s="2" t="s">
        <v>6752</v>
      </c>
      <c r="E131" s="2">
        <v>80000.0</v>
      </c>
    </row>
    <row r="132">
      <c r="A132" s="2" t="s">
        <v>3486</v>
      </c>
      <c r="B132" s="2" t="s">
        <v>3487</v>
      </c>
      <c r="C132" s="2" t="s">
        <v>690</v>
      </c>
      <c r="D132" s="2" t="s">
        <v>6752</v>
      </c>
      <c r="E132" s="2">
        <v>80000.0</v>
      </c>
    </row>
    <row r="133">
      <c r="A133" s="2"/>
      <c r="B133" s="2"/>
      <c r="C133" s="2"/>
      <c r="D133" s="2"/>
      <c r="E133" s="2"/>
    </row>
    <row r="134">
      <c r="A134" s="2" t="s">
        <v>3516</v>
      </c>
      <c r="B134" s="2" t="s">
        <v>3517</v>
      </c>
      <c r="C134" s="2" t="s">
        <v>320</v>
      </c>
      <c r="D134" s="2" t="s">
        <v>321</v>
      </c>
      <c r="E134" s="2">
        <v>190000.0</v>
      </c>
    </row>
    <row r="135">
      <c r="A135" s="2" t="s">
        <v>3486</v>
      </c>
      <c r="B135" s="2" t="s">
        <v>3487</v>
      </c>
      <c r="C135" s="2" t="s">
        <v>1371</v>
      </c>
      <c r="D135" s="2" t="s">
        <v>1372</v>
      </c>
      <c r="E135" s="2">
        <v>60000.0</v>
      </c>
    </row>
    <row r="136">
      <c r="A136" s="2" t="s">
        <v>3486</v>
      </c>
      <c r="B136" s="2" t="s">
        <v>3487</v>
      </c>
      <c r="C136" s="2" t="s">
        <v>904</v>
      </c>
      <c r="D136" s="2" t="s">
        <v>905</v>
      </c>
      <c r="E136" s="2">
        <v>70000.0</v>
      </c>
    </row>
    <row r="137">
      <c r="A137" s="2" t="s">
        <v>3486</v>
      </c>
      <c r="B137" s="2" t="s">
        <v>3487</v>
      </c>
      <c r="C137" s="10" t="s">
        <v>1399</v>
      </c>
      <c r="D137" s="2" t="s">
        <v>1400</v>
      </c>
      <c r="E137" s="2">
        <v>55000.0</v>
      </c>
    </row>
    <row r="138">
      <c r="A138" s="2" t="s">
        <v>4729</v>
      </c>
      <c r="B138" s="2" t="s">
        <v>4730</v>
      </c>
      <c r="C138" s="2" t="s">
        <v>169</v>
      </c>
      <c r="D138" s="2" t="s">
        <v>170</v>
      </c>
      <c r="E138" s="2">
        <v>100000.0</v>
      </c>
    </row>
    <row r="139">
      <c r="A139" s="2" t="s">
        <v>3493</v>
      </c>
      <c r="B139" s="2" t="s">
        <v>3494</v>
      </c>
      <c r="C139" s="2" t="s">
        <v>904</v>
      </c>
      <c r="D139" s="2" t="s">
        <v>905</v>
      </c>
      <c r="E139" s="2">
        <v>200000.0</v>
      </c>
    </row>
    <row r="140">
      <c r="A140" s="2" t="s">
        <v>3585</v>
      </c>
      <c r="B140" s="2" t="s">
        <v>3586</v>
      </c>
      <c r="C140" s="2" t="s">
        <v>45</v>
      </c>
      <c r="D140" s="2" t="s">
        <v>46</v>
      </c>
      <c r="E140" s="2">
        <v>400000.0</v>
      </c>
    </row>
    <row r="141">
      <c r="A141" s="2" t="s">
        <v>3835</v>
      </c>
      <c r="B141" s="2" t="s">
        <v>3836</v>
      </c>
      <c r="C141" s="2" t="s">
        <v>353</v>
      </c>
      <c r="D141" s="2" t="s">
        <v>1500</v>
      </c>
      <c r="E141" s="2">
        <v>50000.0</v>
      </c>
    </row>
    <row r="142">
      <c r="A142" s="2" t="s">
        <v>3910</v>
      </c>
      <c r="B142" s="2" t="s">
        <v>3911</v>
      </c>
      <c r="C142" s="2" t="s">
        <v>353</v>
      </c>
      <c r="D142" s="2" t="s">
        <v>1500</v>
      </c>
      <c r="E142" s="2">
        <v>50000.0</v>
      </c>
    </row>
    <row r="143">
      <c r="A143" s="2" t="s">
        <v>3486</v>
      </c>
      <c r="B143" s="2" t="s">
        <v>3487</v>
      </c>
      <c r="C143" s="2" t="s">
        <v>353</v>
      </c>
      <c r="D143" s="2" t="s">
        <v>1500</v>
      </c>
      <c r="E143" s="2">
        <v>80000.0</v>
      </c>
    </row>
    <row r="144">
      <c r="A144" s="2" t="s">
        <v>4203</v>
      </c>
      <c r="B144" s="2" t="s">
        <v>4204</v>
      </c>
      <c r="C144" s="2" t="s">
        <v>1519</v>
      </c>
      <c r="D144" s="2" t="s">
        <v>1520</v>
      </c>
      <c r="E144" s="2">
        <v>65000.0</v>
      </c>
    </row>
    <row r="145">
      <c r="A145" s="2" t="s">
        <v>3506</v>
      </c>
      <c r="B145" s="2" t="s">
        <v>3507</v>
      </c>
      <c r="C145" s="2" t="s">
        <v>1519</v>
      </c>
      <c r="D145" s="2" t="s">
        <v>1520</v>
      </c>
      <c r="E145" s="2">
        <v>60000.0</v>
      </c>
    </row>
    <row r="146">
      <c r="A146" s="2" t="s">
        <v>3835</v>
      </c>
      <c r="B146" s="2" t="s">
        <v>3836</v>
      </c>
      <c r="C146" s="2" t="s">
        <v>1523</v>
      </c>
      <c r="D146" s="2" t="s">
        <v>1524</v>
      </c>
      <c r="E146" s="2">
        <v>60000.0</v>
      </c>
    </row>
    <row r="147">
      <c r="A147" s="2" t="s">
        <v>4203</v>
      </c>
      <c r="B147" s="2" t="s">
        <v>4204</v>
      </c>
      <c r="C147" s="2" t="s">
        <v>1311</v>
      </c>
      <c r="D147" s="2" t="s">
        <v>1010</v>
      </c>
      <c r="E147" s="2">
        <v>80000.0</v>
      </c>
    </row>
    <row r="148">
      <c r="A148" s="2" t="s">
        <v>4203</v>
      </c>
      <c r="B148" s="2" t="s">
        <v>4204</v>
      </c>
      <c r="C148" s="2" t="s">
        <v>1564</v>
      </c>
      <c r="D148" s="2" t="s">
        <v>1565</v>
      </c>
      <c r="E148" s="2">
        <v>80000.0</v>
      </c>
    </row>
    <row r="149">
      <c r="A149" s="2" t="s">
        <v>3493</v>
      </c>
      <c r="B149" s="2" t="s">
        <v>3494</v>
      </c>
      <c r="C149" s="2" t="s">
        <v>1564</v>
      </c>
      <c r="D149" s="2" t="s">
        <v>1565</v>
      </c>
      <c r="E149" s="2">
        <v>210000.0</v>
      </c>
    </row>
    <row r="150">
      <c r="A150" s="2" t="s">
        <v>3835</v>
      </c>
      <c r="B150" s="2" t="s">
        <v>3836</v>
      </c>
      <c r="C150" s="2" t="s">
        <v>1573</v>
      </c>
      <c r="D150" s="2" t="s">
        <v>2442</v>
      </c>
      <c r="E150" s="2">
        <v>50000.0</v>
      </c>
    </row>
    <row r="151">
      <c r="A151" s="2" t="s">
        <v>4203</v>
      </c>
      <c r="B151" s="2" t="s">
        <v>4204</v>
      </c>
      <c r="C151" s="2" t="s">
        <v>20</v>
      </c>
      <c r="D151" s="2" t="s">
        <v>21</v>
      </c>
      <c r="E151" s="2">
        <v>60000.0</v>
      </c>
    </row>
    <row r="152">
      <c r="A152" s="2" t="s">
        <v>3522</v>
      </c>
      <c r="B152" s="2" t="s">
        <v>3523</v>
      </c>
      <c r="C152" s="2" t="s">
        <v>6760</v>
      </c>
      <c r="D152" s="2" t="s">
        <v>6761</v>
      </c>
      <c r="E152" s="2">
        <v>220000.0</v>
      </c>
    </row>
    <row r="153">
      <c r="A153" s="2" t="s">
        <v>3486</v>
      </c>
      <c r="B153" s="2" t="s">
        <v>3487</v>
      </c>
      <c r="C153" s="2" t="s">
        <v>1592</v>
      </c>
      <c r="D153" s="2" t="s">
        <v>1593</v>
      </c>
      <c r="E153" s="2">
        <v>70000.0</v>
      </c>
    </row>
    <row r="154">
      <c r="A154" s="2" t="s">
        <v>5890</v>
      </c>
      <c r="B154" s="2" t="s">
        <v>5891</v>
      </c>
      <c r="C154" s="2" t="s">
        <v>6762</v>
      </c>
      <c r="D154" s="2" t="s">
        <v>6763</v>
      </c>
      <c r="E154" s="2">
        <v>500000.0</v>
      </c>
    </row>
    <row r="155">
      <c r="A155" s="2" t="s">
        <v>3506</v>
      </c>
      <c r="B155" s="2" t="s">
        <v>3507</v>
      </c>
      <c r="C155" s="2" t="s">
        <v>1606</v>
      </c>
      <c r="D155" s="2" t="s">
        <v>1607</v>
      </c>
      <c r="E155" s="2">
        <v>70000.0</v>
      </c>
    </row>
    <row r="156">
      <c r="A156" s="2" t="s">
        <v>4203</v>
      </c>
      <c r="B156" s="2" t="s">
        <v>4204</v>
      </c>
      <c r="C156" s="2" t="s">
        <v>1613</v>
      </c>
      <c r="D156" s="2" t="s">
        <v>1614</v>
      </c>
      <c r="E156" s="2">
        <v>65000.0</v>
      </c>
    </row>
    <row r="157">
      <c r="A157" s="2" t="s">
        <v>4203</v>
      </c>
      <c r="B157" s="2" t="s">
        <v>4204</v>
      </c>
      <c r="C157" s="2" t="s">
        <v>1606</v>
      </c>
      <c r="D157" s="2" t="s">
        <v>1629</v>
      </c>
      <c r="E157" s="2">
        <v>70000.0</v>
      </c>
    </row>
    <row r="158">
      <c r="A158" s="2" t="s">
        <v>3516</v>
      </c>
      <c r="B158" s="2" t="s">
        <v>3517</v>
      </c>
      <c r="C158" s="2" t="s">
        <v>1618</v>
      </c>
      <c r="D158" s="2" t="s">
        <v>1619</v>
      </c>
      <c r="E158" s="2">
        <v>190000.0</v>
      </c>
    </row>
    <row r="159">
      <c r="A159" s="2" t="s">
        <v>4729</v>
      </c>
      <c r="B159" s="2" t="s">
        <v>4730</v>
      </c>
      <c r="C159" s="2" t="s">
        <v>20</v>
      </c>
      <c r="D159" s="2" t="s">
        <v>21</v>
      </c>
      <c r="E159" s="2">
        <v>50000.0</v>
      </c>
    </row>
    <row r="160">
      <c r="A160" s="2" t="s">
        <v>4913</v>
      </c>
      <c r="B160" s="2" t="s">
        <v>4914</v>
      </c>
      <c r="C160" s="2" t="s">
        <v>1519</v>
      </c>
      <c r="D160" s="2" t="s">
        <v>1520</v>
      </c>
      <c r="E160" s="2">
        <v>350000.0</v>
      </c>
    </row>
    <row r="161">
      <c r="A161" s="2" t="s">
        <v>4203</v>
      </c>
      <c r="B161" s="2" t="s">
        <v>4204</v>
      </c>
      <c r="C161" s="2" t="s">
        <v>213</v>
      </c>
      <c r="D161" s="2" t="s">
        <v>214</v>
      </c>
      <c r="E161" s="2">
        <v>60000.0</v>
      </c>
    </row>
    <row r="162">
      <c r="A162" s="2" t="s">
        <v>3516</v>
      </c>
      <c r="B162" s="2" t="s">
        <v>3517</v>
      </c>
      <c r="C162" s="2" t="s">
        <v>1203</v>
      </c>
      <c r="D162" s="2" t="s">
        <v>1204</v>
      </c>
      <c r="E162" s="2">
        <v>180000.0</v>
      </c>
    </row>
    <row r="163">
      <c r="A163" s="2" t="s">
        <v>4203</v>
      </c>
      <c r="B163" s="2" t="s">
        <v>4204</v>
      </c>
      <c r="C163" s="2" t="s">
        <v>1705</v>
      </c>
      <c r="D163" s="2" t="s">
        <v>1706</v>
      </c>
      <c r="E163" s="2">
        <v>65000.0</v>
      </c>
    </row>
    <row r="164">
      <c r="A164" s="2" t="s">
        <v>4203</v>
      </c>
      <c r="B164" s="2" t="s">
        <v>4204</v>
      </c>
      <c r="C164" s="2" t="s">
        <v>1756</v>
      </c>
      <c r="D164" s="2" t="s">
        <v>1757</v>
      </c>
      <c r="E164" s="2">
        <v>65000.0</v>
      </c>
    </row>
    <row r="165">
      <c r="A165" s="2" t="s">
        <v>3493</v>
      </c>
      <c r="B165" s="2" t="s">
        <v>3494</v>
      </c>
      <c r="C165" s="2" t="s">
        <v>1476</v>
      </c>
      <c r="D165" s="2" t="s">
        <v>1477</v>
      </c>
      <c r="E165" s="2">
        <v>215000.0</v>
      </c>
    </row>
    <row r="166">
      <c r="A166" s="2" t="s">
        <v>4203</v>
      </c>
      <c r="B166" s="2" t="s">
        <v>4204</v>
      </c>
      <c r="C166" s="2" t="s">
        <v>131</v>
      </c>
      <c r="D166" s="2" t="s">
        <v>132</v>
      </c>
      <c r="E166" s="2">
        <v>60000.0</v>
      </c>
    </row>
    <row r="167">
      <c r="A167" s="2" t="s">
        <v>4203</v>
      </c>
      <c r="B167" s="2" t="s">
        <v>4204</v>
      </c>
      <c r="C167" s="2" t="s">
        <v>109</v>
      </c>
      <c r="D167" s="2" t="s">
        <v>110</v>
      </c>
      <c r="E167" s="2">
        <v>65000.0</v>
      </c>
    </row>
    <row r="168">
      <c r="A168" s="2" t="s">
        <v>4203</v>
      </c>
      <c r="B168" s="2" t="s">
        <v>4204</v>
      </c>
      <c r="C168" s="2" t="s">
        <v>786</v>
      </c>
      <c r="D168" s="2" t="s">
        <v>787</v>
      </c>
      <c r="E168" s="2">
        <v>60000.0</v>
      </c>
    </row>
    <row r="169">
      <c r="A169" s="2" t="s">
        <v>4203</v>
      </c>
      <c r="B169" s="2" t="s">
        <v>4204</v>
      </c>
      <c r="C169" s="2" t="s">
        <v>1745</v>
      </c>
      <c r="D169" s="2" t="s">
        <v>5019</v>
      </c>
      <c r="E169" s="2">
        <v>65000.0</v>
      </c>
    </row>
    <row r="170">
      <c r="A170" s="2" t="s">
        <v>3493</v>
      </c>
      <c r="B170" s="2" t="s">
        <v>3494</v>
      </c>
      <c r="C170" s="2" t="s">
        <v>1745</v>
      </c>
      <c r="D170" s="2" t="s">
        <v>5019</v>
      </c>
      <c r="E170" s="2">
        <v>215000.0</v>
      </c>
    </row>
    <row r="171">
      <c r="A171" s="2" t="s">
        <v>3493</v>
      </c>
      <c r="B171" s="2" t="s">
        <v>3494</v>
      </c>
      <c r="C171" s="2" t="s">
        <v>1756</v>
      </c>
      <c r="D171" s="2" t="s">
        <v>1757</v>
      </c>
      <c r="E171" s="2">
        <v>215000.0</v>
      </c>
    </row>
    <row r="172">
      <c r="A172" s="2" t="s">
        <v>4203</v>
      </c>
      <c r="B172" s="2" t="s">
        <v>4204</v>
      </c>
      <c r="C172" s="2" t="s">
        <v>45</v>
      </c>
      <c r="D172" s="2" t="s">
        <v>46</v>
      </c>
      <c r="E172" s="2">
        <v>60000.0</v>
      </c>
    </row>
    <row r="173">
      <c r="A173" s="2" t="s">
        <v>3910</v>
      </c>
      <c r="B173" s="2" t="s">
        <v>3911</v>
      </c>
      <c r="C173" s="2" t="s">
        <v>1763</v>
      </c>
      <c r="D173" s="2" t="s">
        <v>5034</v>
      </c>
      <c r="E173" s="2">
        <v>50000.0</v>
      </c>
    </row>
    <row r="174">
      <c r="A174" s="2" t="s">
        <v>3835</v>
      </c>
      <c r="B174" s="2" t="s">
        <v>3836</v>
      </c>
      <c r="C174" s="2" t="s">
        <v>1763</v>
      </c>
      <c r="D174" s="2" t="s">
        <v>5034</v>
      </c>
      <c r="E174" s="2">
        <v>50000.0</v>
      </c>
    </row>
    <row r="175">
      <c r="A175" s="2" t="s">
        <v>4203</v>
      </c>
      <c r="B175" s="2" t="s">
        <v>4204</v>
      </c>
      <c r="C175" s="2" t="s">
        <v>1776</v>
      </c>
      <c r="D175" s="2" t="s">
        <v>1777</v>
      </c>
      <c r="E175" s="2">
        <v>80000.0</v>
      </c>
    </row>
    <row r="176">
      <c r="A176" s="2" t="s">
        <v>4203</v>
      </c>
      <c r="B176" s="2" t="s">
        <v>4204</v>
      </c>
      <c r="C176" s="2" t="s">
        <v>1183</v>
      </c>
      <c r="D176" s="2" t="s">
        <v>1184</v>
      </c>
      <c r="E176" s="2">
        <v>70000.0</v>
      </c>
    </row>
    <row r="177">
      <c r="A177" s="2" t="s">
        <v>4203</v>
      </c>
      <c r="B177" s="2" t="s">
        <v>4204</v>
      </c>
      <c r="C177" s="2" t="s">
        <v>326</v>
      </c>
      <c r="D177" s="2" t="s">
        <v>327</v>
      </c>
      <c r="E177" s="2">
        <v>50000.0</v>
      </c>
    </row>
    <row r="178">
      <c r="A178" s="2" t="s">
        <v>4203</v>
      </c>
      <c r="B178" s="2" t="s">
        <v>4204</v>
      </c>
      <c r="C178" s="2" t="s">
        <v>1810</v>
      </c>
      <c r="D178" s="2" t="s">
        <v>1811</v>
      </c>
      <c r="E178" s="2">
        <v>80000.0</v>
      </c>
    </row>
    <row r="179">
      <c r="A179" s="2" t="s">
        <v>3506</v>
      </c>
      <c r="B179" s="2" t="s">
        <v>3507</v>
      </c>
      <c r="C179" s="2" t="s">
        <v>1810</v>
      </c>
      <c r="D179" s="2" t="s">
        <v>1811</v>
      </c>
      <c r="E179" s="2">
        <v>90000.0</v>
      </c>
    </row>
    <row r="180">
      <c r="A180" s="2" t="s">
        <v>3486</v>
      </c>
      <c r="B180" s="2" t="s">
        <v>3487</v>
      </c>
      <c r="C180" s="2" t="s">
        <v>1830</v>
      </c>
      <c r="D180" s="2" t="s">
        <v>1831</v>
      </c>
      <c r="E180" s="2">
        <v>55000.0</v>
      </c>
    </row>
    <row r="181">
      <c r="A181" s="2" t="s">
        <v>4203</v>
      </c>
      <c r="B181" s="2" t="s">
        <v>4204</v>
      </c>
      <c r="C181" s="2" t="s">
        <v>1830</v>
      </c>
      <c r="D181" s="2" t="s">
        <v>1831</v>
      </c>
      <c r="E181" s="2">
        <v>55000.0</v>
      </c>
    </row>
    <row r="182">
      <c r="A182" s="2" t="s">
        <v>4729</v>
      </c>
      <c r="B182" s="2" t="s">
        <v>4730</v>
      </c>
      <c r="C182" s="2" t="s">
        <v>1830</v>
      </c>
      <c r="D182" s="2" t="s">
        <v>1831</v>
      </c>
      <c r="E182" s="2">
        <v>50000.0</v>
      </c>
    </row>
    <row r="183">
      <c r="A183" s="2" t="s">
        <v>3835</v>
      </c>
      <c r="B183" s="2" t="s">
        <v>3836</v>
      </c>
      <c r="C183" s="2" t="s">
        <v>1303</v>
      </c>
      <c r="D183" s="2" t="s">
        <v>1304</v>
      </c>
      <c r="E183" s="2">
        <v>50000.0</v>
      </c>
    </row>
    <row r="184">
      <c r="A184" s="2" t="s">
        <v>3910</v>
      </c>
      <c r="B184" s="2" t="s">
        <v>3911</v>
      </c>
      <c r="C184" s="2" t="s">
        <v>1303</v>
      </c>
      <c r="D184" s="2" t="s">
        <v>1304</v>
      </c>
      <c r="E184" s="2">
        <v>50000.0</v>
      </c>
    </row>
    <row r="185">
      <c r="A185" s="2" t="s">
        <v>3486</v>
      </c>
      <c r="B185" s="2" t="s">
        <v>3487</v>
      </c>
      <c r="C185" s="2" t="s">
        <v>1838</v>
      </c>
      <c r="D185" s="2" t="s">
        <v>1839</v>
      </c>
      <c r="E185" s="2">
        <v>80000.0</v>
      </c>
    </row>
    <row r="186">
      <c r="A186" s="2" t="s">
        <v>3486</v>
      </c>
      <c r="B186" s="2" t="s">
        <v>3487</v>
      </c>
      <c r="C186" s="2" t="s">
        <v>1756</v>
      </c>
      <c r="D186" s="2" t="s">
        <v>1757</v>
      </c>
      <c r="E186" s="2">
        <v>65000.0</v>
      </c>
    </row>
    <row r="187">
      <c r="A187" s="2" t="s">
        <v>3486</v>
      </c>
      <c r="B187" s="2" t="s">
        <v>3487</v>
      </c>
      <c r="C187" s="2" t="s">
        <v>1873</v>
      </c>
      <c r="D187" s="2" t="s">
        <v>5143</v>
      </c>
      <c r="E187" s="2">
        <v>70000.0</v>
      </c>
    </row>
    <row r="188">
      <c r="A188" s="2" t="s">
        <v>4203</v>
      </c>
      <c r="B188" s="2" t="s">
        <v>4204</v>
      </c>
      <c r="C188" s="2" t="s">
        <v>1889</v>
      </c>
      <c r="D188" s="2" t="s">
        <v>5158</v>
      </c>
      <c r="E188" s="2">
        <v>60000.0</v>
      </c>
    </row>
    <row r="189">
      <c r="A189" s="2" t="s">
        <v>3486</v>
      </c>
      <c r="B189" s="2" t="s">
        <v>3487</v>
      </c>
      <c r="C189" s="2" t="s">
        <v>1889</v>
      </c>
      <c r="D189" s="2" t="s">
        <v>5158</v>
      </c>
      <c r="E189" s="2">
        <v>60000.0</v>
      </c>
    </row>
    <row r="190">
      <c r="A190" s="2" t="s">
        <v>3493</v>
      </c>
      <c r="B190" s="2" t="s">
        <v>3494</v>
      </c>
      <c r="C190" s="2" t="s">
        <v>1830</v>
      </c>
      <c r="D190" s="2" t="s">
        <v>1831</v>
      </c>
      <c r="E190" s="2">
        <v>210000.0</v>
      </c>
    </row>
    <row r="191">
      <c r="A191" s="2" t="s">
        <v>3486</v>
      </c>
      <c r="B191" s="2" t="s">
        <v>3487</v>
      </c>
      <c r="C191" s="2" t="s">
        <v>1904</v>
      </c>
      <c r="D191" s="2" t="s">
        <v>1905</v>
      </c>
      <c r="E191" s="2">
        <v>50000.0</v>
      </c>
    </row>
    <row r="192">
      <c r="A192" s="2" t="s">
        <v>4729</v>
      </c>
      <c r="B192" s="2" t="s">
        <v>4730</v>
      </c>
      <c r="C192" s="2" t="s">
        <v>1613</v>
      </c>
      <c r="D192" s="2" t="s">
        <v>1614</v>
      </c>
      <c r="E192" s="2">
        <v>50000.0</v>
      </c>
    </row>
    <row r="193">
      <c r="A193" s="2" t="s">
        <v>3486</v>
      </c>
      <c r="B193" s="2" t="s">
        <v>3487</v>
      </c>
      <c r="C193" s="2" t="s">
        <v>1745</v>
      </c>
      <c r="D193" s="2" t="s">
        <v>1746</v>
      </c>
      <c r="E193" s="2">
        <v>65000.0</v>
      </c>
    </row>
    <row r="194">
      <c r="A194" s="2" t="s">
        <v>4203</v>
      </c>
      <c r="B194" s="2" t="s">
        <v>4204</v>
      </c>
      <c r="C194" s="2" t="s">
        <v>1873</v>
      </c>
      <c r="D194" s="2" t="s">
        <v>1874</v>
      </c>
      <c r="E194" s="2">
        <v>70000.0</v>
      </c>
    </row>
    <row r="195">
      <c r="A195" s="2" t="s">
        <v>3506</v>
      </c>
      <c r="B195" s="2" t="s">
        <v>3507</v>
      </c>
      <c r="C195" s="2" t="s">
        <v>943</v>
      </c>
      <c r="D195" s="2" t="s">
        <v>944</v>
      </c>
      <c r="E195" s="2">
        <v>50000.0</v>
      </c>
    </row>
    <row r="196">
      <c r="A196" s="2" t="s">
        <v>4203</v>
      </c>
      <c r="B196" s="2" t="s">
        <v>4204</v>
      </c>
      <c r="C196" s="2" t="s">
        <v>1963</v>
      </c>
      <c r="D196" s="2" t="s">
        <v>1964</v>
      </c>
      <c r="E196" s="2">
        <v>60000.0</v>
      </c>
    </row>
    <row r="197">
      <c r="A197" s="2" t="s">
        <v>3486</v>
      </c>
      <c r="B197" s="2" t="s">
        <v>3487</v>
      </c>
      <c r="C197" s="2" t="s">
        <v>1975</v>
      </c>
      <c r="D197" s="2" t="s">
        <v>1976</v>
      </c>
      <c r="E197" s="2">
        <v>60000.0</v>
      </c>
    </row>
    <row r="198">
      <c r="A198" s="2" t="s">
        <v>3516</v>
      </c>
      <c r="B198" s="2" t="s">
        <v>3517</v>
      </c>
      <c r="C198" s="2" t="s">
        <v>1993</v>
      </c>
      <c r="D198" s="2" t="s">
        <v>1994</v>
      </c>
      <c r="E198" s="2">
        <v>190000.0</v>
      </c>
    </row>
    <row r="199">
      <c r="A199" s="2" t="s">
        <v>4203</v>
      </c>
      <c r="B199" s="2" t="s">
        <v>4204</v>
      </c>
      <c r="C199" s="2" t="s">
        <v>1993</v>
      </c>
      <c r="D199" s="2" t="s">
        <v>1994</v>
      </c>
      <c r="E199" s="2">
        <v>65000.0</v>
      </c>
    </row>
    <row r="200">
      <c r="A200" s="2" t="s">
        <v>3493</v>
      </c>
      <c r="B200" s="2" t="s">
        <v>3494</v>
      </c>
      <c r="C200" s="2" t="s">
        <v>1993</v>
      </c>
      <c r="D200" s="2" t="s">
        <v>1994</v>
      </c>
      <c r="E200" s="2">
        <v>200000.0</v>
      </c>
    </row>
    <row r="201">
      <c r="A201" s="2" t="s">
        <v>5275</v>
      </c>
      <c r="B201" s="2" t="s">
        <v>5276</v>
      </c>
      <c r="C201" s="2" t="s">
        <v>309</v>
      </c>
      <c r="D201" s="2" t="s">
        <v>310</v>
      </c>
      <c r="E201" s="2">
        <v>250000.0</v>
      </c>
    </row>
    <row r="202">
      <c r="A202" s="2" t="s">
        <v>4279</v>
      </c>
      <c r="B202" s="2" t="s">
        <v>4280</v>
      </c>
      <c r="C202" s="2" t="s">
        <v>309</v>
      </c>
      <c r="D202" s="2" t="s">
        <v>310</v>
      </c>
      <c r="E202" s="2">
        <v>200000.0</v>
      </c>
    </row>
    <row r="203">
      <c r="A203" s="2" t="s">
        <v>5271</v>
      </c>
      <c r="B203" s="2" t="s">
        <v>5272</v>
      </c>
      <c r="C203" s="2" t="s">
        <v>309</v>
      </c>
      <c r="D203" s="2" t="s">
        <v>310</v>
      </c>
      <c r="E203" s="2">
        <v>200000.0</v>
      </c>
    </row>
    <row r="204">
      <c r="A204" s="2" t="s">
        <v>3486</v>
      </c>
      <c r="B204" s="2" t="s">
        <v>3487</v>
      </c>
      <c r="C204" s="2" t="s">
        <v>2005</v>
      </c>
      <c r="D204" s="2" t="s">
        <v>2006</v>
      </c>
      <c r="E204" s="2">
        <v>60000.0</v>
      </c>
    </row>
    <row r="205">
      <c r="A205" s="2" t="s">
        <v>4203</v>
      </c>
      <c r="B205" s="2" t="s">
        <v>4204</v>
      </c>
      <c r="C205" s="2" t="s">
        <v>2005</v>
      </c>
      <c r="D205" s="2" t="s">
        <v>2006</v>
      </c>
      <c r="E205" s="2">
        <v>65000.0</v>
      </c>
    </row>
    <row r="206">
      <c r="A206" s="2" t="s">
        <v>3493</v>
      </c>
      <c r="B206" s="2" t="s">
        <v>3494</v>
      </c>
      <c r="C206" s="2" t="s">
        <v>2005</v>
      </c>
      <c r="D206" s="2" t="s">
        <v>2006</v>
      </c>
      <c r="E206" s="2">
        <v>215000.0</v>
      </c>
    </row>
    <row r="207">
      <c r="A207" s="2" t="s">
        <v>3516</v>
      </c>
      <c r="B207" s="2" t="s">
        <v>3517</v>
      </c>
      <c r="C207" s="2" t="s">
        <v>1904</v>
      </c>
      <c r="D207" s="2" t="s">
        <v>1905</v>
      </c>
      <c r="E207" s="2">
        <v>165000.0</v>
      </c>
    </row>
    <row r="208">
      <c r="A208" s="2" t="s">
        <v>4203</v>
      </c>
      <c r="B208" s="2" t="s">
        <v>4204</v>
      </c>
      <c r="C208" s="2" t="s">
        <v>1904</v>
      </c>
      <c r="D208" s="2" t="s">
        <v>1905</v>
      </c>
      <c r="E208" s="2">
        <v>50000.0</v>
      </c>
    </row>
    <row r="209">
      <c r="A209" s="2" t="s">
        <v>3486</v>
      </c>
      <c r="B209" s="2" t="s">
        <v>3487</v>
      </c>
      <c r="C209" s="2" t="s">
        <v>2032</v>
      </c>
      <c r="D209" s="2" t="s">
        <v>2033</v>
      </c>
      <c r="E209" s="2">
        <v>60000.0</v>
      </c>
    </row>
    <row r="210">
      <c r="A210" s="2" t="s">
        <v>3486</v>
      </c>
      <c r="B210" s="2" t="s">
        <v>3487</v>
      </c>
      <c r="C210" s="2" t="s">
        <v>1993</v>
      </c>
      <c r="D210" s="2" t="s">
        <v>1994</v>
      </c>
      <c r="E210" s="2">
        <v>65000.0</v>
      </c>
    </row>
    <row r="211">
      <c r="A211" s="2" t="s">
        <v>3486</v>
      </c>
      <c r="B211" s="2" t="s">
        <v>3487</v>
      </c>
      <c r="C211" s="2" t="s">
        <v>2131</v>
      </c>
      <c r="D211" s="2" t="s">
        <v>2132</v>
      </c>
      <c r="E211" s="2">
        <v>60000.0</v>
      </c>
    </row>
    <row r="212">
      <c r="A212" s="2" t="s">
        <v>4203</v>
      </c>
      <c r="B212" s="2" t="s">
        <v>4204</v>
      </c>
      <c r="C212" s="2" t="s">
        <v>2131</v>
      </c>
      <c r="D212" s="2" t="s">
        <v>2132</v>
      </c>
      <c r="E212" s="2">
        <v>60000.0</v>
      </c>
    </row>
    <row r="213">
      <c r="A213" s="2" t="s">
        <v>3493</v>
      </c>
      <c r="B213" s="2" t="s">
        <v>3494</v>
      </c>
      <c r="C213" s="2" t="s">
        <v>2131</v>
      </c>
      <c r="D213" s="2" t="s">
        <v>2132</v>
      </c>
      <c r="E213" s="2">
        <v>210000.0</v>
      </c>
    </row>
    <row r="214">
      <c r="A214" s="2" t="s">
        <v>3547</v>
      </c>
      <c r="B214" s="2" t="s">
        <v>3548</v>
      </c>
      <c r="C214" s="2" t="s">
        <v>2131</v>
      </c>
      <c r="D214" s="2" t="s">
        <v>2132</v>
      </c>
      <c r="E214" s="2">
        <v>1000000.0</v>
      </c>
    </row>
    <row r="215">
      <c r="A215" s="2" t="s">
        <v>4203</v>
      </c>
      <c r="B215" s="2" t="s">
        <v>4204</v>
      </c>
      <c r="C215" s="2" t="s">
        <v>2081</v>
      </c>
      <c r="D215" s="2" t="s">
        <v>2082</v>
      </c>
      <c r="E215" s="2">
        <v>60000.0</v>
      </c>
    </row>
    <row r="216">
      <c r="A216" s="2" t="s">
        <v>3493</v>
      </c>
      <c r="B216" s="2" t="s">
        <v>3494</v>
      </c>
      <c r="C216" s="2" t="s">
        <v>2081</v>
      </c>
      <c r="D216" s="2" t="s">
        <v>2082</v>
      </c>
      <c r="E216" s="2">
        <v>210000.0</v>
      </c>
    </row>
    <row r="217">
      <c r="A217" s="2" t="s">
        <v>3486</v>
      </c>
      <c r="B217" s="2" t="s">
        <v>3487</v>
      </c>
      <c r="C217" s="2" t="s">
        <v>1564</v>
      </c>
      <c r="D217" s="2" t="s">
        <v>1565</v>
      </c>
      <c r="E217" s="2">
        <v>80000.0</v>
      </c>
    </row>
    <row r="218">
      <c r="A218" s="2" t="s">
        <v>3516</v>
      </c>
      <c r="B218" s="2" t="s">
        <v>3517</v>
      </c>
      <c r="C218" s="2" t="s">
        <v>55</v>
      </c>
      <c r="D218" s="2" t="s">
        <v>56</v>
      </c>
      <c r="E218" s="2">
        <v>190000.0</v>
      </c>
    </row>
    <row r="219">
      <c r="A219" s="2" t="s">
        <v>3493</v>
      </c>
      <c r="B219" s="2" t="s">
        <v>3494</v>
      </c>
      <c r="C219" s="2" t="s">
        <v>2150</v>
      </c>
      <c r="D219" s="2" t="s">
        <v>7570</v>
      </c>
      <c r="E219" s="2">
        <v>170000.0</v>
      </c>
    </row>
    <row r="220">
      <c r="A220" s="2" t="s">
        <v>3506</v>
      </c>
      <c r="B220" s="2" t="s">
        <v>3507</v>
      </c>
      <c r="C220" s="2" t="s">
        <v>2196</v>
      </c>
      <c r="D220" s="2" t="s">
        <v>2197</v>
      </c>
      <c r="E220" s="2">
        <v>60000.0</v>
      </c>
    </row>
    <row r="221">
      <c r="A221" s="2" t="s">
        <v>3910</v>
      </c>
      <c r="B221" s="2" t="s">
        <v>3911</v>
      </c>
      <c r="C221" s="2" t="s">
        <v>2196</v>
      </c>
      <c r="D221" s="2" t="s">
        <v>2197</v>
      </c>
      <c r="E221" s="2">
        <v>45000.0</v>
      </c>
    </row>
    <row r="222">
      <c r="A222" s="2" t="s">
        <v>3516</v>
      </c>
      <c r="B222" s="2" t="s">
        <v>3517</v>
      </c>
      <c r="C222" s="2" t="s">
        <v>2217</v>
      </c>
      <c r="D222" s="2" t="s">
        <v>2218</v>
      </c>
      <c r="E222" s="2">
        <v>200000.0</v>
      </c>
    </row>
    <row r="223">
      <c r="A223" s="2" t="s">
        <v>4203</v>
      </c>
      <c r="B223" s="2" t="s">
        <v>4204</v>
      </c>
      <c r="C223" s="2" t="s">
        <v>951</v>
      </c>
      <c r="D223" s="2" t="s">
        <v>952</v>
      </c>
      <c r="E223" s="2">
        <v>55000.0</v>
      </c>
    </row>
    <row r="224">
      <c r="A224" s="2" t="s">
        <v>3486</v>
      </c>
      <c r="B224" s="2" t="s">
        <v>3487</v>
      </c>
      <c r="C224" s="2" t="s">
        <v>2081</v>
      </c>
      <c r="D224" s="2" t="s">
        <v>2082</v>
      </c>
      <c r="E224" s="2">
        <v>60000.0</v>
      </c>
    </row>
    <row r="225">
      <c r="A225" s="2" t="s">
        <v>3486</v>
      </c>
      <c r="B225" s="2" t="s">
        <v>3487</v>
      </c>
      <c r="C225" s="2" t="s">
        <v>2266</v>
      </c>
      <c r="D225" s="2" t="s">
        <v>2267</v>
      </c>
      <c r="E225" s="2">
        <v>65000.0</v>
      </c>
    </row>
    <row r="226">
      <c r="A226" s="2" t="s">
        <v>4203</v>
      </c>
      <c r="B226" s="2" t="s">
        <v>4204</v>
      </c>
      <c r="C226" s="2" t="s">
        <v>2266</v>
      </c>
      <c r="D226" s="2" t="s">
        <v>2267</v>
      </c>
      <c r="E226" s="2">
        <v>65000.0</v>
      </c>
    </row>
    <row r="227">
      <c r="A227" s="2" t="s">
        <v>3486</v>
      </c>
      <c r="B227" s="2" t="s">
        <v>3487</v>
      </c>
      <c r="C227" s="2" t="s">
        <v>2270</v>
      </c>
      <c r="D227" s="2" t="s">
        <v>2271</v>
      </c>
      <c r="E227" s="2">
        <v>75000.0</v>
      </c>
    </row>
    <row r="228">
      <c r="A228" s="2" t="s">
        <v>4203</v>
      </c>
      <c r="B228" s="2" t="s">
        <v>4204</v>
      </c>
      <c r="C228" s="2" t="s">
        <v>2270</v>
      </c>
      <c r="D228" s="2" t="s">
        <v>2271</v>
      </c>
      <c r="E228" s="2">
        <v>75000.0</v>
      </c>
    </row>
    <row r="229">
      <c r="A229" s="2" t="s">
        <v>5275</v>
      </c>
      <c r="B229" s="2" t="s">
        <v>5276</v>
      </c>
      <c r="C229" s="2" t="s">
        <v>464</v>
      </c>
      <c r="D229" s="2" t="s">
        <v>465</v>
      </c>
      <c r="E229" s="2">
        <v>20000.0</v>
      </c>
    </row>
    <row r="230">
      <c r="A230" s="2" t="s">
        <v>5569</v>
      </c>
      <c r="B230" s="2" t="s">
        <v>5570</v>
      </c>
      <c r="C230" s="2" t="s">
        <v>464</v>
      </c>
      <c r="D230" s="2" t="s">
        <v>465</v>
      </c>
      <c r="E230" s="2">
        <v>15000.0</v>
      </c>
    </row>
    <row r="231">
      <c r="A231" s="2" t="s">
        <v>5565</v>
      </c>
      <c r="B231" s="2" t="s">
        <v>5566</v>
      </c>
      <c r="C231" s="2" t="s">
        <v>464</v>
      </c>
      <c r="D231" s="2" t="s">
        <v>465</v>
      </c>
      <c r="E231" s="2">
        <v>30000.0</v>
      </c>
    </row>
    <row r="232">
      <c r="A232" s="2" t="s">
        <v>5567</v>
      </c>
      <c r="B232" s="2" t="s">
        <v>5568</v>
      </c>
      <c r="C232" s="2" t="s">
        <v>464</v>
      </c>
      <c r="D232" s="2" t="s">
        <v>465</v>
      </c>
      <c r="E232" s="2">
        <v>20000.0</v>
      </c>
    </row>
    <row r="233">
      <c r="A233" s="2" t="s">
        <v>3493</v>
      </c>
      <c r="B233" s="2" t="s">
        <v>3494</v>
      </c>
      <c r="C233" s="2" t="s">
        <v>679</v>
      </c>
      <c r="D233" s="2" t="s">
        <v>680</v>
      </c>
      <c r="E233" s="2">
        <v>215000.0</v>
      </c>
    </row>
    <row r="234">
      <c r="A234" s="2" t="s">
        <v>5565</v>
      </c>
      <c r="B234" s="2" t="s">
        <v>5566</v>
      </c>
      <c r="C234" s="2" t="s">
        <v>2081</v>
      </c>
      <c r="D234" s="2" t="s">
        <v>2082</v>
      </c>
      <c r="E234" s="2">
        <v>30000.0</v>
      </c>
    </row>
    <row r="235">
      <c r="A235" s="2" t="s">
        <v>3506</v>
      </c>
      <c r="B235" s="2" t="s">
        <v>3507</v>
      </c>
      <c r="C235" s="2" t="s">
        <v>2081</v>
      </c>
      <c r="D235" s="2" t="s">
        <v>2082</v>
      </c>
      <c r="E235" s="2">
        <v>55000.0</v>
      </c>
    </row>
    <row r="236">
      <c r="A236" s="2" t="s">
        <v>3910</v>
      </c>
      <c r="B236" s="2" t="s">
        <v>3911</v>
      </c>
      <c r="C236" s="2" t="s">
        <v>885</v>
      </c>
      <c r="D236" s="2" t="s">
        <v>886</v>
      </c>
      <c r="E236" s="2">
        <v>50000.0</v>
      </c>
    </row>
    <row r="237">
      <c r="A237" s="2" t="s">
        <v>3506</v>
      </c>
      <c r="B237" s="2" t="s">
        <v>3507</v>
      </c>
      <c r="C237" s="2" t="s">
        <v>2349</v>
      </c>
      <c r="D237" s="2" t="s">
        <v>7571</v>
      </c>
      <c r="E237" s="2">
        <v>50000.0</v>
      </c>
    </row>
    <row r="238">
      <c r="A238" s="2" t="s">
        <v>3910</v>
      </c>
      <c r="B238" s="2" t="s">
        <v>3911</v>
      </c>
      <c r="C238" s="2" t="s">
        <v>1573</v>
      </c>
      <c r="D238" s="2" t="s">
        <v>2442</v>
      </c>
      <c r="E238" s="2">
        <v>50000.0</v>
      </c>
    </row>
    <row r="239">
      <c r="A239" s="2" t="s">
        <v>4203</v>
      </c>
      <c r="B239" s="2" t="s">
        <v>4204</v>
      </c>
      <c r="C239" s="2" t="s">
        <v>1975</v>
      </c>
      <c r="D239" s="2" t="s">
        <v>1976</v>
      </c>
      <c r="E239" s="2">
        <v>60000.0</v>
      </c>
    </row>
    <row r="240">
      <c r="A240" s="2" t="s">
        <v>3493</v>
      </c>
      <c r="B240" s="2" t="s">
        <v>3494</v>
      </c>
      <c r="C240" s="2" t="s">
        <v>13</v>
      </c>
      <c r="D240" s="2" t="s">
        <v>14</v>
      </c>
      <c r="E240" s="2">
        <v>215000.0</v>
      </c>
    </row>
    <row r="241">
      <c r="A241" s="2" t="s">
        <v>4729</v>
      </c>
      <c r="B241" s="2" t="s">
        <v>4730</v>
      </c>
      <c r="C241" s="2" t="s">
        <v>13</v>
      </c>
      <c r="D241" s="2" t="s">
        <v>14</v>
      </c>
      <c r="E241" s="2">
        <v>100000.0</v>
      </c>
    </row>
    <row r="242">
      <c r="A242" s="2" t="s">
        <v>4203</v>
      </c>
      <c r="B242" s="2" t="s">
        <v>4204</v>
      </c>
      <c r="C242" s="2" t="s">
        <v>13</v>
      </c>
      <c r="D242" s="2" t="s">
        <v>14</v>
      </c>
      <c r="E242" s="2">
        <v>55000.0</v>
      </c>
    </row>
    <row r="243">
      <c r="A243" s="2" t="s">
        <v>3910</v>
      </c>
      <c r="B243" s="2" t="s">
        <v>3911</v>
      </c>
      <c r="C243" s="2" t="s">
        <v>2459</v>
      </c>
      <c r="D243" s="2" t="s">
        <v>2460</v>
      </c>
      <c r="E243" s="2">
        <v>60000.0</v>
      </c>
    </row>
    <row r="244">
      <c r="A244" s="2" t="s">
        <v>3835</v>
      </c>
      <c r="B244" s="2" t="s">
        <v>3836</v>
      </c>
      <c r="C244" s="2" t="s">
        <v>2459</v>
      </c>
      <c r="D244" s="2" t="s">
        <v>2460</v>
      </c>
      <c r="E244" s="2">
        <v>60000.0</v>
      </c>
    </row>
    <row r="245">
      <c r="A245" s="2" t="s">
        <v>3835</v>
      </c>
      <c r="B245" s="2" t="s">
        <v>3836</v>
      </c>
      <c r="C245" s="2" t="s">
        <v>2466</v>
      </c>
      <c r="D245" s="2" t="s">
        <v>2467</v>
      </c>
      <c r="E245" s="2">
        <v>60000.0</v>
      </c>
    </row>
    <row r="246">
      <c r="A246" s="2" t="s">
        <v>3486</v>
      </c>
      <c r="B246" s="2" t="s">
        <v>3487</v>
      </c>
      <c r="C246" s="2" t="s">
        <v>1705</v>
      </c>
      <c r="D246" s="2" t="s">
        <v>1706</v>
      </c>
      <c r="E246" s="2">
        <v>65000.0</v>
      </c>
    </row>
    <row r="247">
      <c r="A247" s="2" t="s">
        <v>4203</v>
      </c>
      <c r="B247" s="2" t="s">
        <v>4204</v>
      </c>
      <c r="C247" s="2" t="s">
        <v>1018</v>
      </c>
      <c r="D247" s="2" t="s">
        <v>1019</v>
      </c>
      <c r="E247" s="2">
        <v>60000.0</v>
      </c>
    </row>
    <row r="248">
      <c r="A248" s="2" t="s">
        <v>5765</v>
      </c>
      <c r="B248" s="2" t="s">
        <v>5766</v>
      </c>
      <c r="C248" s="2" t="s">
        <v>885</v>
      </c>
      <c r="D248" s="2" t="s">
        <v>886</v>
      </c>
      <c r="E248" s="2">
        <v>70000.0</v>
      </c>
    </row>
    <row r="249">
      <c r="A249" s="2" t="s">
        <v>3486</v>
      </c>
      <c r="B249" s="2" t="s">
        <v>3487</v>
      </c>
      <c r="C249" s="2" t="s">
        <v>2503</v>
      </c>
      <c r="D249" s="2" t="s">
        <v>2504</v>
      </c>
      <c r="E249" s="2">
        <v>65000.0</v>
      </c>
    </row>
    <row r="250">
      <c r="A250" s="2" t="s">
        <v>3486</v>
      </c>
      <c r="B250" s="2" t="s">
        <v>3487</v>
      </c>
      <c r="C250" s="2" t="s">
        <v>2510</v>
      </c>
      <c r="D250" s="2" t="s">
        <v>2511</v>
      </c>
      <c r="E250" s="2">
        <v>65000.0</v>
      </c>
    </row>
    <row r="251">
      <c r="A251" s="2" t="s">
        <v>3486</v>
      </c>
      <c r="B251" s="2" t="s">
        <v>3487</v>
      </c>
      <c r="C251" s="2" t="s">
        <v>1573</v>
      </c>
      <c r="D251" s="2" t="s">
        <v>1574</v>
      </c>
      <c r="E251" s="2">
        <v>80000.0</v>
      </c>
    </row>
    <row r="252">
      <c r="A252" s="2" t="s">
        <v>3486</v>
      </c>
      <c r="B252" s="2" t="s">
        <v>3487</v>
      </c>
      <c r="C252" s="2" t="s">
        <v>2543</v>
      </c>
      <c r="D252" s="2" t="s">
        <v>2544</v>
      </c>
      <c r="E252" s="2">
        <v>60000.0</v>
      </c>
    </row>
    <row r="253">
      <c r="A253" s="2" t="s">
        <v>3522</v>
      </c>
      <c r="B253" s="2" t="s">
        <v>3523</v>
      </c>
      <c r="C253" s="2" t="s">
        <v>2543</v>
      </c>
      <c r="D253" s="2" t="s">
        <v>2544</v>
      </c>
      <c r="E253" s="2">
        <v>210000.0</v>
      </c>
    </row>
    <row r="254">
      <c r="A254" s="2" t="s">
        <v>3516</v>
      </c>
      <c r="B254" s="2" t="s">
        <v>3517</v>
      </c>
      <c r="C254" s="2" t="s">
        <v>2543</v>
      </c>
      <c r="D254" s="2" t="s">
        <v>2544</v>
      </c>
      <c r="E254" s="2">
        <v>190000.0</v>
      </c>
    </row>
    <row r="255">
      <c r="A255" s="2" t="s">
        <v>3585</v>
      </c>
      <c r="B255" s="2" t="s">
        <v>3586</v>
      </c>
      <c r="C255" s="2" t="s">
        <v>2543</v>
      </c>
      <c r="D255" s="2" t="s">
        <v>2544</v>
      </c>
      <c r="E255" s="2">
        <v>485000.0</v>
      </c>
    </row>
    <row r="256">
      <c r="A256" s="2" t="s">
        <v>3493</v>
      </c>
      <c r="B256" s="2" t="s">
        <v>3494</v>
      </c>
      <c r="C256" s="2" t="s">
        <v>2543</v>
      </c>
      <c r="D256" s="2" t="s">
        <v>2544</v>
      </c>
      <c r="E256" s="2">
        <v>200000.0</v>
      </c>
    </row>
    <row r="257">
      <c r="A257" s="2" t="s">
        <v>3547</v>
      </c>
      <c r="B257" s="2" t="s">
        <v>3548</v>
      </c>
      <c r="C257" s="2" t="s">
        <v>2543</v>
      </c>
      <c r="D257" s="2" t="s">
        <v>2544</v>
      </c>
      <c r="E257" s="2">
        <v>950000.0</v>
      </c>
    </row>
    <row r="258">
      <c r="A258" s="2" t="s">
        <v>3506</v>
      </c>
      <c r="B258" s="2" t="s">
        <v>3507</v>
      </c>
      <c r="C258" s="2" t="s">
        <v>1311</v>
      </c>
      <c r="D258" s="2" t="s">
        <v>1010</v>
      </c>
      <c r="E258" s="2">
        <v>70000.0</v>
      </c>
    </row>
    <row r="259">
      <c r="A259" s="2" t="s">
        <v>3486</v>
      </c>
      <c r="B259" s="2" t="s">
        <v>3487</v>
      </c>
      <c r="C259" s="2" t="s">
        <v>2459</v>
      </c>
      <c r="D259" s="2" t="s">
        <v>2460</v>
      </c>
      <c r="E259" s="2">
        <v>80000.0</v>
      </c>
    </row>
    <row r="260">
      <c r="A260" s="2" t="s">
        <v>3486</v>
      </c>
      <c r="B260" s="2" t="s">
        <v>3487</v>
      </c>
      <c r="C260" s="2" t="s">
        <v>2577</v>
      </c>
      <c r="D260" s="2" t="s">
        <v>2578</v>
      </c>
      <c r="E260" s="2">
        <v>58558.56</v>
      </c>
    </row>
    <row r="261">
      <c r="A261" s="2" t="s">
        <v>4203</v>
      </c>
      <c r="B261" s="2" t="s">
        <v>4204</v>
      </c>
      <c r="C261" s="2" t="s">
        <v>2577</v>
      </c>
      <c r="D261" s="2" t="s">
        <v>2578</v>
      </c>
      <c r="E261" s="2">
        <v>58558.56</v>
      </c>
    </row>
    <row r="262">
      <c r="A262" s="2" t="s">
        <v>3486</v>
      </c>
      <c r="B262" s="2" t="s">
        <v>3487</v>
      </c>
      <c r="C262" s="2" t="s">
        <v>2623</v>
      </c>
      <c r="D262" s="2" t="s">
        <v>2624</v>
      </c>
      <c r="E262" s="2">
        <v>70000.0</v>
      </c>
    </row>
    <row r="263">
      <c r="A263" s="2" t="s">
        <v>4203</v>
      </c>
      <c r="B263" s="2" t="s">
        <v>4204</v>
      </c>
      <c r="C263" s="2" t="s">
        <v>2623</v>
      </c>
      <c r="D263" s="2" t="s">
        <v>2624</v>
      </c>
      <c r="E263" s="2">
        <v>70000.0</v>
      </c>
    </row>
    <row r="264">
      <c r="A264" s="2" t="s">
        <v>3486</v>
      </c>
      <c r="B264" s="2" t="s">
        <v>3487</v>
      </c>
      <c r="C264" s="2" t="s">
        <v>2640</v>
      </c>
      <c r="D264" s="2" t="s">
        <v>2641</v>
      </c>
      <c r="E264" s="2">
        <v>60000.0</v>
      </c>
    </row>
    <row r="265">
      <c r="A265" s="2" t="s">
        <v>3516</v>
      </c>
      <c r="B265" s="2" t="s">
        <v>3517</v>
      </c>
      <c r="C265" s="2" t="s">
        <v>2640</v>
      </c>
      <c r="D265" s="2" t="s">
        <v>2641</v>
      </c>
      <c r="E265" s="2">
        <v>190000.0</v>
      </c>
    </row>
    <row r="266">
      <c r="A266" s="2" t="s">
        <v>5890</v>
      </c>
      <c r="B266" s="2" t="s">
        <v>5891</v>
      </c>
      <c r="C266" s="2" t="s">
        <v>2640</v>
      </c>
      <c r="D266" s="2" t="s">
        <v>2641</v>
      </c>
      <c r="E266" s="2">
        <v>550000.0</v>
      </c>
    </row>
    <row r="267">
      <c r="A267" s="2" t="s">
        <v>3585</v>
      </c>
      <c r="B267" s="2" t="s">
        <v>3586</v>
      </c>
      <c r="C267" s="2" t="s">
        <v>2686</v>
      </c>
      <c r="D267" s="2" t="s">
        <v>2687</v>
      </c>
      <c r="E267" s="2">
        <v>405405.41</v>
      </c>
    </row>
    <row r="268">
      <c r="A268" s="2" t="s">
        <v>3486</v>
      </c>
      <c r="B268" s="2" t="s">
        <v>3487</v>
      </c>
      <c r="C268" s="2" t="s">
        <v>2686</v>
      </c>
      <c r="D268" s="2" t="s">
        <v>2687</v>
      </c>
      <c r="E268" s="2">
        <v>54054.05</v>
      </c>
    </row>
    <row r="269">
      <c r="A269" s="2" t="s">
        <v>3493</v>
      </c>
      <c r="B269" s="2" t="s">
        <v>3494</v>
      </c>
      <c r="C269" s="2" t="s">
        <v>2640</v>
      </c>
      <c r="D269" s="2" t="s">
        <v>2641</v>
      </c>
      <c r="E269" s="2">
        <v>205000.0</v>
      </c>
    </row>
    <row r="270">
      <c r="A270" s="2" t="s">
        <v>5970</v>
      </c>
      <c r="B270" s="2" t="s">
        <v>5971</v>
      </c>
      <c r="C270" s="2" t="s">
        <v>1838</v>
      </c>
      <c r="D270" s="2" t="s">
        <v>1839</v>
      </c>
      <c r="E270" s="2">
        <v>800000.0</v>
      </c>
    </row>
    <row r="271">
      <c r="A271" s="2" t="s">
        <v>3910</v>
      </c>
      <c r="B271" s="2" t="s">
        <v>3911</v>
      </c>
      <c r="C271" s="2" t="s">
        <v>1523</v>
      </c>
      <c r="D271" s="2" t="s">
        <v>1524</v>
      </c>
      <c r="E271" s="2">
        <v>55000.0</v>
      </c>
    </row>
    <row r="272">
      <c r="A272" s="2" t="s">
        <v>4203</v>
      </c>
      <c r="B272" s="2" t="s">
        <v>4204</v>
      </c>
      <c r="C272" s="2" t="s">
        <v>1228</v>
      </c>
      <c r="D272" s="2" t="s">
        <v>1229</v>
      </c>
      <c r="E272" s="2">
        <v>55000.0</v>
      </c>
    </row>
    <row r="273">
      <c r="A273" s="2" t="s">
        <v>3522</v>
      </c>
      <c r="B273" s="2" t="s">
        <v>3523</v>
      </c>
      <c r="C273" s="2" t="s">
        <v>2728</v>
      </c>
      <c r="D273" s="2" t="s">
        <v>2729</v>
      </c>
      <c r="E273" s="2">
        <v>225000.0</v>
      </c>
    </row>
    <row r="274">
      <c r="A274" s="2" t="s">
        <v>3486</v>
      </c>
      <c r="B274" s="2" t="s">
        <v>3487</v>
      </c>
      <c r="C274" s="2" t="s">
        <v>2728</v>
      </c>
      <c r="D274" s="2" t="s">
        <v>2729</v>
      </c>
      <c r="E274" s="2">
        <v>100000.0</v>
      </c>
    </row>
    <row r="275">
      <c r="A275" s="2" t="s">
        <v>3773</v>
      </c>
      <c r="B275" s="2" t="s">
        <v>3774</v>
      </c>
      <c r="C275" s="2" t="s">
        <v>2728</v>
      </c>
      <c r="D275" s="2" t="s">
        <v>2729</v>
      </c>
      <c r="E275" s="2">
        <v>1100000.0</v>
      </c>
    </row>
    <row r="276">
      <c r="A276" s="2" t="s">
        <v>4203</v>
      </c>
      <c r="B276" s="2" t="s">
        <v>4204</v>
      </c>
      <c r="C276" s="2" t="s">
        <v>2728</v>
      </c>
      <c r="D276" s="2" t="s">
        <v>2729</v>
      </c>
      <c r="E276" s="2">
        <v>100000.0</v>
      </c>
    </row>
    <row r="277">
      <c r="A277" s="2" t="s">
        <v>3486</v>
      </c>
      <c r="B277" s="2" t="s">
        <v>3487</v>
      </c>
      <c r="C277" s="2" t="s">
        <v>2774</v>
      </c>
      <c r="D277" s="2" t="s">
        <v>2775</v>
      </c>
      <c r="E277" s="2">
        <v>70000.0</v>
      </c>
    </row>
    <row r="278">
      <c r="A278" s="2" t="s">
        <v>4203</v>
      </c>
      <c r="B278" s="2" t="s">
        <v>4204</v>
      </c>
      <c r="C278" s="2" t="s">
        <v>2774</v>
      </c>
      <c r="D278" s="2" t="s">
        <v>2775</v>
      </c>
      <c r="E278" s="2">
        <v>70000.0</v>
      </c>
    </row>
    <row r="279">
      <c r="A279" s="2" t="s">
        <v>3486</v>
      </c>
      <c r="B279" s="2" t="s">
        <v>3487</v>
      </c>
      <c r="C279" s="2" t="s">
        <v>6794</v>
      </c>
      <c r="D279" s="2" t="s">
        <v>6795</v>
      </c>
      <c r="E279" s="2">
        <v>60000.0</v>
      </c>
    </row>
    <row r="280">
      <c r="A280" s="2" t="s">
        <v>4203</v>
      </c>
      <c r="B280" s="2" t="s">
        <v>4204</v>
      </c>
      <c r="C280" s="2" t="s">
        <v>1838</v>
      </c>
      <c r="D280" s="2" t="s">
        <v>1839</v>
      </c>
      <c r="E280" s="2">
        <v>80000.0</v>
      </c>
    </row>
    <row r="281">
      <c r="A281" s="2" t="s">
        <v>4203</v>
      </c>
      <c r="B281" s="2" t="s">
        <v>4204</v>
      </c>
      <c r="C281" s="2" t="s">
        <v>320</v>
      </c>
      <c r="D281" s="2" t="s">
        <v>321</v>
      </c>
      <c r="E281" s="2">
        <v>70000.0</v>
      </c>
    </row>
    <row r="282">
      <c r="A282" s="2" t="s">
        <v>3522</v>
      </c>
      <c r="B282" s="2" t="s">
        <v>3523</v>
      </c>
      <c r="C282" s="2" t="s">
        <v>2623</v>
      </c>
      <c r="D282" s="2" t="s">
        <v>2624</v>
      </c>
      <c r="E282" s="2">
        <v>225000.0</v>
      </c>
    </row>
    <row r="283">
      <c r="A283" s="2" t="s">
        <v>3486</v>
      </c>
      <c r="B283" s="2" t="s">
        <v>3487</v>
      </c>
      <c r="C283" s="2" t="s">
        <v>2835</v>
      </c>
      <c r="D283" s="2" t="s">
        <v>2836</v>
      </c>
      <c r="E283" s="2">
        <v>60000.0</v>
      </c>
    </row>
    <row r="284">
      <c r="A284" s="2" t="s">
        <v>4203</v>
      </c>
      <c r="B284" s="2" t="s">
        <v>4204</v>
      </c>
      <c r="C284" s="2" t="s">
        <v>2835</v>
      </c>
      <c r="D284" s="2" t="s">
        <v>2836</v>
      </c>
      <c r="E284" s="2">
        <v>60000.0</v>
      </c>
    </row>
    <row r="285">
      <c r="A285" s="2" t="s">
        <v>4203</v>
      </c>
      <c r="B285" s="2" t="s">
        <v>4204</v>
      </c>
      <c r="C285" s="2" t="s">
        <v>679</v>
      </c>
      <c r="D285" s="2" t="s">
        <v>680</v>
      </c>
      <c r="E285" s="2">
        <v>65000.0</v>
      </c>
    </row>
    <row r="286">
      <c r="A286" s="2" t="s">
        <v>3486</v>
      </c>
      <c r="B286" s="2" t="s">
        <v>3487</v>
      </c>
      <c r="C286" s="2" t="s">
        <v>1613</v>
      </c>
      <c r="D286" s="2" t="s">
        <v>1614</v>
      </c>
      <c r="E286" s="2">
        <v>65000.0</v>
      </c>
    </row>
    <row r="287">
      <c r="A287" s="2" t="s">
        <v>3776</v>
      </c>
      <c r="B287" s="2" t="s">
        <v>3777</v>
      </c>
      <c r="C287" s="2" t="s">
        <v>6760</v>
      </c>
      <c r="D287" s="2" t="s">
        <v>6761</v>
      </c>
      <c r="E287" s="2">
        <v>1200000.0</v>
      </c>
    </row>
    <row r="288">
      <c r="A288" s="2" t="s">
        <v>3835</v>
      </c>
      <c r="B288" s="2" t="s">
        <v>3836</v>
      </c>
      <c r="C288" s="2" t="s">
        <v>1838</v>
      </c>
      <c r="D288" s="2" t="s">
        <v>1839</v>
      </c>
      <c r="E288" s="2">
        <v>60000.0</v>
      </c>
    </row>
    <row r="289">
      <c r="A289" s="2" t="s">
        <v>3910</v>
      </c>
      <c r="B289" s="2" t="s">
        <v>3911</v>
      </c>
      <c r="C289" s="2" t="s">
        <v>1838</v>
      </c>
      <c r="D289" s="2" t="s">
        <v>1839</v>
      </c>
      <c r="E289" s="2">
        <v>60000.0</v>
      </c>
    </row>
    <row r="290">
      <c r="A290" s="2" t="s">
        <v>3522</v>
      </c>
      <c r="B290" s="2" t="s">
        <v>3523</v>
      </c>
      <c r="C290" s="2" t="s">
        <v>1084</v>
      </c>
      <c r="D290" s="2" t="s">
        <v>1085</v>
      </c>
      <c r="E290" s="2">
        <v>220000.0</v>
      </c>
    </row>
    <row r="291">
      <c r="A291" s="2" t="s">
        <v>3493</v>
      </c>
      <c r="B291" s="2" t="s">
        <v>3494</v>
      </c>
      <c r="C291" s="2" t="s">
        <v>2577</v>
      </c>
      <c r="D291" s="2" t="s">
        <v>2578</v>
      </c>
      <c r="E291" s="2">
        <v>205000.0</v>
      </c>
    </row>
    <row r="292">
      <c r="A292" s="2" t="s">
        <v>3516</v>
      </c>
      <c r="B292" s="2" t="s">
        <v>3517</v>
      </c>
      <c r="C292" s="2" t="s">
        <v>2909</v>
      </c>
      <c r="D292" s="2" t="s">
        <v>2910</v>
      </c>
      <c r="E292" s="2">
        <v>210000.0</v>
      </c>
    </row>
    <row r="293">
      <c r="A293" s="2" t="s">
        <v>3547</v>
      </c>
      <c r="B293" s="2" t="s">
        <v>3548</v>
      </c>
      <c r="C293" s="2" t="s">
        <v>2909</v>
      </c>
      <c r="D293" s="2" t="s">
        <v>2910</v>
      </c>
      <c r="E293" s="2">
        <v>1000000.0</v>
      </c>
    </row>
    <row r="294">
      <c r="A294" s="2" t="s">
        <v>3522</v>
      </c>
      <c r="B294" s="2" t="s">
        <v>3523</v>
      </c>
      <c r="C294" s="2" t="s">
        <v>2909</v>
      </c>
      <c r="D294" s="2" t="s">
        <v>2910</v>
      </c>
      <c r="E294" s="2">
        <v>225000.0</v>
      </c>
    </row>
    <row r="295">
      <c r="A295" s="2" t="s">
        <v>3486</v>
      </c>
      <c r="B295" s="2" t="s">
        <v>3487</v>
      </c>
      <c r="C295" s="2" t="s">
        <v>2909</v>
      </c>
      <c r="D295" s="2" t="s">
        <v>2910</v>
      </c>
      <c r="E295" s="2">
        <v>60000.0</v>
      </c>
    </row>
    <row r="296">
      <c r="A296" s="2" t="s">
        <v>3493</v>
      </c>
      <c r="B296" s="2" t="s">
        <v>3494</v>
      </c>
      <c r="C296" s="2" t="s">
        <v>2909</v>
      </c>
      <c r="D296" s="2" t="s">
        <v>2910</v>
      </c>
      <c r="E296" s="2">
        <v>225000.0</v>
      </c>
    </row>
    <row r="297">
      <c r="A297" s="2" t="s">
        <v>4203</v>
      </c>
      <c r="B297" s="2" t="s">
        <v>4204</v>
      </c>
      <c r="C297" s="2" t="s">
        <v>2909</v>
      </c>
      <c r="D297" s="2" t="s">
        <v>2910</v>
      </c>
      <c r="E297" s="2">
        <v>60000.0</v>
      </c>
    </row>
    <row r="298">
      <c r="A298" s="2" t="s">
        <v>3486</v>
      </c>
      <c r="B298" s="2" t="s">
        <v>3487</v>
      </c>
      <c r="C298" s="2" t="s">
        <v>2913</v>
      </c>
      <c r="D298" s="2" t="s">
        <v>2914</v>
      </c>
      <c r="E298" s="2">
        <v>50000.0</v>
      </c>
    </row>
    <row r="299">
      <c r="A299" s="2" t="s">
        <v>5765</v>
      </c>
      <c r="B299" s="2" t="s">
        <v>5766</v>
      </c>
      <c r="C299" s="2" t="s">
        <v>2913</v>
      </c>
      <c r="D299" s="2" t="s">
        <v>2914</v>
      </c>
      <c r="E299" s="2">
        <v>75000.0</v>
      </c>
    </row>
    <row r="300">
      <c r="A300" s="2" t="s">
        <v>3493</v>
      </c>
      <c r="B300" s="2" t="s">
        <v>3494</v>
      </c>
      <c r="C300" s="2" t="s">
        <v>1776</v>
      </c>
      <c r="D300" s="2" t="s">
        <v>1777</v>
      </c>
      <c r="E300" s="2">
        <v>215000.0</v>
      </c>
    </row>
    <row r="301">
      <c r="A301" s="2" t="s">
        <v>3486</v>
      </c>
      <c r="B301" s="2" t="s">
        <v>3487</v>
      </c>
      <c r="C301" s="2" t="s">
        <v>3060</v>
      </c>
      <c r="D301" s="2" t="s">
        <v>3061</v>
      </c>
      <c r="E301" s="2">
        <v>70000.0</v>
      </c>
    </row>
    <row r="302">
      <c r="A302" s="2" t="s">
        <v>3486</v>
      </c>
      <c r="B302" s="2" t="s">
        <v>3487</v>
      </c>
      <c r="C302" s="2" t="s">
        <v>1963</v>
      </c>
      <c r="D302" s="2" t="s">
        <v>1964</v>
      </c>
      <c r="E302" s="2">
        <v>60000.0</v>
      </c>
    </row>
    <row r="303">
      <c r="A303" s="2" t="s">
        <v>3506</v>
      </c>
      <c r="B303" s="2" t="s">
        <v>3507</v>
      </c>
      <c r="C303" s="10" t="s">
        <v>3122</v>
      </c>
      <c r="D303" s="2" t="s">
        <v>3123</v>
      </c>
      <c r="E303" s="2">
        <v>70000.0</v>
      </c>
    </row>
    <row r="304">
      <c r="A304" s="2" t="s">
        <v>3522</v>
      </c>
      <c r="B304" s="2" t="s">
        <v>3523</v>
      </c>
      <c r="C304" s="2" t="s">
        <v>1745</v>
      </c>
      <c r="D304" s="2" t="s">
        <v>1746</v>
      </c>
      <c r="E304" s="2">
        <v>250000.0</v>
      </c>
    </row>
    <row r="305">
      <c r="A305" s="2" t="s">
        <v>3506</v>
      </c>
      <c r="B305" s="2" t="s">
        <v>3507</v>
      </c>
      <c r="C305" s="2" t="s">
        <v>1745</v>
      </c>
      <c r="D305" s="2" t="s">
        <v>1746</v>
      </c>
      <c r="E305" s="2">
        <v>60000.0</v>
      </c>
    </row>
    <row r="306">
      <c r="A306" s="2" t="s">
        <v>3506</v>
      </c>
      <c r="B306" s="2" t="s">
        <v>3507</v>
      </c>
      <c r="C306" s="2" t="s">
        <v>2728</v>
      </c>
      <c r="D306" s="2" t="s">
        <v>2729</v>
      </c>
      <c r="E306" s="2">
        <v>80000.0</v>
      </c>
    </row>
    <row r="307">
      <c r="A307" s="2" t="s">
        <v>5565</v>
      </c>
      <c r="B307" s="2" t="s">
        <v>5566</v>
      </c>
      <c r="C307" s="2" t="s">
        <v>2728</v>
      </c>
      <c r="D307" s="2" t="s">
        <v>2729</v>
      </c>
      <c r="E307" s="2">
        <v>20000.0</v>
      </c>
    </row>
    <row r="308">
      <c r="A308" s="2" t="s">
        <v>4203</v>
      </c>
      <c r="B308" s="2" t="s">
        <v>4204</v>
      </c>
      <c r="C308" s="2" t="s">
        <v>2913</v>
      </c>
      <c r="D308" s="2" t="s">
        <v>2914</v>
      </c>
      <c r="E308" s="2">
        <v>50000.0</v>
      </c>
    </row>
    <row r="309">
      <c r="A309" s="2" t="s">
        <v>3522</v>
      </c>
      <c r="B309" s="2" t="s">
        <v>3523</v>
      </c>
      <c r="C309" s="2" t="s">
        <v>3288</v>
      </c>
      <c r="D309" s="2" t="s">
        <v>7572</v>
      </c>
      <c r="E309" s="2">
        <v>250000.0</v>
      </c>
    </row>
    <row r="310">
      <c r="A310" s="2" t="s">
        <v>3516</v>
      </c>
      <c r="B310" s="2" t="s">
        <v>3517</v>
      </c>
      <c r="C310" s="2" t="s">
        <v>3288</v>
      </c>
      <c r="D310" s="2" t="s">
        <v>7572</v>
      </c>
      <c r="E310" s="2">
        <v>200000.0</v>
      </c>
    </row>
    <row r="311">
      <c r="A311" s="2" t="s">
        <v>3486</v>
      </c>
      <c r="B311" s="2" t="s">
        <v>3487</v>
      </c>
      <c r="C311" s="2" t="s">
        <v>3298</v>
      </c>
      <c r="D311" s="2" t="s">
        <v>3299</v>
      </c>
      <c r="E311" s="2">
        <v>65000.0</v>
      </c>
    </row>
    <row r="312">
      <c r="A312" s="2" t="s">
        <v>4203</v>
      </c>
      <c r="B312" s="2" t="s">
        <v>4204</v>
      </c>
      <c r="C312" s="2" t="s">
        <v>3298</v>
      </c>
      <c r="D312" s="2" t="s">
        <v>3299</v>
      </c>
      <c r="E312" s="2">
        <v>65000.0</v>
      </c>
    </row>
    <row r="313">
      <c r="A313" s="2" t="s">
        <v>3486</v>
      </c>
      <c r="B313" s="2" t="s">
        <v>3487</v>
      </c>
      <c r="C313" s="2" t="s">
        <v>3313</v>
      </c>
      <c r="D313" s="2" t="s">
        <v>3314</v>
      </c>
      <c r="E313" s="2">
        <v>60000.0</v>
      </c>
    </row>
    <row r="314">
      <c r="A314" s="2" t="s">
        <v>3493</v>
      </c>
      <c r="B314" s="2" t="s">
        <v>3494</v>
      </c>
      <c r="C314" s="2" t="s">
        <v>3313</v>
      </c>
      <c r="D314" s="2" t="s">
        <v>3314</v>
      </c>
      <c r="E314" s="2">
        <v>205000.0</v>
      </c>
    </row>
    <row r="315">
      <c r="A315" s="2" t="s">
        <v>4203</v>
      </c>
      <c r="B315" s="2" t="s">
        <v>4204</v>
      </c>
      <c r="C315" s="2" t="s">
        <v>2686</v>
      </c>
      <c r="D315" s="2" t="s">
        <v>2687</v>
      </c>
      <c r="E315" s="2">
        <v>54054.05</v>
      </c>
    </row>
    <row r="316">
      <c r="A316" s="2" t="s">
        <v>3486</v>
      </c>
      <c r="B316" s="2" t="s">
        <v>3487</v>
      </c>
      <c r="C316" s="2" t="s">
        <v>3335</v>
      </c>
      <c r="D316" s="2" t="s">
        <v>7573</v>
      </c>
      <c r="E316" s="2">
        <v>65000.0</v>
      </c>
    </row>
    <row r="317">
      <c r="A317" s="2" t="s">
        <v>4203</v>
      </c>
      <c r="B317" s="2" t="s">
        <v>4204</v>
      </c>
      <c r="C317" s="2" t="s">
        <v>3335</v>
      </c>
      <c r="D317" s="2" t="s">
        <v>7573</v>
      </c>
      <c r="E317" s="2">
        <v>70000.0</v>
      </c>
    </row>
    <row r="318">
      <c r="A318" s="2" t="s">
        <v>3522</v>
      </c>
      <c r="B318" s="2" t="s">
        <v>3523</v>
      </c>
      <c r="C318" s="2" t="s">
        <v>1519</v>
      </c>
      <c r="D318" s="2" t="s">
        <v>1520</v>
      </c>
      <c r="E318" s="2">
        <v>200000.0</v>
      </c>
    </row>
    <row r="319">
      <c r="A319" s="2" t="s">
        <v>3547</v>
      </c>
      <c r="B319" s="2" t="s">
        <v>3548</v>
      </c>
      <c r="C319" s="2" t="s">
        <v>3421</v>
      </c>
      <c r="D319" s="2" t="s">
        <v>3422</v>
      </c>
      <c r="E319" s="2">
        <v>1036036.0</v>
      </c>
    </row>
    <row r="320">
      <c r="A320" s="2" t="s">
        <v>3493</v>
      </c>
      <c r="B320" s="2" t="s">
        <v>3494</v>
      </c>
      <c r="C320" s="2" t="s">
        <v>3427</v>
      </c>
      <c r="D320" s="2" t="s">
        <v>3428</v>
      </c>
      <c r="E320" s="2">
        <v>205000.0</v>
      </c>
    </row>
    <row r="321">
      <c r="A321" s="2" t="s">
        <v>3486</v>
      </c>
      <c r="B321" s="2" t="s">
        <v>3487</v>
      </c>
      <c r="C321" s="2" t="s">
        <v>6803</v>
      </c>
      <c r="D321" s="2" t="s">
        <v>6804</v>
      </c>
      <c r="E321" s="2">
        <v>70000.0</v>
      </c>
    </row>
    <row r="322">
      <c r="A322" s="2" t="s">
        <v>4203</v>
      </c>
      <c r="B322" s="2" t="s">
        <v>4204</v>
      </c>
      <c r="C322" s="2" t="s">
        <v>6803</v>
      </c>
      <c r="D322" s="2" t="s">
        <v>6804</v>
      </c>
      <c r="E322" s="2">
        <v>70000.0</v>
      </c>
    </row>
    <row r="323">
      <c r="A323" s="2" t="s">
        <v>3516</v>
      </c>
      <c r="B323" s="2" t="s">
        <v>3517</v>
      </c>
      <c r="C323" s="2" t="s">
        <v>6803</v>
      </c>
      <c r="D323" s="2" t="s">
        <v>6804</v>
      </c>
      <c r="E323" s="2">
        <v>195000.0</v>
      </c>
    </row>
    <row r="324">
      <c r="A324" s="2" t="s">
        <v>3522</v>
      </c>
      <c r="B324" s="2" t="s">
        <v>3523</v>
      </c>
      <c r="C324" s="2" t="s">
        <v>6803</v>
      </c>
      <c r="D324" s="2" t="s">
        <v>6804</v>
      </c>
      <c r="E324" s="2">
        <v>210000.0</v>
      </c>
    </row>
    <row r="325">
      <c r="A325" s="2" t="s">
        <v>3547</v>
      </c>
      <c r="B325" s="2" t="s">
        <v>3548</v>
      </c>
      <c r="C325" s="2" t="s">
        <v>6803</v>
      </c>
      <c r="D325" s="2" t="s">
        <v>6804</v>
      </c>
      <c r="E325" s="2">
        <v>1200000.0</v>
      </c>
    </row>
    <row r="326">
      <c r="A326" s="2" t="s">
        <v>3506</v>
      </c>
      <c r="B326" s="2" t="s">
        <v>3507</v>
      </c>
      <c r="C326" s="2" t="s">
        <v>786</v>
      </c>
      <c r="D326" s="2" t="s">
        <v>787</v>
      </c>
      <c r="E326" s="2">
        <v>55000.0</v>
      </c>
    </row>
    <row r="327">
      <c r="A327" s="2" t="s">
        <v>3522</v>
      </c>
      <c r="B327" s="2" t="s">
        <v>3523</v>
      </c>
      <c r="C327" s="2" t="s">
        <v>1144</v>
      </c>
      <c r="D327" s="2" t="s">
        <v>1145</v>
      </c>
      <c r="E327" s="2">
        <v>230000.0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7574</v>
      </c>
      <c r="B1" s="2" t="s">
        <v>2</v>
      </c>
      <c r="C1" s="2" t="s">
        <v>4</v>
      </c>
      <c r="D1" s="2" t="s">
        <v>7575</v>
      </c>
    </row>
    <row r="2">
      <c r="A2" s="2" t="s">
        <v>7576</v>
      </c>
      <c r="B2" s="2" t="s">
        <v>45</v>
      </c>
      <c r="C2" s="6">
        <v>45889.84103009259</v>
      </c>
    </row>
    <row r="3">
      <c r="A3" s="2" t="s">
        <v>7577</v>
      </c>
      <c r="B3" s="2" t="s">
        <v>45</v>
      </c>
      <c r="C3" s="6">
        <v>45955.86478009259</v>
      </c>
    </row>
    <row r="4">
      <c r="A4" s="2" t="s">
        <v>7578</v>
      </c>
      <c r="B4" s="2" t="s">
        <v>109</v>
      </c>
      <c r="C4" s="6">
        <v>46029.47278935185</v>
      </c>
    </row>
    <row r="5">
      <c r="A5" s="2" t="s">
        <v>7579</v>
      </c>
      <c r="B5" s="2" t="s">
        <v>109</v>
      </c>
      <c r="C5" s="6">
        <v>46029.477164351854</v>
      </c>
    </row>
    <row r="6">
      <c r="A6" s="2" t="s">
        <v>7580</v>
      </c>
      <c r="B6" s="2" t="s">
        <v>45</v>
      </c>
      <c r="C6" s="6">
        <v>46029.48238425926</v>
      </c>
    </row>
    <row r="7">
      <c r="A7" s="2" t="s">
        <v>7581</v>
      </c>
      <c r="B7" s="2" t="s">
        <v>109</v>
      </c>
      <c r="C7" s="6">
        <v>46029.485983796294</v>
      </c>
    </row>
    <row r="8">
      <c r="A8" s="2" t="s">
        <v>7582</v>
      </c>
      <c r="B8" s="2" t="s">
        <v>109</v>
      </c>
      <c r="C8" s="6">
        <v>46029.490439814814</v>
      </c>
    </row>
    <row r="9">
      <c r="A9" s="2" t="s">
        <v>7583</v>
      </c>
      <c r="B9" s="2" t="s">
        <v>109</v>
      </c>
      <c r="C9" s="6">
        <v>46029.49228009259</v>
      </c>
    </row>
    <row r="10">
      <c r="A10" s="2" t="s">
        <v>7584</v>
      </c>
      <c r="B10" s="2" t="s">
        <v>109</v>
      </c>
      <c r="C10" s="6">
        <v>46029.49456018519</v>
      </c>
    </row>
    <row r="11">
      <c r="A11" s="2" t="s">
        <v>7585</v>
      </c>
      <c r="B11" s="2" t="s">
        <v>109</v>
      </c>
      <c r="C11" s="6">
        <v>46029.49585648148</v>
      </c>
    </row>
    <row r="12">
      <c r="A12" s="2" t="s">
        <v>7586</v>
      </c>
      <c r="B12" s="2" t="s">
        <v>109</v>
      </c>
      <c r="C12" s="6">
        <v>46029.498715277776</v>
      </c>
    </row>
    <row r="13">
      <c r="A13" s="2" t="s">
        <v>7587</v>
      </c>
      <c r="B13" s="2" t="s">
        <v>109</v>
      </c>
      <c r="C13" s="6">
        <v>46029.50021990741</v>
      </c>
    </row>
    <row r="14">
      <c r="A14" s="2" t="s">
        <v>7588</v>
      </c>
      <c r="B14" s="2" t="s">
        <v>109</v>
      </c>
      <c r="C14" s="6">
        <v>46029.503912037035</v>
      </c>
    </row>
    <row r="15">
      <c r="A15" s="2" t="s">
        <v>7589</v>
      </c>
      <c r="B15" s="2" t="s">
        <v>109</v>
      </c>
      <c r="C15" s="6">
        <v>46029.504849537036</v>
      </c>
    </row>
    <row r="16">
      <c r="A16" s="2" t="s">
        <v>7590</v>
      </c>
      <c r="B16" s="2" t="s">
        <v>109</v>
      </c>
      <c r="C16" s="6">
        <v>46029.50763888889</v>
      </c>
    </row>
    <row r="17">
      <c r="A17" s="2" t="s">
        <v>7591</v>
      </c>
      <c r="B17" s="2" t="s">
        <v>326</v>
      </c>
      <c r="C17" s="6">
        <v>46029.52123842593</v>
      </c>
    </row>
    <row r="18">
      <c r="A18" s="2" t="s">
        <v>7592</v>
      </c>
      <c r="B18" s="2" t="s">
        <v>45</v>
      </c>
      <c r="C18" s="6">
        <v>46029.592002314814</v>
      </c>
    </row>
    <row r="19">
      <c r="A19" s="2" t="s">
        <v>7593</v>
      </c>
      <c r="B19" s="2" t="s">
        <v>786</v>
      </c>
      <c r="C19" s="6">
        <v>46029.62641203704</v>
      </c>
    </row>
    <row r="20">
      <c r="A20" s="2" t="s">
        <v>7594</v>
      </c>
      <c r="B20" s="2" t="s">
        <v>109</v>
      </c>
      <c r="C20" s="6">
        <v>46030.639560185184</v>
      </c>
    </row>
    <row r="21">
      <c r="A21" s="2" t="s">
        <v>7595</v>
      </c>
      <c r="B21" s="2" t="s">
        <v>109</v>
      </c>
      <c r="C21" s="6">
        <v>46030.643900462965</v>
      </c>
    </row>
    <row r="22">
      <c r="A22" s="2" t="s">
        <v>7596</v>
      </c>
      <c r="B22" s="2" t="s">
        <v>45</v>
      </c>
      <c r="C22" s="6">
        <v>46030.649826388886</v>
      </c>
    </row>
    <row r="23">
      <c r="A23" s="2" t="s">
        <v>7597</v>
      </c>
      <c r="B23" s="2" t="s">
        <v>45</v>
      </c>
      <c r="C23" s="6">
        <v>46049.81694444444</v>
      </c>
    </row>
    <row r="24">
      <c r="A24" s="2" t="s">
        <v>7598</v>
      </c>
      <c r="B24" s="2" t="s">
        <v>45</v>
      </c>
      <c r="C24" s="6">
        <v>46081.60934027778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1</v>
      </c>
      <c r="D1" s="2" t="s">
        <v>7599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6722</v>
      </c>
      <c r="B1" s="2" t="s">
        <v>7600</v>
      </c>
      <c r="C1" s="2" t="s">
        <v>7601</v>
      </c>
      <c r="D1" s="2" t="s">
        <v>7602</v>
      </c>
    </row>
    <row r="2">
      <c r="A2" s="2" t="s">
        <v>7603</v>
      </c>
      <c r="B2" s="61">
        <v>46107.0</v>
      </c>
      <c r="C2" s="61">
        <v>46137.0</v>
      </c>
      <c r="D2" s="10" t="s">
        <v>7604</v>
      </c>
    </row>
    <row r="3">
      <c r="B3" s="61"/>
      <c r="C3" s="61"/>
    </row>
  </sheetData>
  <drawing r:id="rId1"/>
</worksheet>
</file>